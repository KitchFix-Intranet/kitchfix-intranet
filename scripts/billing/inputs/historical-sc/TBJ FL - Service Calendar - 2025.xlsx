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Projections - 2025" sheetId="1" r:id="rId5"/>
    <sheet state="visible" name="Actuals - Billing - 2025" sheetId="2" r:id="rId6"/>
    <sheet state="visible" name="Clicker Counts - 2025" sheetId="3" r:id="rId7"/>
    <sheet state="visible" name="Minor Summary" sheetId="4" r:id="rId8"/>
    <sheet state="visible" name="Single A Summary" sheetId="5" r:id="rId9"/>
    <sheet state="visible" name="SSM" sheetId="6" r:id="rId10"/>
    <sheet state="visible" name="Other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tc={6e7be0d2-2bd5-4130-9aa2-7892858c9266}</author>
  </authors>
  <commentList>
    <comment authorId="0" xr:uid="{6e7be0d2-2bd5-4130-9aa2-7892858c9266}" ref="V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Discount for day when we ran out of food
</t>
      </text>
    </comment>
  </commentList>
</comments>
</file>

<file path=xl/sharedStrings.xml><?xml version="1.0" encoding="utf-8"?>
<sst xmlns="http://schemas.openxmlformats.org/spreadsheetml/2006/main" count="2408" uniqueCount="93">
  <si>
    <t>Customer Name</t>
  </si>
  <si>
    <t>Week Number</t>
  </si>
  <si>
    <t>Date</t>
  </si>
  <si>
    <t>Rate</t>
  </si>
  <si>
    <t>Breakfast -Mi</t>
  </si>
  <si>
    <t>Lunch -Mi</t>
  </si>
  <si>
    <t>Dinner - Mi</t>
  </si>
  <si>
    <t>Florida Ops</t>
  </si>
  <si>
    <t>Qty</t>
  </si>
  <si>
    <t>Total</t>
  </si>
  <si>
    <t>Memo</t>
  </si>
  <si>
    <t>QB Item</t>
  </si>
  <si>
    <t>Invoice Date</t>
  </si>
  <si>
    <t>Ready</t>
  </si>
  <si>
    <t>TBJ MiLB - Breakfast/Lunch/Dinner</t>
  </si>
  <si>
    <t>Major League - PDC</t>
  </si>
  <si>
    <t>Minor League - PDC</t>
  </si>
  <si>
    <t>Single A Jays</t>
  </si>
  <si>
    <t>SSM</t>
  </si>
  <si>
    <t>Other</t>
  </si>
  <si>
    <t>TOTALS</t>
  </si>
  <si>
    <t>Day</t>
  </si>
  <si>
    <t>Period</t>
  </si>
  <si>
    <t>Week</t>
  </si>
  <si>
    <t>Camp Name</t>
  </si>
  <si>
    <t>Breakfast</t>
  </si>
  <si>
    <t>Lunch</t>
  </si>
  <si>
    <t>Dinner</t>
  </si>
  <si>
    <t>Umpire</t>
  </si>
  <si>
    <t>Post Game Meal</t>
  </si>
  <si>
    <t>Snack</t>
  </si>
  <si>
    <t>Blank</t>
  </si>
  <si>
    <t>PRE-GAME</t>
  </si>
  <si>
    <t>POST-GAME</t>
  </si>
  <si>
    <t>Stadium Staff Meals</t>
  </si>
  <si>
    <t>Fun $$$$ Allocated</t>
  </si>
  <si>
    <t>Media Meals</t>
  </si>
  <si>
    <t>MLB G&amp;G - Pantry</t>
  </si>
  <si>
    <t>MiLB G&amp;G - Pantry</t>
  </si>
  <si>
    <t>MLB - Catering</t>
  </si>
  <si>
    <t>Team Canada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</si>
  <si>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</si>
  <si>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</si>
  <si>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</si>
  <si>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</si>
  <si>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</si>
  <si>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</si>
  <si>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</si>
  <si>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</si>
  <si>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</si>
  <si>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</si>
  <si>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Toronto Blue Jays @ Dunedin, FL</t>
  </si>
  <si>
    <t>Kirk</t>
  </si>
  <si>
    <t>Fri</t>
  </si>
  <si>
    <t>Sat</t>
  </si>
  <si>
    <t>Individual Player Meals - Kirk</t>
  </si>
  <si>
    <t>Individual Player Meals - Invoice to Michelle Separately</t>
  </si>
  <si>
    <t>SCOUTS - Invoice to Michelle Separately</t>
  </si>
  <si>
    <t>Breakfast - A</t>
  </si>
  <si>
    <t>PRE-GAME - A</t>
  </si>
  <si>
    <t>POST-GAME - A</t>
  </si>
  <si>
    <t>Sun</t>
  </si>
  <si>
    <t>Team Canada - Home</t>
  </si>
  <si>
    <t>Team Canada - Road</t>
  </si>
  <si>
    <t xml:space="preserve">CLOSED </t>
  </si>
  <si>
    <t>Week 2</t>
  </si>
  <si>
    <t>NEW YEAR'S EVE</t>
  </si>
  <si>
    <t>Yes</t>
  </si>
  <si>
    <t>NEW YEAR'S DAY</t>
  </si>
  <si>
    <t>Week 3</t>
  </si>
  <si>
    <t xml:space="preserve"> </t>
  </si>
  <si>
    <t>FIRST DAY OF 2025</t>
  </si>
  <si>
    <t>Week 4</t>
  </si>
  <si>
    <t>Early Camp</t>
  </si>
  <si>
    <t>SPRING TRAINING</t>
  </si>
  <si>
    <t>AllStar Break</t>
  </si>
  <si>
    <t>Draft Dinner</t>
  </si>
  <si>
    <t>New Drafted Players</t>
  </si>
  <si>
    <t>Sync to QB</t>
  </si>
  <si>
    <t>CLOSED</t>
  </si>
  <si>
    <t>FOR</t>
  </si>
  <si>
    <t>THANKSGIVING</t>
  </si>
  <si>
    <t>FOR THE</t>
  </si>
  <si>
    <t>HOLIDAYS</t>
  </si>
  <si>
    <t>Meal Rev</t>
  </si>
  <si>
    <t>Service Fee</t>
  </si>
  <si>
    <t>Grand Total</t>
  </si>
  <si>
    <t>Breakdown Per Period:</t>
  </si>
  <si>
    <t>Rev</t>
  </si>
  <si>
    <t>MiLB</t>
  </si>
  <si>
    <t>MLB</t>
  </si>
  <si>
    <t>Single A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</si>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</sst>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#,##0.0"/>
    <numFmt numFmtId="166" formatCode="&quot;$&quot;#,##0.00_);[Red]\(&quot;$&quot;#,##0.00\)"/>
    <numFmt numFmtId="167" formatCode="&quot;$&quot;#,##0_);[Red]\(&quot;$&quot;#,##0\)"/>
    <numFmt numFmtId="168" formatCode="&quot;$&quot;#,##0.00"/>
  </numFmts>
  <fonts count="15">
    <font>
      <sz val="12.0"/>
      <color theme="1"/>
      <name val="Calibri"/>
      <scheme val="minor"/>
    </font>
    <font>
      <color theme="1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Fill="1" applyFont="1"/>
    <xf borderId="0" fillId="0" fontId="4" numFmtId="14" xfId="0" applyAlignment="1" applyFont="1" applyNumberFormat="1">
      <alignment readingOrder="0"/>
    </xf>
    <xf borderId="0" fillId="0" fontId="4" numFmtId="14" xfId="0" applyFont="1" applyNumberFormat="1"/>
    <xf borderId="1" fillId="3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1" fillId="4" fontId="7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/>
    </xf>
    <xf borderId="4" fillId="0" fontId="8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7" fillId="0" fontId="5" numFmtId="0" xfId="0" applyAlignment="1" applyBorder="1" applyFont="1">
      <alignment horizontal="right" readingOrder="0"/>
    </xf>
    <xf borderId="7" fillId="0" fontId="5" numFmtId="0" xfId="0" applyBorder="1" applyFont="1"/>
    <xf borderId="7" fillId="0" fontId="5" numFmtId="166" xfId="0" applyAlignment="1" applyBorder="1" applyFont="1" applyNumberFormat="1">
      <alignment textRotation="90"/>
    </xf>
    <xf borderId="7" fillId="0" fontId="9" numFmtId="166" xfId="0" applyAlignment="1" applyBorder="1" applyFont="1" applyNumberFormat="1">
      <alignment readingOrder="0" textRotation="90"/>
    </xf>
    <xf borderId="7" fillId="0" fontId="5" numFmtId="166" xfId="0" applyAlignment="1" applyBorder="1" applyFont="1" applyNumberFormat="1">
      <alignment readingOrder="0" textRotation="90"/>
    </xf>
    <xf borderId="7" fillId="0" fontId="9" numFmtId="166" xfId="0" applyAlignment="1" applyBorder="1" applyFont="1" applyNumberFormat="1">
      <alignment textRotation="90"/>
    </xf>
    <xf borderId="7" fillId="3" fontId="5" numFmtId="166" xfId="0" applyAlignment="1" applyBorder="1" applyFill="1" applyFont="1" applyNumberFormat="1">
      <alignment readingOrder="0" textRotation="90"/>
    </xf>
    <xf borderId="7" fillId="3" fontId="9" numFmtId="166" xfId="0" applyAlignment="1" applyBorder="1" applyFill="1" applyFont="1" applyNumberFormat="1">
      <alignment readingOrder="0" textRotation="90"/>
    </xf>
    <xf borderId="7" fillId="6" fontId="8" numFmtId="0" xfId="0" applyAlignment="1" applyBorder="1" applyFill="1" applyFont="1">
      <alignment shrinkToFit="0" textRotation="90" wrapText="1"/>
    </xf>
    <xf borderId="8" fillId="0" fontId="4" numFmtId="0" xfId="0" applyAlignment="1" applyBorder="1" applyFont="1">
      <alignment horizontal="right" readingOrder="0"/>
    </xf>
    <xf borderId="8" fillId="0" fontId="4" numFmtId="14" xfId="0" applyAlignment="1" applyBorder="1" applyFont="1" applyNumberFormat="1">
      <alignment readingOrder="0"/>
    </xf>
    <xf borderId="8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7" fontId="4" numFmtId="0" xfId="0" applyAlignment="1" applyBorder="1" applyFill="1" applyFont="1">
      <alignment readingOrder="0"/>
    </xf>
    <xf borderId="0" fillId="7" fontId="4" numFmtId="0" xfId="0" applyAlignment="1" applyFill="1" applyFont="1">
      <alignment readingOrder="0"/>
    </xf>
    <xf borderId="11" fillId="0" fontId="6" numFmtId="0" xfId="0" applyBorder="1" applyFont="1"/>
    <xf borderId="12" fillId="7" fontId="4" numFmtId="0" xfId="0" applyAlignment="1" applyBorder="1" applyFill="1" applyFont="1">
      <alignment readingOrder="0"/>
    </xf>
    <xf borderId="9" fillId="0" fontId="6" numFmtId="0" xfId="0" applyBorder="1" applyFont="1"/>
    <xf borderId="10" fillId="3" fontId="4" numFmtId="0" xfId="0" applyAlignment="1" applyBorder="1" applyFill="1" applyFont="1">
      <alignment readingOrder="0"/>
    </xf>
    <xf borderId="12" fillId="0" fontId="4" numFmtId="167" xfId="0" applyBorder="1" applyFont="1" applyNumberFormat="1"/>
    <xf borderId="8" fillId="0" fontId="4" numFmtId="0" xfId="0" applyAlignment="1" applyBorder="1" applyFont="1">
      <alignment readingOrder="0"/>
    </xf>
    <xf borderId="11" fillId="0" fontId="4" numFmtId="167" xfId="0" applyBorder="1" applyFont="1" applyNumberFormat="1"/>
    <xf borderId="13" fillId="0" fontId="4" numFmtId="0" xfId="0" applyAlignment="1" applyBorder="1" applyFont="1">
      <alignment horizontal="right" readingOrder="0"/>
    </xf>
    <xf borderId="13" fillId="0" fontId="4" numFmtId="14" xfId="0" applyBorder="1" applyFont="1" applyNumberFormat="1"/>
    <xf borderId="13" fillId="0" fontId="4" numFmtId="0" xfId="0" applyBorder="1" applyFont="1"/>
    <xf borderId="11" fillId="0" fontId="4" numFmtId="0" xfId="0" applyBorder="1" applyFont="1"/>
    <xf borderId="10" fillId="0" fontId="4" numFmtId="167" xfId="0" applyBorder="1" applyFont="1" applyNumberFormat="1"/>
    <xf borderId="1" fillId="8" fontId="7" numFmtId="0" xfId="0" applyAlignment="1" applyBorder="1" applyFill="1" applyFont="1">
      <alignment horizontal="center" readingOrder="0"/>
    </xf>
    <xf borderId="1" fillId="5" fontId="8" numFmtId="168" xfId="0" applyAlignment="1" applyBorder="1" applyFill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7" fillId="0" fontId="10" numFmtId="166" xfId="0" applyAlignment="1" applyBorder="1" applyFont="1" applyNumberFormat="1">
      <alignment readingOrder="0" shrinkToFit="0" textRotation="90" wrapText="1"/>
    </xf>
    <xf borderId="14" fillId="0" fontId="4" numFmtId="0" xfId="0" applyAlignment="1" applyBorder="1" applyFont="1">
      <alignment horizontal="right" readingOrder="0"/>
    </xf>
    <xf borderId="7" fillId="3" fontId="5" numFmtId="168" xfId="0" applyAlignment="1" applyBorder="1" applyFill="1" applyFont="1" applyNumberFormat="1">
      <alignment readingOrder="0" textRotation="90"/>
    </xf>
    <xf borderId="14" fillId="0" fontId="4" numFmtId="14" xfId="0" applyBorder="1" applyFont="1" applyNumberFormat="1"/>
    <xf borderId="7" fillId="3" fontId="9" numFmtId="168" xfId="0" applyAlignment="1" applyBorder="1" applyFill="1" applyFont="1" applyNumberFormat="1">
      <alignment readingOrder="0" textRotation="90"/>
    </xf>
    <xf borderId="14" fillId="0" fontId="4" numFmtId="0" xfId="0" applyBorder="1" applyFont="1"/>
    <xf borderId="15" fillId="0" fontId="4" numFmtId="0" xfId="0" applyBorder="1" applyFont="1"/>
    <xf borderId="16" fillId="7" fontId="4" numFmtId="0" xfId="0" applyAlignment="1" applyBorder="1" applyFill="1" applyFont="1">
      <alignment readingOrder="0"/>
    </xf>
    <xf borderId="17" fillId="0" fontId="6" numFmtId="0" xfId="0" applyBorder="1" applyFont="1"/>
    <xf borderId="17" fillId="7" fontId="4" numFmtId="0" xfId="0" applyAlignment="1" applyBorder="1" applyFill="1" applyFont="1">
      <alignment readingOrder="0"/>
    </xf>
    <xf borderId="15" fillId="0" fontId="6" numFmtId="0" xfId="0" applyBorder="1" applyFont="1"/>
    <xf borderId="0" fillId="6" fontId="7" numFmtId="164" xfId="0" applyAlignment="1" applyFill="1" applyFont="1" applyNumberFormat="1">
      <alignment readingOrder="0" shrinkToFit="0" textRotation="90" wrapText="1"/>
    </xf>
    <xf borderId="9" fillId="0" fontId="4" numFmtId="0" xfId="0" applyAlignment="1" applyBorder="1" applyFont="1">
      <alignment horizontal="center" readingOrder="0"/>
    </xf>
    <xf borderId="16" fillId="3" fontId="4" numFmtId="0" xfId="0" applyAlignment="1" applyBorder="1" applyFill="1" applyFont="1">
      <alignment readingOrder="0"/>
    </xf>
    <xf borderId="10" fillId="3" fontId="4" numFmtId="168" xfId="0" applyAlignment="1" applyBorder="1" applyFill="1" applyFont="1" applyNumberFormat="1">
      <alignment readingOrder="0"/>
    </xf>
    <xf borderId="16" fillId="0" fontId="4" numFmtId="167" xfId="0" applyBorder="1" applyFont="1" applyNumberFormat="1"/>
    <xf borderId="15" fillId="0" fontId="4" numFmtId="167" xfId="0" applyBorder="1" applyFont="1" applyNumberFormat="1"/>
    <xf borderId="8" fillId="0" fontId="4" numFmtId="14" xfId="0" applyBorder="1" applyFont="1" applyNumberFormat="1"/>
    <xf borderId="9" fillId="0" fontId="4" numFmtId="167" xfId="0" applyBorder="1" applyFont="1" applyNumberFormat="1"/>
    <xf borderId="1" fillId="5" fontId="8" numFmtId="0" xfId="0" applyAlignment="1" applyBorder="1" applyFill="1" applyFont="1">
      <alignment horizontal="center"/>
    </xf>
    <xf borderId="0" fillId="0" fontId="4" numFmtId="164" xfId="0" applyFont="1" applyNumberFormat="1"/>
    <xf borderId="11" fillId="0" fontId="4" numFmtId="0" xfId="0" applyAlignment="1" applyBorder="1" applyFont="1">
      <alignment horizontal="center"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9" fillId="0" fontId="4" numFmtId="0" xfId="0" applyAlignment="1" applyBorder="1" applyFont="1">
      <alignment readingOrder="0"/>
    </xf>
    <xf borderId="15" fillId="0" fontId="4" numFmtId="0" xfId="0" applyAlignment="1" applyBorder="1" applyFont="1">
      <alignment horizontal="center" readingOrder="0"/>
    </xf>
    <xf borderId="16" fillId="3" fontId="4" numFmtId="168" xfId="0" applyAlignment="1" applyBorder="1" applyFill="1" applyFont="1" applyNumberFormat="1">
      <alignment readingOrder="0"/>
    </xf>
    <xf borderId="10" fillId="9" fontId="4" numFmtId="0" xfId="0" applyAlignment="1" applyBorder="1" applyFill="1" applyFont="1">
      <alignment readingOrder="0"/>
    </xf>
    <xf borderId="0" fillId="9" fontId="4" numFmtId="0" xfId="0" applyAlignment="1" applyFill="1" applyFont="1">
      <alignment readingOrder="0"/>
    </xf>
    <xf borderId="16" fillId="9" fontId="4" numFmtId="0" xfId="0" applyAlignment="1" applyBorder="1" applyFill="1" applyFont="1">
      <alignment readingOrder="0"/>
    </xf>
    <xf borderId="17" fillId="9" fontId="4" numFmtId="0" xfId="0" applyAlignment="1" applyBorder="1" applyFill="1" applyFont="1">
      <alignment readingOrder="0"/>
    </xf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0" fillId="7" fontId="4" numFmtId="0" xfId="0" applyFill="1" applyFont="1"/>
    <xf borderId="11" fillId="0" fontId="4" numFmtId="0" xfId="0" applyAlignment="1" applyBorder="1" applyFont="1">
      <alignment readingOrder="0"/>
    </xf>
    <xf borderId="9" fillId="0" fontId="11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0" fillId="9" fontId="12" numFmtId="0" xfId="0" applyAlignment="1" applyBorder="1" applyFill="1" applyFont="1">
      <alignment readingOrder="0"/>
    </xf>
    <xf borderId="0" fillId="9" fontId="12" numFmtId="0" xfId="0" applyAlignment="1" applyFill="1" applyFont="1">
      <alignment readingOrder="0"/>
    </xf>
    <xf borderId="0" fillId="9" fontId="3" numFmtId="0" xfId="0" applyFill="1" applyFont="1"/>
    <xf borderId="0" fillId="9" fontId="3" numFmtId="0" xfId="0" applyAlignment="1" applyFill="1" applyFont="1">
      <alignment readingOrder="0"/>
    </xf>
    <xf borderId="10" fillId="0" fontId="4" numFmtId="167" xfId="0" applyAlignment="1" applyBorder="1" applyFont="1" applyNumberFormat="1">
      <alignment readingOrder="0"/>
    </xf>
    <xf borderId="0" fillId="9" fontId="4" numFmtId="10" xfId="0" applyAlignment="1" applyFill="1" applyFont="1" applyNumberFormat="1">
      <alignment readingOrder="0"/>
    </xf>
    <xf borderId="10" fillId="9" fontId="4" numFmtId="0" xfId="0" applyAlignment="1" applyBorder="1" applyFill="1" applyFont="1">
      <alignment horizontal="center" readingOrder="0"/>
    </xf>
    <xf borderId="10" fillId="7" fontId="4" numFmtId="0" xfId="0" applyAlignment="1" applyBorder="1" applyFill="1" applyFont="1">
      <alignment horizontal="center" readingOrder="0"/>
    </xf>
    <xf borderId="9" fillId="10" fontId="4" numFmtId="0" xfId="0" applyBorder="1" applyFill="1" applyFont="1"/>
    <xf borderId="11" fillId="10" fontId="4" numFmtId="0" xfId="0" applyBorder="1" applyFill="1" applyFont="1"/>
    <xf borderId="15" fillId="10" fontId="4" numFmtId="0" xfId="0" applyBorder="1" applyFill="1" applyFont="1"/>
    <xf borderId="10" fillId="3" fontId="4" numFmtId="168" xfId="0" applyAlignment="1" applyBorder="1" applyFill="1" applyFont="1" applyNumberFormat="1">
      <alignment readingOrder="0"/>
    </xf>
    <xf borderId="10" fillId="3" fontId="4" numFmtId="3" xfId="0" applyAlignment="1" applyBorder="1" applyFill="1" applyFont="1" applyNumberFormat="1">
      <alignment readingOrder="0"/>
    </xf>
    <xf borderId="10" fillId="3" fontId="4" numFmtId="4" xfId="0" applyAlignment="1" applyBorder="1" applyFill="1" applyFont="1" applyNumberFormat="1">
      <alignment readingOrder="0"/>
    </xf>
    <xf borderId="0" fillId="11" fontId="4" numFmtId="0" xfId="0" applyAlignment="1" applyFill="1" applyFont="1">
      <alignment readingOrder="0"/>
    </xf>
    <xf borderId="10" fillId="7" fontId="4" numFmtId="0" xfId="0" applyBorder="1" applyFill="1" applyFont="1"/>
    <xf borderId="16" fillId="7" fontId="4" numFmtId="0" xfId="0" applyBorder="1" applyFill="1" applyFont="1"/>
    <xf borderId="17" fillId="7" fontId="4" numFmtId="0" xfId="0" applyBorder="1" applyFill="1" applyFont="1"/>
    <xf borderId="12" fillId="0" fontId="4" numFmtId="14" xfId="0" applyBorder="1" applyFont="1" applyNumberFormat="1"/>
    <xf borderId="10" fillId="0" fontId="4" numFmtId="0" xfId="0" applyBorder="1" applyFont="1"/>
    <xf borderId="0" fillId="0" fontId="4" numFmtId="0" xfId="0" applyFont="1"/>
    <xf borderId="10" fillId="9" fontId="4" numFmtId="168" xfId="0" applyAlignment="1" applyBorder="1" applyFill="1" applyFont="1" applyNumberFormat="1">
      <alignment readingOrder="0"/>
    </xf>
    <xf borderId="10" fillId="0" fontId="4" numFmtId="14" xfId="0" applyBorder="1" applyFont="1" applyNumberFormat="1"/>
    <xf borderId="16" fillId="0" fontId="4" numFmtId="14" xfId="0" applyBorder="1" applyFont="1" applyNumberFormat="1"/>
    <xf borderId="16" fillId="0" fontId="4" numFmtId="0" xfId="0" applyBorder="1" applyFont="1"/>
    <xf borderId="17" fillId="0" fontId="4" numFmtId="0" xfId="0" applyBorder="1" applyFont="1"/>
    <xf borderId="16" fillId="9" fontId="4" numFmtId="168" xfId="0" applyAlignment="1" applyBorder="1" applyFill="1" applyFont="1" applyNumberFormat="1">
      <alignment readingOrder="0"/>
    </xf>
    <xf borderId="10" fillId="9" fontId="4" numFmtId="0" xfId="0" applyBorder="1" applyFill="1" applyFont="1"/>
    <xf borderId="0" fillId="9" fontId="4" numFmtId="0" xfId="0" applyFill="1" applyFont="1"/>
    <xf borderId="16" fillId="9" fontId="4" numFmtId="0" xfId="0" applyBorder="1" applyFill="1" applyFont="1"/>
    <xf borderId="17" fillId="9" fontId="4" numFmtId="0" xfId="0" applyBorder="1" applyFill="1" applyFont="1"/>
    <xf borderId="11" fillId="7" fontId="4" numFmtId="0" xfId="0" applyAlignment="1" applyBorder="1" applyFill="1" applyFont="1">
      <alignment horizontal="center" readingOrder="0"/>
    </xf>
    <xf borderId="0" fillId="0" fontId="9" numFmtId="14" xfId="0" applyAlignment="1" applyFont="1" applyNumberFormat="1">
      <alignment horizontal="right"/>
    </xf>
    <xf borderId="0" fillId="0" fontId="9" numFmtId="14" xfId="0" applyFont="1" applyNumberFormat="1"/>
    <xf borderId="0" fillId="0" fontId="2" numFmtId="0" xfId="0" applyFont="1"/>
    <xf borderId="0" fillId="7" fontId="2" numFmtId="0" xfId="0" applyFill="1" applyFont="1"/>
    <xf borderId="0" fillId="0" fontId="13" numFmtId="0" xfId="0" applyAlignment="1" applyFont="1">
      <alignment readingOrder="0"/>
    </xf>
    <xf borderId="0" fillId="0" fontId="13" numFmtId="10" xfId="0" applyAlignment="1" applyFont="1" applyNumberFormat="1">
      <alignment readingOrder="0"/>
    </xf>
    <xf borderId="0" fillId="0" fontId="11" numFmtId="0" xfId="0" applyFont="1"/>
    <xf borderId="0" fillId="0" fontId="11" numFmtId="167" xfId="0" applyFont="1" applyNumberFormat="1"/>
    <xf borderId="0" fillId="0" fontId="11" numFmtId="0" xfId="0" applyAlignment="1" applyFont="1">
      <alignment readingOrder="0"/>
    </xf>
    <xf borderId="0" fillId="0" fontId="11" numFmtId="3" xfId="0" applyFont="1" applyNumberFormat="1"/>
    <xf borderId="0" fillId="0" fontId="11" numFmtId="168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168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/>
    </xf>
    <xf borderId="0" fillId="7" fontId="11" numFmtId="0" xfId="0" applyFill="1" applyFont="1"/>
    <xf borderId="0" fillId="0" fontId="11" numFmtId="168" xfId="0" applyFont="1" applyNumberFormat="1"/>
    <xf borderId="0" fillId="7" fontId="2" numFmtId="168" xfId="0" applyFill="1" applyFont="1" applyNumberFormat="1"/>
    <xf borderId="0" fillId="0" fontId="2" numFmtId="164" xfId="0" applyFont="1" applyNumberFormat="1"/>
    <xf borderId="0" fillId="0" fontId="3" numFmtId="49" xfId="0" applyFont="1" applyNumberFormat="1"/>
    <xf borderId="0" fillId="0" fontId="1" numFmtId="168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seph Lessard" id="{44d915a1-d301-483a-b646-b05385a5eef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93" dT="2025-07-17T15:33:35.00" personId="{44d915a1-d301-483a-b646-b05385a5eef8}" id="{6e7be0d2-2bd5-4130-9aa2-7892858c9266}" done="0">
    <x18tc:text xml:space="preserve">Discount for day when we ran out of food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49" width="3.67"/>
    <col customWidth="1" min="50" max="50" width="10.78"/>
    <col customWidth="1" min="51" max="51" width="9.0"/>
    <col customWidth="1" min="52" max="52" width="8.0"/>
    <col customWidth="1" min="53" max="53" width="11.44"/>
    <col customWidth="1" min="54" max="54" width="8.0"/>
  </cols>
  <sheetData>
    <row r="1" ht="15.75" customHeight="1">
      <c r="A1" s="18">
        <v>0.0</v>
      </c>
      <c r="B1" s="19"/>
      <c r="C1" s="19"/>
      <c r="D1" s="19"/>
      <c r="E1" s="20"/>
      <c r="F1" s="21" t="s">
        <v>15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2" t="s">
        <v>16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20"/>
      <c r="AD1" s="21" t="s">
        <v>17</v>
      </c>
      <c r="AE1" s="19"/>
      <c r="AF1" s="19"/>
      <c r="AG1" s="19"/>
      <c r="AH1" s="19"/>
      <c r="AI1" s="20"/>
      <c r="AJ1" s="22" t="s">
        <v>18</v>
      </c>
      <c r="AK1" s="20"/>
      <c r="AL1" s="23" t="s">
        <v>19</v>
      </c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24" t="s">
        <v>20</v>
      </c>
      <c r="AY1" s="25"/>
      <c r="AZ1" s="25"/>
      <c r="BA1" s="25"/>
      <c r="BB1" s="26"/>
    </row>
    <row r="2" ht="135.0" customHeight="1">
      <c r="A2" s="27" t="s">
        <v>21</v>
      </c>
      <c r="B2" s="28" t="s">
        <v>2</v>
      </c>
      <c r="C2" s="28" t="s">
        <v>22</v>
      </c>
      <c r="D2" s="28" t="s">
        <v>23</v>
      </c>
      <c r="E2" s="28" t="s">
        <v>24</v>
      </c>
      <c r="F2" s="29" t="s">
        <v>25</v>
      </c>
      <c r="G2" s="30">
        <v>22.25</v>
      </c>
      <c r="H2" s="29" t="s">
        <v>26</v>
      </c>
      <c r="I2" s="30">
        <v>22.25</v>
      </c>
      <c r="J2" s="29" t="s">
        <v>27</v>
      </c>
      <c r="K2" s="30">
        <v>22.25</v>
      </c>
      <c r="L2" s="31" t="s">
        <v>28</v>
      </c>
      <c r="M2" s="30">
        <v>22.25</v>
      </c>
      <c r="N2" s="31" t="s">
        <v>29</v>
      </c>
      <c r="O2" s="30">
        <v>22.25</v>
      </c>
      <c r="P2" s="31" t="s">
        <v>30</v>
      </c>
      <c r="Q2" s="30">
        <v>1.64</v>
      </c>
      <c r="R2" s="29" t="s">
        <v>25</v>
      </c>
      <c r="S2" s="30">
        <v>11.12</v>
      </c>
      <c r="T2" s="29" t="s">
        <v>26</v>
      </c>
      <c r="U2" s="30">
        <v>11.12</v>
      </c>
      <c r="V2" s="29" t="s">
        <v>27</v>
      </c>
      <c r="W2" s="30">
        <v>11.12</v>
      </c>
      <c r="X2" s="32" t="s">
        <v>31</v>
      </c>
      <c r="Y2" s="32">
        <v>0.0</v>
      </c>
      <c r="Z2" s="32" t="s">
        <v>31</v>
      </c>
      <c r="AA2" s="32">
        <v>0.0</v>
      </c>
      <c r="AB2" s="32" t="s">
        <v>31</v>
      </c>
      <c r="AC2" s="32">
        <v>0.0</v>
      </c>
      <c r="AD2" s="29" t="s">
        <v>25</v>
      </c>
      <c r="AE2" s="30">
        <v>15.89</v>
      </c>
      <c r="AF2" s="31" t="s">
        <v>32</v>
      </c>
      <c r="AG2" s="30">
        <v>15.89</v>
      </c>
      <c r="AH2" s="31" t="s">
        <v>33</v>
      </c>
      <c r="AI2" s="30">
        <v>15.89</v>
      </c>
      <c r="AJ2" s="31" t="s">
        <v>34</v>
      </c>
      <c r="AK2" s="30">
        <v>15.89</v>
      </c>
      <c r="AL2" s="33" t="s">
        <v>35</v>
      </c>
      <c r="AM2" s="34">
        <v>27404.0</v>
      </c>
      <c r="AN2" s="31" t="s">
        <v>36</v>
      </c>
      <c r="AO2" s="30">
        <v>15.0</v>
      </c>
      <c r="AP2" s="31" t="s">
        <v>37</v>
      </c>
      <c r="AQ2" s="30">
        <v>1.64</v>
      </c>
      <c r="AR2" s="31" t="s">
        <v>38</v>
      </c>
      <c r="AS2" s="30">
        <v>1.64</v>
      </c>
      <c r="AT2" s="31" t="s">
        <v>39</v>
      </c>
      <c r="AU2" s="30">
        <v>34.0</v>
      </c>
      <c r="AV2" s="31" t="s">
        <v>40</v>
      </c>
      <c r="AW2" s="30">
        <v>11.12</v>
      </c>
      <c r="AX2" s="35" t="s">
        <v>41</v>
      </c>
      <c r="AY2" s="35" t="s">
        <v>42</v>
      </c>
      <c r="AZ2" s="35" t="s">
        <v>43</v>
      </c>
      <c r="BA2" s="35" t="s">
        <v>44</v>
      </c>
      <c r="BB2" s="35" t="s">
        <v>45</v>
      </c>
    </row>
    <row r="3" ht="15.75" customHeight="1">
      <c r="A3" s="36" t="s">
        <v>46</v>
      </c>
      <c r="B3" s="37">
        <v>45656.0</v>
      </c>
      <c r="C3" s="38">
        <v>1.0</v>
      </c>
      <c r="D3" s="39" t="s">
        <v>47</v>
      </c>
      <c r="E3" s="40"/>
      <c r="F3" s="41">
        <v>0.0</v>
      </c>
      <c r="H3" s="42">
        <v>0.0</v>
      </c>
      <c r="J3" s="42">
        <v>0.0</v>
      </c>
      <c r="L3" s="42">
        <v>0.0</v>
      </c>
      <c r="N3" s="42">
        <v>0.0</v>
      </c>
      <c r="P3" s="42">
        <v>0.0</v>
      </c>
      <c r="Q3" s="43"/>
      <c r="R3" s="41">
        <v>0.0</v>
      </c>
      <c r="T3" s="42">
        <v>0.0</v>
      </c>
      <c r="V3" s="42">
        <v>0.0</v>
      </c>
      <c r="X3" s="42">
        <v>0.0</v>
      </c>
      <c r="Z3" s="42">
        <v>0.0</v>
      </c>
      <c r="AB3" s="42">
        <v>0.0</v>
      </c>
      <c r="AC3" s="43"/>
      <c r="AD3" s="42">
        <v>0.0</v>
      </c>
      <c r="AF3" s="42">
        <v>0.0</v>
      </c>
      <c r="AH3" s="42">
        <v>0.0</v>
      </c>
      <c r="AJ3" s="44"/>
      <c r="AK3" s="45"/>
      <c r="AL3" s="46">
        <v>0.0</v>
      </c>
      <c r="AM3" s="43"/>
      <c r="AN3" s="41"/>
      <c r="AO3" s="43"/>
      <c r="AP3" s="41"/>
      <c r="AQ3" s="43"/>
      <c r="AR3" s="41"/>
      <c r="AS3" s="43"/>
      <c r="AT3" s="42"/>
      <c r="AV3" s="42"/>
      <c r="AW3" s="43"/>
      <c r="AX3" s="47">
        <f t="shared" ref="AX3:AX359" si="1">(F3*G$2)+(H3*I$2)+(J3*K$2)+(L3*M$2)+(N3*O$2)+(P3*Q$2)+(R3*S$2)+(T3*U$2)+(V3*W$2)+(X3*Y$2)+(Z3*AA$2)+(AB3*AC$2)+(AN3*AO$2)+(AP3*AQ$2)+(AR3*AS$2)+(AT3*AU$2)+(AV3*AW$2)+(AD3*AE$2)+(AF3*AG$2)+(AH3*AI$2)+(AJ3*$AK$2)</f>
        <v>0</v>
      </c>
      <c r="AY3" s="38">
        <f t="shared" ref="AY3:AY359" si="2">sum(F3:AK3) + sum(AN3:AW3)</f>
        <v>0</v>
      </c>
      <c r="AZ3" s="48">
        <v>0.0</v>
      </c>
      <c r="BA3" s="38">
        <f t="shared" ref="BA3:BA359" si="3">sum(AY3:AZ3)</f>
        <v>0</v>
      </c>
      <c r="BB3" s="49" t="str">
        <f t="shared" ref="BB3:BB359" si="4">iferror(AX3/BA3,"")</f>
        <v/>
      </c>
    </row>
    <row r="4" ht="15.75" customHeight="1">
      <c r="A4" s="50" t="s">
        <v>48</v>
      </c>
      <c r="B4" s="51">
        <f t="shared" ref="B4:B359" si="5">B3+1</f>
        <v>45657</v>
      </c>
      <c r="C4" s="52">
        <v>1.0</v>
      </c>
      <c r="D4" s="52" t="s">
        <v>47</v>
      </c>
      <c r="E4" s="53"/>
      <c r="F4" s="41">
        <v>0.0</v>
      </c>
      <c r="H4" s="42">
        <v>0.0</v>
      </c>
      <c r="J4" s="42">
        <v>0.0</v>
      </c>
      <c r="L4" s="42">
        <v>0.0</v>
      </c>
      <c r="N4" s="42">
        <v>0.0</v>
      </c>
      <c r="P4" s="42">
        <v>0.0</v>
      </c>
      <c r="Q4" s="43"/>
      <c r="R4" s="41">
        <v>0.0</v>
      </c>
      <c r="T4" s="42">
        <v>0.0</v>
      </c>
      <c r="V4" s="42">
        <v>0.0</v>
      </c>
      <c r="X4" s="42">
        <v>0.0</v>
      </c>
      <c r="Z4" s="42">
        <v>0.0</v>
      </c>
      <c r="AB4" s="42">
        <v>0.0</v>
      </c>
      <c r="AC4" s="43"/>
      <c r="AD4" s="42">
        <v>0.0</v>
      </c>
      <c r="AF4" s="42">
        <v>0.0</v>
      </c>
      <c r="AH4" s="42">
        <v>0.0</v>
      </c>
      <c r="AJ4" s="41"/>
      <c r="AK4" s="43"/>
      <c r="AL4" s="46">
        <v>0.0</v>
      </c>
      <c r="AM4" s="43"/>
      <c r="AN4" s="41"/>
      <c r="AO4" s="43"/>
      <c r="AP4" s="41"/>
      <c r="AQ4" s="43"/>
      <c r="AR4" s="41"/>
      <c r="AS4" s="43"/>
      <c r="AT4" s="42"/>
      <c r="AV4" s="42"/>
      <c r="AW4" s="43"/>
      <c r="AX4" s="54">
        <f t="shared" si="1"/>
        <v>0</v>
      </c>
      <c r="AY4" s="52">
        <f t="shared" si="2"/>
        <v>0</v>
      </c>
      <c r="AZ4" s="52">
        <v>0.0</v>
      </c>
      <c r="BA4" s="52">
        <f t="shared" si="3"/>
        <v>0</v>
      </c>
      <c r="BB4" s="49" t="str">
        <f t="shared" si="4"/>
        <v/>
      </c>
    </row>
    <row r="5" ht="15.75" customHeight="1">
      <c r="A5" s="50" t="s">
        <v>49</v>
      </c>
      <c r="B5" s="51">
        <f t="shared" si="5"/>
        <v>45658</v>
      </c>
      <c r="C5" s="52">
        <v>1.0</v>
      </c>
      <c r="D5" s="52" t="s">
        <v>47</v>
      </c>
      <c r="E5" s="53"/>
      <c r="F5" s="41">
        <v>0.0</v>
      </c>
      <c r="H5" s="42">
        <v>0.0</v>
      </c>
      <c r="J5" s="42">
        <v>0.0</v>
      </c>
      <c r="L5" s="42">
        <v>0.0</v>
      </c>
      <c r="N5" s="42">
        <v>0.0</v>
      </c>
      <c r="P5" s="42">
        <v>0.0</v>
      </c>
      <c r="Q5" s="43"/>
      <c r="R5" s="41">
        <v>0.0</v>
      </c>
      <c r="T5" s="42">
        <v>0.0</v>
      </c>
      <c r="V5" s="42">
        <v>0.0</v>
      </c>
      <c r="X5" s="42">
        <v>0.0</v>
      </c>
      <c r="Z5" s="42">
        <v>0.0</v>
      </c>
      <c r="AB5" s="42">
        <v>0.0</v>
      </c>
      <c r="AC5" s="43"/>
      <c r="AD5" s="42">
        <v>0.0</v>
      </c>
      <c r="AF5" s="42">
        <v>0.0</v>
      </c>
      <c r="AH5" s="42">
        <v>0.0</v>
      </c>
      <c r="AJ5" s="41"/>
      <c r="AK5" s="43"/>
      <c r="AL5" s="46">
        <v>0.0</v>
      </c>
      <c r="AM5" s="43"/>
      <c r="AN5" s="41"/>
      <c r="AO5" s="43"/>
      <c r="AP5" s="41"/>
      <c r="AQ5" s="43"/>
      <c r="AR5" s="41"/>
      <c r="AS5" s="43"/>
      <c r="AT5" s="42"/>
      <c r="AV5" s="42"/>
      <c r="AW5" s="43"/>
      <c r="AX5" s="54">
        <f t="shared" si="1"/>
        <v>0</v>
      </c>
      <c r="AY5" s="52">
        <f t="shared" si="2"/>
        <v>0</v>
      </c>
      <c r="AZ5" s="52">
        <v>0.0</v>
      </c>
      <c r="BA5" s="52">
        <f t="shared" si="3"/>
        <v>0</v>
      </c>
      <c r="BB5" s="49" t="str">
        <f t="shared" si="4"/>
        <v/>
      </c>
    </row>
    <row r="6" ht="15.75" customHeight="1">
      <c r="A6" s="50" t="s">
        <v>50</v>
      </c>
      <c r="B6" s="51">
        <f t="shared" si="5"/>
        <v>45659</v>
      </c>
      <c r="C6" s="52">
        <v>1.0</v>
      </c>
      <c r="D6" s="52" t="s">
        <v>47</v>
      </c>
      <c r="E6" s="53"/>
      <c r="F6" s="41">
        <v>0.0</v>
      </c>
      <c r="H6" s="42">
        <v>0.0</v>
      </c>
      <c r="J6" s="42">
        <v>0.0</v>
      </c>
      <c r="L6" s="42">
        <v>0.0</v>
      </c>
      <c r="N6" s="42">
        <v>0.0</v>
      </c>
      <c r="P6" s="42">
        <v>0.0</v>
      </c>
      <c r="Q6" s="43"/>
      <c r="R6" s="41">
        <v>0.0</v>
      </c>
      <c r="T6" s="42">
        <v>0.0</v>
      </c>
      <c r="V6" s="42">
        <v>0.0</v>
      </c>
      <c r="X6" s="42">
        <v>0.0</v>
      </c>
      <c r="Z6" s="42">
        <v>0.0</v>
      </c>
      <c r="AB6" s="42">
        <v>0.0</v>
      </c>
      <c r="AC6" s="43"/>
      <c r="AD6" s="42">
        <v>0.0</v>
      </c>
      <c r="AF6" s="42">
        <v>0.0</v>
      </c>
      <c r="AH6" s="42">
        <v>0.0</v>
      </c>
      <c r="AJ6" s="41"/>
      <c r="AK6" s="43"/>
      <c r="AL6" s="46">
        <v>0.0</v>
      </c>
      <c r="AM6" s="43"/>
      <c r="AN6" s="41"/>
      <c r="AO6" s="43"/>
      <c r="AP6" s="41"/>
      <c r="AQ6" s="43"/>
      <c r="AR6" s="41"/>
      <c r="AS6" s="43"/>
      <c r="AT6" s="42"/>
      <c r="AV6" s="42"/>
      <c r="AW6" s="43"/>
      <c r="AX6" s="54">
        <f t="shared" si="1"/>
        <v>0</v>
      </c>
      <c r="AY6" s="52">
        <f t="shared" si="2"/>
        <v>0</v>
      </c>
      <c r="AZ6" s="52">
        <v>0.0</v>
      </c>
      <c r="BA6" s="52">
        <f t="shared" si="3"/>
        <v>0</v>
      </c>
      <c r="BB6" s="49" t="str">
        <f t="shared" si="4"/>
        <v/>
      </c>
    </row>
    <row r="7" ht="15.75" customHeight="1">
      <c r="A7" s="50" t="s">
        <v>53</v>
      </c>
      <c r="B7" s="51">
        <f t="shared" si="5"/>
        <v>45660</v>
      </c>
      <c r="C7" s="52">
        <v>1.0</v>
      </c>
      <c r="D7" s="52" t="s">
        <v>47</v>
      </c>
      <c r="E7" s="53"/>
      <c r="F7" s="41">
        <v>0.0</v>
      </c>
      <c r="H7" s="42">
        <v>0.0</v>
      </c>
      <c r="J7" s="42">
        <v>0.0</v>
      </c>
      <c r="L7" s="42">
        <v>0.0</v>
      </c>
      <c r="N7" s="42">
        <v>0.0</v>
      </c>
      <c r="P7" s="42">
        <v>0.0</v>
      </c>
      <c r="Q7" s="43"/>
      <c r="R7" s="41">
        <v>0.0</v>
      </c>
      <c r="T7" s="42">
        <v>0.0</v>
      </c>
      <c r="V7" s="42">
        <v>0.0</v>
      </c>
      <c r="X7" s="42">
        <v>0.0</v>
      </c>
      <c r="Z7" s="42">
        <v>0.0</v>
      </c>
      <c r="AB7" s="42">
        <v>0.0</v>
      </c>
      <c r="AC7" s="43"/>
      <c r="AD7" s="42">
        <v>0.0</v>
      </c>
      <c r="AF7" s="42">
        <v>0.0</v>
      </c>
      <c r="AH7" s="42">
        <v>0.0</v>
      </c>
      <c r="AJ7" s="41"/>
      <c r="AK7" s="43"/>
      <c r="AL7" s="46">
        <v>0.0</v>
      </c>
      <c r="AM7" s="43"/>
      <c r="AN7" s="41"/>
      <c r="AO7" s="43"/>
      <c r="AP7" s="41"/>
      <c r="AQ7" s="43"/>
      <c r="AR7" s="41"/>
      <c r="AS7" s="43"/>
      <c r="AT7" s="42"/>
      <c r="AV7" s="42"/>
      <c r="AW7" s="43"/>
      <c r="AX7" s="54">
        <f t="shared" si="1"/>
        <v>0</v>
      </c>
      <c r="AY7" s="52">
        <f t="shared" si="2"/>
        <v>0</v>
      </c>
      <c r="AZ7" s="52">
        <v>0.0</v>
      </c>
      <c r="BA7" s="52">
        <f t="shared" si="3"/>
        <v>0</v>
      </c>
      <c r="BB7" s="49" t="str">
        <f t="shared" si="4"/>
        <v/>
      </c>
    </row>
    <row r="8" ht="15.75" customHeight="1">
      <c r="A8" s="50" t="s">
        <v>54</v>
      </c>
      <c r="B8" s="51">
        <f t="shared" si="5"/>
        <v>45661</v>
      </c>
      <c r="C8" s="52">
        <v>1.0</v>
      </c>
      <c r="D8" s="52" t="s">
        <v>47</v>
      </c>
      <c r="E8" s="53"/>
      <c r="F8" s="41">
        <v>0.0</v>
      </c>
      <c r="H8" s="42">
        <v>0.0</v>
      </c>
      <c r="J8" s="42">
        <v>0.0</v>
      </c>
      <c r="L8" s="42">
        <v>0.0</v>
      </c>
      <c r="N8" s="42">
        <v>0.0</v>
      </c>
      <c r="P8" s="42">
        <v>0.0</v>
      </c>
      <c r="Q8" s="43"/>
      <c r="R8" s="41">
        <v>0.0</v>
      </c>
      <c r="T8" s="42">
        <v>0.0</v>
      </c>
      <c r="V8" s="42">
        <v>0.0</v>
      </c>
      <c r="X8" s="42">
        <v>0.0</v>
      </c>
      <c r="Z8" s="42">
        <v>0.0</v>
      </c>
      <c r="AB8" s="42">
        <v>0.0</v>
      </c>
      <c r="AC8" s="43"/>
      <c r="AD8" s="42">
        <v>0.0</v>
      </c>
      <c r="AF8" s="42">
        <v>0.0</v>
      </c>
      <c r="AH8" s="42">
        <v>0.0</v>
      </c>
      <c r="AJ8" s="41"/>
      <c r="AK8" s="43"/>
      <c r="AL8" s="46">
        <v>0.0</v>
      </c>
      <c r="AM8" s="43"/>
      <c r="AN8" s="41"/>
      <c r="AO8" s="43"/>
      <c r="AP8" s="41"/>
      <c r="AQ8" s="43"/>
      <c r="AR8" s="41"/>
      <c r="AS8" s="43"/>
      <c r="AT8" s="42"/>
      <c r="AV8" s="42"/>
      <c r="AW8" s="43"/>
      <c r="AX8" s="54">
        <f t="shared" si="1"/>
        <v>0</v>
      </c>
      <c r="AY8" s="52">
        <f t="shared" si="2"/>
        <v>0</v>
      </c>
      <c r="AZ8" s="52">
        <v>0.0</v>
      </c>
      <c r="BA8" s="52">
        <f t="shared" si="3"/>
        <v>0</v>
      </c>
      <c r="BB8" s="49" t="str">
        <f t="shared" si="4"/>
        <v/>
      </c>
    </row>
    <row r="9" ht="15.75" customHeight="1">
      <c r="A9" s="59" t="s">
        <v>61</v>
      </c>
      <c r="B9" s="61">
        <f t="shared" si="5"/>
        <v>45662</v>
      </c>
      <c r="C9" s="63">
        <v>1.0</v>
      </c>
      <c r="D9" s="63" t="s">
        <v>47</v>
      </c>
      <c r="E9" s="64"/>
      <c r="F9" s="65">
        <v>0.0</v>
      </c>
      <c r="G9" s="66"/>
      <c r="H9" s="67">
        <v>0.0</v>
      </c>
      <c r="I9" s="66"/>
      <c r="J9" s="67">
        <v>0.0</v>
      </c>
      <c r="K9" s="66"/>
      <c r="L9" s="67">
        <v>0.0</v>
      </c>
      <c r="M9" s="66"/>
      <c r="N9" s="67">
        <v>0.0</v>
      </c>
      <c r="O9" s="66"/>
      <c r="P9" s="67">
        <v>0.0</v>
      </c>
      <c r="Q9" s="68"/>
      <c r="R9" s="65">
        <v>0.0</v>
      </c>
      <c r="S9" s="66"/>
      <c r="T9" s="67">
        <v>0.0</v>
      </c>
      <c r="U9" s="66"/>
      <c r="V9" s="67">
        <v>0.0</v>
      </c>
      <c r="W9" s="66"/>
      <c r="X9" s="67">
        <v>0.0</v>
      </c>
      <c r="Y9" s="66"/>
      <c r="Z9" s="67">
        <v>0.0</v>
      </c>
      <c r="AA9" s="66"/>
      <c r="AB9" s="67">
        <v>0.0</v>
      </c>
      <c r="AC9" s="68"/>
      <c r="AD9" s="67">
        <v>0.0</v>
      </c>
      <c r="AE9" s="66"/>
      <c r="AF9" s="67">
        <v>0.0</v>
      </c>
      <c r="AG9" s="66"/>
      <c r="AH9" s="67">
        <v>0.0</v>
      </c>
      <c r="AI9" s="66"/>
      <c r="AJ9" s="65"/>
      <c r="AK9" s="68"/>
      <c r="AL9" s="71">
        <v>0.0</v>
      </c>
      <c r="AM9" s="68"/>
      <c r="AN9" s="65"/>
      <c r="AO9" s="68"/>
      <c r="AP9" s="65"/>
      <c r="AQ9" s="68"/>
      <c r="AR9" s="65"/>
      <c r="AS9" s="68"/>
      <c r="AT9" s="67"/>
      <c r="AU9" s="66"/>
      <c r="AV9" s="67"/>
      <c r="AW9" s="68"/>
      <c r="AX9" s="73">
        <f t="shared" si="1"/>
        <v>0</v>
      </c>
      <c r="AY9" s="63">
        <f t="shared" si="2"/>
        <v>0</v>
      </c>
      <c r="AZ9" s="63">
        <v>0.0</v>
      </c>
      <c r="BA9" s="63">
        <f t="shared" si="3"/>
        <v>0</v>
      </c>
      <c r="BB9" s="74" t="str">
        <f t="shared" si="4"/>
        <v/>
      </c>
    </row>
    <row r="10" ht="15.75" customHeight="1">
      <c r="A10" s="36" t="s">
        <v>46</v>
      </c>
      <c r="B10" s="75">
        <f t="shared" si="5"/>
        <v>45663</v>
      </c>
      <c r="C10" s="38">
        <v>1.0</v>
      </c>
      <c r="D10" s="38" t="s">
        <v>65</v>
      </c>
      <c r="E10" s="40"/>
      <c r="F10" s="41">
        <v>0.0</v>
      </c>
      <c r="H10" s="42">
        <v>0.0</v>
      </c>
      <c r="J10" s="42">
        <v>0.0</v>
      </c>
      <c r="L10" s="42">
        <v>0.0</v>
      </c>
      <c r="N10" s="42">
        <v>0.0</v>
      </c>
      <c r="P10" s="42">
        <v>0.0</v>
      </c>
      <c r="Q10" s="43"/>
      <c r="R10" s="41">
        <v>50.0</v>
      </c>
      <c r="T10" s="42">
        <v>50.0</v>
      </c>
      <c r="V10" s="42">
        <v>0.0</v>
      </c>
      <c r="X10" s="42">
        <v>0.0</v>
      </c>
      <c r="Z10" s="42">
        <v>0.0</v>
      </c>
      <c r="AB10" s="42">
        <v>0.0</v>
      </c>
      <c r="AC10" s="43"/>
      <c r="AD10" s="42">
        <v>0.0</v>
      </c>
      <c r="AF10" s="42">
        <v>0.0</v>
      </c>
      <c r="AH10" s="42">
        <v>0.0</v>
      </c>
      <c r="AJ10" s="41"/>
      <c r="AK10" s="43"/>
      <c r="AL10" s="46">
        <v>0.0</v>
      </c>
      <c r="AM10" s="43"/>
      <c r="AN10" s="41"/>
      <c r="AO10" s="43"/>
      <c r="AP10" s="41"/>
      <c r="AQ10" s="43"/>
      <c r="AR10" s="41"/>
      <c r="AS10" s="43"/>
      <c r="AT10" s="42"/>
      <c r="AV10" s="42"/>
      <c r="AW10" s="43"/>
      <c r="AX10" s="47">
        <f t="shared" si="1"/>
        <v>1112</v>
      </c>
      <c r="AY10" s="38">
        <f t="shared" si="2"/>
        <v>100</v>
      </c>
      <c r="AZ10" s="38">
        <v>0.0</v>
      </c>
      <c r="BA10" s="38">
        <f t="shared" si="3"/>
        <v>100</v>
      </c>
      <c r="BB10" s="76">
        <f t="shared" si="4"/>
        <v>11.12</v>
      </c>
    </row>
    <row r="11" ht="15.75" customHeight="1">
      <c r="A11" s="50" t="s">
        <v>48</v>
      </c>
      <c r="B11" s="51">
        <f t="shared" si="5"/>
        <v>45664</v>
      </c>
      <c r="C11" s="52">
        <v>1.0</v>
      </c>
      <c r="D11" s="52" t="s">
        <v>65</v>
      </c>
      <c r="E11" s="53"/>
      <c r="F11" s="41">
        <v>0.0</v>
      </c>
      <c r="H11" s="42">
        <v>0.0</v>
      </c>
      <c r="J11" s="42">
        <v>0.0</v>
      </c>
      <c r="L11" s="42">
        <v>0.0</v>
      </c>
      <c r="N11" s="42">
        <v>0.0</v>
      </c>
      <c r="P11" s="42">
        <v>0.0</v>
      </c>
      <c r="Q11" s="43"/>
      <c r="R11" s="41">
        <v>60.0</v>
      </c>
      <c r="T11" s="42">
        <v>60.0</v>
      </c>
      <c r="V11" s="42">
        <v>0.0</v>
      </c>
      <c r="X11" s="42">
        <v>0.0</v>
      </c>
      <c r="Z11" s="42">
        <v>0.0</v>
      </c>
      <c r="AB11" s="42">
        <v>0.0</v>
      </c>
      <c r="AC11" s="43"/>
      <c r="AD11" s="42">
        <v>0.0</v>
      </c>
      <c r="AF11" s="42">
        <v>0.0</v>
      </c>
      <c r="AH11" s="42">
        <v>0.0</v>
      </c>
      <c r="AJ11" s="41"/>
      <c r="AK11" s="43"/>
      <c r="AL11" s="46">
        <v>0.0</v>
      </c>
      <c r="AM11" s="43"/>
      <c r="AN11" s="41"/>
      <c r="AO11" s="43"/>
      <c r="AP11" s="41"/>
      <c r="AQ11" s="43"/>
      <c r="AR11" s="41"/>
      <c r="AS11" s="43"/>
      <c r="AT11" s="42"/>
      <c r="AV11" s="42"/>
      <c r="AW11" s="43"/>
      <c r="AX11" s="54">
        <f t="shared" si="1"/>
        <v>1334.4</v>
      </c>
      <c r="AY11" s="52">
        <f t="shared" si="2"/>
        <v>120</v>
      </c>
      <c r="AZ11" s="52">
        <v>0.0</v>
      </c>
      <c r="BA11" s="52">
        <f t="shared" si="3"/>
        <v>120</v>
      </c>
      <c r="BB11" s="49">
        <f t="shared" si="4"/>
        <v>11.12</v>
      </c>
    </row>
    <row r="12" ht="15.75" customHeight="1">
      <c r="A12" s="50" t="s">
        <v>49</v>
      </c>
      <c r="B12" s="51">
        <f t="shared" si="5"/>
        <v>45665</v>
      </c>
      <c r="C12" s="52">
        <v>1.0</v>
      </c>
      <c r="D12" s="52" t="s">
        <v>65</v>
      </c>
      <c r="E12" s="53"/>
      <c r="F12" s="41">
        <v>0.0</v>
      </c>
      <c r="H12" s="42">
        <v>0.0</v>
      </c>
      <c r="J12" s="42">
        <v>0.0</v>
      </c>
      <c r="L12" s="42">
        <v>0.0</v>
      </c>
      <c r="N12" s="42">
        <v>0.0</v>
      </c>
      <c r="P12" s="42">
        <v>0.0</v>
      </c>
      <c r="Q12" s="43"/>
      <c r="R12" s="41">
        <v>80.0</v>
      </c>
      <c r="T12" s="42">
        <v>80.0</v>
      </c>
      <c r="V12" s="42">
        <v>0.0</v>
      </c>
      <c r="X12" s="42">
        <v>0.0</v>
      </c>
      <c r="Z12" s="42">
        <v>0.0</v>
      </c>
      <c r="AB12" s="42">
        <v>0.0</v>
      </c>
      <c r="AC12" s="43"/>
      <c r="AD12" s="42">
        <v>0.0</v>
      </c>
      <c r="AF12" s="42">
        <v>0.0</v>
      </c>
      <c r="AH12" s="42">
        <v>0.0</v>
      </c>
      <c r="AJ12" s="41"/>
      <c r="AK12" s="43"/>
      <c r="AL12" s="46">
        <v>0.0</v>
      </c>
      <c r="AM12" s="43"/>
      <c r="AN12" s="41"/>
      <c r="AO12" s="43"/>
      <c r="AP12" s="41"/>
      <c r="AQ12" s="43"/>
      <c r="AR12" s="41"/>
      <c r="AS12" s="43"/>
      <c r="AT12" s="42"/>
      <c r="AV12" s="42"/>
      <c r="AW12" s="43"/>
      <c r="AX12" s="54">
        <f t="shared" si="1"/>
        <v>1779.2</v>
      </c>
      <c r="AY12" s="52">
        <f t="shared" si="2"/>
        <v>160</v>
      </c>
      <c r="AZ12" s="52">
        <v>0.0</v>
      </c>
      <c r="BA12" s="52">
        <f t="shared" si="3"/>
        <v>160</v>
      </c>
      <c r="BB12" s="49">
        <f t="shared" si="4"/>
        <v>11.12</v>
      </c>
    </row>
    <row r="13" ht="15.75" customHeight="1">
      <c r="A13" s="50" t="s">
        <v>50</v>
      </c>
      <c r="B13" s="51">
        <f t="shared" si="5"/>
        <v>45666</v>
      </c>
      <c r="C13" s="52">
        <v>1.0</v>
      </c>
      <c r="D13" s="52" t="s">
        <v>65</v>
      </c>
      <c r="E13" s="53"/>
      <c r="F13" s="41">
        <v>0.0</v>
      </c>
      <c r="H13" s="42">
        <v>0.0</v>
      </c>
      <c r="J13" s="42">
        <v>0.0</v>
      </c>
      <c r="L13" s="42">
        <v>0.0</v>
      </c>
      <c r="N13" s="42">
        <v>0.0</v>
      </c>
      <c r="P13" s="42">
        <v>0.0</v>
      </c>
      <c r="Q13" s="43"/>
      <c r="R13" s="41">
        <v>80.0</v>
      </c>
      <c r="T13" s="42">
        <v>80.0</v>
      </c>
      <c r="V13" s="42">
        <v>0.0</v>
      </c>
      <c r="X13" s="42">
        <v>0.0</v>
      </c>
      <c r="Z13" s="42">
        <v>0.0</v>
      </c>
      <c r="AB13" s="42">
        <v>0.0</v>
      </c>
      <c r="AC13" s="43"/>
      <c r="AD13" s="42">
        <v>0.0</v>
      </c>
      <c r="AF13" s="42">
        <v>0.0</v>
      </c>
      <c r="AH13" s="42">
        <v>0.0</v>
      </c>
      <c r="AJ13" s="41"/>
      <c r="AK13" s="43"/>
      <c r="AL13" s="46">
        <v>0.0</v>
      </c>
      <c r="AM13" s="43"/>
      <c r="AN13" s="41"/>
      <c r="AO13" s="43"/>
      <c r="AP13" s="41"/>
      <c r="AQ13" s="43"/>
      <c r="AR13" s="41"/>
      <c r="AS13" s="43"/>
      <c r="AT13" s="42"/>
      <c r="AV13" s="42"/>
      <c r="AW13" s="43"/>
      <c r="AX13" s="54">
        <f t="shared" si="1"/>
        <v>1779.2</v>
      </c>
      <c r="AY13" s="52">
        <f t="shared" si="2"/>
        <v>160</v>
      </c>
      <c r="AZ13" s="52">
        <v>0.0</v>
      </c>
      <c r="BA13" s="52">
        <f t="shared" si="3"/>
        <v>160</v>
      </c>
      <c r="BB13" s="49">
        <f t="shared" si="4"/>
        <v>11.12</v>
      </c>
    </row>
    <row r="14" ht="15.75" customHeight="1">
      <c r="A14" s="50" t="s">
        <v>53</v>
      </c>
      <c r="B14" s="51">
        <f t="shared" si="5"/>
        <v>45667</v>
      </c>
      <c r="C14" s="52">
        <v>1.0</v>
      </c>
      <c r="D14" s="52" t="s">
        <v>65</v>
      </c>
      <c r="E14" s="53"/>
      <c r="F14" s="41">
        <v>0.0</v>
      </c>
      <c r="H14" s="42">
        <v>0.0</v>
      </c>
      <c r="J14" s="42">
        <v>0.0</v>
      </c>
      <c r="L14" s="42">
        <v>0.0</v>
      </c>
      <c r="N14" s="42">
        <v>0.0</v>
      </c>
      <c r="P14" s="42">
        <v>0.0</v>
      </c>
      <c r="Q14" s="43"/>
      <c r="R14" s="41">
        <v>65.0</v>
      </c>
      <c r="T14" s="42">
        <v>65.0</v>
      </c>
      <c r="V14" s="42">
        <v>0.0</v>
      </c>
      <c r="X14" s="42">
        <v>0.0</v>
      </c>
      <c r="Z14" s="42">
        <v>0.0</v>
      </c>
      <c r="AB14" s="42">
        <v>0.0</v>
      </c>
      <c r="AC14" s="43"/>
      <c r="AD14" s="42">
        <v>0.0</v>
      </c>
      <c r="AF14" s="42">
        <v>0.0</v>
      </c>
      <c r="AH14" s="42">
        <v>0.0</v>
      </c>
      <c r="AJ14" s="41"/>
      <c r="AK14" s="43"/>
      <c r="AL14" s="46">
        <v>0.0</v>
      </c>
      <c r="AM14" s="43"/>
      <c r="AN14" s="41"/>
      <c r="AO14" s="43"/>
      <c r="AP14" s="41"/>
      <c r="AQ14" s="43"/>
      <c r="AR14" s="41"/>
      <c r="AS14" s="43"/>
      <c r="AT14" s="42"/>
      <c r="AV14" s="42"/>
      <c r="AW14" s="43"/>
      <c r="AX14" s="54">
        <f t="shared" si="1"/>
        <v>1445.6</v>
      </c>
      <c r="AY14" s="52">
        <f t="shared" si="2"/>
        <v>130</v>
      </c>
      <c r="AZ14" s="52">
        <v>0.0</v>
      </c>
      <c r="BA14" s="52">
        <f t="shared" si="3"/>
        <v>130</v>
      </c>
      <c r="BB14" s="49">
        <f t="shared" si="4"/>
        <v>11.12</v>
      </c>
    </row>
    <row r="15" ht="15.75" customHeight="1">
      <c r="A15" s="50" t="s">
        <v>54</v>
      </c>
      <c r="B15" s="51">
        <f t="shared" si="5"/>
        <v>45668</v>
      </c>
      <c r="C15" s="52">
        <v>1.0</v>
      </c>
      <c r="D15" s="52" t="s">
        <v>65</v>
      </c>
      <c r="E15" s="53"/>
      <c r="F15" s="41">
        <v>0.0</v>
      </c>
      <c r="H15" s="42">
        <v>0.0</v>
      </c>
      <c r="J15" s="42">
        <v>0.0</v>
      </c>
      <c r="L15" s="42">
        <v>0.0</v>
      </c>
      <c r="N15" s="42">
        <v>0.0</v>
      </c>
      <c r="P15" s="42">
        <v>0.0</v>
      </c>
      <c r="Q15" s="43"/>
      <c r="R15" s="41">
        <v>0.0</v>
      </c>
      <c r="T15" s="42">
        <v>0.0</v>
      </c>
      <c r="V15" s="42">
        <v>0.0</v>
      </c>
      <c r="X15" s="42">
        <v>0.0</v>
      </c>
      <c r="Z15" s="42">
        <v>0.0</v>
      </c>
      <c r="AB15" s="42">
        <v>0.0</v>
      </c>
      <c r="AC15" s="43"/>
      <c r="AD15" s="42">
        <v>0.0</v>
      </c>
      <c r="AF15" s="42">
        <v>0.0</v>
      </c>
      <c r="AH15" s="42">
        <v>0.0</v>
      </c>
      <c r="AJ15" s="41"/>
      <c r="AK15" s="43"/>
      <c r="AL15" s="46">
        <v>0.0</v>
      </c>
      <c r="AM15" s="43"/>
      <c r="AN15" s="41"/>
      <c r="AO15" s="43"/>
      <c r="AP15" s="41"/>
      <c r="AQ15" s="43"/>
      <c r="AR15" s="41"/>
      <c r="AS15" s="43"/>
      <c r="AT15" s="42"/>
      <c r="AV15" s="42"/>
      <c r="AW15" s="43"/>
      <c r="AX15" s="54">
        <f t="shared" si="1"/>
        <v>0</v>
      </c>
      <c r="AY15" s="52">
        <f t="shared" si="2"/>
        <v>0</v>
      </c>
      <c r="AZ15" s="52">
        <v>0.0</v>
      </c>
      <c r="BA15" s="52">
        <f t="shared" si="3"/>
        <v>0</v>
      </c>
      <c r="BB15" s="49" t="str">
        <f t="shared" si="4"/>
        <v/>
      </c>
    </row>
    <row r="16" ht="15.75" customHeight="1">
      <c r="A16" s="59" t="s">
        <v>61</v>
      </c>
      <c r="B16" s="61">
        <f t="shared" si="5"/>
        <v>45669</v>
      </c>
      <c r="C16" s="63">
        <v>1.0</v>
      </c>
      <c r="D16" s="63" t="s">
        <v>65</v>
      </c>
      <c r="E16" s="64"/>
      <c r="F16" s="65">
        <v>0.0</v>
      </c>
      <c r="G16" s="66"/>
      <c r="H16" s="67">
        <v>0.0</v>
      </c>
      <c r="I16" s="66"/>
      <c r="J16" s="67">
        <v>0.0</v>
      </c>
      <c r="K16" s="66"/>
      <c r="L16" s="67">
        <v>0.0</v>
      </c>
      <c r="M16" s="66"/>
      <c r="N16" s="67">
        <v>0.0</v>
      </c>
      <c r="O16" s="66"/>
      <c r="P16" s="67">
        <v>0.0</v>
      </c>
      <c r="Q16" s="68"/>
      <c r="R16" s="65">
        <v>0.0</v>
      </c>
      <c r="S16" s="66"/>
      <c r="T16" s="67">
        <v>0.0</v>
      </c>
      <c r="U16" s="66"/>
      <c r="V16" s="67">
        <v>0.0</v>
      </c>
      <c r="W16" s="66"/>
      <c r="X16" s="67">
        <v>0.0</v>
      </c>
      <c r="Y16" s="66"/>
      <c r="Z16" s="67">
        <v>0.0</v>
      </c>
      <c r="AA16" s="66"/>
      <c r="AB16" s="67">
        <v>0.0</v>
      </c>
      <c r="AC16" s="68"/>
      <c r="AD16" s="67">
        <v>0.0</v>
      </c>
      <c r="AE16" s="66"/>
      <c r="AF16" s="67">
        <v>0.0</v>
      </c>
      <c r="AG16" s="66"/>
      <c r="AH16" s="67">
        <v>0.0</v>
      </c>
      <c r="AI16" s="66"/>
      <c r="AJ16" s="65"/>
      <c r="AK16" s="68"/>
      <c r="AL16" s="71">
        <v>0.0</v>
      </c>
      <c r="AM16" s="68"/>
      <c r="AN16" s="65"/>
      <c r="AO16" s="68"/>
      <c r="AP16" s="65"/>
      <c r="AQ16" s="68"/>
      <c r="AR16" s="65"/>
      <c r="AS16" s="68"/>
      <c r="AT16" s="67"/>
      <c r="AU16" s="66"/>
      <c r="AV16" s="67"/>
      <c r="AW16" s="68"/>
      <c r="AX16" s="73">
        <f t="shared" si="1"/>
        <v>0</v>
      </c>
      <c r="AY16" s="63">
        <f t="shared" si="2"/>
        <v>0</v>
      </c>
      <c r="AZ16" s="63">
        <v>0.0</v>
      </c>
      <c r="BA16" s="63">
        <f t="shared" si="3"/>
        <v>0</v>
      </c>
      <c r="BB16" s="74" t="str">
        <f t="shared" si="4"/>
        <v/>
      </c>
    </row>
    <row r="17" ht="15.75" customHeight="1">
      <c r="A17" s="36" t="s">
        <v>46</v>
      </c>
      <c r="B17" s="75">
        <f t="shared" si="5"/>
        <v>45670</v>
      </c>
      <c r="C17" s="38">
        <v>1.0</v>
      </c>
      <c r="D17" s="38" t="s">
        <v>69</v>
      </c>
      <c r="E17" s="82" t="s">
        <v>70</v>
      </c>
      <c r="F17" s="41">
        <v>0.0</v>
      </c>
      <c r="H17" s="42">
        <v>0.0</v>
      </c>
      <c r="J17" s="42">
        <v>0.0</v>
      </c>
      <c r="L17" s="42">
        <v>0.0</v>
      </c>
      <c r="N17" s="42">
        <v>0.0</v>
      </c>
      <c r="P17" s="42">
        <v>0.0</v>
      </c>
      <c r="Q17" s="43"/>
      <c r="R17" s="41">
        <v>120.0</v>
      </c>
      <c r="T17" s="42">
        <v>120.0</v>
      </c>
      <c r="V17" s="42">
        <v>0.0</v>
      </c>
      <c r="X17" s="42">
        <v>0.0</v>
      </c>
      <c r="Z17" s="42">
        <v>0.0</v>
      </c>
      <c r="AB17" s="42">
        <v>0.0</v>
      </c>
      <c r="AC17" s="43"/>
      <c r="AD17" s="42">
        <v>0.0</v>
      </c>
      <c r="AF17" s="42">
        <v>0.0</v>
      </c>
      <c r="AH17" s="42">
        <v>0.0</v>
      </c>
      <c r="AJ17" s="41"/>
      <c r="AK17" s="43"/>
      <c r="AL17" s="46">
        <v>0.0</v>
      </c>
      <c r="AM17" s="43"/>
      <c r="AN17" s="41"/>
      <c r="AO17" s="43"/>
      <c r="AP17" s="41"/>
      <c r="AQ17" s="43"/>
      <c r="AR17" s="41"/>
      <c r="AS17" s="43"/>
      <c r="AT17" s="42"/>
      <c r="AV17" s="42"/>
      <c r="AW17" s="43"/>
      <c r="AX17" s="47">
        <f t="shared" si="1"/>
        <v>2668.8</v>
      </c>
      <c r="AY17" s="38">
        <f t="shared" si="2"/>
        <v>240</v>
      </c>
      <c r="AZ17" s="38">
        <v>0.0</v>
      </c>
      <c r="BA17" s="38">
        <f t="shared" si="3"/>
        <v>240</v>
      </c>
      <c r="BB17" s="76">
        <f t="shared" si="4"/>
        <v>11.12</v>
      </c>
    </row>
    <row r="18" ht="15.75" customHeight="1">
      <c r="A18" s="50" t="s">
        <v>48</v>
      </c>
      <c r="B18" s="51">
        <f t="shared" si="5"/>
        <v>45671</v>
      </c>
      <c r="C18" s="52">
        <v>1.0</v>
      </c>
      <c r="D18" s="52" t="s">
        <v>69</v>
      </c>
      <c r="E18" s="53"/>
      <c r="F18" s="41">
        <v>0.0</v>
      </c>
      <c r="H18" s="42">
        <v>0.0</v>
      </c>
      <c r="J18" s="42">
        <v>0.0</v>
      </c>
      <c r="L18" s="42">
        <v>0.0</v>
      </c>
      <c r="N18" s="42">
        <v>0.0</v>
      </c>
      <c r="P18" s="42">
        <v>0.0</v>
      </c>
      <c r="Q18" s="43"/>
      <c r="R18" s="41">
        <v>120.0</v>
      </c>
      <c r="T18" s="42">
        <v>120.0</v>
      </c>
      <c r="V18" s="42">
        <v>0.0</v>
      </c>
      <c r="X18" s="42">
        <v>0.0</v>
      </c>
      <c r="Z18" s="42">
        <v>0.0</v>
      </c>
      <c r="AB18" s="42">
        <v>0.0</v>
      </c>
      <c r="AC18" s="43"/>
      <c r="AD18" s="42">
        <v>0.0</v>
      </c>
      <c r="AF18" s="42">
        <v>0.0</v>
      </c>
      <c r="AH18" s="42">
        <v>0.0</v>
      </c>
      <c r="AJ18" s="41"/>
      <c r="AK18" s="43"/>
      <c r="AL18" s="46">
        <v>0.0</v>
      </c>
      <c r="AM18" s="43"/>
      <c r="AN18" s="41"/>
      <c r="AO18" s="43"/>
      <c r="AP18" s="41"/>
      <c r="AQ18" s="43"/>
      <c r="AR18" s="41"/>
      <c r="AS18" s="43"/>
      <c r="AT18" s="42"/>
      <c r="AV18" s="42"/>
      <c r="AW18" s="43"/>
      <c r="AX18" s="54">
        <f t="shared" si="1"/>
        <v>2668.8</v>
      </c>
      <c r="AY18" s="52">
        <f t="shared" si="2"/>
        <v>240</v>
      </c>
      <c r="AZ18" s="52">
        <v>0.0</v>
      </c>
      <c r="BA18" s="52">
        <f t="shared" si="3"/>
        <v>240</v>
      </c>
      <c r="BB18" s="49">
        <f t="shared" si="4"/>
        <v>11.12</v>
      </c>
    </row>
    <row r="19" ht="15.75" customHeight="1">
      <c r="A19" s="50" t="s">
        <v>49</v>
      </c>
      <c r="B19" s="51">
        <f t="shared" si="5"/>
        <v>45672</v>
      </c>
      <c r="C19" s="52">
        <v>1.0</v>
      </c>
      <c r="D19" s="52" t="s">
        <v>69</v>
      </c>
      <c r="E19" s="53"/>
      <c r="F19" s="41">
        <v>0.0</v>
      </c>
      <c r="H19" s="42">
        <v>0.0</v>
      </c>
      <c r="J19" s="42">
        <v>0.0</v>
      </c>
      <c r="L19" s="42">
        <v>0.0</v>
      </c>
      <c r="N19" s="42">
        <v>0.0</v>
      </c>
      <c r="P19" s="42">
        <v>0.0</v>
      </c>
      <c r="Q19" s="43"/>
      <c r="R19" s="41">
        <v>120.0</v>
      </c>
      <c r="T19" s="42">
        <v>120.0</v>
      </c>
      <c r="V19" s="42">
        <v>0.0</v>
      </c>
      <c r="X19" s="42">
        <v>0.0</v>
      </c>
      <c r="Z19" s="42">
        <v>0.0</v>
      </c>
      <c r="AB19" s="42">
        <v>0.0</v>
      </c>
      <c r="AC19" s="43"/>
      <c r="AD19" s="42">
        <v>0.0</v>
      </c>
      <c r="AF19" s="42">
        <v>0.0</v>
      </c>
      <c r="AH19" s="42">
        <v>0.0</v>
      </c>
      <c r="AJ19" s="41"/>
      <c r="AK19" s="43"/>
      <c r="AL19" s="46">
        <v>0.0</v>
      </c>
      <c r="AM19" s="43"/>
      <c r="AN19" s="41"/>
      <c r="AO19" s="43"/>
      <c r="AP19" s="41"/>
      <c r="AQ19" s="43"/>
      <c r="AR19" s="41"/>
      <c r="AS19" s="43"/>
      <c r="AT19" s="42"/>
      <c r="AV19" s="42"/>
      <c r="AW19" s="43"/>
      <c r="AX19" s="54">
        <f t="shared" si="1"/>
        <v>2668.8</v>
      </c>
      <c r="AY19" s="52">
        <f t="shared" si="2"/>
        <v>240</v>
      </c>
      <c r="AZ19" s="52">
        <v>0.0</v>
      </c>
      <c r="BA19" s="52">
        <f t="shared" si="3"/>
        <v>240</v>
      </c>
      <c r="BB19" s="49">
        <f t="shared" si="4"/>
        <v>11.12</v>
      </c>
    </row>
    <row r="20" ht="15.75" customHeight="1">
      <c r="A20" s="50" t="s">
        <v>50</v>
      </c>
      <c r="B20" s="51">
        <f t="shared" si="5"/>
        <v>45673</v>
      </c>
      <c r="C20" s="52">
        <v>1.0</v>
      </c>
      <c r="D20" s="52" t="s">
        <v>69</v>
      </c>
      <c r="E20" s="53"/>
      <c r="F20" s="41">
        <v>0.0</v>
      </c>
      <c r="H20" s="42">
        <v>0.0</v>
      </c>
      <c r="J20" s="42">
        <v>0.0</v>
      </c>
      <c r="L20" s="42">
        <v>0.0</v>
      </c>
      <c r="N20" s="42">
        <v>0.0</v>
      </c>
      <c r="P20" s="42">
        <v>0.0</v>
      </c>
      <c r="Q20" s="43"/>
      <c r="R20" s="41">
        <v>120.0</v>
      </c>
      <c r="T20" s="42">
        <v>120.0</v>
      </c>
      <c r="V20" s="42">
        <v>0.0</v>
      </c>
      <c r="X20" s="42">
        <v>0.0</v>
      </c>
      <c r="Z20" s="42">
        <v>0.0</v>
      </c>
      <c r="AB20" s="42">
        <v>0.0</v>
      </c>
      <c r="AC20" s="43"/>
      <c r="AD20" s="42">
        <v>0.0</v>
      </c>
      <c r="AF20" s="42">
        <v>0.0</v>
      </c>
      <c r="AH20" s="42">
        <v>0.0</v>
      </c>
      <c r="AJ20" s="41"/>
      <c r="AK20" s="43"/>
      <c r="AL20" s="46">
        <v>0.0</v>
      </c>
      <c r="AM20" s="43"/>
      <c r="AN20" s="41"/>
      <c r="AO20" s="43"/>
      <c r="AP20" s="41"/>
      <c r="AQ20" s="43"/>
      <c r="AR20" s="41"/>
      <c r="AS20" s="43"/>
      <c r="AT20" s="42"/>
      <c r="AV20" s="42"/>
      <c r="AW20" s="43"/>
      <c r="AX20" s="54">
        <f t="shared" si="1"/>
        <v>2668.8</v>
      </c>
      <c r="AY20" s="52">
        <f t="shared" si="2"/>
        <v>240</v>
      </c>
      <c r="AZ20" s="52">
        <v>0.0</v>
      </c>
      <c r="BA20" s="52">
        <f t="shared" si="3"/>
        <v>240</v>
      </c>
      <c r="BB20" s="49">
        <f t="shared" si="4"/>
        <v>11.12</v>
      </c>
    </row>
    <row r="21" ht="15.75" customHeight="1">
      <c r="A21" s="50" t="s">
        <v>53</v>
      </c>
      <c r="B21" s="51">
        <f t="shared" si="5"/>
        <v>45674</v>
      </c>
      <c r="C21" s="52">
        <v>1.0</v>
      </c>
      <c r="D21" s="52" t="s">
        <v>69</v>
      </c>
      <c r="E21" s="53"/>
      <c r="F21" s="41">
        <v>0.0</v>
      </c>
      <c r="H21" s="42">
        <v>0.0</v>
      </c>
      <c r="J21" s="42">
        <v>0.0</v>
      </c>
      <c r="L21" s="42">
        <v>0.0</v>
      </c>
      <c r="N21" s="42">
        <v>0.0</v>
      </c>
      <c r="P21" s="42">
        <v>0.0</v>
      </c>
      <c r="Q21" s="43"/>
      <c r="R21" s="41">
        <v>120.0</v>
      </c>
      <c r="T21" s="42">
        <v>120.0</v>
      </c>
      <c r="V21" s="42">
        <v>0.0</v>
      </c>
      <c r="X21" s="42">
        <v>0.0</v>
      </c>
      <c r="Z21" s="42">
        <v>0.0</v>
      </c>
      <c r="AB21" s="42">
        <v>0.0</v>
      </c>
      <c r="AC21" s="43"/>
      <c r="AD21" s="42">
        <v>0.0</v>
      </c>
      <c r="AF21" s="42">
        <v>0.0</v>
      </c>
      <c r="AH21" s="42">
        <v>0.0</v>
      </c>
      <c r="AJ21" s="41"/>
      <c r="AK21" s="43"/>
      <c r="AL21" s="46">
        <v>0.0</v>
      </c>
      <c r="AM21" s="43"/>
      <c r="AN21" s="41"/>
      <c r="AO21" s="43"/>
      <c r="AP21" s="41"/>
      <c r="AQ21" s="43"/>
      <c r="AR21" s="41"/>
      <c r="AS21" s="43"/>
      <c r="AT21" s="42"/>
      <c r="AV21" s="42"/>
      <c r="AW21" s="43"/>
      <c r="AX21" s="54">
        <f t="shared" si="1"/>
        <v>2668.8</v>
      </c>
      <c r="AY21" s="52">
        <f t="shared" si="2"/>
        <v>240</v>
      </c>
      <c r="AZ21" s="52">
        <v>0.0</v>
      </c>
      <c r="BA21" s="52">
        <f t="shared" si="3"/>
        <v>240</v>
      </c>
      <c r="BB21" s="49">
        <f t="shared" si="4"/>
        <v>11.12</v>
      </c>
    </row>
    <row r="22" ht="15.75" customHeight="1">
      <c r="A22" s="50" t="s">
        <v>54</v>
      </c>
      <c r="B22" s="51">
        <f t="shared" si="5"/>
        <v>45675</v>
      </c>
      <c r="C22" s="52">
        <v>1.0</v>
      </c>
      <c r="D22" s="52" t="s">
        <v>69</v>
      </c>
      <c r="E22" s="53"/>
      <c r="F22" s="41">
        <v>0.0</v>
      </c>
      <c r="H22" s="42">
        <v>0.0</v>
      </c>
      <c r="J22" s="42">
        <v>0.0</v>
      </c>
      <c r="L22" s="42">
        <v>0.0</v>
      </c>
      <c r="N22" s="42">
        <v>0.0</v>
      </c>
      <c r="P22" s="42">
        <v>0.0</v>
      </c>
      <c r="Q22" s="43"/>
      <c r="R22" s="41">
        <v>0.0</v>
      </c>
      <c r="T22" s="42">
        <v>0.0</v>
      </c>
      <c r="V22" s="42">
        <v>0.0</v>
      </c>
      <c r="X22" s="42">
        <v>0.0</v>
      </c>
      <c r="Z22" s="42">
        <v>0.0</v>
      </c>
      <c r="AB22" s="42">
        <v>0.0</v>
      </c>
      <c r="AC22" s="43"/>
      <c r="AD22" s="42">
        <v>0.0</v>
      </c>
      <c r="AF22" s="42">
        <v>0.0</v>
      </c>
      <c r="AH22" s="42">
        <v>0.0</v>
      </c>
      <c r="AJ22" s="41"/>
      <c r="AK22" s="43"/>
      <c r="AL22" s="46">
        <v>0.0</v>
      </c>
      <c r="AM22" s="43"/>
      <c r="AN22" s="41"/>
      <c r="AO22" s="43"/>
      <c r="AP22" s="41"/>
      <c r="AQ22" s="43"/>
      <c r="AR22" s="41"/>
      <c r="AS22" s="43"/>
      <c r="AT22" s="42"/>
      <c r="AV22" s="42"/>
      <c r="AW22" s="43"/>
      <c r="AX22" s="54">
        <f t="shared" si="1"/>
        <v>0</v>
      </c>
      <c r="AY22" s="52">
        <f t="shared" si="2"/>
        <v>0</v>
      </c>
      <c r="AZ22" s="52">
        <v>0.0</v>
      </c>
      <c r="BA22" s="52">
        <f t="shared" si="3"/>
        <v>0</v>
      </c>
      <c r="BB22" s="49" t="str">
        <f t="shared" si="4"/>
        <v/>
      </c>
    </row>
    <row r="23" ht="15.75" customHeight="1">
      <c r="A23" s="59" t="s">
        <v>61</v>
      </c>
      <c r="B23" s="61">
        <f t="shared" si="5"/>
        <v>45676</v>
      </c>
      <c r="C23" s="63">
        <v>1.0</v>
      </c>
      <c r="D23" s="63" t="s">
        <v>69</v>
      </c>
      <c r="E23" s="64"/>
      <c r="F23" s="65">
        <v>0.0</v>
      </c>
      <c r="G23" s="66"/>
      <c r="H23" s="67">
        <v>0.0</v>
      </c>
      <c r="I23" s="66"/>
      <c r="J23" s="67">
        <v>0.0</v>
      </c>
      <c r="K23" s="66"/>
      <c r="L23" s="67">
        <v>0.0</v>
      </c>
      <c r="M23" s="66"/>
      <c r="N23" s="67">
        <v>0.0</v>
      </c>
      <c r="O23" s="66"/>
      <c r="P23" s="67">
        <v>0.0</v>
      </c>
      <c r="Q23" s="68"/>
      <c r="R23" s="65">
        <v>0.0</v>
      </c>
      <c r="S23" s="66"/>
      <c r="T23" s="67">
        <v>0.0</v>
      </c>
      <c r="U23" s="66"/>
      <c r="V23" s="67">
        <v>0.0</v>
      </c>
      <c r="W23" s="66"/>
      <c r="X23" s="67">
        <v>0.0</v>
      </c>
      <c r="Y23" s="66"/>
      <c r="Z23" s="67">
        <v>0.0</v>
      </c>
      <c r="AA23" s="66"/>
      <c r="AB23" s="67">
        <v>0.0</v>
      </c>
      <c r="AC23" s="68"/>
      <c r="AD23" s="67">
        <v>0.0</v>
      </c>
      <c r="AE23" s="66"/>
      <c r="AF23" s="67">
        <v>0.0</v>
      </c>
      <c r="AG23" s="66"/>
      <c r="AH23" s="67">
        <v>0.0</v>
      </c>
      <c r="AI23" s="66"/>
      <c r="AJ23" s="65"/>
      <c r="AK23" s="68"/>
      <c r="AL23" s="71">
        <v>0.0</v>
      </c>
      <c r="AM23" s="68"/>
      <c r="AN23" s="65"/>
      <c r="AO23" s="68"/>
      <c r="AP23" s="65"/>
      <c r="AQ23" s="68"/>
      <c r="AR23" s="65"/>
      <c r="AS23" s="68"/>
      <c r="AT23" s="67"/>
      <c r="AU23" s="66"/>
      <c r="AV23" s="67"/>
      <c r="AW23" s="68"/>
      <c r="AX23" s="73">
        <f t="shared" si="1"/>
        <v>0</v>
      </c>
      <c r="AY23" s="63">
        <f t="shared" si="2"/>
        <v>0</v>
      </c>
      <c r="AZ23" s="63">
        <v>0.0</v>
      </c>
      <c r="BA23" s="63">
        <f t="shared" si="3"/>
        <v>0</v>
      </c>
      <c r="BB23" s="74" t="str">
        <f t="shared" si="4"/>
        <v/>
      </c>
    </row>
    <row r="24" ht="15.75" customHeight="1">
      <c r="A24" s="36" t="s">
        <v>46</v>
      </c>
      <c r="B24" s="75">
        <f t="shared" si="5"/>
        <v>45677</v>
      </c>
      <c r="C24" s="38">
        <v>1.0</v>
      </c>
      <c r="D24" s="38" t="s">
        <v>72</v>
      </c>
      <c r="E24" s="40"/>
      <c r="F24" s="41">
        <v>0.0</v>
      </c>
      <c r="H24" s="42">
        <v>0.0</v>
      </c>
      <c r="J24" s="42">
        <v>0.0</v>
      </c>
      <c r="L24" s="42">
        <v>0.0</v>
      </c>
      <c r="N24" s="42">
        <v>0.0</v>
      </c>
      <c r="P24" s="42">
        <v>0.0</v>
      </c>
      <c r="Q24" s="43"/>
      <c r="R24" s="41">
        <v>150.0</v>
      </c>
      <c r="T24" s="42">
        <v>150.0</v>
      </c>
      <c r="V24" s="42">
        <v>0.0</v>
      </c>
      <c r="X24" s="42">
        <v>0.0</v>
      </c>
      <c r="Z24" s="42">
        <v>0.0</v>
      </c>
      <c r="AB24" s="42">
        <v>0.0</v>
      </c>
      <c r="AC24" s="43"/>
      <c r="AD24" s="42">
        <v>0.0</v>
      </c>
      <c r="AF24" s="42">
        <v>0.0</v>
      </c>
      <c r="AH24" s="42">
        <v>0.0</v>
      </c>
      <c r="AJ24" s="41"/>
      <c r="AK24" s="43"/>
      <c r="AL24" s="46">
        <v>0.0</v>
      </c>
      <c r="AM24" s="43"/>
      <c r="AN24" s="41"/>
      <c r="AO24" s="43"/>
      <c r="AP24" s="41"/>
      <c r="AQ24" s="43"/>
      <c r="AR24" s="41"/>
      <c r="AS24" s="43"/>
      <c r="AT24" s="42"/>
      <c r="AV24" s="42"/>
      <c r="AW24" s="43"/>
      <c r="AX24" s="47">
        <f t="shared" si="1"/>
        <v>3336</v>
      </c>
      <c r="AY24" s="38">
        <f t="shared" si="2"/>
        <v>300</v>
      </c>
      <c r="AZ24" s="38">
        <v>0.0</v>
      </c>
      <c r="BA24" s="38">
        <f t="shared" si="3"/>
        <v>300</v>
      </c>
      <c r="BB24" s="76">
        <f t="shared" si="4"/>
        <v>11.12</v>
      </c>
    </row>
    <row r="25" ht="15.75" customHeight="1">
      <c r="A25" s="50" t="s">
        <v>48</v>
      </c>
      <c r="B25" s="51">
        <f t="shared" si="5"/>
        <v>45678</v>
      </c>
      <c r="C25" s="52">
        <v>1.0</v>
      </c>
      <c r="D25" s="52" t="s">
        <v>72</v>
      </c>
      <c r="E25" s="53"/>
      <c r="F25" s="41">
        <v>0.0</v>
      </c>
      <c r="H25" s="42">
        <v>0.0</v>
      </c>
      <c r="J25" s="42">
        <v>0.0</v>
      </c>
      <c r="L25" s="42">
        <v>0.0</v>
      </c>
      <c r="N25" s="42">
        <v>0.0</v>
      </c>
      <c r="P25" s="42">
        <v>0.0</v>
      </c>
      <c r="Q25" s="43"/>
      <c r="R25" s="41">
        <v>150.0</v>
      </c>
      <c r="T25" s="42">
        <v>150.0</v>
      </c>
      <c r="V25" s="42">
        <v>0.0</v>
      </c>
      <c r="X25" s="42">
        <v>0.0</v>
      </c>
      <c r="Z25" s="42">
        <v>0.0</v>
      </c>
      <c r="AB25" s="42">
        <v>0.0</v>
      </c>
      <c r="AC25" s="43"/>
      <c r="AD25" s="42">
        <v>0.0</v>
      </c>
      <c r="AF25" s="42">
        <v>0.0</v>
      </c>
      <c r="AH25" s="42">
        <v>0.0</v>
      </c>
      <c r="AJ25" s="41"/>
      <c r="AK25" s="43"/>
      <c r="AL25" s="46">
        <v>0.0</v>
      </c>
      <c r="AM25" s="43"/>
      <c r="AN25" s="41"/>
      <c r="AO25" s="43"/>
      <c r="AP25" s="41"/>
      <c r="AQ25" s="43"/>
      <c r="AR25" s="41"/>
      <c r="AS25" s="43"/>
      <c r="AT25" s="42"/>
      <c r="AV25" s="42"/>
      <c r="AW25" s="43"/>
      <c r="AX25" s="54">
        <f t="shared" si="1"/>
        <v>3336</v>
      </c>
      <c r="AY25" s="52">
        <f t="shared" si="2"/>
        <v>300</v>
      </c>
      <c r="AZ25" s="52">
        <v>0.0</v>
      </c>
      <c r="BA25" s="52">
        <f t="shared" si="3"/>
        <v>300</v>
      </c>
      <c r="BB25" s="49">
        <f t="shared" si="4"/>
        <v>11.12</v>
      </c>
    </row>
    <row r="26" ht="15.75" customHeight="1">
      <c r="A26" s="50" t="s">
        <v>49</v>
      </c>
      <c r="B26" s="51">
        <f t="shared" si="5"/>
        <v>45679</v>
      </c>
      <c r="C26" s="52">
        <v>1.0</v>
      </c>
      <c r="D26" s="52" t="s">
        <v>72</v>
      </c>
      <c r="E26" s="53"/>
      <c r="F26" s="41">
        <v>0.0</v>
      </c>
      <c r="H26" s="42">
        <v>0.0</v>
      </c>
      <c r="J26" s="42">
        <v>0.0</v>
      </c>
      <c r="L26" s="42">
        <v>0.0</v>
      </c>
      <c r="N26" s="42">
        <v>0.0</v>
      </c>
      <c r="P26" s="42">
        <v>0.0</v>
      </c>
      <c r="Q26" s="43"/>
      <c r="R26" s="41">
        <v>180.0</v>
      </c>
      <c r="T26" s="42">
        <v>180.0</v>
      </c>
      <c r="V26" s="42">
        <v>0.0</v>
      </c>
      <c r="X26" s="42">
        <v>0.0</v>
      </c>
      <c r="Z26" s="42">
        <v>0.0</v>
      </c>
      <c r="AB26" s="42">
        <v>0.0</v>
      </c>
      <c r="AC26" s="43"/>
      <c r="AD26" s="42">
        <v>0.0</v>
      </c>
      <c r="AF26" s="42">
        <v>0.0</v>
      </c>
      <c r="AH26" s="42">
        <v>0.0</v>
      </c>
      <c r="AJ26" s="41"/>
      <c r="AK26" s="43"/>
      <c r="AL26" s="46">
        <v>0.0</v>
      </c>
      <c r="AM26" s="43"/>
      <c r="AN26" s="41"/>
      <c r="AO26" s="43"/>
      <c r="AP26" s="41"/>
      <c r="AQ26" s="43"/>
      <c r="AR26" s="41"/>
      <c r="AS26" s="43"/>
      <c r="AT26" s="42"/>
      <c r="AV26" s="42"/>
      <c r="AW26" s="43"/>
      <c r="AX26" s="54">
        <f t="shared" si="1"/>
        <v>4003.2</v>
      </c>
      <c r="AY26" s="52">
        <f t="shared" si="2"/>
        <v>360</v>
      </c>
      <c r="AZ26" s="52">
        <v>0.0</v>
      </c>
      <c r="BA26" s="52">
        <f t="shared" si="3"/>
        <v>360</v>
      </c>
      <c r="BB26" s="49">
        <f t="shared" si="4"/>
        <v>11.12</v>
      </c>
    </row>
    <row r="27" ht="15.75" customHeight="1">
      <c r="A27" s="50" t="s">
        <v>50</v>
      </c>
      <c r="B27" s="51">
        <f t="shared" si="5"/>
        <v>45680</v>
      </c>
      <c r="C27" s="52">
        <v>1.0</v>
      </c>
      <c r="D27" s="52" t="s">
        <v>72</v>
      </c>
      <c r="E27" s="53"/>
      <c r="F27" s="41">
        <v>0.0</v>
      </c>
      <c r="H27" s="42">
        <v>0.0</v>
      </c>
      <c r="J27" s="42">
        <v>0.0</v>
      </c>
      <c r="L27" s="42">
        <v>0.0</v>
      </c>
      <c r="N27" s="42">
        <v>0.0</v>
      </c>
      <c r="P27" s="42">
        <v>0.0</v>
      </c>
      <c r="Q27" s="43"/>
      <c r="R27" s="41">
        <v>180.0</v>
      </c>
      <c r="T27" s="42">
        <v>180.0</v>
      </c>
      <c r="V27" s="42">
        <v>0.0</v>
      </c>
      <c r="X27" s="42">
        <v>0.0</v>
      </c>
      <c r="Z27" s="42">
        <v>0.0</v>
      </c>
      <c r="AB27" s="42">
        <v>0.0</v>
      </c>
      <c r="AC27" s="43"/>
      <c r="AD27" s="42">
        <v>0.0</v>
      </c>
      <c r="AF27" s="42">
        <v>0.0</v>
      </c>
      <c r="AH27" s="42">
        <v>0.0</v>
      </c>
      <c r="AJ27" s="41"/>
      <c r="AK27" s="43"/>
      <c r="AL27" s="46">
        <v>0.0</v>
      </c>
      <c r="AM27" s="43"/>
      <c r="AN27" s="41"/>
      <c r="AO27" s="43"/>
      <c r="AP27" s="41"/>
      <c r="AQ27" s="43"/>
      <c r="AR27" s="41"/>
      <c r="AS27" s="43"/>
      <c r="AT27" s="42"/>
      <c r="AV27" s="42"/>
      <c r="AW27" s="43"/>
      <c r="AX27" s="54">
        <f t="shared" si="1"/>
        <v>4003.2</v>
      </c>
      <c r="AY27" s="52">
        <f t="shared" si="2"/>
        <v>360</v>
      </c>
      <c r="AZ27" s="52">
        <v>0.0</v>
      </c>
      <c r="BA27" s="52">
        <f t="shared" si="3"/>
        <v>360</v>
      </c>
      <c r="BB27" s="49">
        <f t="shared" si="4"/>
        <v>11.12</v>
      </c>
    </row>
    <row r="28" ht="15.75" customHeight="1">
      <c r="A28" s="50" t="s">
        <v>53</v>
      </c>
      <c r="B28" s="51">
        <f t="shared" si="5"/>
        <v>45681</v>
      </c>
      <c r="C28" s="52">
        <v>1.0</v>
      </c>
      <c r="D28" s="52" t="s">
        <v>72</v>
      </c>
      <c r="E28" s="53"/>
      <c r="F28" s="41">
        <v>0.0</v>
      </c>
      <c r="H28" s="42">
        <v>0.0</v>
      </c>
      <c r="J28" s="42">
        <v>0.0</v>
      </c>
      <c r="L28" s="42">
        <v>0.0</v>
      </c>
      <c r="N28" s="42">
        <v>0.0</v>
      </c>
      <c r="P28" s="42">
        <v>0.0</v>
      </c>
      <c r="Q28" s="43"/>
      <c r="R28" s="41">
        <v>180.0</v>
      </c>
      <c r="T28" s="42">
        <v>180.0</v>
      </c>
      <c r="V28" s="42">
        <v>0.0</v>
      </c>
      <c r="X28" s="42">
        <v>0.0</v>
      </c>
      <c r="Z28" s="42">
        <v>0.0</v>
      </c>
      <c r="AB28" s="42">
        <v>0.0</v>
      </c>
      <c r="AC28" s="43"/>
      <c r="AD28" s="42">
        <v>0.0</v>
      </c>
      <c r="AF28" s="42">
        <v>0.0</v>
      </c>
      <c r="AH28" s="42">
        <v>0.0</v>
      </c>
      <c r="AJ28" s="41"/>
      <c r="AK28" s="43"/>
      <c r="AL28" s="46">
        <v>0.0</v>
      </c>
      <c r="AM28" s="43"/>
      <c r="AN28" s="41"/>
      <c r="AO28" s="43"/>
      <c r="AP28" s="41"/>
      <c r="AQ28" s="43"/>
      <c r="AR28" s="41"/>
      <c r="AS28" s="43"/>
      <c r="AT28" s="42"/>
      <c r="AV28" s="42"/>
      <c r="AW28" s="43"/>
      <c r="AX28" s="54">
        <f t="shared" si="1"/>
        <v>4003.2</v>
      </c>
      <c r="AY28" s="52">
        <f t="shared" si="2"/>
        <v>360</v>
      </c>
      <c r="AZ28" s="52">
        <v>0.0</v>
      </c>
      <c r="BA28" s="52">
        <f t="shared" si="3"/>
        <v>360</v>
      </c>
      <c r="BB28" s="49">
        <f t="shared" si="4"/>
        <v>11.12</v>
      </c>
    </row>
    <row r="29" ht="15.75" customHeight="1">
      <c r="A29" s="50" t="s">
        <v>54</v>
      </c>
      <c r="B29" s="51">
        <f t="shared" si="5"/>
        <v>45682</v>
      </c>
      <c r="C29" s="52">
        <v>1.0</v>
      </c>
      <c r="D29" s="52" t="s">
        <v>72</v>
      </c>
      <c r="E29" s="53"/>
      <c r="F29" s="41">
        <v>0.0</v>
      </c>
      <c r="H29" s="42">
        <v>0.0</v>
      </c>
      <c r="J29" s="42">
        <v>0.0</v>
      </c>
      <c r="L29" s="42">
        <v>0.0</v>
      </c>
      <c r="N29" s="42">
        <v>0.0</v>
      </c>
      <c r="P29" s="42">
        <v>0.0</v>
      </c>
      <c r="Q29" s="43"/>
      <c r="R29" s="41">
        <v>0.0</v>
      </c>
      <c r="T29" s="42">
        <v>0.0</v>
      </c>
      <c r="V29" s="42">
        <v>0.0</v>
      </c>
      <c r="X29" s="42">
        <v>0.0</v>
      </c>
      <c r="Z29" s="42">
        <v>0.0</v>
      </c>
      <c r="AB29" s="42">
        <v>0.0</v>
      </c>
      <c r="AC29" s="43"/>
      <c r="AD29" s="42">
        <v>0.0</v>
      </c>
      <c r="AF29" s="42">
        <v>0.0</v>
      </c>
      <c r="AH29" s="42">
        <v>0.0</v>
      </c>
      <c r="AJ29" s="41"/>
      <c r="AK29" s="43"/>
      <c r="AL29" s="46">
        <v>0.0</v>
      </c>
      <c r="AM29" s="43"/>
      <c r="AN29" s="41"/>
      <c r="AO29" s="43"/>
      <c r="AP29" s="41"/>
      <c r="AQ29" s="43"/>
      <c r="AR29" s="41"/>
      <c r="AS29" s="43"/>
      <c r="AT29" s="42"/>
      <c r="AV29" s="42"/>
      <c r="AW29" s="43"/>
      <c r="AX29" s="54">
        <f t="shared" si="1"/>
        <v>0</v>
      </c>
      <c r="AY29" s="52">
        <f t="shared" si="2"/>
        <v>0</v>
      </c>
      <c r="AZ29" s="52">
        <v>0.0</v>
      </c>
      <c r="BA29" s="52">
        <f t="shared" si="3"/>
        <v>0</v>
      </c>
      <c r="BB29" s="49" t="str">
        <f t="shared" si="4"/>
        <v/>
      </c>
    </row>
    <row r="30" ht="15.75" customHeight="1">
      <c r="A30" s="59" t="s">
        <v>61</v>
      </c>
      <c r="B30" s="61">
        <f t="shared" si="5"/>
        <v>45683</v>
      </c>
      <c r="C30" s="63">
        <v>1.0</v>
      </c>
      <c r="D30" s="63" t="s">
        <v>72</v>
      </c>
      <c r="E30" s="64"/>
      <c r="F30" s="65">
        <v>0.0</v>
      </c>
      <c r="G30" s="66"/>
      <c r="H30" s="67">
        <v>0.0</v>
      </c>
      <c r="I30" s="66"/>
      <c r="J30" s="67">
        <v>0.0</v>
      </c>
      <c r="K30" s="66"/>
      <c r="L30" s="67">
        <v>0.0</v>
      </c>
      <c r="M30" s="66"/>
      <c r="N30" s="67">
        <v>0.0</v>
      </c>
      <c r="O30" s="66"/>
      <c r="P30" s="67">
        <v>0.0</v>
      </c>
      <c r="Q30" s="68"/>
      <c r="R30" s="65">
        <v>0.0</v>
      </c>
      <c r="S30" s="66"/>
      <c r="T30" s="67">
        <v>0.0</v>
      </c>
      <c r="U30" s="66"/>
      <c r="V30" s="67">
        <v>0.0</v>
      </c>
      <c r="W30" s="66"/>
      <c r="X30" s="67">
        <v>0.0</v>
      </c>
      <c r="Y30" s="66"/>
      <c r="Z30" s="67">
        <v>0.0</v>
      </c>
      <c r="AA30" s="66"/>
      <c r="AB30" s="67">
        <v>0.0</v>
      </c>
      <c r="AC30" s="68"/>
      <c r="AD30" s="67">
        <v>0.0</v>
      </c>
      <c r="AE30" s="66"/>
      <c r="AF30" s="67">
        <v>0.0</v>
      </c>
      <c r="AG30" s="66"/>
      <c r="AH30" s="67">
        <v>0.0</v>
      </c>
      <c r="AI30" s="66"/>
      <c r="AJ30" s="65"/>
      <c r="AK30" s="68"/>
      <c r="AL30" s="71">
        <v>0.0</v>
      </c>
      <c r="AM30" s="68"/>
      <c r="AN30" s="65"/>
      <c r="AO30" s="68"/>
      <c r="AP30" s="65"/>
      <c r="AQ30" s="68"/>
      <c r="AR30" s="65"/>
      <c r="AS30" s="68"/>
      <c r="AT30" s="67"/>
      <c r="AU30" s="66"/>
      <c r="AV30" s="67"/>
      <c r="AW30" s="68"/>
      <c r="AX30" s="73">
        <f t="shared" si="1"/>
        <v>0</v>
      </c>
      <c r="AY30" s="63">
        <f t="shared" si="2"/>
        <v>0</v>
      </c>
      <c r="AZ30" s="63">
        <v>0.0</v>
      </c>
      <c r="BA30" s="63">
        <f t="shared" si="3"/>
        <v>0</v>
      </c>
      <c r="BB30" s="74" t="str">
        <f t="shared" si="4"/>
        <v/>
      </c>
    </row>
    <row r="31" ht="15.75" customHeight="1">
      <c r="A31" s="36" t="s">
        <v>46</v>
      </c>
      <c r="B31" s="75">
        <f t="shared" si="5"/>
        <v>45684</v>
      </c>
      <c r="C31" s="48">
        <v>2.0</v>
      </c>
      <c r="D31" s="38" t="s">
        <v>47</v>
      </c>
      <c r="E31" s="82" t="s">
        <v>73</v>
      </c>
      <c r="F31" s="41">
        <v>30.0</v>
      </c>
      <c r="H31" s="42">
        <v>30.0</v>
      </c>
      <c r="J31" s="42">
        <v>0.0</v>
      </c>
      <c r="L31" s="42">
        <v>0.0</v>
      </c>
      <c r="N31" s="42">
        <v>0.0</v>
      </c>
      <c r="P31" s="42">
        <v>0.0</v>
      </c>
      <c r="Q31" s="43"/>
      <c r="R31" s="41">
        <v>90.0</v>
      </c>
      <c r="T31" s="42">
        <v>90.0</v>
      </c>
      <c r="V31" s="42">
        <v>0.0</v>
      </c>
      <c r="X31" s="42">
        <v>0.0</v>
      </c>
      <c r="Z31" s="42">
        <v>0.0</v>
      </c>
      <c r="AB31" s="42">
        <v>0.0</v>
      </c>
      <c r="AC31" s="43"/>
      <c r="AD31" s="42">
        <v>0.0</v>
      </c>
      <c r="AF31" s="42">
        <v>0.0</v>
      </c>
      <c r="AH31" s="42">
        <v>0.0</v>
      </c>
      <c r="AJ31" s="41"/>
      <c r="AK31" s="43"/>
      <c r="AL31" s="46">
        <v>0.0</v>
      </c>
      <c r="AM31" s="43"/>
      <c r="AN31" s="41"/>
      <c r="AO31" s="43"/>
      <c r="AP31" s="41"/>
      <c r="AQ31" s="43"/>
      <c r="AR31" s="41"/>
      <c r="AS31" s="43"/>
      <c r="AT31" s="42"/>
      <c r="AV31" s="42"/>
      <c r="AW31" s="43"/>
      <c r="AX31" s="47">
        <f t="shared" si="1"/>
        <v>3336.6</v>
      </c>
      <c r="AY31" s="38">
        <f t="shared" si="2"/>
        <v>240</v>
      </c>
      <c r="AZ31" s="38">
        <v>0.0</v>
      </c>
      <c r="BA31" s="38">
        <f t="shared" si="3"/>
        <v>240</v>
      </c>
      <c r="BB31" s="76">
        <f t="shared" si="4"/>
        <v>13.9025</v>
      </c>
    </row>
    <row r="32" ht="15.75" customHeight="1">
      <c r="A32" s="50" t="s">
        <v>48</v>
      </c>
      <c r="B32" s="51">
        <f t="shared" si="5"/>
        <v>45685</v>
      </c>
      <c r="C32" s="89">
        <v>2.0</v>
      </c>
      <c r="D32" s="52" t="s">
        <v>47</v>
      </c>
      <c r="E32" s="53"/>
      <c r="F32" s="41">
        <v>30.0</v>
      </c>
      <c r="H32" s="42">
        <v>30.0</v>
      </c>
      <c r="J32" s="42">
        <v>0.0</v>
      </c>
      <c r="L32" s="42">
        <v>0.0</v>
      </c>
      <c r="N32" s="42">
        <v>0.0</v>
      </c>
      <c r="P32" s="42">
        <v>0.0</v>
      </c>
      <c r="Q32" s="43"/>
      <c r="R32" s="41">
        <v>90.0</v>
      </c>
      <c r="T32" s="42">
        <v>90.0</v>
      </c>
      <c r="V32" s="42">
        <v>0.0</v>
      </c>
      <c r="X32" s="42">
        <v>0.0</v>
      </c>
      <c r="Z32" s="42">
        <v>0.0</v>
      </c>
      <c r="AB32" s="42">
        <v>0.0</v>
      </c>
      <c r="AC32" s="43"/>
      <c r="AD32" s="42">
        <v>0.0</v>
      </c>
      <c r="AF32" s="42">
        <v>0.0</v>
      </c>
      <c r="AH32" s="42">
        <v>0.0</v>
      </c>
      <c r="AJ32" s="41"/>
      <c r="AK32" s="43"/>
      <c r="AL32" s="46">
        <v>0.0</v>
      </c>
      <c r="AM32" s="43"/>
      <c r="AN32" s="41"/>
      <c r="AO32" s="43"/>
      <c r="AP32" s="41"/>
      <c r="AQ32" s="43"/>
      <c r="AR32" s="41"/>
      <c r="AS32" s="43"/>
      <c r="AT32" s="42"/>
      <c r="AV32" s="42"/>
      <c r="AW32" s="43"/>
      <c r="AX32" s="54">
        <f t="shared" si="1"/>
        <v>3336.6</v>
      </c>
      <c r="AY32" s="52">
        <f t="shared" si="2"/>
        <v>240</v>
      </c>
      <c r="AZ32" s="52">
        <v>0.0</v>
      </c>
      <c r="BA32" s="52">
        <f t="shared" si="3"/>
        <v>240</v>
      </c>
      <c r="BB32" s="49">
        <f t="shared" si="4"/>
        <v>13.9025</v>
      </c>
    </row>
    <row r="33" ht="15.75" customHeight="1">
      <c r="A33" s="50" t="s">
        <v>49</v>
      </c>
      <c r="B33" s="51">
        <f t="shared" si="5"/>
        <v>45686</v>
      </c>
      <c r="C33" s="89">
        <v>2.0</v>
      </c>
      <c r="D33" s="52" t="s">
        <v>47</v>
      </c>
      <c r="E33" s="53"/>
      <c r="F33" s="41">
        <v>30.0</v>
      </c>
      <c r="H33" s="42">
        <v>30.0</v>
      </c>
      <c r="J33" s="42">
        <v>0.0</v>
      </c>
      <c r="L33" s="42">
        <v>0.0</v>
      </c>
      <c r="N33" s="42">
        <v>0.0</v>
      </c>
      <c r="P33" s="42">
        <v>0.0</v>
      </c>
      <c r="Q33" s="43"/>
      <c r="R33" s="41">
        <v>90.0</v>
      </c>
      <c r="T33" s="42">
        <v>90.0</v>
      </c>
      <c r="V33" s="42">
        <v>0.0</v>
      </c>
      <c r="X33" s="42">
        <v>0.0</v>
      </c>
      <c r="Z33" s="42">
        <v>0.0</v>
      </c>
      <c r="AB33" s="42">
        <v>0.0</v>
      </c>
      <c r="AC33" s="43"/>
      <c r="AD33" s="42">
        <v>0.0</v>
      </c>
      <c r="AF33" s="42">
        <v>0.0</v>
      </c>
      <c r="AH33" s="42">
        <v>0.0</v>
      </c>
      <c r="AJ33" s="41"/>
      <c r="AK33" s="43"/>
      <c r="AL33" s="46">
        <v>0.0</v>
      </c>
      <c r="AM33" s="43"/>
      <c r="AN33" s="41"/>
      <c r="AO33" s="43"/>
      <c r="AP33" s="41"/>
      <c r="AQ33" s="43"/>
      <c r="AR33" s="41"/>
      <c r="AS33" s="43"/>
      <c r="AT33" s="42"/>
      <c r="AV33" s="42"/>
      <c r="AW33" s="43"/>
      <c r="AX33" s="54">
        <f t="shared" si="1"/>
        <v>3336.6</v>
      </c>
      <c r="AY33" s="52">
        <f t="shared" si="2"/>
        <v>240</v>
      </c>
      <c r="AZ33" s="52">
        <v>0.0</v>
      </c>
      <c r="BA33" s="52">
        <f t="shared" si="3"/>
        <v>240</v>
      </c>
      <c r="BB33" s="49">
        <f t="shared" si="4"/>
        <v>13.9025</v>
      </c>
    </row>
    <row r="34" ht="15.75" customHeight="1">
      <c r="A34" s="50" t="s">
        <v>50</v>
      </c>
      <c r="B34" s="51">
        <f t="shared" si="5"/>
        <v>45687</v>
      </c>
      <c r="C34" s="89">
        <v>2.0</v>
      </c>
      <c r="D34" s="52" t="s">
        <v>47</v>
      </c>
      <c r="E34" s="53"/>
      <c r="F34" s="41">
        <v>30.0</v>
      </c>
      <c r="H34" s="42">
        <v>30.0</v>
      </c>
      <c r="J34" s="42">
        <v>0.0</v>
      </c>
      <c r="L34" s="42">
        <v>0.0</v>
      </c>
      <c r="N34" s="42">
        <v>0.0</v>
      </c>
      <c r="P34" s="42">
        <v>0.0</v>
      </c>
      <c r="Q34" s="43"/>
      <c r="R34" s="41">
        <v>90.0</v>
      </c>
      <c r="T34" s="42">
        <v>90.0</v>
      </c>
      <c r="V34" s="42">
        <v>0.0</v>
      </c>
      <c r="X34" s="42">
        <v>0.0</v>
      </c>
      <c r="Z34" s="42">
        <v>0.0</v>
      </c>
      <c r="AB34" s="42">
        <v>0.0</v>
      </c>
      <c r="AC34" s="43"/>
      <c r="AD34" s="42">
        <v>0.0</v>
      </c>
      <c r="AF34" s="42">
        <v>0.0</v>
      </c>
      <c r="AH34" s="42">
        <v>0.0</v>
      </c>
      <c r="AJ34" s="41"/>
      <c r="AK34" s="43"/>
      <c r="AL34" s="46">
        <v>0.0</v>
      </c>
      <c r="AM34" s="43"/>
      <c r="AN34" s="41"/>
      <c r="AO34" s="43"/>
      <c r="AP34" s="41"/>
      <c r="AQ34" s="43"/>
      <c r="AR34" s="41"/>
      <c r="AS34" s="43"/>
      <c r="AT34" s="42"/>
      <c r="AV34" s="42"/>
      <c r="AW34" s="43"/>
      <c r="AX34" s="54">
        <f t="shared" si="1"/>
        <v>3336.6</v>
      </c>
      <c r="AY34" s="52">
        <f t="shared" si="2"/>
        <v>240</v>
      </c>
      <c r="AZ34" s="52">
        <v>0.0</v>
      </c>
      <c r="BA34" s="52">
        <f t="shared" si="3"/>
        <v>240</v>
      </c>
      <c r="BB34" s="49">
        <f t="shared" si="4"/>
        <v>13.9025</v>
      </c>
    </row>
    <row r="35" ht="15.75" customHeight="1">
      <c r="A35" s="50" t="s">
        <v>53</v>
      </c>
      <c r="B35" s="51">
        <f t="shared" si="5"/>
        <v>45688</v>
      </c>
      <c r="C35" s="89">
        <v>2.0</v>
      </c>
      <c r="D35" s="52" t="s">
        <v>47</v>
      </c>
      <c r="E35" s="53"/>
      <c r="F35" s="41">
        <v>30.0</v>
      </c>
      <c r="H35" s="42">
        <v>30.0</v>
      </c>
      <c r="J35" s="42">
        <v>0.0</v>
      </c>
      <c r="L35" s="42">
        <v>0.0</v>
      </c>
      <c r="N35" s="42">
        <v>0.0</v>
      </c>
      <c r="P35" s="42">
        <v>0.0</v>
      </c>
      <c r="Q35" s="43"/>
      <c r="R35" s="41">
        <v>90.0</v>
      </c>
      <c r="T35" s="42">
        <v>90.0</v>
      </c>
      <c r="V35" s="42">
        <v>0.0</v>
      </c>
      <c r="X35" s="42">
        <v>0.0</v>
      </c>
      <c r="Z35" s="42">
        <v>0.0</v>
      </c>
      <c r="AB35" s="42">
        <v>0.0</v>
      </c>
      <c r="AC35" s="43"/>
      <c r="AD35" s="42">
        <v>0.0</v>
      </c>
      <c r="AF35" s="42">
        <v>0.0</v>
      </c>
      <c r="AH35" s="42">
        <v>0.0</v>
      </c>
      <c r="AJ35" s="41"/>
      <c r="AK35" s="43"/>
      <c r="AL35" s="46">
        <v>0.0</v>
      </c>
      <c r="AM35" s="43"/>
      <c r="AN35" s="41"/>
      <c r="AO35" s="43"/>
      <c r="AP35" s="41"/>
      <c r="AQ35" s="43"/>
      <c r="AR35" s="41"/>
      <c r="AS35" s="43"/>
      <c r="AT35" s="42"/>
      <c r="AV35" s="42"/>
      <c r="AW35" s="43"/>
      <c r="AX35" s="54">
        <f t="shared" si="1"/>
        <v>3336.6</v>
      </c>
      <c r="AY35" s="52">
        <f t="shared" si="2"/>
        <v>240</v>
      </c>
      <c r="AZ35" s="52">
        <v>0.0</v>
      </c>
      <c r="BA35" s="52">
        <f t="shared" si="3"/>
        <v>240</v>
      </c>
      <c r="BB35" s="49">
        <f t="shared" si="4"/>
        <v>13.9025</v>
      </c>
    </row>
    <row r="36" ht="15.75" customHeight="1">
      <c r="A36" s="50" t="s">
        <v>54</v>
      </c>
      <c r="B36" s="51">
        <f t="shared" si="5"/>
        <v>45689</v>
      </c>
      <c r="C36" s="89">
        <v>2.0</v>
      </c>
      <c r="D36" s="52" t="s">
        <v>47</v>
      </c>
      <c r="E36" s="53"/>
      <c r="F36" s="41">
        <v>0.0</v>
      </c>
      <c r="H36" s="42">
        <v>0.0</v>
      </c>
      <c r="J36" s="42">
        <v>0.0</v>
      </c>
      <c r="L36" s="42">
        <v>0.0</v>
      </c>
      <c r="N36" s="42">
        <v>0.0</v>
      </c>
      <c r="P36" s="42">
        <v>0.0</v>
      </c>
      <c r="Q36" s="43"/>
      <c r="R36" s="41">
        <v>0.0</v>
      </c>
      <c r="T36" s="42">
        <v>0.0</v>
      </c>
      <c r="V36" s="42">
        <v>0.0</v>
      </c>
      <c r="X36" s="42">
        <v>0.0</v>
      </c>
      <c r="Z36" s="42">
        <v>0.0</v>
      </c>
      <c r="AB36" s="42">
        <v>0.0</v>
      </c>
      <c r="AC36" s="43"/>
      <c r="AD36" s="42">
        <v>0.0</v>
      </c>
      <c r="AF36" s="42">
        <v>0.0</v>
      </c>
      <c r="AH36" s="42">
        <v>0.0</v>
      </c>
      <c r="AJ36" s="41"/>
      <c r="AK36" s="43"/>
      <c r="AL36" s="46">
        <v>0.0</v>
      </c>
      <c r="AM36" s="43"/>
      <c r="AN36" s="41"/>
      <c r="AO36" s="43"/>
      <c r="AP36" s="41"/>
      <c r="AQ36" s="43"/>
      <c r="AR36" s="41"/>
      <c r="AS36" s="43"/>
      <c r="AT36" s="42"/>
      <c r="AV36" s="42"/>
      <c r="AW36" s="43"/>
      <c r="AX36" s="54">
        <f t="shared" si="1"/>
        <v>0</v>
      </c>
      <c r="AY36" s="52">
        <f t="shared" si="2"/>
        <v>0</v>
      </c>
      <c r="AZ36" s="52">
        <v>0.0</v>
      </c>
      <c r="BA36" s="52">
        <f t="shared" si="3"/>
        <v>0</v>
      </c>
      <c r="BB36" s="49" t="str">
        <f t="shared" si="4"/>
        <v/>
      </c>
    </row>
    <row r="37" ht="15.75" customHeight="1">
      <c r="A37" s="59" t="s">
        <v>61</v>
      </c>
      <c r="B37" s="61">
        <f t="shared" si="5"/>
        <v>45690</v>
      </c>
      <c r="C37" s="90">
        <v>2.0</v>
      </c>
      <c r="D37" s="63" t="s">
        <v>47</v>
      </c>
      <c r="E37" s="64"/>
      <c r="F37" s="65">
        <v>0.0</v>
      </c>
      <c r="G37" s="66"/>
      <c r="H37" s="67">
        <v>0.0</v>
      </c>
      <c r="I37" s="66"/>
      <c r="J37" s="67">
        <v>0.0</v>
      </c>
      <c r="K37" s="66"/>
      <c r="L37" s="67">
        <v>0.0</v>
      </c>
      <c r="M37" s="66"/>
      <c r="N37" s="67">
        <v>0.0</v>
      </c>
      <c r="O37" s="66"/>
      <c r="P37" s="67">
        <v>0.0</v>
      </c>
      <c r="Q37" s="68"/>
      <c r="R37" s="65">
        <v>0.0</v>
      </c>
      <c r="S37" s="66"/>
      <c r="T37" s="67">
        <v>0.0</v>
      </c>
      <c r="U37" s="66"/>
      <c r="V37" s="67">
        <v>0.0</v>
      </c>
      <c r="W37" s="66"/>
      <c r="X37" s="67">
        <v>0.0</v>
      </c>
      <c r="Y37" s="66"/>
      <c r="Z37" s="67">
        <v>0.0</v>
      </c>
      <c r="AA37" s="66"/>
      <c r="AB37" s="67">
        <v>0.0</v>
      </c>
      <c r="AC37" s="68"/>
      <c r="AD37" s="67">
        <v>0.0</v>
      </c>
      <c r="AE37" s="66"/>
      <c r="AF37" s="67">
        <v>0.0</v>
      </c>
      <c r="AG37" s="66"/>
      <c r="AH37" s="67">
        <v>0.0</v>
      </c>
      <c r="AI37" s="66"/>
      <c r="AJ37" s="65"/>
      <c r="AK37" s="68"/>
      <c r="AL37" s="71">
        <v>0.0</v>
      </c>
      <c r="AM37" s="68"/>
      <c r="AN37" s="65"/>
      <c r="AO37" s="68"/>
      <c r="AP37" s="65"/>
      <c r="AQ37" s="68"/>
      <c r="AR37" s="65"/>
      <c r="AS37" s="68"/>
      <c r="AT37" s="67"/>
      <c r="AU37" s="66"/>
      <c r="AV37" s="67"/>
      <c r="AW37" s="68"/>
      <c r="AX37" s="73">
        <f t="shared" si="1"/>
        <v>0</v>
      </c>
      <c r="AY37" s="63">
        <f t="shared" si="2"/>
        <v>0</v>
      </c>
      <c r="AZ37" s="63">
        <v>0.0</v>
      </c>
      <c r="BA37" s="63">
        <f t="shared" si="3"/>
        <v>0</v>
      </c>
      <c r="BB37" s="74" t="str">
        <f t="shared" si="4"/>
        <v/>
      </c>
    </row>
    <row r="38" ht="15.75" customHeight="1">
      <c r="A38" s="36" t="s">
        <v>46</v>
      </c>
      <c r="B38" s="75">
        <f t="shared" si="5"/>
        <v>45691</v>
      </c>
      <c r="C38" s="38">
        <v>2.0</v>
      </c>
      <c r="D38" s="38" t="s">
        <v>65</v>
      </c>
      <c r="E38" s="82"/>
      <c r="F38" s="41">
        <v>30.0</v>
      </c>
      <c r="H38" s="42">
        <v>30.0</v>
      </c>
      <c r="J38" s="42">
        <v>0.0</v>
      </c>
      <c r="L38" s="42">
        <v>0.0</v>
      </c>
      <c r="N38" s="42">
        <v>0.0</v>
      </c>
      <c r="P38" s="42">
        <v>0.0</v>
      </c>
      <c r="Q38" s="43"/>
      <c r="R38" s="41">
        <v>230.0</v>
      </c>
      <c r="T38" s="42">
        <v>230.0</v>
      </c>
      <c r="V38" s="42">
        <v>0.0</v>
      </c>
      <c r="X38" s="42">
        <v>0.0</v>
      </c>
      <c r="Z38" s="42">
        <v>0.0</v>
      </c>
      <c r="AB38" s="42">
        <v>0.0</v>
      </c>
      <c r="AC38" s="43"/>
      <c r="AD38" s="42">
        <v>0.0</v>
      </c>
      <c r="AF38" s="42">
        <v>0.0</v>
      </c>
      <c r="AH38" s="42">
        <v>0.0</v>
      </c>
      <c r="AJ38" s="41"/>
      <c r="AK38" s="43"/>
      <c r="AL38" s="46">
        <v>0.0</v>
      </c>
      <c r="AM38" s="43"/>
      <c r="AN38" s="41"/>
      <c r="AO38" s="43"/>
      <c r="AP38" s="41"/>
      <c r="AQ38" s="43"/>
      <c r="AR38" s="41"/>
      <c r="AS38" s="43"/>
      <c r="AT38" s="42"/>
      <c r="AV38" s="42"/>
      <c r="AW38" s="43"/>
      <c r="AX38" s="47">
        <f t="shared" si="1"/>
        <v>6450.2</v>
      </c>
      <c r="AY38" s="38">
        <f t="shared" si="2"/>
        <v>520</v>
      </c>
      <c r="AZ38" s="38">
        <v>0.0</v>
      </c>
      <c r="BA38" s="38">
        <f t="shared" si="3"/>
        <v>520</v>
      </c>
      <c r="BB38" s="76">
        <f t="shared" si="4"/>
        <v>12.40423077</v>
      </c>
    </row>
    <row r="39" ht="15.75" customHeight="1">
      <c r="A39" s="50" t="s">
        <v>48</v>
      </c>
      <c r="B39" s="51">
        <f t="shared" si="5"/>
        <v>45692</v>
      </c>
      <c r="C39" s="52">
        <v>2.0</v>
      </c>
      <c r="D39" s="52" t="s">
        <v>65</v>
      </c>
      <c r="E39" s="53"/>
      <c r="F39" s="41">
        <v>30.0</v>
      </c>
      <c r="H39" s="42">
        <v>30.0</v>
      </c>
      <c r="J39" s="42">
        <v>0.0</v>
      </c>
      <c r="L39" s="42">
        <v>0.0</v>
      </c>
      <c r="N39" s="42">
        <v>0.0</v>
      </c>
      <c r="P39" s="42">
        <v>0.0</v>
      </c>
      <c r="Q39" s="43"/>
      <c r="R39" s="41">
        <v>230.0</v>
      </c>
      <c r="T39" s="42">
        <v>230.0</v>
      </c>
      <c r="V39" s="42">
        <v>0.0</v>
      </c>
      <c r="X39" s="42">
        <v>0.0</v>
      </c>
      <c r="Z39" s="42">
        <v>0.0</v>
      </c>
      <c r="AB39" s="42">
        <v>0.0</v>
      </c>
      <c r="AC39" s="43"/>
      <c r="AD39" s="42">
        <v>0.0</v>
      </c>
      <c r="AF39" s="42">
        <v>0.0</v>
      </c>
      <c r="AH39" s="42">
        <v>0.0</v>
      </c>
      <c r="AJ39" s="41"/>
      <c r="AK39" s="43"/>
      <c r="AL39" s="46">
        <v>0.0</v>
      </c>
      <c r="AM39" s="43"/>
      <c r="AN39" s="41"/>
      <c r="AO39" s="43"/>
      <c r="AP39" s="41"/>
      <c r="AQ39" s="43"/>
      <c r="AR39" s="41"/>
      <c r="AS39" s="43"/>
      <c r="AT39" s="42"/>
      <c r="AV39" s="42"/>
      <c r="AW39" s="43"/>
      <c r="AX39" s="54">
        <f t="shared" si="1"/>
        <v>6450.2</v>
      </c>
      <c r="AY39" s="52">
        <f t="shared" si="2"/>
        <v>520</v>
      </c>
      <c r="AZ39" s="52">
        <v>0.0</v>
      </c>
      <c r="BA39" s="52">
        <f t="shared" si="3"/>
        <v>520</v>
      </c>
      <c r="BB39" s="49">
        <f t="shared" si="4"/>
        <v>12.40423077</v>
      </c>
    </row>
    <row r="40" ht="15.75" customHeight="1">
      <c r="A40" s="50" t="s">
        <v>49</v>
      </c>
      <c r="B40" s="51">
        <f t="shared" si="5"/>
        <v>45693</v>
      </c>
      <c r="C40" s="52">
        <v>2.0</v>
      </c>
      <c r="D40" s="52" t="s">
        <v>65</v>
      </c>
      <c r="E40" s="53"/>
      <c r="F40" s="41">
        <v>30.0</v>
      </c>
      <c r="H40" s="42">
        <v>30.0</v>
      </c>
      <c r="J40" s="42">
        <v>0.0</v>
      </c>
      <c r="L40" s="42">
        <v>0.0</v>
      </c>
      <c r="N40" s="42">
        <v>0.0</v>
      </c>
      <c r="P40" s="42">
        <v>0.0</v>
      </c>
      <c r="Q40" s="43"/>
      <c r="R40" s="41">
        <v>230.0</v>
      </c>
      <c r="T40" s="42">
        <v>230.0</v>
      </c>
      <c r="V40" s="42">
        <v>0.0</v>
      </c>
      <c r="X40" s="42">
        <v>0.0</v>
      </c>
      <c r="Z40" s="42">
        <v>0.0</v>
      </c>
      <c r="AB40" s="42">
        <v>0.0</v>
      </c>
      <c r="AC40" s="43"/>
      <c r="AD40" s="42">
        <v>0.0</v>
      </c>
      <c r="AF40" s="42">
        <v>0.0</v>
      </c>
      <c r="AH40" s="42">
        <v>0.0</v>
      </c>
      <c r="AJ40" s="41"/>
      <c r="AK40" s="43"/>
      <c r="AL40" s="46">
        <v>0.0</v>
      </c>
      <c r="AM40" s="43"/>
      <c r="AN40" s="41"/>
      <c r="AO40" s="43"/>
      <c r="AP40" s="41"/>
      <c r="AQ40" s="43"/>
      <c r="AR40" s="41"/>
      <c r="AS40" s="43"/>
      <c r="AT40" s="42"/>
      <c r="AV40" s="42"/>
      <c r="AW40" s="43"/>
      <c r="AX40" s="54">
        <f t="shared" si="1"/>
        <v>6450.2</v>
      </c>
      <c r="AY40" s="52">
        <f t="shared" si="2"/>
        <v>520</v>
      </c>
      <c r="AZ40" s="52">
        <v>0.0</v>
      </c>
      <c r="BA40" s="52">
        <f t="shared" si="3"/>
        <v>520</v>
      </c>
      <c r="BB40" s="49">
        <f t="shared" si="4"/>
        <v>12.40423077</v>
      </c>
    </row>
    <row r="41" ht="15.75" customHeight="1">
      <c r="A41" s="50" t="s">
        <v>50</v>
      </c>
      <c r="B41" s="51">
        <f t="shared" si="5"/>
        <v>45694</v>
      </c>
      <c r="C41" s="52">
        <v>2.0</v>
      </c>
      <c r="D41" s="52" t="s">
        <v>65</v>
      </c>
      <c r="E41" s="53"/>
      <c r="F41" s="41">
        <v>30.0</v>
      </c>
      <c r="H41" s="42">
        <v>30.0</v>
      </c>
      <c r="J41" s="42">
        <v>0.0</v>
      </c>
      <c r="L41" s="42">
        <v>0.0</v>
      </c>
      <c r="N41" s="42">
        <v>0.0</v>
      </c>
      <c r="P41" s="42">
        <v>0.0</v>
      </c>
      <c r="Q41" s="43"/>
      <c r="R41" s="41">
        <v>230.0</v>
      </c>
      <c r="T41" s="42">
        <v>230.0</v>
      </c>
      <c r="V41" s="42">
        <v>0.0</v>
      </c>
      <c r="X41" s="42">
        <v>0.0</v>
      </c>
      <c r="Z41" s="42">
        <v>0.0</v>
      </c>
      <c r="AB41" s="42">
        <v>0.0</v>
      </c>
      <c r="AC41" s="43"/>
      <c r="AD41" s="42">
        <v>0.0</v>
      </c>
      <c r="AF41" s="42">
        <v>0.0</v>
      </c>
      <c r="AH41" s="42">
        <v>0.0</v>
      </c>
      <c r="AJ41" s="41"/>
      <c r="AK41" s="43"/>
      <c r="AL41" s="46">
        <v>0.0</v>
      </c>
      <c r="AM41" s="43"/>
      <c r="AN41" s="41"/>
      <c r="AO41" s="43"/>
      <c r="AP41" s="41"/>
      <c r="AQ41" s="43"/>
      <c r="AR41" s="41"/>
      <c r="AS41" s="43"/>
      <c r="AT41" s="42"/>
      <c r="AV41" s="42"/>
      <c r="AW41" s="43"/>
      <c r="AX41" s="54">
        <f t="shared" si="1"/>
        <v>6450.2</v>
      </c>
      <c r="AY41" s="52">
        <f t="shared" si="2"/>
        <v>520</v>
      </c>
      <c r="AZ41" s="52">
        <v>0.0</v>
      </c>
      <c r="BA41" s="52">
        <f t="shared" si="3"/>
        <v>520</v>
      </c>
      <c r="BB41" s="49">
        <f t="shared" si="4"/>
        <v>12.40423077</v>
      </c>
    </row>
    <row r="42" ht="15.75" customHeight="1">
      <c r="A42" s="50" t="s">
        <v>53</v>
      </c>
      <c r="B42" s="51">
        <f t="shared" si="5"/>
        <v>45695</v>
      </c>
      <c r="C42" s="52">
        <v>2.0</v>
      </c>
      <c r="D42" s="52" t="s">
        <v>65</v>
      </c>
      <c r="E42" s="53"/>
      <c r="F42" s="41">
        <v>30.0</v>
      </c>
      <c r="H42" s="42">
        <v>30.0</v>
      </c>
      <c r="J42" s="42">
        <v>0.0</v>
      </c>
      <c r="L42" s="42">
        <v>0.0</v>
      </c>
      <c r="N42" s="42">
        <v>0.0</v>
      </c>
      <c r="P42" s="42">
        <v>0.0</v>
      </c>
      <c r="Q42" s="43"/>
      <c r="R42" s="41">
        <v>230.0</v>
      </c>
      <c r="T42" s="42">
        <v>230.0</v>
      </c>
      <c r="V42" s="42">
        <v>0.0</v>
      </c>
      <c r="X42" s="42">
        <v>0.0</v>
      </c>
      <c r="Z42" s="42">
        <v>0.0</v>
      </c>
      <c r="AB42" s="42">
        <v>0.0</v>
      </c>
      <c r="AC42" s="43"/>
      <c r="AD42" s="42">
        <v>0.0</v>
      </c>
      <c r="AF42" s="42">
        <v>0.0</v>
      </c>
      <c r="AH42" s="42">
        <v>0.0</v>
      </c>
      <c r="AJ42" s="41"/>
      <c r="AK42" s="43"/>
      <c r="AL42" s="46">
        <v>0.0</v>
      </c>
      <c r="AM42" s="43"/>
      <c r="AN42" s="41"/>
      <c r="AO42" s="43"/>
      <c r="AP42" s="41"/>
      <c r="AQ42" s="43"/>
      <c r="AR42" s="41"/>
      <c r="AS42" s="43"/>
      <c r="AT42" s="42"/>
      <c r="AV42" s="42"/>
      <c r="AW42" s="43"/>
      <c r="AX42" s="54">
        <f t="shared" si="1"/>
        <v>6450.2</v>
      </c>
      <c r="AY42" s="52">
        <f t="shared" si="2"/>
        <v>520</v>
      </c>
      <c r="AZ42" s="52">
        <v>0.0</v>
      </c>
      <c r="BA42" s="52">
        <f t="shared" si="3"/>
        <v>520</v>
      </c>
      <c r="BB42" s="49">
        <f t="shared" si="4"/>
        <v>12.40423077</v>
      </c>
    </row>
    <row r="43" ht="15.75" customHeight="1">
      <c r="A43" s="50" t="s">
        <v>54</v>
      </c>
      <c r="B43" s="51">
        <f t="shared" si="5"/>
        <v>45696</v>
      </c>
      <c r="C43" s="52">
        <v>2.0</v>
      </c>
      <c r="D43" s="52" t="s">
        <v>65</v>
      </c>
      <c r="E43" s="53"/>
      <c r="F43" s="41">
        <v>30.0</v>
      </c>
      <c r="H43" s="42">
        <v>30.0</v>
      </c>
      <c r="J43" s="42">
        <v>0.0</v>
      </c>
      <c r="L43" s="42">
        <v>0.0</v>
      </c>
      <c r="N43" s="42">
        <v>0.0</v>
      </c>
      <c r="P43" s="42">
        <v>0.0</v>
      </c>
      <c r="Q43" s="43"/>
      <c r="R43" s="41">
        <v>230.0</v>
      </c>
      <c r="T43" s="42">
        <v>230.0</v>
      </c>
      <c r="V43" s="42">
        <v>0.0</v>
      </c>
      <c r="X43" s="42">
        <v>0.0</v>
      </c>
      <c r="Z43" s="42">
        <v>0.0</v>
      </c>
      <c r="AB43" s="42">
        <v>0.0</v>
      </c>
      <c r="AC43" s="43"/>
      <c r="AD43" s="42">
        <v>0.0</v>
      </c>
      <c r="AF43" s="42">
        <v>0.0</v>
      </c>
      <c r="AH43" s="42">
        <v>0.0</v>
      </c>
      <c r="AJ43" s="41"/>
      <c r="AK43" s="43"/>
      <c r="AL43" s="46">
        <v>0.0</v>
      </c>
      <c r="AM43" s="43"/>
      <c r="AN43" s="41"/>
      <c r="AO43" s="43"/>
      <c r="AP43" s="41"/>
      <c r="AQ43" s="43"/>
      <c r="AR43" s="41"/>
      <c r="AS43" s="43"/>
      <c r="AT43" s="42"/>
      <c r="AV43" s="42"/>
      <c r="AW43" s="43"/>
      <c r="AX43" s="54">
        <f t="shared" si="1"/>
        <v>6450.2</v>
      </c>
      <c r="AY43" s="52">
        <f t="shared" si="2"/>
        <v>520</v>
      </c>
      <c r="AZ43" s="52">
        <v>0.0</v>
      </c>
      <c r="BA43" s="52">
        <f t="shared" si="3"/>
        <v>520</v>
      </c>
      <c r="BB43" s="49">
        <f t="shared" si="4"/>
        <v>12.40423077</v>
      </c>
    </row>
    <row r="44" ht="15.75" customHeight="1">
      <c r="A44" s="59" t="s">
        <v>61</v>
      </c>
      <c r="B44" s="61">
        <f t="shared" si="5"/>
        <v>45697</v>
      </c>
      <c r="C44" s="63">
        <v>2.0</v>
      </c>
      <c r="D44" s="63" t="s">
        <v>65</v>
      </c>
      <c r="E44" s="64"/>
      <c r="F44" s="65">
        <v>0.0</v>
      </c>
      <c r="G44" s="66"/>
      <c r="H44" s="67">
        <v>0.0</v>
      </c>
      <c r="I44" s="66"/>
      <c r="J44" s="67">
        <v>0.0</v>
      </c>
      <c r="K44" s="66"/>
      <c r="L44" s="67">
        <v>0.0</v>
      </c>
      <c r="M44" s="66"/>
      <c r="N44" s="67">
        <v>0.0</v>
      </c>
      <c r="O44" s="66"/>
      <c r="P44" s="67">
        <v>0.0</v>
      </c>
      <c r="Q44" s="68"/>
      <c r="R44" s="65">
        <v>0.0</v>
      </c>
      <c r="S44" s="66"/>
      <c r="T44" s="67">
        <v>0.0</v>
      </c>
      <c r="U44" s="66"/>
      <c r="V44" s="67">
        <v>0.0</v>
      </c>
      <c r="W44" s="66"/>
      <c r="X44" s="67">
        <v>0.0</v>
      </c>
      <c r="Y44" s="66"/>
      <c r="Z44" s="67">
        <v>0.0</v>
      </c>
      <c r="AA44" s="66"/>
      <c r="AB44" s="67">
        <v>0.0</v>
      </c>
      <c r="AC44" s="68"/>
      <c r="AD44" s="67">
        <v>0.0</v>
      </c>
      <c r="AE44" s="66"/>
      <c r="AF44" s="67">
        <v>0.0</v>
      </c>
      <c r="AG44" s="66"/>
      <c r="AH44" s="67">
        <v>0.0</v>
      </c>
      <c r="AI44" s="66"/>
      <c r="AJ44" s="65"/>
      <c r="AK44" s="68"/>
      <c r="AL44" s="71">
        <v>0.0</v>
      </c>
      <c r="AM44" s="68"/>
      <c r="AN44" s="65"/>
      <c r="AO44" s="68"/>
      <c r="AP44" s="65"/>
      <c r="AQ44" s="68"/>
      <c r="AR44" s="65"/>
      <c r="AS44" s="68"/>
      <c r="AT44" s="67"/>
      <c r="AU44" s="66"/>
      <c r="AV44" s="67"/>
      <c r="AW44" s="68"/>
      <c r="AX44" s="73">
        <f t="shared" si="1"/>
        <v>0</v>
      </c>
      <c r="AY44" s="63">
        <f t="shared" si="2"/>
        <v>0</v>
      </c>
      <c r="AZ44" s="63">
        <v>0.0</v>
      </c>
      <c r="BA44" s="63">
        <f t="shared" si="3"/>
        <v>0</v>
      </c>
      <c r="BB44" s="74" t="str">
        <f t="shared" si="4"/>
        <v/>
      </c>
    </row>
    <row r="45" ht="15.75" customHeight="1">
      <c r="A45" s="36" t="s">
        <v>46</v>
      </c>
      <c r="B45" s="75">
        <f t="shared" si="5"/>
        <v>45698</v>
      </c>
      <c r="C45" s="38">
        <v>2.0</v>
      </c>
      <c r="D45" s="38" t="s">
        <v>69</v>
      </c>
      <c r="E45" s="82" t="s">
        <v>74</v>
      </c>
      <c r="F45" s="41">
        <v>110.0</v>
      </c>
      <c r="H45" s="42">
        <v>110.0</v>
      </c>
      <c r="J45" s="42">
        <v>0.0</v>
      </c>
      <c r="L45" s="42">
        <v>0.0</v>
      </c>
      <c r="N45" s="42">
        <v>0.0</v>
      </c>
      <c r="P45" s="91"/>
      <c r="Q45" s="43"/>
      <c r="R45" s="41">
        <v>240.0</v>
      </c>
      <c r="T45" s="42">
        <v>240.0</v>
      </c>
      <c r="V45" s="42">
        <v>0.0</v>
      </c>
      <c r="X45" s="42">
        <v>0.0</v>
      </c>
      <c r="Z45" s="42">
        <v>0.0</v>
      </c>
      <c r="AB45" s="42">
        <v>0.0</v>
      </c>
      <c r="AC45" s="43"/>
      <c r="AD45" s="42">
        <v>0.0</v>
      </c>
      <c r="AF45" s="42">
        <v>0.0</v>
      </c>
      <c r="AH45" s="42">
        <v>0.0</v>
      </c>
      <c r="AJ45" s="41"/>
      <c r="AK45" s="43"/>
      <c r="AL45" s="46">
        <v>0.0</v>
      </c>
      <c r="AM45" s="43"/>
      <c r="AN45" s="41"/>
      <c r="AO45" s="43"/>
      <c r="AP45" s="41"/>
      <c r="AQ45" s="43"/>
      <c r="AR45" s="41"/>
      <c r="AS45" s="43"/>
      <c r="AT45" s="42"/>
      <c r="AV45" s="42"/>
      <c r="AW45" s="43"/>
      <c r="AX45" s="47">
        <f t="shared" si="1"/>
        <v>10232.6</v>
      </c>
      <c r="AY45" s="38">
        <f t="shared" si="2"/>
        <v>700</v>
      </c>
      <c r="AZ45" s="38">
        <v>0.0</v>
      </c>
      <c r="BA45" s="38">
        <f t="shared" si="3"/>
        <v>700</v>
      </c>
      <c r="BB45" s="76">
        <f t="shared" si="4"/>
        <v>14.618</v>
      </c>
    </row>
    <row r="46" ht="15.75" customHeight="1">
      <c r="A46" s="50" t="s">
        <v>48</v>
      </c>
      <c r="B46" s="51">
        <f t="shared" si="5"/>
        <v>45699</v>
      </c>
      <c r="C46" s="52">
        <v>2.0</v>
      </c>
      <c r="D46" s="52" t="s">
        <v>69</v>
      </c>
      <c r="E46" s="53"/>
      <c r="F46" s="41">
        <v>110.0</v>
      </c>
      <c r="H46" s="42">
        <v>110.0</v>
      </c>
      <c r="J46" s="42">
        <v>0.0</v>
      </c>
      <c r="L46" s="42">
        <v>0.0</v>
      </c>
      <c r="N46" s="42">
        <v>0.0</v>
      </c>
      <c r="P46" s="42">
        <v>0.0</v>
      </c>
      <c r="Q46" s="43"/>
      <c r="R46" s="41">
        <v>240.0</v>
      </c>
      <c r="T46" s="42">
        <v>240.0</v>
      </c>
      <c r="V46" s="42">
        <v>0.0</v>
      </c>
      <c r="X46" s="42">
        <v>0.0</v>
      </c>
      <c r="Z46" s="42">
        <v>0.0</v>
      </c>
      <c r="AB46" s="42">
        <v>0.0</v>
      </c>
      <c r="AC46" s="43"/>
      <c r="AD46" s="42">
        <v>0.0</v>
      </c>
      <c r="AF46" s="42">
        <v>0.0</v>
      </c>
      <c r="AH46" s="42">
        <v>0.0</v>
      </c>
      <c r="AJ46" s="41"/>
      <c r="AK46" s="43"/>
      <c r="AL46" s="46">
        <v>0.0</v>
      </c>
      <c r="AM46" s="43"/>
      <c r="AN46" s="41"/>
      <c r="AO46" s="43"/>
      <c r="AP46" s="41"/>
      <c r="AQ46" s="43"/>
      <c r="AR46" s="41"/>
      <c r="AS46" s="43"/>
      <c r="AT46" s="42"/>
      <c r="AV46" s="42"/>
      <c r="AW46" s="43"/>
      <c r="AX46" s="54">
        <f t="shared" si="1"/>
        <v>10232.6</v>
      </c>
      <c r="AY46" s="52">
        <f t="shared" si="2"/>
        <v>700</v>
      </c>
      <c r="AZ46" s="52">
        <v>0.0</v>
      </c>
      <c r="BA46" s="52">
        <f t="shared" si="3"/>
        <v>700</v>
      </c>
      <c r="BB46" s="49">
        <f t="shared" si="4"/>
        <v>14.618</v>
      </c>
    </row>
    <row r="47" ht="15.75" customHeight="1">
      <c r="A47" s="50" t="s">
        <v>49</v>
      </c>
      <c r="B47" s="51">
        <f t="shared" si="5"/>
        <v>45700</v>
      </c>
      <c r="C47" s="52">
        <v>2.0</v>
      </c>
      <c r="D47" s="52" t="s">
        <v>69</v>
      </c>
      <c r="E47" s="92"/>
      <c r="F47" s="41">
        <v>110.0</v>
      </c>
      <c r="H47" s="42">
        <v>110.0</v>
      </c>
      <c r="J47" s="42">
        <v>0.0</v>
      </c>
      <c r="L47" s="42">
        <v>0.0</v>
      </c>
      <c r="N47" s="42">
        <v>0.0</v>
      </c>
      <c r="P47" s="42">
        <v>0.0</v>
      </c>
      <c r="Q47" s="43"/>
      <c r="R47" s="41">
        <v>240.0</v>
      </c>
      <c r="T47" s="42">
        <v>240.0</v>
      </c>
      <c r="V47" s="42">
        <v>0.0</v>
      </c>
      <c r="X47" s="42">
        <v>0.0</v>
      </c>
      <c r="Z47" s="42">
        <v>0.0</v>
      </c>
      <c r="AB47" s="42">
        <v>0.0</v>
      </c>
      <c r="AC47" s="43"/>
      <c r="AD47" s="42">
        <v>0.0</v>
      </c>
      <c r="AF47" s="42">
        <v>0.0</v>
      </c>
      <c r="AH47" s="42">
        <v>0.0</v>
      </c>
      <c r="AJ47" s="41"/>
      <c r="AK47" s="43"/>
      <c r="AL47" s="46">
        <v>0.0</v>
      </c>
      <c r="AM47" s="43"/>
      <c r="AN47" s="41"/>
      <c r="AO47" s="43"/>
      <c r="AP47" s="41"/>
      <c r="AQ47" s="43"/>
      <c r="AR47" s="41"/>
      <c r="AS47" s="43"/>
      <c r="AT47" s="42"/>
      <c r="AV47" s="42"/>
      <c r="AW47" s="43"/>
      <c r="AX47" s="54">
        <f t="shared" si="1"/>
        <v>10232.6</v>
      </c>
      <c r="AY47" s="52">
        <f t="shared" si="2"/>
        <v>700</v>
      </c>
      <c r="AZ47" s="52">
        <v>0.0</v>
      </c>
      <c r="BA47" s="52">
        <f t="shared" si="3"/>
        <v>700</v>
      </c>
      <c r="BB47" s="49">
        <f t="shared" si="4"/>
        <v>14.618</v>
      </c>
    </row>
    <row r="48" ht="15.75" customHeight="1">
      <c r="A48" s="50" t="s">
        <v>50</v>
      </c>
      <c r="B48" s="51">
        <f t="shared" si="5"/>
        <v>45701</v>
      </c>
      <c r="C48" s="52">
        <v>2.0</v>
      </c>
      <c r="D48" s="52" t="s">
        <v>69</v>
      </c>
      <c r="E48" s="53"/>
      <c r="F48" s="41">
        <v>140.0</v>
      </c>
      <c r="H48" s="42">
        <v>140.0</v>
      </c>
      <c r="J48" s="42">
        <v>0.0</v>
      </c>
      <c r="L48" s="42">
        <v>0.0</v>
      </c>
      <c r="N48" s="42">
        <v>0.0</v>
      </c>
      <c r="P48" s="42">
        <v>0.0</v>
      </c>
      <c r="Q48" s="43"/>
      <c r="R48" s="41">
        <v>240.0</v>
      </c>
      <c r="T48" s="42">
        <v>240.0</v>
      </c>
      <c r="V48" s="42">
        <v>0.0</v>
      </c>
      <c r="X48" s="42">
        <v>0.0</v>
      </c>
      <c r="Z48" s="42">
        <v>0.0</v>
      </c>
      <c r="AB48" s="42">
        <v>0.0</v>
      </c>
      <c r="AC48" s="43"/>
      <c r="AD48" s="42">
        <v>0.0</v>
      </c>
      <c r="AF48" s="42">
        <v>0.0</v>
      </c>
      <c r="AH48" s="42">
        <v>0.0</v>
      </c>
      <c r="AJ48" s="41"/>
      <c r="AK48" s="43"/>
      <c r="AL48" s="46">
        <v>0.0</v>
      </c>
      <c r="AM48" s="43"/>
      <c r="AN48" s="41"/>
      <c r="AO48" s="43"/>
      <c r="AP48" s="41"/>
      <c r="AQ48" s="43"/>
      <c r="AR48" s="41"/>
      <c r="AS48" s="43"/>
      <c r="AT48" s="42"/>
      <c r="AV48" s="42"/>
      <c r="AW48" s="43"/>
      <c r="AX48" s="54">
        <f t="shared" si="1"/>
        <v>11567.6</v>
      </c>
      <c r="AY48" s="52">
        <f t="shared" si="2"/>
        <v>760</v>
      </c>
      <c r="AZ48" s="52">
        <v>0.0</v>
      </c>
      <c r="BA48" s="52">
        <f t="shared" si="3"/>
        <v>760</v>
      </c>
      <c r="BB48" s="49">
        <f t="shared" si="4"/>
        <v>15.22052632</v>
      </c>
    </row>
    <row r="49" ht="15.75" customHeight="1">
      <c r="A49" s="50" t="s">
        <v>53</v>
      </c>
      <c r="B49" s="51">
        <f t="shared" si="5"/>
        <v>45702</v>
      </c>
      <c r="C49" s="52">
        <v>2.0</v>
      </c>
      <c r="D49" s="52" t="s">
        <v>69</v>
      </c>
      <c r="E49" s="53"/>
      <c r="F49" s="41">
        <v>140.0</v>
      </c>
      <c r="H49" s="42">
        <v>140.0</v>
      </c>
      <c r="J49" s="42">
        <v>0.0</v>
      </c>
      <c r="L49" s="42">
        <v>0.0</v>
      </c>
      <c r="N49" s="42">
        <v>0.0</v>
      </c>
      <c r="P49" s="42">
        <v>0.0</v>
      </c>
      <c r="Q49" s="43"/>
      <c r="R49" s="41">
        <v>240.0</v>
      </c>
      <c r="T49" s="42">
        <v>240.0</v>
      </c>
      <c r="V49" s="42">
        <v>0.0</v>
      </c>
      <c r="X49" s="42">
        <v>0.0</v>
      </c>
      <c r="Z49" s="42">
        <v>0.0</v>
      </c>
      <c r="AB49" s="42">
        <v>0.0</v>
      </c>
      <c r="AC49" s="43"/>
      <c r="AD49" s="42">
        <v>0.0</v>
      </c>
      <c r="AF49" s="42">
        <v>0.0</v>
      </c>
      <c r="AH49" s="42">
        <v>0.0</v>
      </c>
      <c r="AJ49" s="41"/>
      <c r="AK49" s="43"/>
      <c r="AL49" s="46">
        <v>0.0</v>
      </c>
      <c r="AM49" s="43"/>
      <c r="AN49" s="41"/>
      <c r="AO49" s="43"/>
      <c r="AP49" s="41"/>
      <c r="AQ49" s="43"/>
      <c r="AR49" s="41"/>
      <c r="AS49" s="43"/>
      <c r="AT49" s="42"/>
      <c r="AV49" s="42"/>
      <c r="AW49" s="43"/>
      <c r="AX49" s="54">
        <f t="shared" si="1"/>
        <v>11567.6</v>
      </c>
      <c r="AY49" s="52">
        <f t="shared" si="2"/>
        <v>760</v>
      </c>
      <c r="AZ49" s="52">
        <v>0.0</v>
      </c>
      <c r="BA49" s="52">
        <f t="shared" si="3"/>
        <v>760</v>
      </c>
      <c r="BB49" s="49">
        <f t="shared" si="4"/>
        <v>15.22052632</v>
      </c>
    </row>
    <row r="50" ht="15.75" customHeight="1">
      <c r="A50" s="50" t="s">
        <v>54</v>
      </c>
      <c r="B50" s="51">
        <f t="shared" si="5"/>
        <v>45703</v>
      </c>
      <c r="C50" s="52">
        <v>2.0</v>
      </c>
      <c r="D50" s="52" t="s">
        <v>69</v>
      </c>
      <c r="E50" s="53"/>
      <c r="F50" s="41">
        <v>140.0</v>
      </c>
      <c r="H50" s="42">
        <v>140.0</v>
      </c>
      <c r="J50" s="42">
        <v>0.0</v>
      </c>
      <c r="L50" s="42">
        <v>0.0</v>
      </c>
      <c r="N50" s="42">
        <v>0.0</v>
      </c>
      <c r="P50" s="42">
        <v>0.0</v>
      </c>
      <c r="Q50" s="43"/>
      <c r="R50" s="41">
        <v>240.0</v>
      </c>
      <c r="T50" s="42">
        <v>240.0</v>
      </c>
      <c r="V50" s="42">
        <v>0.0</v>
      </c>
      <c r="X50" s="42">
        <v>0.0</v>
      </c>
      <c r="Z50" s="42">
        <v>0.0</v>
      </c>
      <c r="AB50" s="42">
        <v>0.0</v>
      </c>
      <c r="AC50" s="43"/>
      <c r="AD50" s="42">
        <v>0.0</v>
      </c>
      <c r="AF50" s="42">
        <v>0.0</v>
      </c>
      <c r="AH50" s="42">
        <v>0.0</v>
      </c>
      <c r="AJ50" s="41"/>
      <c r="AK50" s="43"/>
      <c r="AL50" s="46">
        <v>0.0</v>
      </c>
      <c r="AM50" s="43"/>
      <c r="AN50" s="41"/>
      <c r="AO50" s="43"/>
      <c r="AP50" s="41"/>
      <c r="AQ50" s="43"/>
      <c r="AR50" s="41"/>
      <c r="AS50" s="43"/>
      <c r="AT50" s="42"/>
      <c r="AV50" s="42"/>
      <c r="AW50" s="43"/>
      <c r="AX50" s="54">
        <f t="shared" si="1"/>
        <v>11567.6</v>
      </c>
      <c r="AY50" s="52">
        <f t="shared" si="2"/>
        <v>760</v>
      </c>
      <c r="AZ50" s="52">
        <v>0.0</v>
      </c>
      <c r="BA50" s="52">
        <f t="shared" si="3"/>
        <v>760</v>
      </c>
      <c r="BB50" s="49">
        <f t="shared" si="4"/>
        <v>15.22052632</v>
      </c>
    </row>
    <row r="51" ht="15.75" customHeight="1">
      <c r="A51" s="59" t="s">
        <v>61</v>
      </c>
      <c r="B51" s="61">
        <f t="shared" si="5"/>
        <v>45704</v>
      </c>
      <c r="C51" s="63">
        <v>2.0</v>
      </c>
      <c r="D51" s="63" t="s">
        <v>69</v>
      </c>
      <c r="E51" s="64"/>
      <c r="F51" s="65">
        <v>140.0</v>
      </c>
      <c r="G51" s="66"/>
      <c r="H51" s="67">
        <v>140.0</v>
      </c>
      <c r="I51" s="66"/>
      <c r="J51" s="67">
        <v>0.0</v>
      </c>
      <c r="K51" s="66"/>
      <c r="L51" s="67">
        <v>0.0</v>
      </c>
      <c r="M51" s="66"/>
      <c r="N51" s="67">
        <v>0.0</v>
      </c>
      <c r="O51" s="66"/>
      <c r="P51" s="67">
        <v>0.0</v>
      </c>
      <c r="Q51" s="68"/>
      <c r="R51" s="65">
        <v>0.0</v>
      </c>
      <c r="S51" s="66"/>
      <c r="T51" s="67">
        <v>0.0</v>
      </c>
      <c r="U51" s="66"/>
      <c r="V51" s="67">
        <v>0.0</v>
      </c>
      <c r="W51" s="66"/>
      <c r="X51" s="67">
        <v>0.0</v>
      </c>
      <c r="Y51" s="66"/>
      <c r="Z51" s="67">
        <v>0.0</v>
      </c>
      <c r="AA51" s="66"/>
      <c r="AB51" s="67">
        <v>0.0</v>
      </c>
      <c r="AC51" s="68"/>
      <c r="AD51" s="67">
        <v>0.0</v>
      </c>
      <c r="AE51" s="66"/>
      <c r="AF51" s="67">
        <v>0.0</v>
      </c>
      <c r="AG51" s="66"/>
      <c r="AH51" s="67">
        <v>0.0</v>
      </c>
      <c r="AI51" s="66"/>
      <c r="AJ51" s="65"/>
      <c r="AK51" s="68"/>
      <c r="AL51" s="71">
        <v>0.0</v>
      </c>
      <c r="AM51" s="68"/>
      <c r="AN51" s="65"/>
      <c r="AO51" s="68"/>
      <c r="AP51" s="65"/>
      <c r="AQ51" s="68"/>
      <c r="AR51" s="65"/>
      <c r="AS51" s="68"/>
      <c r="AT51" s="67"/>
      <c r="AU51" s="66"/>
      <c r="AV51" s="67"/>
      <c r="AW51" s="68"/>
      <c r="AX51" s="73">
        <f t="shared" si="1"/>
        <v>6230</v>
      </c>
      <c r="AY51" s="63">
        <f t="shared" si="2"/>
        <v>280</v>
      </c>
      <c r="AZ51" s="63">
        <v>0.0</v>
      </c>
      <c r="BA51" s="63">
        <f t="shared" si="3"/>
        <v>280</v>
      </c>
      <c r="BB51" s="74">
        <f t="shared" si="4"/>
        <v>22.25</v>
      </c>
    </row>
    <row r="52" ht="15.75" customHeight="1">
      <c r="A52" s="36" t="s">
        <v>46</v>
      </c>
      <c r="B52" s="75">
        <f t="shared" si="5"/>
        <v>45705</v>
      </c>
      <c r="C52" s="38">
        <v>2.0</v>
      </c>
      <c r="D52" s="38" t="s">
        <v>72</v>
      </c>
      <c r="E52" s="40"/>
      <c r="F52" s="41">
        <v>140.0</v>
      </c>
      <c r="H52" s="42">
        <v>140.0</v>
      </c>
      <c r="J52" s="42">
        <v>0.0</v>
      </c>
      <c r="L52" s="42">
        <v>0.0</v>
      </c>
      <c r="N52" s="42">
        <v>0.0</v>
      </c>
      <c r="P52" s="42">
        <v>0.0</v>
      </c>
      <c r="Q52" s="43"/>
      <c r="R52" s="41">
        <v>246.0</v>
      </c>
      <c r="T52" s="42">
        <v>246.0</v>
      </c>
      <c r="V52" s="42">
        <v>0.0</v>
      </c>
      <c r="X52" s="42">
        <v>0.0</v>
      </c>
      <c r="Z52" s="42">
        <v>0.0</v>
      </c>
      <c r="AB52" s="42">
        <v>0.0</v>
      </c>
      <c r="AC52" s="43"/>
      <c r="AD52" s="42">
        <v>0.0</v>
      </c>
      <c r="AF52" s="42">
        <v>0.0</v>
      </c>
      <c r="AH52" s="42">
        <v>0.0</v>
      </c>
      <c r="AJ52" s="41"/>
      <c r="AK52" s="43"/>
      <c r="AL52" s="46">
        <v>0.0</v>
      </c>
      <c r="AM52" s="43"/>
      <c r="AN52" s="41"/>
      <c r="AO52" s="43"/>
      <c r="AP52" s="41"/>
      <c r="AQ52" s="43"/>
      <c r="AR52" s="41"/>
      <c r="AS52" s="43"/>
      <c r="AT52" s="42"/>
      <c r="AV52" s="42"/>
      <c r="AW52" s="43"/>
      <c r="AX52" s="47">
        <f t="shared" si="1"/>
        <v>11701.04</v>
      </c>
      <c r="AY52" s="38">
        <f t="shared" si="2"/>
        <v>772</v>
      </c>
      <c r="AZ52" s="38">
        <v>0.0</v>
      </c>
      <c r="BA52" s="38">
        <f t="shared" si="3"/>
        <v>772</v>
      </c>
      <c r="BB52" s="76">
        <f t="shared" si="4"/>
        <v>15.15678756</v>
      </c>
    </row>
    <row r="53" ht="15.75" customHeight="1">
      <c r="A53" s="50" t="s">
        <v>48</v>
      </c>
      <c r="B53" s="51">
        <f t="shared" si="5"/>
        <v>45706</v>
      </c>
      <c r="C53" s="52">
        <v>2.0</v>
      </c>
      <c r="D53" s="52" t="s">
        <v>72</v>
      </c>
      <c r="E53" s="53"/>
      <c r="F53" s="41">
        <v>150.0</v>
      </c>
      <c r="H53" s="42">
        <v>150.0</v>
      </c>
      <c r="J53" s="42">
        <v>0.0</v>
      </c>
      <c r="L53" s="42">
        <v>0.0</v>
      </c>
      <c r="N53" s="42">
        <v>0.0</v>
      </c>
      <c r="P53" s="42">
        <v>0.0</v>
      </c>
      <c r="Q53" s="43"/>
      <c r="R53" s="41">
        <v>246.0</v>
      </c>
      <c r="T53" s="42">
        <v>246.0</v>
      </c>
      <c r="V53" s="42">
        <v>0.0</v>
      </c>
      <c r="X53" s="42">
        <v>0.0</v>
      </c>
      <c r="Z53" s="42">
        <v>0.0</v>
      </c>
      <c r="AB53" s="42">
        <v>0.0</v>
      </c>
      <c r="AC53" s="43"/>
      <c r="AD53" s="42">
        <v>0.0</v>
      </c>
      <c r="AF53" s="42">
        <v>0.0</v>
      </c>
      <c r="AH53" s="42">
        <v>0.0</v>
      </c>
      <c r="AJ53" s="41"/>
      <c r="AK53" s="43"/>
      <c r="AL53" s="46">
        <v>0.0</v>
      </c>
      <c r="AM53" s="43"/>
      <c r="AN53" s="41"/>
      <c r="AO53" s="43"/>
      <c r="AP53" s="41"/>
      <c r="AQ53" s="43"/>
      <c r="AR53" s="41"/>
      <c r="AS53" s="43"/>
      <c r="AT53" s="42"/>
      <c r="AV53" s="42"/>
      <c r="AW53" s="43"/>
      <c r="AX53" s="54">
        <f t="shared" si="1"/>
        <v>12146.04</v>
      </c>
      <c r="AY53" s="52">
        <f t="shared" si="2"/>
        <v>792</v>
      </c>
      <c r="AZ53" s="52">
        <v>0.0</v>
      </c>
      <c r="BA53" s="52">
        <f t="shared" si="3"/>
        <v>792</v>
      </c>
      <c r="BB53" s="49">
        <f t="shared" si="4"/>
        <v>15.33590909</v>
      </c>
    </row>
    <row r="54" ht="15.75" customHeight="1">
      <c r="A54" s="50" t="s">
        <v>49</v>
      </c>
      <c r="B54" s="51">
        <f t="shared" si="5"/>
        <v>45707</v>
      </c>
      <c r="C54" s="52">
        <v>2.0</v>
      </c>
      <c r="D54" s="52" t="s">
        <v>72</v>
      </c>
      <c r="E54" s="53"/>
      <c r="F54" s="41">
        <v>150.0</v>
      </c>
      <c r="H54" s="42">
        <v>150.0</v>
      </c>
      <c r="J54" s="42">
        <v>0.0</v>
      </c>
      <c r="L54" s="42">
        <v>0.0</v>
      </c>
      <c r="N54" s="42">
        <v>0.0</v>
      </c>
      <c r="P54" s="42">
        <v>0.0</v>
      </c>
      <c r="Q54" s="43"/>
      <c r="R54" s="41">
        <v>246.0</v>
      </c>
      <c r="T54" s="42">
        <v>246.0</v>
      </c>
      <c r="V54" s="42">
        <v>0.0</v>
      </c>
      <c r="X54" s="42">
        <v>0.0</v>
      </c>
      <c r="Z54" s="42">
        <v>0.0</v>
      </c>
      <c r="AB54" s="42">
        <v>0.0</v>
      </c>
      <c r="AC54" s="43"/>
      <c r="AD54" s="42">
        <v>0.0</v>
      </c>
      <c r="AF54" s="42">
        <v>0.0</v>
      </c>
      <c r="AH54" s="42">
        <v>0.0</v>
      </c>
      <c r="AJ54" s="41"/>
      <c r="AK54" s="43"/>
      <c r="AL54" s="46">
        <v>0.0</v>
      </c>
      <c r="AM54" s="43"/>
      <c r="AN54" s="41"/>
      <c r="AO54" s="43"/>
      <c r="AP54" s="41"/>
      <c r="AQ54" s="43"/>
      <c r="AR54" s="41"/>
      <c r="AS54" s="43"/>
      <c r="AT54" s="42"/>
      <c r="AV54" s="42"/>
      <c r="AW54" s="43"/>
      <c r="AX54" s="54">
        <f t="shared" si="1"/>
        <v>12146.04</v>
      </c>
      <c r="AY54" s="52">
        <f t="shared" si="2"/>
        <v>792</v>
      </c>
      <c r="AZ54" s="52">
        <v>0.0</v>
      </c>
      <c r="BA54" s="52">
        <f t="shared" si="3"/>
        <v>792</v>
      </c>
      <c r="BB54" s="49">
        <f t="shared" si="4"/>
        <v>15.33590909</v>
      </c>
    </row>
    <row r="55" ht="15.75" customHeight="1">
      <c r="A55" s="50" t="s">
        <v>50</v>
      </c>
      <c r="B55" s="51">
        <f t="shared" si="5"/>
        <v>45708</v>
      </c>
      <c r="C55" s="52">
        <v>2.0</v>
      </c>
      <c r="D55" s="52" t="s">
        <v>72</v>
      </c>
      <c r="E55" s="53"/>
      <c r="F55" s="41">
        <v>150.0</v>
      </c>
      <c r="H55" s="42">
        <v>150.0</v>
      </c>
      <c r="J55" s="42">
        <v>0.0</v>
      </c>
      <c r="L55" s="42">
        <v>0.0</v>
      </c>
      <c r="N55" s="42">
        <v>0.0</v>
      </c>
      <c r="P55" s="42">
        <v>0.0</v>
      </c>
      <c r="Q55" s="43"/>
      <c r="R55" s="41">
        <v>246.0</v>
      </c>
      <c r="T55" s="42">
        <v>246.0</v>
      </c>
      <c r="V55" s="42">
        <v>0.0</v>
      </c>
      <c r="X55" s="42">
        <v>0.0</v>
      </c>
      <c r="Z55" s="42">
        <v>0.0</v>
      </c>
      <c r="AB55" s="42">
        <v>0.0</v>
      </c>
      <c r="AC55" s="43"/>
      <c r="AD55" s="42">
        <v>0.0</v>
      </c>
      <c r="AF55" s="42">
        <v>0.0</v>
      </c>
      <c r="AH55" s="42">
        <v>0.0</v>
      </c>
      <c r="AJ55" s="41"/>
      <c r="AK55" s="43"/>
      <c r="AL55" s="46">
        <v>0.0</v>
      </c>
      <c r="AM55" s="43"/>
      <c r="AN55" s="41"/>
      <c r="AO55" s="43"/>
      <c r="AP55" s="41"/>
      <c r="AQ55" s="43"/>
      <c r="AR55" s="41"/>
      <c r="AS55" s="43"/>
      <c r="AT55" s="42"/>
      <c r="AV55" s="42"/>
      <c r="AW55" s="43"/>
      <c r="AX55" s="54">
        <f t="shared" si="1"/>
        <v>12146.04</v>
      </c>
      <c r="AY55" s="52">
        <f t="shared" si="2"/>
        <v>792</v>
      </c>
      <c r="AZ55" s="52">
        <v>0.0</v>
      </c>
      <c r="BA55" s="52">
        <f t="shared" si="3"/>
        <v>792</v>
      </c>
      <c r="BB55" s="49">
        <f t="shared" si="4"/>
        <v>15.33590909</v>
      </c>
    </row>
    <row r="56" ht="15.75" customHeight="1">
      <c r="A56" s="50" t="s">
        <v>53</v>
      </c>
      <c r="B56" s="51">
        <f t="shared" si="5"/>
        <v>45709</v>
      </c>
      <c r="C56" s="52">
        <v>2.0</v>
      </c>
      <c r="D56" s="52" t="s">
        <v>72</v>
      </c>
      <c r="E56" s="53"/>
      <c r="F56" s="41">
        <v>150.0</v>
      </c>
      <c r="H56" s="42">
        <v>150.0</v>
      </c>
      <c r="J56" s="42">
        <v>0.0</v>
      </c>
      <c r="L56" s="42">
        <v>0.0</v>
      </c>
      <c r="N56" s="42">
        <v>0.0</v>
      </c>
      <c r="P56" s="42">
        <v>0.0</v>
      </c>
      <c r="Q56" s="43"/>
      <c r="R56" s="41">
        <v>246.0</v>
      </c>
      <c r="T56" s="42">
        <v>246.0</v>
      </c>
      <c r="V56" s="42">
        <v>0.0</v>
      </c>
      <c r="X56" s="42">
        <v>0.0</v>
      </c>
      <c r="Z56" s="42">
        <v>0.0</v>
      </c>
      <c r="AB56" s="42">
        <v>0.0</v>
      </c>
      <c r="AC56" s="43"/>
      <c r="AD56" s="42">
        <v>0.0</v>
      </c>
      <c r="AF56" s="42">
        <v>0.0</v>
      </c>
      <c r="AH56" s="42">
        <v>0.0</v>
      </c>
      <c r="AJ56" s="41"/>
      <c r="AK56" s="43"/>
      <c r="AL56" s="46">
        <v>0.0</v>
      </c>
      <c r="AM56" s="43"/>
      <c r="AN56" s="41"/>
      <c r="AO56" s="43"/>
      <c r="AP56" s="41"/>
      <c r="AQ56" s="43"/>
      <c r="AR56" s="41"/>
      <c r="AS56" s="43"/>
      <c r="AT56" s="42"/>
      <c r="AV56" s="42"/>
      <c r="AW56" s="43"/>
      <c r="AX56" s="54">
        <f t="shared" si="1"/>
        <v>12146.04</v>
      </c>
      <c r="AY56" s="52">
        <f t="shared" si="2"/>
        <v>792</v>
      </c>
      <c r="AZ56" s="52">
        <v>0.0</v>
      </c>
      <c r="BA56" s="52">
        <f t="shared" si="3"/>
        <v>792</v>
      </c>
      <c r="BB56" s="49">
        <f t="shared" si="4"/>
        <v>15.33590909</v>
      </c>
    </row>
    <row r="57" ht="15.75" customHeight="1">
      <c r="A57" s="50" t="s">
        <v>54</v>
      </c>
      <c r="B57" s="51">
        <f t="shared" si="5"/>
        <v>45710</v>
      </c>
      <c r="C57" s="52">
        <v>2.0</v>
      </c>
      <c r="D57" s="52" t="s">
        <v>72</v>
      </c>
      <c r="E57" s="92"/>
      <c r="F57" s="41">
        <v>150.0</v>
      </c>
      <c r="H57" s="42">
        <v>150.0</v>
      </c>
      <c r="J57" s="42">
        <v>0.0</v>
      </c>
      <c r="L57" s="42">
        <v>0.0</v>
      </c>
      <c r="N57" s="42">
        <v>75.0</v>
      </c>
      <c r="P57" s="42">
        <v>0.0</v>
      </c>
      <c r="Q57" s="43"/>
      <c r="R57" s="41">
        <v>246.0</v>
      </c>
      <c r="T57" s="42">
        <v>246.0</v>
      </c>
      <c r="V57" s="42">
        <v>0.0</v>
      </c>
      <c r="X57" s="42">
        <v>0.0</v>
      </c>
      <c r="Z57" s="42">
        <v>0.0</v>
      </c>
      <c r="AB57" s="42">
        <v>0.0</v>
      </c>
      <c r="AC57" s="43"/>
      <c r="AD57" s="42">
        <v>0.0</v>
      </c>
      <c r="AF57" s="42">
        <v>0.0</v>
      </c>
      <c r="AH57" s="42">
        <v>0.0</v>
      </c>
      <c r="AJ57" s="41"/>
      <c r="AK57" s="43"/>
      <c r="AL57" s="46">
        <v>0.0</v>
      </c>
      <c r="AM57" s="43"/>
      <c r="AN57" s="41"/>
      <c r="AO57" s="43"/>
      <c r="AP57" s="41"/>
      <c r="AQ57" s="43"/>
      <c r="AR57" s="41"/>
      <c r="AS57" s="43"/>
      <c r="AT57" s="42"/>
      <c r="AV57" s="42"/>
      <c r="AW57" s="43"/>
      <c r="AX57" s="54">
        <f t="shared" si="1"/>
        <v>13814.79</v>
      </c>
      <c r="AY57" s="52">
        <f t="shared" si="2"/>
        <v>867</v>
      </c>
      <c r="AZ57" s="52">
        <v>0.0</v>
      </c>
      <c r="BA57" s="52">
        <f t="shared" si="3"/>
        <v>867</v>
      </c>
      <c r="BB57" s="49">
        <f t="shared" si="4"/>
        <v>15.93401384</v>
      </c>
    </row>
    <row r="58" ht="15.75" customHeight="1">
      <c r="A58" s="59" t="s">
        <v>61</v>
      </c>
      <c r="B58" s="61">
        <f t="shared" si="5"/>
        <v>45711</v>
      </c>
      <c r="C58" s="63">
        <v>2.0</v>
      </c>
      <c r="D58" s="63" t="s">
        <v>72</v>
      </c>
      <c r="E58" s="64"/>
      <c r="F58" s="65">
        <v>150.0</v>
      </c>
      <c r="G58" s="66"/>
      <c r="H58" s="67">
        <v>75.0</v>
      </c>
      <c r="I58" s="66"/>
      <c r="J58" s="67">
        <v>0.0</v>
      </c>
      <c r="K58" s="66"/>
      <c r="L58" s="67">
        <v>0.0</v>
      </c>
      <c r="M58" s="66"/>
      <c r="N58" s="67">
        <v>0.0</v>
      </c>
      <c r="O58" s="66"/>
      <c r="P58" s="67">
        <v>0.0</v>
      </c>
      <c r="Q58" s="68"/>
      <c r="R58" s="65">
        <v>0.0</v>
      </c>
      <c r="S58" s="66"/>
      <c r="T58" s="67">
        <v>0.0</v>
      </c>
      <c r="U58" s="66"/>
      <c r="V58" s="67">
        <v>0.0</v>
      </c>
      <c r="W58" s="66"/>
      <c r="X58" s="67">
        <v>0.0</v>
      </c>
      <c r="Y58" s="66"/>
      <c r="Z58" s="67">
        <v>0.0</v>
      </c>
      <c r="AA58" s="66"/>
      <c r="AB58" s="67">
        <v>0.0</v>
      </c>
      <c r="AC58" s="68"/>
      <c r="AD58" s="67">
        <v>0.0</v>
      </c>
      <c r="AE58" s="66"/>
      <c r="AF58" s="67">
        <v>0.0</v>
      </c>
      <c r="AG58" s="66"/>
      <c r="AH58" s="67">
        <v>0.0</v>
      </c>
      <c r="AI58" s="66"/>
      <c r="AJ58" s="65"/>
      <c r="AK58" s="68"/>
      <c r="AL58" s="71">
        <v>0.0</v>
      </c>
      <c r="AM58" s="68"/>
      <c r="AN58" s="65"/>
      <c r="AO58" s="68"/>
      <c r="AP58" s="65"/>
      <c r="AQ58" s="68"/>
      <c r="AR58" s="65"/>
      <c r="AS58" s="68"/>
      <c r="AT58" s="67"/>
      <c r="AU58" s="66"/>
      <c r="AV58" s="67"/>
      <c r="AW58" s="68"/>
      <c r="AX58" s="73">
        <f t="shared" si="1"/>
        <v>5006.25</v>
      </c>
      <c r="AY58" s="63">
        <f t="shared" si="2"/>
        <v>225</v>
      </c>
      <c r="AZ58" s="63">
        <v>0.0</v>
      </c>
      <c r="BA58" s="63">
        <f t="shared" si="3"/>
        <v>225</v>
      </c>
      <c r="BB58" s="74">
        <f t="shared" si="4"/>
        <v>22.25</v>
      </c>
    </row>
    <row r="59" ht="15.75" customHeight="1">
      <c r="A59" s="36" t="s">
        <v>46</v>
      </c>
      <c r="B59" s="75">
        <f t="shared" si="5"/>
        <v>45712</v>
      </c>
      <c r="C59" s="38">
        <v>3.0</v>
      </c>
      <c r="D59" s="38" t="s">
        <v>47</v>
      </c>
      <c r="E59" s="40"/>
      <c r="F59" s="41">
        <v>150.0</v>
      </c>
      <c r="H59" s="42">
        <v>150.0</v>
      </c>
      <c r="J59" s="42">
        <v>0.0</v>
      </c>
      <c r="L59" s="42">
        <v>0.0</v>
      </c>
      <c r="N59" s="42">
        <v>75.0</v>
      </c>
      <c r="P59" s="42">
        <v>0.0</v>
      </c>
      <c r="Q59" s="43"/>
      <c r="R59" s="41">
        <v>260.0</v>
      </c>
      <c r="T59" s="42">
        <v>260.0</v>
      </c>
      <c r="V59" s="42">
        <v>85.0</v>
      </c>
      <c r="X59" s="42">
        <v>0.0</v>
      </c>
      <c r="Z59" s="42">
        <v>0.0</v>
      </c>
      <c r="AB59" s="42">
        <v>0.0</v>
      </c>
      <c r="AC59" s="43"/>
      <c r="AD59" s="42">
        <v>0.0</v>
      </c>
      <c r="AF59" s="42">
        <v>0.0</v>
      </c>
      <c r="AH59" s="42">
        <v>0.0</v>
      </c>
      <c r="AJ59" s="41"/>
      <c r="AK59" s="43"/>
      <c r="AL59" s="46">
        <v>0.0</v>
      </c>
      <c r="AM59" s="43"/>
      <c r="AN59" s="41"/>
      <c r="AO59" s="43"/>
      <c r="AP59" s="41"/>
      <c r="AQ59" s="43"/>
      <c r="AR59" s="41"/>
      <c r="AS59" s="43"/>
      <c r="AT59" s="42"/>
      <c r="AV59" s="42"/>
      <c r="AW59" s="43"/>
      <c r="AX59" s="47">
        <f t="shared" si="1"/>
        <v>15071.35</v>
      </c>
      <c r="AY59" s="38">
        <f t="shared" si="2"/>
        <v>980</v>
      </c>
      <c r="AZ59" s="38">
        <v>0.0</v>
      </c>
      <c r="BA59" s="38">
        <f t="shared" si="3"/>
        <v>980</v>
      </c>
      <c r="BB59" s="76">
        <f t="shared" si="4"/>
        <v>15.37892857</v>
      </c>
    </row>
    <row r="60" ht="15.75" customHeight="1">
      <c r="A60" s="50" t="s">
        <v>48</v>
      </c>
      <c r="B60" s="51">
        <f t="shared" si="5"/>
        <v>45713</v>
      </c>
      <c r="C60" s="52">
        <v>3.0</v>
      </c>
      <c r="D60" s="52" t="s">
        <v>47</v>
      </c>
      <c r="E60" s="53"/>
      <c r="F60" s="41">
        <v>150.0</v>
      </c>
      <c r="H60" s="42">
        <v>75.0</v>
      </c>
      <c r="J60" s="42">
        <v>0.0</v>
      </c>
      <c r="L60" s="42">
        <v>0.0</v>
      </c>
      <c r="N60" s="42">
        <v>0.0</v>
      </c>
      <c r="P60" s="42">
        <v>0.0</v>
      </c>
      <c r="Q60" s="43"/>
      <c r="R60" s="41">
        <v>260.0</v>
      </c>
      <c r="T60" s="42">
        <v>260.0</v>
      </c>
      <c r="V60" s="42">
        <v>0.0</v>
      </c>
      <c r="X60" s="42">
        <v>0.0</v>
      </c>
      <c r="Z60" s="42">
        <v>0.0</v>
      </c>
      <c r="AB60" s="42">
        <v>0.0</v>
      </c>
      <c r="AC60" s="43"/>
      <c r="AD60" s="42">
        <v>0.0</v>
      </c>
      <c r="AF60" s="42">
        <v>0.0</v>
      </c>
      <c r="AH60" s="42">
        <v>0.0</v>
      </c>
      <c r="AJ60" s="41"/>
      <c r="AK60" s="43"/>
      <c r="AL60" s="46">
        <v>0.0</v>
      </c>
      <c r="AM60" s="43"/>
      <c r="AN60" s="41"/>
      <c r="AO60" s="43"/>
      <c r="AP60" s="41"/>
      <c r="AQ60" s="43"/>
      <c r="AR60" s="41"/>
      <c r="AS60" s="43"/>
      <c r="AT60" s="42"/>
      <c r="AV60" s="42"/>
      <c r="AW60" s="43"/>
      <c r="AX60" s="54">
        <f t="shared" si="1"/>
        <v>10788.65</v>
      </c>
      <c r="AY60" s="52">
        <f t="shared" si="2"/>
        <v>745</v>
      </c>
      <c r="AZ60" s="52">
        <v>0.0</v>
      </c>
      <c r="BA60" s="52">
        <f t="shared" si="3"/>
        <v>745</v>
      </c>
      <c r="BB60" s="49">
        <f t="shared" si="4"/>
        <v>14.4814094</v>
      </c>
    </row>
    <row r="61" ht="15.75" customHeight="1">
      <c r="A61" s="50" t="s">
        <v>49</v>
      </c>
      <c r="B61" s="51">
        <f t="shared" si="5"/>
        <v>45714</v>
      </c>
      <c r="C61" s="52">
        <v>3.0</v>
      </c>
      <c r="D61" s="52" t="s">
        <v>47</v>
      </c>
      <c r="E61" s="53"/>
      <c r="F61" s="41">
        <v>150.0</v>
      </c>
      <c r="H61" s="42">
        <v>150.0</v>
      </c>
      <c r="J61" s="42">
        <v>0.0</v>
      </c>
      <c r="L61" s="42">
        <v>0.0</v>
      </c>
      <c r="N61" s="42">
        <v>75.0</v>
      </c>
      <c r="P61" s="42">
        <v>0.0</v>
      </c>
      <c r="Q61" s="43"/>
      <c r="R61" s="41">
        <v>280.0</v>
      </c>
      <c r="T61" s="42">
        <v>280.0</v>
      </c>
      <c r="V61" s="42">
        <v>0.0</v>
      </c>
      <c r="X61" s="42">
        <v>0.0</v>
      </c>
      <c r="Z61" s="42">
        <v>0.0</v>
      </c>
      <c r="AB61" s="42">
        <v>0.0</v>
      </c>
      <c r="AC61" s="43"/>
      <c r="AD61" s="42">
        <v>0.0</v>
      </c>
      <c r="AF61" s="42">
        <v>0.0</v>
      </c>
      <c r="AH61" s="42">
        <v>0.0</v>
      </c>
      <c r="AJ61" s="41"/>
      <c r="AK61" s="43"/>
      <c r="AL61" s="46">
        <v>0.0</v>
      </c>
      <c r="AM61" s="43"/>
      <c r="AN61" s="41"/>
      <c r="AO61" s="43"/>
      <c r="AP61" s="41"/>
      <c r="AQ61" s="43"/>
      <c r="AR61" s="41"/>
      <c r="AS61" s="43"/>
      <c r="AT61" s="42"/>
      <c r="AV61" s="42"/>
      <c r="AW61" s="43"/>
      <c r="AX61" s="54">
        <f t="shared" si="1"/>
        <v>14570.95</v>
      </c>
      <c r="AY61" s="52">
        <f t="shared" si="2"/>
        <v>935</v>
      </c>
      <c r="AZ61" s="52">
        <v>0.0</v>
      </c>
      <c r="BA61" s="52">
        <f t="shared" si="3"/>
        <v>935</v>
      </c>
      <c r="BB61" s="49">
        <f t="shared" si="4"/>
        <v>15.58390374</v>
      </c>
    </row>
    <row r="62" ht="15.75" customHeight="1">
      <c r="A62" s="50" t="s">
        <v>50</v>
      </c>
      <c r="B62" s="51">
        <f t="shared" si="5"/>
        <v>45715</v>
      </c>
      <c r="C62" s="52">
        <v>3.0</v>
      </c>
      <c r="D62" s="52" t="s">
        <v>47</v>
      </c>
      <c r="E62" s="53"/>
      <c r="F62" s="41">
        <v>150.0</v>
      </c>
      <c r="H62" s="42">
        <v>150.0</v>
      </c>
      <c r="J62" s="42">
        <v>0.0</v>
      </c>
      <c r="L62" s="42">
        <v>0.0</v>
      </c>
      <c r="N62" s="42">
        <v>75.0</v>
      </c>
      <c r="P62" s="42">
        <v>0.0</v>
      </c>
      <c r="Q62" s="43"/>
      <c r="R62" s="41">
        <v>280.0</v>
      </c>
      <c r="T62" s="42">
        <v>280.0</v>
      </c>
      <c r="V62" s="42">
        <v>0.0</v>
      </c>
      <c r="X62" s="42">
        <v>0.0</v>
      </c>
      <c r="Z62" s="42">
        <v>0.0</v>
      </c>
      <c r="AB62" s="42">
        <v>0.0</v>
      </c>
      <c r="AC62" s="43"/>
      <c r="AD62" s="42">
        <v>0.0</v>
      </c>
      <c r="AF62" s="42">
        <v>0.0</v>
      </c>
      <c r="AH62" s="42">
        <v>0.0</v>
      </c>
      <c r="AJ62" s="41"/>
      <c r="AK62" s="43"/>
      <c r="AL62" s="46">
        <v>0.0</v>
      </c>
      <c r="AM62" s="43"/>
      <c r="AN62" s="41"/>
      <c r="AO62" s="43"/>
      <c r="AP62" s="41"/>
      <c r="AQ62" s="43"/>
      <c r="AR62" s="41"/>
      <c r="AS62" s="43"/>
      <c r="AT62" s="42"/>
      <c r="AV62" s="42"/>
      <c r="AW62" s="43"/>
      <c r="AX62" s="54">
        <f t="shared" si="1"/>
        <v>14570.95</v>
      </c>
      <c r="AY62" s="52">
        <f t="shared" si="2"/>
        <v>935</v>
      </c>
      <c r="AZ62" s="52">
        <v>0.0</v>
      </c>
      <c r="BA62" s="52">
        <f t="shared" si="3"/>
        <v>935</v>
      </c>
      <c r="BB62" s="49">
        <f t="shared" si="4"/>
        <v>15.58390374</v>
      </c>
    </row>
    <row r="63" ht="15.75" customHeight="1">
      <c r="A63" s="50" t="s">
        <v>53</v>
      </c>
      <c r="B63" s="51">
        <f t="shared" si="5"/>
        <v>45716</v>
      </c>
      <c r="C63" s="52">
        <v>3.0</v>
      </c>
      <c r="D63" s="52" t="s">
        <v>47</v>
      </c>
      <c r="E63" s="53"/>
      <c r="F63" s="41">
        <v>150.0</v>
      </c>
      <c r="H63" s="42">
        <v>75.0</v>
      </c>
      <c r="J63" s="42">
        <v>0.0</v>
      </c>
      <c r="L63" s="42">
        <v>0.0</v>
      </c>
      <c r="N63" s="42">
        <v>0.0</v>
      </c>
      <c r="P63" s="42">
        <v>0.0</v>
      </c>
      <c r="Q63" s="43"/>
      <c r="R63" s="41">
        <v>260.0</v>
      </c>
      <c r="T63" s="42">
        <v>260.0</v>
      </c>
      <c r="V63" s="42">
        <v>0.0</v>
      </c>
      <c r="X63" s="42">
        <v>0.0</v>
      </c>
      <c r="Z63" s="42">
        <v>0.0</v>
      </c>
      <c r="AB63" s="42">
        <v>0.0</v>
      </c>
      <c r="AC63" s="43"/>
      <c r="AD63" s="42">
        <v>0.0</v>
      </c>
      <c r="AF63" s="42">
        <v>0.0</v>
      </c>
      <c r="AH63" s="42">
        <v>0.0</v>
      </c>
      <c r="AJ63" s="41"/>
      <c r="AK63" s="43"/>
      <c r="AL63" s="46">
        <v>0.0</v>
      </c>
      <c r="AM63" s="43"/>
      <c r="AN63" s="41"/>
      <c r="AO63" s="43"/>
      <c r="AP63" s="41"/>
      <c r="AQ63" s="43"/>
      <c r="AR63" s="41"/>
      <c r="AS63" s="43"/>
      <c r="AT63" s="42"/>
      <c r="AV63" s="42"/>
      <c r="AW63" s="43"/>
      <c r="AX63" s="54">
        <f t="shared" si="1"/>
        <v>10788.65</v>
      </c>
      <c r="AY63" s="52">
        <f t="shared" si="2"/>
        <v>745</v>
      </c>
      <c r="AZ63" s="52">
        <v>0.0</v>
      </c>
      <c r="BA63" s="52">
        <f t="shared" si="3"/>
        <v>745</v>
      </c>
      <c r="BB63" s="49">
        <f t="shared" si="4"/>
        <v>14.4814094</v>
      </c>
    </row>
    <row r="64" ht="15.75" customHeight="1">
      <c r="A64" s="50" t="s">
        <v>54</v>
      </c>
      <c r="B64" s="51">
        <f t="shared" si="5"/>
        <v>45717</v>
      </c>
      <c r="C64" s="52">
        <v>3.0</v>
      </c>
      <c r="D64" s="52" t="s">
        <v>47</v>
      </c>
      <c r="E64" s="53"/>
      <c r="F64" s="41">
        <v>150.0</v>
      </c>
      <c r="H64" s="42">
        <v>150.0</v>
      </c>
      <c r="J64" s="42">
        <v>0.0</v>
      </c>
      <c r="L64" s="42">
        <v>0.0</v>
      </c>
      <c r="N64" s="42">
        <v>75.0</v>
      </c>
      <c r="P64" s="42">
        <v>0.0</v>
      </c>
      <c r="Q64" s="43"/>
      <c r="R64" s="41">
        <v>260.0</v>
      </c>
      <c r="T64" s="42">
        <v>260.0</v>
      </c>
      <c r="V64" s="42">
        <v>0.0</v>
      </c>
      <c r="X64" s="42">
        <v>0.0</v>
      </c>
      <c r="Z64" s="42">
        <v>0.0</v>
      </c>
      <c r="AB64" s="42">
        <v>0.0</v>
      </c>
      <c r="AC64" s="43"/>
      <c r="AD64" s="42">
        <v>0.0</v>
      </c>
      <c r="AF64" s="42">
        <v>0.0</v>
      </c>
      <c r="AH64" s="42">
        <v>0.0</v>
      </c>
      <c r="AJ64" s="41"/>
      <c r="AK64" s="43"/>
      <c r="AL64" s="46">
        <v>0.0</v>
      </c>
      <c r="AM64" s="43"/>
      <c r="AN64" s="41"/>
      <c r="AO64" s="43"/>
      <c r="AP64" s="41"/>
      <c r="AQ64" s="43"/>
      <c r="AR64" s="41"/>
      <c r="AS64" s="43"/>
      <c r="AT64" s="42"/>
      <c r="AV64" s="42"/>
      <c r="AW64" s="43"/>
      <c r="AX64" s="54">
        <f t="shared" si="1"/>
        <v>14126.15</v>
      </c>
      <c r="AY64" s="52">
        <f t="shared" si="2"/>
        <v>895</v>
      </c>
      <c r="AZ64" s="52">
        <v>0.0</v>
      </c>
      <c r="BA64" s="52">
        <f t="shared" si="3"/>
        <v>895</v>
      </c>
      <c r="BB64" s="49">
        <f t="shared" si="4"/>
        <v>15.78340782</v>
      </c>
    </row>
    <row r="65" ht="15.75" customHeight="1">
      <c r="A65" s="59" t="s">
        <v>61</v>
      </c>
      <c r="B65" s="61">
        <f t="shared" si="5"/>
        <v>45718</v>
      </c>
      <c r="C65" s="63">
        <v>3.0</v>
      </c>
      <c r="D65" s="63" t="s">
        <v>47</v>
      </c>
      <c r="E65" s="64"/>
      <c r="F65" s="65">
        <v>150.0</v>
      </c>
      <c r="G65" s="66"/>
      <c r="H65" s="67">
        <v>75.0</v>
      </c>
      <c r="I65" s="66"/>
      <c r="J65" s="67">
        <v>0.0</v>
      </c>
      <c r="K65" s="66"/>
      <c r="L65" s="67">
        <v>0.0</v>
      </c>
      <c r="M65" s="66"/>
      <c r="N65" s="67">
        <v>0.0</v>
      </c>
      <c r="O65" s="66"/>
      <c r="P65" s="67">
        <v>0.0</v>
      </c>
      <c r="Q65" s="68"/>
      <c r="R65" s="65">
        <v>0.0</v>
      </c>
      <c r="S65" s="66"/>
      <c r="T65" s="67">
        <v>0.0</v>
      </c>
      <c r="U65" s="66"/>
      <c r="V65" s="67">
        <v>70.0</v>
      </c>
      <c r="W65" s="66"/>
      <c r="X65" s="67">
        <v>0.0</v>
      </c>
      <c r="Y65" s="66"/>
      <c r="Z65" s="67">
        <v>0.0</v>
      </c>
      <c r="AA65" s="66"/>
      <c r="AB65" s="67">
        <v>0.0</v>
      </c>
      <c r="AC65" s="68"/>
      <c r="AD65" s="67">
        <v>0.0</v>
      </c>
      <c r="AE65" s="66"/>
      <c r="AF65" s="67">
        <v>0.0</v>
      </c>
      <c r="AG65" s="66"/>
      <c r="AH65" s="67">
        <v>0.0</v>
      </c>
      <c r="AI65" s="66"/>
      <c r="AJ65" s="65"/>
      <c r="AK65" s="68"/>
      <c r="AL65" s="71">
        <v>0.0</v>
      </c>
      <c r="AM65" s="68"/>
      <c r="AN65" s="65"/>
      <c r="AO65" s="68"/>
      <c r="AP65" s="65"/>
      <c r="AQ65" s="68"/>
      <c r="AR65" s="65"/>
      <c r="AS65" s="68"/>
      <c r="AT65" s="67"/>
      <c r="AU65" s="66"/>
      <c r="AV65" s="67"/>
      <c r="AW65" s="68"/>
      <c r="AX65" s="73">
        <f t="shared" si="1"/>
        <v>5784.65</v>
      </c>
      <c r="AY65" s="63">
        <f t="shared" si="2"/>
        <v>295</v>
      </c>
      <c r="AZ65" s="63">
        <v>0.0</v>
      </c>
      <c r="BA65" s="63">
        <f t="shared" si="3"/>
        <v>295</v>
      </c>
      <c r="BB65" s="74">
        <f t="shared" si="4"/>
        <v>19.60898305</v>
      </c>
    </row>
    <row r="66" ht="15.75" customHeight="1">
      <c r="A66" s="36" t="s">
        <v>46</v>
      </c>
      <c r="B66" s="75">
        <f t="shared" si="5"/>
        <v>45719</v>
      </c>
      <c r="C66" s="38">
        <v>3.0</v>
      </c>
      <c r="D66" s="38" t="s">
        <v>65</v>
      </c>
      <c r="E66" s="40"/>
      <c r="F66" s="41">
        <v>150.0</v>
      </c>
      <c r="H66" s="42">
        <v>150.0</v>
      </c>
      <c r="J66" s="42">
        <v>0.0</v>
      </c>
      <c r="L66" s="42">
        <v>0.0</v>
      </c>
      <c r="N66" s="42">
        <v>75.0</v>
      </c>
      <c r="P66" s="42">
        <v>0.0</v>
      </c>
      <c r="Q66" s="43"/>
      <c r="R66" s="41">
        <v>300.0</v>
      </c>
      <c r="T66" s="42">
        <v>300.0</v>
      </c>
      <c r="V66" s="42">
        <v>0.0</v>
      </c>
      <c r="X66" s="42">
        <v>0.0</v>
      </c>
      <c r="Z66" s="42">
        <v>0.0</v>
      </c>
      <c r="AB66" s="42">
        <v>0.0</v>
      </c>
      <c r="AC66" s="43"/>
      <c r="AD66" s="42">
        <v>0.0</v>
      </c>
      <c r="AF66" s="42">
        <v>0.0</v>
      </c>
      <c r="AH66" s="42">
        <v>0.0</v>
      </c>
      <c r="AJ66" s="41"/>
      <c r="AK66" s="43"/>
      <c r="AL66" s="46">
        <v>0.0</v>
      </c>
      <c r="AM66" s="43"/>
      <c r="AN66" s="41"/>
      <c r="AO66" s="43"/>
      <c r="AP66" s="41"/>
      <c r="AQ66" s="43"/>
      <c r="AR66" s="41"/>
      <c r="AS66" s="43"/>
      <c r="AT66" s="42"/>
      <c r="AV66" s="42"/>
      <c r="AW66" s="43"/>
      <c r="AX66" s="47">
        <f t="shared" si="1"/>
        <v>15015.75</v>
      </c>
      <c r="AY66" s="38">
        <f t="shared" si="2"/>
        <v>975</v>
      </c>
      <c r="AZ66" s="38">
        <v>0.0</v>
      </c>
      <c r="BA66" s="38">
        <f t="shared" si="3"/>
        <v>975</v>
      </c>
      <c r="BB66" s="76">
        <f t="shared" si="4"/>
        <v>15.40076923</v>
      </c>
    </row>
    <row r="67" ht="15.75" customHeight="1">
      <c r="A67" s="50" t="s">
        <v>48</v>
      </c>
      <c r="B67" s="51">
        <f t="shared" si="5"/>
        <v>45720</v>
      </c>
      <c r="C67" s="52">
        <v>3.0</v>
      </c>
      <c r="D67" s="52" t="s">
        <v>65</v>
      </c>
      <c r="E67" s="53"/>
      <c r="F67" s="41">
        <v>150.0</v>
      </c>
      <c r="H67" s="42">
        <v>75.0</v>
      </c>
      <c r="J67" s="42">
        <v>0.0</v>
      </c>
      <c r="L67" s="42">
        <v>0.0</v>
      </c>
      <c r="N67" s="42">
        <v>0.0</v>
      </c>
      <c r="P67" s="42">
        <v>0.0</v>
      </c>
      <c r="Q67" s="43"/>
      <c r="R67" s="41">
        <v>300.0</v>
      </c>
      <c r="T67" s="42">
        <v>300.0</v>
      </c>
      <c r="V67" s="42">
        <v>0.0</v>
      </c>
      <c r="X67" s="42">
        <v>0.0</v>
      </c>
      <c r="Z67" s="42">
        <v>0.0</v>
      </c>
      <c r="AB67" s="42">
        <v>0.0</v>
      </c>
      <c r="AC67" s="43"/>
      <c r="AD67" s="42">
        <v>0.0</v>
      </c>
      <c r="AF67" s="42">
        <v>0.0</v>
      </c>
      <c r="AH67" s="42">
        <v>0.0</v>
      </c>
      <c r="AJ67" s="41"/>
      <c r="AK67" s="43"/>
      <c r="AL67" s="46">
        <v>0.0</v>
      </c>
      <c r="AM67" s="43"/>
      <c r="AN67" s="41"/>
      <c r="AO67" s="43"/>
      <c r="AP67" s="41"/>
      <c r="AQ67" s="43"/>
      <c r="AR67" s="41"/>
      <c r="AS67" s="43"/>
      <c r="AT67" s="42"/>
      <c r="AV67" s="42"/>
      <c r="AW67" s="43"/>
      <c r="AX67" s="54">
        <f t="shared" si="1"/>
        <v>11678.25</v>
      </c>
      <c r="AY67" s="52">
        <f t="shared" si="2"/>
        <v>825</v>
      </c>
      <c r="AZ67" s="52">
        <v>0.0</v>
      </c>
      <c r="BA67" s="52">
        <f t="shared" si="3"/>
        <v>825</v>
      </c>
      <c r="BB67" s="49">
        <f t="shared" si="4"/>
        <v>14.15545455</v>
      </c>
    </row>
    <row r="68" ht="15.75" customHeight="1">
      <c r="A68" s="50" t="s">
        <v>49</v>
      </c>
      <c r="B68" s="51">
        <f t="shared" si="5"/>
        <v>45721</v>
      </c>
      <c r="C68" s="52">
        <v>3.0</v>
      </c>
      <c r="D68" s="52" t="s">
        <v>65</v>
      </c>
      <c r="E68" s="53"/>
      <c r="F68" s="41">
        <v>150.0</v>
      </c>
      <c r="H68" s="42">
        <v>150.0</v>
      </c>
      <c r="J68" s="42">
        <v>0.0</v>
      </c>
      <c r="L68" s="42">
        <v>0.0</v>
      </c>
      <c r="N68" s="42">
        <v>0.0</v>
      </c>
      <c r="P68" s="42">
        <v>0.0</v>
      </c>
      <c r="Q68" s="43"/>
      <c r="R68" s="41">
        <v>300.0</v>
      </c>
      <c r="T68" s="42">
        <v>300.0</v>
      </c>
      <c r="V68" s="42">
        <v>0.0</v>
      </c>
      <c r="X68" s="42">
        <v>0.0</v>
      </c>
      <c r="Z68" s="42">
        <v>0.0</v>
      </c>
      <c r="AB68" s="42">
        <v>0.0</v>
      </c>
      <c r="AC68" s="43"/>
      <c r="AD68" s="42">
        <v>0.0</v>
      </c>
      <c r="AF68" s="42">
        <v>0.0</v>
      </c>
      <c r="AH68" s="42">
        <v>0.0</v>
      </c>
      <c r="AJ68" s="41"/>
      <c r="AK68" s="43"/>
      <c r="AL68" s="46">
        <v>0.0</v>
      </c>
      <c r="AM68" s="43"/>
      <c r="AN68" s="41"/>
      <c r="AO68" s="43"/>
      <c r="AP68" s="41"/>
      <c r="AQ68" s="43"/>
      <c r="AR68" s="41"/>
      <c r="AS68" s="43"/>
      <c r="AT68" s="42"/>
      <c r="AV68" s="42"/>
      <c r="AW68" s="43"/>
      <c r="AX68" s="54">
        <f t="shared" si="1"/>
        <v>13347</v>
      </c>
      <c r="AY68" s="52">
        <f t="shared" si="2"/>
        <v>900</v>
      </c>
      <c r="AZ68" s="52">
        <v>0.0</v>
      </c>
      <c r="BA68" s="52">
        <f t="shared" si="3"/>
        <v>900</v>
      </c>
      <c r="BB68" s="49">
        <f t="shared" si="4"/>
        <v>14.83</v>
      </c>
    </row>
    <row r="69" ht="15.75" customHeight="1">
      <c r="A69" s="50" t="s">
        <v>50</v>
      </c>
      <c r="B69" s="51">
        <f t="shared" si="5"/>
        <v>45722</v>
      </c>
      <c r="C69" s="52">
        <v>3.0</v>
      </c>
      <c r="D69" s="52" t="s">
        <v>65</v>
      </c>
      <c r="E69" s="53"/>
      <c r="F69" s="41">
        <v>150.0</v>
      </c>
      <c r="H69" s="42">
        <v>75.0</v>
      </c>
      <c r="J69" s="42">
        <v>0.0</v>
      </c>
      <c r="L69" s="42">
        <v>0.0</v>
      </c>
      <c r="N69" s="42">
        <v>0.0</v>
      </c>
      <c r="P69" s="42">
        <v>0.0</v>
      </c>
      <c r="Q69" s="43"/>
      <c r="R69" s="41">
        <v>300.0</v>
      </c>
      <c r="T69" s="42">
        <v>300.0</v>
      </c>
      <c r="V69" s="42">
        <v>0.0</v>
      </c>
      <c r="X69" s="42">
        <v>0.0</v>
      </c>
      <c r="Z69" s="42">
        <v>0.0</v>
      </c>
      <c r="AB69" s="42">
        <v>0.0</v>
      </c>
      <c r="AC69" s="43"/>
      <c r="AD69" s="42">
        <v>0.0</v>
      </c>
      <c r="AF69" s="42">
        <v>0.0</v>
      </c>
      <c r="AH69" s="42">
        <v>0.0</v>
      </c>
      <c r="AJ69" s="41"/>
      <c r="AK69" s="43"/>
      <c r="AL69" s="46">
        <v>0.0</v>
      </c>
      <c r="AM69" s="43"/>
      <c r="AN69" s="41"/>
      <c r="AO69" s="43"/>
      <c r="AP69" s="41"/>
      <c r="AQ69" s="43"/>
      <c r="AR69" s="41"/>
      <c r="AS69" s="43"/>
      <c r="AT69" s="42"/>
      <c r="AV69" s="42"/>
      <c r="AW69" s="43"/>
      <c r="AX69" s="54">
        <f t="shared" si="1"/>
        <v>11678.25</v>
      </c>
      <c r="AY69" s="52">
        <f t="shared" si="2"/>
        <v>825</v>
      </c>
      <c r="AZ69" s="52">
        <v>0.0</v>
      </c>
      <c r="BA69" s="52">
        <f t="shared" si="3"/>
        <v>825</v>
      </c>
      <c r="BB69" s="49">
        <f t="shared" si="4"/>
        <v>14.15545455</v>
      </c>
    </row>
    <row r="70" ht="15.75" customHeight="1">
      <c r="A70" s="50" t="s">
        <v>53</v>
      </c>
      <c r="B70" s="51">
        <f t="shared" si="5"/>
        <v>45723</v>
      </c>
      <c r="C70" s="52">
        <v>3.0</v>
      </c>
      <c r="D70" s="52" t="s">
        <v>65</v>
      </c>
      <c r="E70" s="53"/>
      <c r="F70" s="41">
        <v>150.0</v>
      </c>
      <c r="H70" s="42">
        <v>150.0</v>
      </c>
      <c r="J70" s="42">
        <v>0.0</v>
      </c>
      <c r="L70" s="42">
        <v>0.0</v>
      </c>
      <c r="N70" s="42">
        <v>75.0</v>
      </c>
      <c r="P70" s="42">
        <v>0.0</v>
      </c>
      <c r="Q70" s="43"/>
      <c r="R70" s="41">
        <v>300.0</v>
      </c>
      <c r="T70" s="42">
        <v>300.0</v>
      </c>
      <c r="V70" s="42">
        <v>0.0</v>
      </c>
      <c r="X70" s="42">
        <v>0.0</v>
      </c>
      <c r="Z70" s="42">
        <v>0.0</v>
      </c>
      <c r="AB70" s="42">
        <v>0.0</v>
      </c>
      <c r="AC70" s="43"/>
      <c r="AD70" s="42">
        <v>0.0</v>
      </c>
      <c r="AF70" s="42">
        <v>0.0</v>
      </c>
      <c r="AH70" s="42">
        <v>0.0</v>
      </c>
      <c r="AJ70" s="41"/>
      <c r="AK70" s="43"/>
      <c r="AL70" s="46">
        <v>0.0</v>
      </c>
      <c r="AM70" s="43"/>
      <c r="AN70" s="41"/>
      <c r="AO70" s="43"/>
      <c r="AP70" s="41"/>
      <c r="AQ70" s="43"/>
      <c r="AR70" s="41"/>
      <c r="AS70" s="43"/>
      <c r="AT70" s="42"/>
      <c r="AV70" s="42"/>
      <c r="AW70" s="43"/>
      <c r="AX70" s="54">
        <f t="shared" si="1"/>
        <v>15015.75</v>
      </c>
      <c r="AY70" s="52">
        <f t="shared" si="2"/>
        <v>975</v>
      </c>
      <c r="AZ70" s="52">
        <v>0.0</v>
      </c>
      <c r="BA70" s="52">
        <f t="shared" si="3"/>
        <v>975</v>
      </c>
      <c r="BB70" s="49">
        <f t="shared" si="4"/>
        <v>15.40076923</v>
      </c>
    </row>
    <row r="71" ht="15.75" customHeight="1">
      <c r="A71" s="50" t="s">
        <v>54</v>
      </c>
      <c r="B71" s="51">
        <f t="shared" si="5"/>
        <v>45724</v>
      </c>
      <c r="C71" s="52">
        <v>3.0</v>
      </c>
      <c r="D71" s="52" t="s">
        <v>65</v>
      </c>
      <c r="E71" s="53"/>
      <c r="F71" s="41">
        <v>150.0</v>
      </c>
      <c r="H71" s="42">
        <v>75.0</v>
      </c>
      <c r="J71" s="42">
        <v>0.0</v>
      </c>
      <c r="L71" s="42">
        <v>0.0</v>
      </c>
      <c r="N71" s="42">
        <v>0.0</v>
      </c>
      <c r="P71" s="42">
        <v>0.0</v>
      </c>
      <c r="Q71" s="43"/>
      <c r="R71" s="41">
        <v>300.0</v>
      </c>
      <c r="T71" s="42">
        <v>300.0</v>
      </c>
      <c r="V71" s="42">
        <v>0.0</v>
      </c>
      <c r="X71" s="42">
        <v>0.0</v>
      </c>
      <c r="Z71" s="42">
        <v>0.0</v>
      </c>
      <c r="AB71" s="42">
        <v>0.0</v>
      </c>
      <c r="AC71" s="43"/>
      <c r="AD71" s="42">
        <v>0.0</v>
      </c>
      <c r="AF71" s="42">
        <v>0.0</v>
      </c>
      <c r="AH71" s="42">
        <v>0.0</v>
      </c>
      <c r="AJ71" s="41"/>
      <c r="AK71" s="43"/>
      <c r="AL71" s="46">
        <v>0.0</v>
      </c>
      <c r="AM71" s="43"/>
      <c r="AN71" s="41"/>
      <c r="AO71" s="43"/>
      <c r="AP71" s="41"/>
      <c r="AQ71" s="43"/>
      <c r="AR71" s="41"/>
      <c r="AS71" s="43"/>
      <c r="AT71" s="42"/>
      <c r="AV71" s="42"/>
      <c r="AW71" s="43"/>
      <c r="AX71" s="54">
        <f t="shared" si="1"/>
        <v>11678.25</v>
      </c>
      <c r="AY71" s="52">
        <f t="shared" si="2"/>
        <v>825</v>
      </c>
      <c r="AZ71" s="52">
        <v>0.0</v>
      </c>
      <c r="BA71" s="52">
        <f t="shared" si="3"/>
        <v>825</v>
      </c>
      <c r="BB71" s="49">
        <f t="shared" si="4"/>
        <v>14.15545455</v>
      </c>
    </row>
    <row r="72" ht="15.75" customHeight="1">
      <c r="A72" s="59" t="s">
        <v>61</v>
      </c>
      <c r="B72" s="61">
        <f t="shared" si="5"/>
        <v>45725</v>
      </c>
      <c r="C72" s="63">
        <v>3.0</v>
      </c>
      <c r="D72" s="63" t="s">
        <v>65</v>
      </c>
      <c r="E72" s="64"/>
      <c r="F72" s="65">
        <v>75.0</v>
      </c>
      <c r="G72" s="66"/>
      <c r="H72" s="67">
        <v>75.0</v>
      </c>
      <c r="I72" s="66"/>
      <c r="J72" s="67">
        <v>0.0</v>
      </c>
      <c r="K72" s="66"/>
      <c r="L72" s="67">
        <v>0.0</v>
      </c>
      <c r="M72" s="66"/>
      <c r="N72" s="67">
        <v>75.0</v>
      </c>
      <c r="O72" s="66"/>
      <c r="P72" s="67">
        <v>0.0</v>
      </c>
      <c r="Q72" s="68"/>
      <c r="R72" s="65">
        <v>300.0</v>
      </c>
      <c r="S72" s="66"/>
      <c r="T72" s="67">
        <v>300.0</v>
      </c>
      <c r="U72" s="66"/>
      <c r="V72" s="67">
        <v>0.0</v>
      </c>
      <c r="W72" s="66"/>
      <c r="X72" s="67">
        <v>0.0</v>
      </c>
      <c r="Y72" s="66"/>
      <c r="Z72" s="67">
        <v>0.0</v>
      </c>
      <c r="AA72" s="66"/>
      <c r="AB72" s="67">
        <v>0.0</v>
      </c>
      <c r="AC72" s="68"/>
      <c r="AD72" s="67">
        <v>0.0</v>
      </c>
      <c r="AE72" s="66"/>
      <c r="AF72" s="67">
        <v>0.0</v>
      </c>
      <c r="AG72" s="66"/>
      <c r="AH72" s="67">
        <v>0.0</v>
      </c>
      <c r="AI72" s="66"/>
      <c r="AJ72" s="65"/>
      <c r="AK72" s="68"/>
      <c r="AL72" s="71">
        <v>0.0</v>
      </c>
      <c r="AM72" s="68"/>
      <c r="AN72" s="65"/>
      <c r="AO72" s="68"/>
      <c r="AP72" s="65"/>
      <c r="AQ72" s="68"/>
      <c r="AR72" s="65"/>
      <c r="AS72" s="68"/>
      <c r="AT72" s="67"/>
      <c r="AU72" s="66"/>
      <c r="AV72" s="67"/>
      <c r="AW72" s="68"/>
      <c r="AX72" s="73">
        <f t="shared" si="1"/>
        <v>11678.25</v>
      </c>
      <c r="AY72" s="63">
        <f t="shared" si="2"/>
        <v>825</v>
      </c>
      <c r="AZ72" s="63">
        <v>0.0</v>
      </c>
      <c r="BA72" s="63">
        <f t="shared" si="3"/>
        <v>825</v>
      </c>
      <c r="BB72" s="74">
        <f t="shared" si="4"/>
        <v>14.15545455</v>
      </c>
    </row>
    <row r="73" ht="15.75" customHeight="1">
      <c r="A73" s="36" t="s">
        <v>46</v>
      </c>
      <c r="B73" s="75">
        <f t="shared" si="5"/>
        <v>45726</v>
      </c>
      <c r="C73" s="38">
        <v>3.0</v>
      </c>
      <c r="D73" s="38" t="s">
        <v>69</v>
      </c>
      <c r="E73" s="40"/>
      <c r="F73" s="41">
        <v>150.0</v>
      </c>
      <c r="H73" s="42">
        <v>75.0</v>
      </c>
      <c r="J73" s="42">
        <v>0.0</v>
      </c>
      <c r="L73" s="42">
        <v>0.0</v>
      </c>
      <c r="N73" s="42">
        <v>0.0</v>
      </c>
      <c r="P73" s="42">
        <v>0.0</v>
      </c>
      <c r="Q73" s="43"/>
      <c r="R73" s="41">
        <v>50.0</v>
      </c>
      <c r="T73" s="42">
        <v>50.0</v>
      </c>
      <c r="V73" s="42">
        <v>0.0</v>
      </c>
      <c r="X73" s="42">
        <v>0.0</v>
      </c>
      <c r="Z73" s="42">
        <v>0.0</v>
      </c>
      <c r="AB73" s="42">
        <v>0.0</v>
      </c>
      <c r="AC73" s="43"/>
      <c r="AD73" s="42">
        <v>0.0</v>
      </c>
      <c r="AF73" s="42">
        <v>0.0</v>
      </c>
      <c r="AH73" s="42">
        <v>0.0</v>
      </c>
      <c r="AJ73" s="41"/>
      <c r="AK73" s="43"/>
      <c r="AL73" s="46">
        <v>0.0</v>
      </c>
      <c r="AM73" s="43"/>
      <c r="AN73" s="41"/>
      <c r="AO73" s="43"/>
      <c r="AP73" s="41"/>
      <c r="AQ73" s="43"/>
      <c r="AR73" s="41"/>
      <c r="AS73" s="43"/>
      <c r="AT73" s="42"/>
      <c r="AV73" s="42"/>
      <c r="AW73" s="43"/>
      <c r="AX73" s="47">
        <f t="shared" si="1"/>
        <v>6118.25</v>
      </c>
      <c r="AY73" s="38">
        <f t="shared" si="2"/>
        <v>325</v>
      </c>
      <c r="AZ73" s="38">
        <v>0.0</v>
      </c>
      <c r="BA73" s="38">
        <f t="shared" si="3"/>
        <v>325</v>
      </c>
      <c r="BB73" s="76">
        <f t="shared" si="4"/>
        <v>18.82538462</v>
      </c>
    </row>
    <row r="74" ht="15.75" customHeight="1">
      <c r="A74" s="50" t="s">
        <v>48</v>
      </c>
      <c r="B74" s="51">
        <f t="shared" si="5"/>
        <v>45727</v>
      </c>
      <c r="C74" s="52">
        <v>3.0</v>
      </c>
      <c r="D74" s="52" t="s">
        <v>69</v>
      </c>
      <c r="E74" s="53"/>
      <c r="F74" s="41">
        <v>150.0</v>
      </c>
      <c r="H74" s="42">
        <v>150.0</v>
      </c>
      <c r="J74" s="42">
        <v>0.0</v>
      </c>
      <c r="L74" s="42">
        <v>0.0</v>
      </c>
      <c r="N74" s="42">
        <v>65.0</v>
      </c>
      <c r="P74" s="42">
        <v>0.0</v>
      </c>
      <c r="Q74" s="43"/>
      <c r="R74" s="41">
        <v>300.0</v>
      </c>
      <c r="T74" s="42">
        <v>300.0</v>
      </c>
      <c r="V74" s="42">
        <v>0.0</v>
      </c>
      <c r="X74" s="42">
        <v>0.0</v>
      </c>
      <c r="Z74" s="42">
        <v>0.0</v>
      </c>
      <c r="AB74" s="42">
        <v>0.0</v>
      </c>
      <c r="AC74" s="43"/>
      <c r="AD74" s="42">
        <v>0.0</v>
      </c>
      <c r="AF74" s="42">
        <v>0.0</v>
      </c>
      <c r="AH74" s="42">
        <v>0.0</v>
      </c>
      <c r="AJ74" s="41"/>
      <c r="AK74" s="43"/>
      <c r="AL74" s="46">
        <v>0.0</v>
      </c>
      <c r="AM74" s="43"/>
      <c r="AN74" s="41"/>
      <c r="AO74" s="43"/>
      <c r="AP74" s="41"/>
      <c r="AQ74" s="43"/>
      <c r="AR74" s="41"/>
      <c r="AS74" s="43"/>
      <c r="AT74" s="42"/>
      <c r="AV74" s="42"/>
      <c r="AW74" s="43"/>
      <c r="AX74" s="54">
        <f t="shared" si="1"/>
        <v>14793.25</v>
      </c>
      <c r="AY74" s="52">
        <f t="shared" si="2"/>
        <v>965</v>
      </c>
      <c r="AZ74" s="52">
        <v>0.0</v>
      </c>
      <c r="BA74" s="52">
        <f t="shared" si="3"/>
        <v>965</v>
      </c>
      <c r="BB74" s="49">
        <f t="shared" si="4"/>
        <v>15.32979275</v>
      </c>
    </row>
    <row r="75" ht="15.75" customHeight="1">
      <c r="A75" s="50" t="s">
        <v>49</v>
      </c>
      <c r="B75" s="51">
        <f t="shared" si="5"/>
        <v>45728</v>
      </c>
      <c r="C75" s="52">
        <v>3.0</v>
      </c>
      <c r="D75" s="52" t="s">
        <v>69</v>
      </c>
      <c r="E75" s="53"/>
      <c r="F75" s="41">
        <v>150.0</v>
      </c>
      <c r="H75" s="42">
        <v>150.0</v>
      </c>
      <c r="J75" s="42">
        <v>0.0</v>
      </c>
      <c r="L75" s="42">
        <v>0.0</v>
      </c>
      <c r="N75" s="42">
        <v>65.0</v>
      </c>
      <c r="P75" s="42">
        <v>0.0</v>
      </c>
      <c r="Q75" s="43"/>
      <c r="R75" s="41">
        <v>300.0</v>
      </c>
      <c r="T75" s="42">
        <v>300.0</v>
      </c>
      <c r="V75" s="42">
        <v>0.0</v>
      </c>
      <c r="X75" s="42">
        <v>0.0</v>
      </c>
      <c r="Z75" s="42">
        <v>0.0</v>
      </c>
      <c r="AB75" s="42">
        <v>0.0</v>
      </c>
      <c r="AC75" s="43"/>
      <c r="AD75" s="42">
        <v>0.0</v>
      </c>
      <c r="AF75" s="42">
        <v>0.0</v>
      </c>
      <c r="AH75" s="42">
        <v>0.0</v>
      </c>
      <c r="AJ75" s="41"/>
      <c r="AK75" s="43"/>
      <c r="AL75" s="46">
        <v>0.0</v>
      </c>
      <c r="AM75" s="43"/>
      <c r="AN75" s="41"/>
      <c r="AO75" s="43"/>
      <c r="AP75" s="41"/>
      <c r="AQ75" s="43"/>
      <c r="AR75" s="41"/>
      <c r="AS75" s="43"/>
      <c r="AT75" s="42"/>
      <c r="AV75" s="42"/>
      <c r="AW75" s="43"/>
      <c r="AX75" s="54">
        <f t="shared" si="1"/>
        <v>14793.25</v>
      </c>
      <c r="AY75" s="52">
        <f t="shared" si="2"/>
        <v>965</v>
      </c>
      <c r="AZ75" s="52">
        <v>0.0</v>
      </c>
      <c r="BA75" s="52">
        <f t="shared" si="3"/>
        <v>965</v>
      </c>
      <c r="BB75" s="49">
        <f t="shared" si="4"/>
        <v>15.32979275</v>
      </c>
    </row>
    <row r="76" ht="15.75" customHeight="1">
      <c r="A76" s="50" t="s">
        <v>50</v>
      </c>
      <c r="B76" s="51">
        <f t="shared" si="5"/>
        <v>45729</v>
      </c>
      <c r="C76" s="52">
        <v>3.0</v>
      </c>
      <c r="D76" s="52" t="s">
        <v>69</v>
      </c>
      <c r="E76" s="53"/>
      <c r="F76" s="41">
        <v>150.0</v>
      </c>
      <c r="H76" s="42">
        <v>75.0</v>
      </c>
      <c r="J76" s="42">
        <v>0.0</v>
      </c>
      <c r="L76" s="42">
        <v>0.0</v>
      </c>
      <c r="N76" s="42">
        <v>0.0</v>
      </c>
      <c r="P76" s="42">
        <v>0.0</v>
      </c>
      <c r="Q76" s="43"/>
      <c r="R76" s="41">
        <v>300.0</v>
      </c>
      <c r="T76" s="42">
        <v>300.0</v>
      </c>
      <c r="V76" s="42">
        <v>0.0</v>
      </c>
      <c r="X76" s="42">
        <v>0.0</v>
      </c>
      <c r="Z76" s="42">
        <v>0.0</v>
      </c>
      <c r="AB76" s="42">
        <v>0.0</v>
      </c>
      <c r="AC76" s="43"/>
      <c r="AD76" s="42">
        <v>0.0</v>
      </c>
      <c r="AF76" s="42">
        <v>0.0</v>
      </c>
      <c r="AH76" s="42">
        <v>0.0</v>
      </c>
      <c r="AJ76" s="41"/>
      <c r="AK76" s="43"/>
      <c r="AL76" s="46">
        <v>0.0</v>
      </c>
      <c r="AM76" s="43"/>
      <c r="AN76" s="41"/>
      <c r="AO76" s="43"/>
      <c r="AP76" s="41"/>
      <c r="AQ76" s="43"/>
      <c r="AR76" s="41"/>
      <c r="AS76" s="43"/>
      <c r="AT76" s="42"/>
      <c r="AV76" s="42"/>
      <c r="AW76" s="43"/>
      <c r="AX76" s="54">
        <f t="shared" si="1"/>
        <v>11678.25</v>
      </c>
      <c r="AY76" s="52">
        <f t="shared" si="2"/>
        <v>825</v>
      </c>
      <c r="AZ76" s="52">
        <v>0.0</v>
      </c>
      <c r="BA76" s="52">
        <f t="shared" si="3"/>
        <v>825</v>
      </c>
      <c r="BB76" s="49">
        <f t="shared" si="4"/>
        <v>14.15545455</v>
      </c>
    </row>
    <row r="77" ht="15.75" customHeight="1">
      <c r="A77" s="50" t="s">
        <v>53</v>
      </c>
      <c r="B77" s="51">
        <f t="shared" si="5"/>
        <v>45730</v>
      </c>
      <c r="C77" s="52">
        <v>3.0</v>
      </c>
      <c r="D77" s="52" t="s">
        <v>69</v>
      </c>
      <c r="E77" s="53"/>
      <c r="F77" s="41">
        <v>140.0</v>
      </c>
      <c r="H77" s="42">
        <v>140.0</v>
      </c>
      <c r="J77" s="42">
        <v>0.0</v>
      </c>
      <c r="L77" s="42">
        <v>0.0</v>
      </c>
      <c r="N77" s="42">
        <v>65.0</v>
      </c>
      <c r="P77" s="42">
        <v>0.0</v>
      </c>
      <c r="Q77" s="43"/>
      <c r="R77" s="41">
        <v>300.0</v>
      </c>
      <c r="T77" s="42">
        <v>300.0</v>
      </c>
      <c r="V77" s="42">
        <v>0.0</v>
      </c>
      <c r="X77" s="42">
        <v>0.0</v>
      </c>
      <c r="Z77" s="42">
        <v>0.0</v>
      </c>
      <c r="AB77" s="42">
        <v>0.0</v>
      </c>
      <c r="AC77" s="43"/>
      <c r="AD77" s="42">
        <v>0.0</v>
      </c>
      <c r="AF77" s="42">
        <v>0.0</v>
      </c>
      <c r="AH77" s="42">
        <v>0.0</v>
      </c>
      <c r="AJ77" s="41"/>
      <c r="AK77" s="43"/>
      <c r="AL77" s="46">
        <v>0.0</v>
      </c>
      <c r="AM77" s="43"/>
      <c r="AN77" s="41"/>
      <c r="AO77" s="43"/>
      <c r="AP77" s="41"/>
      <c r="AQ77" s="43"/>
      <c r="AR77" s="41"/>
      <c r="AS77" s="43"/>
      <c r="AT77" s="42"/>
      <c r="AV77" s="42"/>
      <c r="AW77" s="43"/>
      <c r="AX77" s="54">
        <f t="shared" si="1"/>
        <v>14348.25</v>
      </c>
      <c r="AY77" s="52">
        <f t="shared" si="2"/>
        <v>945</v>
      </c>
      <c r="AZ77" s="52">
        <v>0.0</v>
      </c>
      <c r="BA77" s="52">
        <f t="shared" si="3"/>
        <v>945</v>
      </c>
      <c r="BB77" s="49">
        <f t="shared" si="4"/>
        <v>15.18333333</v>
      </c>
    </row>
    <row r="78" ht="15.75" customHeight="1">
      <c r="A78" s="50" t="s">
        <v>54</v>
      </c>
      <c r="B78" s="51">
        <f t="shared" si="5"/>
        <v>45731</v>
      </c>
      <c r="C78" s="52">
        <v>3.0</v>
      </c>
      <c r="D78" s="52" t="s">
        <v>69</v>
      </c>
      <c r="E78" s="53"/>
      <c r="F78" s="41">
        <v>140.0</v>
      </c>
      <c r="H78" s="42">
        <v>75.0</v>
      </c>
      <c r="J78" s="42">
        <v>0.0</v>
      </c>
      <c r="L78" s="42">
        <v>0.0</v>
      </c>
      <c r="N78" s="42">
        <v>0.0</v>
      </c>
      <c r="P78" s="42">
        <v>0.0</v>
      </c>
      <c r="Q78" s="43"/>
      <c r="R78" s="41">
        <v>300.0</v>
      </c>
      <c r="T78" s="42">
        <v>300.0</v>
      </c>
      <c r="V78" s="42">
        <v>0.0</v>
      </c>
      <c r="X78" s="42">
        <v>0.0</v>
      </c>
      <c r="Z78" s="42">
        <v>0.0</v>
      </c>
      <c r="AB78" s="42">
        <v>0.0</v>
      </c>
      <c r="AC78" s="43"/>
      <c r="AD78" s="42">
        <v>0.0</v>
      </c>
      <c r="AF78" s="42">
        <v>0.0</v>
      </c>
      <c r="AH78" s="42">
        <v>0.0</v>
      </c>
      <c r="AJ78" s="41"/>
      <c r="AK78" s="43"/>
      <c r="AL78" s="46">
        <v>0.0</v>
      </c>
      <c r="AM78" s="43"/>
      <c r="AN78" s="41"/>
      <c r="AO78" s="43"/>
      <c r="AP78" s="41"/>
      <c r="AQ78" s="43"/>
      <c r="AR78" s="41"/>
      <c r="AS78" s="43"/>
      <c r="AT78" s="42"/>
      <c r="AV78" s="42"/>
      <c r="AW78" s="43"/>
      <c r="AX78" s="54">
        <f t="shared" si="1"/>
        <v>11455.75</v>
      </c>
      <c r="AY78" s="52">
        <f t="shared" si="2"/>
        <v>815</v>
      </c>
      <c r="AZ78" s="52">
        <v>0.0</v>
      </c>
      <c r="BA78" s="52">
        <f t="shared" si="3"/>
        <v>815</v>
      </c>
      <c r="BB78" s="49">
        <f t="shared" si="4"/>
        <v>14.05613497</v>
      </c>
    </row>
    <row r="79" ht="15.75" customHeight="1">
      <c r="A79" s="59" t="s">
        <v>61</v>
      </c>
      <c r="B79" s="61">
        <f t="shared" si="5"/>
        <v>45732</v>
      </c>
      <c r="C79" s="63">
        <v>3.0</v>
      </c>
      <c r="D79" s="63" t="s">
        <v>69</v>
      </c>
      <c r="E79" s="64"/>
      <c r="F79" s="65">
        <v>140.0</v>
      </c>
      <c r="G79" s="66"/>
      <c r="H79" s="67">
        <v>65.0</v>
      </c>
      <c r="I79" s="66"/>
      <c r="J79" s="67">
        <v>0.0</v>
      </c>
      <c r="K79" s="66"/>
      <c r="L79" s="67">
        <v>0.0</v>
      </c>
      <c r="M79" s="66"/>
      <c r="N79" s="67">
        <v>65.0</v>
      </c>
      <c r="O79" s="66"/>
      <c r="P79" s="67">
        <v>0.0</v>
      </c>
      <c r="Q79" s="68"/>
      <c r="R79" s="65">
        <v>300.0</v>
      </c>
      <c r="S79" s="66"/>
      <c r="T79" s="67">
        <v>300.0</v>
      </c>
      <c r="U79" s="66"/>
      <c r="V79" s="67">
        <v>0.0</v>
      </c>
      <c r="W79" s="66"/>
      <c r="X79" s="67">
        <v>0.0</v>
      </c>
      <c r="Y79" s="66"/>
      <c r="Z79" s="67">
        <v>0.0</v>
      </c>
      <c r="AA79" s="66"/>
      <c r="AB79" s="67">
        <v>0.0</v>
      </c>
      <c r="AC79" s="68"/>
      <c r="AD79" s="67">
        <v>0.0</v>
      </c>
      <c r="AE79" s="66"/>
      <c r="AF79" s="67">
        <v>0.0</v>
      </c>
      <c r="AG79" s="66"/>
      <c r="AH79" s="67">
        <v>0.0</v>
      </c>
      <c r="AI79" s="66"/>
      <c r="AJ79" s="65"/>
      <c r="AK79" s="68"/>
      <c r="AL79" s="71">
        <v>0.0</v>
      </c>
      <c r="AM79" s="68"/>
      <c r="AN79" s="65"/>
      <c r="AO79" s="68"/>
      <c r="AP79" s="65"/>
      <c r="AQ79" s="68"/>
      <c r="AR79" s="65"/>
      <c r="AS79" s="68"/>
      <c r="AT79" s="67"/>
      <c r="AU79" s="66"/>
      <c r="AV79" s="67"/>
      <c r="AW79" s="68"/>
      <c r="AX79" s="73">
        <f t="shared" si="1"/>
        <v>12679.5</v>
      </c>
      <c r="AY79" s="63">
        <f t="shared" si="2"/>
        <v>870</v>
      </c>
      <c r="AZ79" s="63">
        <v>0.0</v>
      </c>
      <c r="BA79" s="63">
        <f t="shared" si="3"/>
        <v>870</v>
      </c>
      <c r="BB79" s="74">
        <f t="shared" si="4"/>
        <v>14.57413793</v>
      </c>
    </row>
    <row r="80" ht="15.75" customHeight="1">
      <c r="A80" s="36" t="s">
        <v>46</v>
      </c>
      <c r="B80" s="75">
        <f t="shared" si="5"/>
        <v>45733</v>
      </c>
      <c r="C80" s="38">
        <v>3.0</v>
      </c>
      <c r="D80" s="38" t="s">
        <v>72</v>
      </c>
      <c r="E80" s="40"/>
      <c r="F80" s="41">
        <v>0.0</v>
      </c>
      <c r="H80" s="42">
        <v>0.0</v>
      </c>
      <c r="J80" s="42">
        <v>0.0</v>
      </c>
      <c r="L80" s="42">
        <v>0.0</v>
      </c>
      <c r="N80" s="42">
        <v>0.0</v>
      </c>
      <c r="P80" s="42">
        <v>0.0</v>
      </c>
      <c r="Q80" s="43"/>
      <c r="R80" s="41">
        <v>300.0</v>
      </c>
      <c r="T80" s="42">
        <v>300.0</v>
      </c>
      <c r="V80" s="42">
        <v>0.0</v>
      </c>
      <c r="X80" s="42">
        <v>0.0</v>
      </c>
      <c r="Z80" s="42">
        <v>0.0</v>
      </c>
      <c r="AB80" s="42">
        <v>0.0</v>
      </c>
      <c r="AC80" s="43"/>
      <c r="AD80" s="42">
        <v>0.0</v>
      </c>
      <c r="AF80" s="42">
        <v>0.0</v>
      </c>
      <c r="AH80" s="42">
        <v>0.0</v>
      </c>
      <c r="AJ80" s="41"/>
      <c r="AK80" s="43"/>
      <c r="AL80" s="46">
        <v>0.0</v>
      </c>
      <c r="AM80" s="43"/>
      <c r="AN80" s="41"/>
      <c r="AO80" s="43"/>
      <c r="AP80" s="41"/>
      <c r="AQ80" s="43"/>
      <c r="AR80" s="41"/>
      <c r="AS80" s="43"/>
      <c r="AT80" s="42"/>
      <c r="AV80" s="42"/>
      <c r="AW80" s="43"/>
      <c r="AX80" s="47">
        <f t="shared" si="1"/>
        <v>6672</v>
      </c>
      <c r="AY80" s="38">
        <f t="shared" si="2"/>
        <v>600</v>
      </c>
      <c r="AZ80" s="38">
        <v>0.0</v>
      </c>
      <c r="BA80" s="38">
        <f t="shared" si="3"/>
        <v>600</v>
      </c>
      <c r="BB80" s="76">
        <f t="shared" si="4"/>
        <v>11.12</v>
      </c>
    </row>
    <row r="81" ht="15.75" customHeight="1">
      <c r="A81" s="50" t="s">
        <v>48</v>
      </c>
      <c r="B81" s="51">
        <f t="shared" si="5"/>
        <v>45734</v>
      </c>
      <c r="C81" s="52">
        <v>3.0</v>
      </c>
      <c r="D81" s="52" t="s">
        <v>72</v>
      </c>
      <c r="E81" s="53"/>
      <c r="F81" s="41">
        <v>140.0</v>
      </c>
      <c r="H81" s="42">
        <v>140.0</v>
      </c>
      <c r="J81" s="42">
        <v>0.0</v>
      </c>
      <c r="L81" s="42">
        <v>0.0</v>
      </c>
      <c r="N81" s="42">
        <v>65.0</v>
      </c>
      <c r="P81" s="42">
        <v>0.0</v>
      </c>
      <c r="Q81" s="43"/>
      <c r="R81" s="41">
        <v>0.0</v>
      </c>
      <c r="T81" s="42">
        <v>0.0</v>
      </c>
      <c r="V81" s="42">
        <v>0.0</v>
      </c>
      <c r="X81" s="42">
        <v>0.0</v>
      </c>
      <c r="Z81" s="42">
        <v>0.0</v>
      </c>
      <c r="AB81" s="42">
        <v>0.0</v>
      </c>
      <c r="AC81" s="43"/>
      <c r="AD81" s="42">
        <v>0.0</v>
      </c>
      <c r="AF81" s="42">
        <v>0.0</v>
      </c>
      <c r="AH81" s="42">
        <v>0.0</v>
      </c>
      <c r="AJ81" s="41"/>
      <c r="AK81" s="43"/>
      <c r="AL81" s="46">
        <v>0.0</v>
      </c>
      <c r="AM81" s="43"/>
      <c r="AN81" s="41"/>
      <c r="AO81" s="43"/>
      <c r="AP81" s="41"/>
      <c r="AQ81" s="43"/>
      <c r="AR81" s="41"/>
      <c r="AS81" s="43"/>
      <c r="AT81" s="42"/>
      <c r="AV81" s="42"/>
      <c r="AW81" s="43"/>
      <c r="AX81" s="54">
        <f t="shared" si="1"/>
        <v>7676.25</v>
      </c>
      <c r="AY81" s="52">
        <f t="shared" si="2"/>
        <v>345</v>
      </c>
      <c r="AZ81" s="52">
        <v>0.0</v>
      </c>
      <c r="BA81" s="52">
        <f t="shared" si="3"/>
        <v>345</v>
      </c>
      <c r="BB81" s="49">
        <f t="shared" si="4"/>
        <v>22.25</v>
      </c>
    </row>
    <row r="82" ht="15.75" customHeight="1">
      <c r="A82" s="50" t="s">
        <v>49</v>
      </c>
      <c r="B82" s="51">
        <f t="shared" si="5"/>
        <v>45735</v>
      </c>
      <c r="C82" s="52">
        <v>3.0</v>
      </c>
      <c r="D82" s="52" t="s">
        <v>72</v>
      </c>
      <c r="E82" s="53"/>
      <c r="F82" s="41">
        <v>140.0</v>
      </c>
      <c r="H82" s="42">
        <v>65.0</v>
      </c>
      <c r="J82" s="42">
        <v>0.0</v>
      </c>
      <c r="L82" s="42">
        <v>0.0</v>
      </c>
      <c r="N82" s="42">
        <v>0.0</v>
      </c>
      <c r="P82" s="42">
        <v>0.0</v>
      </c>
      <c r="Q82" s="43"/>
      <c r="R82" s="41">
        <v>300.0</v>
      </c>
      <c r="T82" s="42">
        <v>300.0</v>
      </c>
      <c r="V82" s="42">
        <v>0.0</v>
      </c>
      <c r="X82" s="42">
        <v>0.0</v>
      </c>
      <c r="Z82" s="42">
        <v>0.0</v>
      </c>
      <c r="AB82" s="42">
        <v>0.0</v>
      </c>
      <c r="AC82" s="43"/>
      <c r="AD82" s="42">
        <v>0.0</v>
      </c>
      <c r="AF82" s="42">
        <v>0.0</v>
      </c>
      <c r="AH82" s="42">
        <v>0.0</v>
      </c>
      <c r="AJ82" s="41"/>
      <c r="AK82" s="43"/>
      <c r="AL82" s="46">
        <v>0.0</v>
      </c>
      <c r="AM82" s="43"/>
      <c r="AN82" s="41"/>
      <c r="AO82" s="43"/>
      <c r="AP82" s="41"/>
      <c r="AQ82" s="43"/>
      <c r="AR82" s="41"/>
      <c r="AS82" s="43"/>
      <c r="AT82" s="42"/>
      <c r="AV82" s="42"/>
      <c r="AW82" s="43"/>
      <c r="AX82" s="54">
        <f t="shared" si="1"/>
        <v>11233.25</v>
      </c>
      <c r="AY82" s="52">
        <f t="shared" si="2"/>
        <v>805</v>
      </c>
      <c r="AZ82" s="52">
        <v>0.0</v>
      </c>
      <c r="BA82" s="52">
        <f t="shared" si="3"/>
        <v>805</v>
      </c>
      <c r="BB82" s="49">
        <f t="shared" si="4"/>
        <v>13.95434783</v>
      </c>
    </row>
    <row r="83" ht="15.75" customHeight="1">
      <c r="A83" s="50" t="s">
        <v>50</v>
      </c>
      <c r="B83" s="51">
        <f t="shared" si="5"/>
        <v>45736</v>
      </c>
      <c r="C83" s="52">
        <v>3.0</v>
      </c>
      <c r="D83" s="52" t="s">
        <v>72</v>
      </c>
      <c r="E83" s="53"/>
      <c r="F83" s="41">
        <v>140.0</v>
      </c>
      <c r="H83" s="42">
        <v>65.0</v>
      </c>
      <c r="J83" s="42">
        <v>0.0</v>
      </c>
      <c r="L83" s="42">
        <v>0.0</v>
      </c>
      <c r="N83" s="42">
        <v>0.0</v>
      </c>
      <c r="P83" s="42">
        <v>0.0</v>
      </c>
      <c r="Q83" s="43"/>
      <c r="R83" s="41">
        <v>300.0</v>
      </c>
      <c r="T83" s="42">
        <v>300.0</v>
      </c>
      <c r="V83" s="42">
        <v>0.0</v>
      </c>
      <c r="X83" s="42">
        <v>0.0</v>
      </c>
      <c r="Z83" s="42">
        <v>0.0</v>
      </c>
      <c r="AB83" s="42">
        <v>0.0</v>
      </c>
      <c r="AC83" s="43"/>
      <c r="AD83" s="42">
        <v>0.0</v>
      </c>
      <c r="AF83" s="42">
        <v>0.0</v>
      </c>
      <c r="AH83" s="42">
        <v>0.0</v>
      </c>
      <c r="AJ83" s="41"/>
      <c r="AK83" s="43"/>
      <c r="AL83" s="46">
        <v>0.0</v>
      </c>
      <c r="AM83" s="43"/>
      <c r="AN83" s="41"/>
      <c r="AO83" s="43"/>
      <c r="AP83" s="41"/>
      <c r="AQ83" s="43"/>
      <c r="AR83" s="41"/>
      <c r="AS83" s="43"/>
      <c r="AT83" s="42"/>
      <c r="AV83" s="42"/>
      <c r="AW83" s="43"/>
      <c r="AX83" s="54">
        <f t="shared" si="1"/>
        <v>11233.25</v>
      </c>
      <c r="AY83" s="52">
        <f t="shared" si="2"/>
        <v>805</v>
      </c>
      <c r="AZ83" s="52">
        <v>0.0</v>
      </c>
      <c r="BA83" s="52">
        <f t="shared" si="3"/>
        <v>805</v>
      </c>
      <c r="BB83" s="49">
        <f t="shared" si="4"/>
        <v>13.95434783</v>
      </c>
    </row>
    <row r="84" ht="15.75" customHeight="1">
      <c r="A84" s="50" t="s">
        <v>53</v>
      </c>
      <c r="B84" s="51">
        <f t="shared" si="5"/>
        <v>45737</v>
      </c>
      <c r="C84" s="52">
        <v>3.0</v>
      </c>
      <c r="D84" s="52" t="s">
        <v>72</v>
      </c>
      <c r="E84" s="53"/>
      <c r="F84" s="41">
        <v>140.0</v>
      </c>
      <c r="H84" s="42">
        <v>140.0</v>
      </c>
      <c r="J84" s="42">
        <v>0.0</v>
      </c>
      <c r="L84" s="42">
        <v>0.0</v>
      </c>
      <c r="N84" s="42">
        <v>65.0</v>
      </c>
      <c r="P84" s="42">
        <v>0.0</v>
      </c>
      <c r="Q84" s="43"/>
      <c r="R84" s="41">
        <v>300.0</v>
      </c>
      <c r="T84" s="42">
        <v>300.0</v>
      </c>
      <c r="V84" s="42">
        <v>0.0</v>
      </c>
      <c r="X84" s="42">
        <v>0.0</v>
      </c>
      <c r="Z84" s="42">
        <v>0.0</v>
      </c>
      <c r="AB84" s="42">
        <v>0.0</v>
      </c>
      <c r="AC84" s="43"/>
      <c r="AD84" s="42">
        <v>0.0</v>
      </c>
      <c r="AF84" s="42">
        <v>0.0</v>
      </c>
      <c r="AH84" s="42">
        <v>0.0</v>
      </c>
      <c r="AJ84" s="41"/>
      <c r="AK84" s="43"/>
      <c r="AL84" s="46">
        <v>0.0</v>
      </c>
      <c r="AM84" s="43"/>
      <c r="AN84" s="41"/>
      <c r="AO84" s="43"/>
      <c r="AP84" s="41"/>
      <c r="AQ84" s="43"/>
      <c r="AR84" s="41"/>
      <c r="AS84" s="43"/>
      <c r="AT84" s="42"/>
      <c r="AV84" s="42"/>
      <c r="AW84" s="43"/>
      <c r="AX84" s="54">
        <f t="shared" si="1"/>
        <v>14348.25</v>
      </c>
      <c r="AY84" s="52">
        <f t="shared" si="2"/>
        <v>945</v>
      </c>
      <c r="AZ84" s="52">
        <v>0.0</v>
      </c>
      <c r="BA84" s="52">
        <f t="shared" si="3"/>
        <v>945</v>
      </c>
      <c r="BB84" s="49">
        <f t="shared" si="4"/>
        <v>15.18333333</v>
      </c>
    </row>
    <row r="85" ht="15.75" customHeight="1">
      <c r="A85" s="50" t="s">
        <v>54</v>
      </c>
      <c r="B85" s="51">
        <f t="shared" si="5"/>
        <v>45738</v>
      </c>
      <c r="C85" s="52">
        <v>3.0</v>
      </c>
      <c r="D85" s="52" t="s">
        <v>72</v>
      </c>
      <c r="E85" s="53"/>
      <c r="F85" s="41">
        <v>140.0</v>
      </c>
      <c r="H85" s="42">
        <v>65.0</v>
      </c>
      <c r="J85" s="42">
        <v>0.0</v>
      </c>
      <c r="L85" s="42">
        <v>0.0</v>
      </c>
      <c r="N85" s="42">
        <v>65.0</v>
      </c>
      <c r="P85" s="42">
        <v>0.0</v>
      </c>
      <c r="Q85" s="43"/>
      <c r="R85" s="41">
        <v>300.0</v>
      </c>
      <c r="T85" s="42">
        <v>300.0</v>
      </c>
      <c r="V85" s="42">
        <v>0.0</v>
      </c>
      <c r="X85" s="42">
        <v>0.0</v>
      </c>
      <c r="Z85" s="42">
        <v>0.0</v>
      </c>
      <c r="AB85" s="42">
        <v>0.0</v>
      </c>
      <c r="AC85" s="43"/>
      <c r="AD85" s="42">
        <v>0.0</v>
      </c>
      <c r="AF85" s="42">
        <v>0.0</v>
      </c>
      <c r="AH85" s="42">
        <v>0.0</v>
      </c>
      <c r="AJ85" s="41"/>
      <c r="AK85" s="43"/>
      <c r="AL85" s="46">
        <v>0.0</v>
      </c>
      <c r="AM85" s="43"/>
      <c r="AN85" s="41"/>
      <c r="AO85" s="43"/>
      <c r="AP85" s="41"/>
      <c r="AQ85" s="43"/>
      <c r="AR85" s="41"/>
      <c r="AS85" s="43"/>
      <c r="AT85" s="42"/>
      <c r="AV85" s="42"/>
      <c r="AW85" s="43"/>
      <c r="AX85" s="54">
        <f t="shared" si="1"/>
        <v>12679.5</v>
      </c>
      <c r="AY85" s="52">
        <f t="shared" si="2"/>
        <v>870</v>
      </c>
      <c r="AZ85" s="52">
        <v>0.0</v>
      </c>
      <c r="BA85" s="52">
        <f t="shared" si="3"/>
        <v>870</v>
      </c>
      <c r="BB85" s="49">
        <f t="shared" si="4"/>
        <v>14.57413793</v>
      </c>
    </row>
    <row r="86" ht="15.75" customHeight="1">
      <c r="A86" s="59" t="s">
        <v>61</v>
      </c>
      <c r="B86" s="61">
        <f t="shared" si="5"/>
        <v>45739</v>
      </c>
      <c r="C86" s="63">
        <v>3.0</v>
      </c>
      <c r="D86" s="63" t="s">
        <v>72</v>
      </c>
      <c r="E86" s="64"/>
      <c r="F86" s="65">
        <v>140.0</v>
      </c>
      <c r="G86" s="66"/>
      <c r="H86" s="67">
        <v>65.0</v>
      </c>
      <c r="I86" s="66"/>
      <c r="J86" s="67">
        <v>0.0</v>
      </c>
      <c r="K86" s="66"/>
      <c r="L86" s="67">
        <v>0.0</v>
      </c>
      <c r="M86" s="66"/>
      <c r="N86" s="67">
        <v>0.0</v>
      </c>
      <c r="O86" s="66"/>
      <c r="P86" s="67">
        <v>0.0</v>
      </c>
      <c r="Q86" s="68"/>
      <c r="R86" s="65">
        <v>240.0</v>
      </c>
      <c r="S86" s="66"/>
      <c r="T86" s="67">
        <v>240.0</v>
      </c>
      <c r="U86" s="66"/>
      <c r="V86" s="67">
        <v>0.0</v>
      </c>
      <c r="W86" s="66"/>
      <c r="X86" s="67">
        <v>0.0</v>
      </c>
      <c r="Y86" s="66"/>
      <c r="Z86" s="67">
        <v>0.0</v>
      </c>
      <c r="AA86" s="66"/>
      <c r="AB86" s="67">
        <v>0.0</v>
      </c>
      <c r="AC86" s="68"/>
      <c r="AD86" s="67">
        <v>0.0</v>
      </c>
      <c r="AE86" s="66"/>
      <c r="AF86" s="67">
        <v>0.0</v>
      </c>
      <c r="AG86" s="66"/>
      <c r="AH86" s="67">
        <v>0.0</v>
      </c>
      <c r="AI86" s="66"/>
      <c r="AJ86" s="65"/>
      <c r="AK86" s="68"/>
      <c r="AL86" s="71">
        <v>0.0</v>
      </c>
      <c r="AM86" s="68"/>
      <c r="AN86" s="65"/>
      <c r="AO86" s="68"/>
      <c r="AP86" s="65"/>
      <c r="AQ86" s="68"/>
      <c r="AR86" s="65"/>
      <c r="AS86" s="68"/>
      <c r="AT86" s="67"/>
      <c r="AU86" s="66"/>
      <c r="AV86" s="67"/>
      <c r="AW86" s="68"/>
      <c r="AX86" s="73">
        <f t="shared" si="1"/>
        <v>9898.85</v>
      </c>
      <c r="AY86" s="63">
        <f t="shared" si="2"/>
        <v>685</v>
      </c>
      <c r="AZ86" s="63">
        <v>0.0</v>
      </c>
      <c r="BA86" s="63">
        <f t="shared" si="3"/>
        <v>685</v>
      </c>
      <c r="BB86" s="74">
        <f t="shared" si="4"/>
        <v>14.45087591</v>
      </c>
    </row>
    <row r="87" ht="15.75" customHeight="1">
      <c r="A87" s="36" t="s">
        <v>46</v>
      </c>
      <c r="B87" s="75">
        <f t="shared" si="5"/>
        <v>45740</v>
      </c>
      <c r="C87" s="38">
        <v>4.0</v>
      </c>
      <c r="D87" s="38" t="s">
        <v>47</v>
      </c>
      <c r="E87" s="40"/>
      <c r="F87" s="41">
        <v>140.0</v>
      </c>
      <c r="H87" s="42">
        <v>65.0</v>
      </c>
      <c r="J87" s="42">
        <v>0.0</v>
      </c>
      <c r="L87" s="42">
        <v>0.0</v>
      </c>
      <c r="N87" s="42">
        <v>0.0</v>
      </c>
      <c r="P87" s="42">
        <v>0.0</v>
      </c>
      <c r="Q87" s="43"/>
      <c r="R87" s="41">
        <v>240.0</v>
      </c>
      <c r="T87" s="42">
        <v>240.0</v>
      </c>
      <c r="V87" s="42">
        <v>0.0</v>
      </c>
      <c r="X87" s="42">
        <v>0.0</v>
      </c>
      <c r="Z87" s="42">
        <v>0.0</v>
      </c>
      <c r="AB87" s="42">
        <v>0.0</v>
      </c>
      <c r="AC87" s="43"/>
      <c r="AD87" s="42">
        <v>0.0</v>
      </c>
      <c r="AF87" s="42">
        <v>0.0</v>
      </c>
      <c r="AH87" s="42">
        <v>0.0</v>
      </c>
      <c r="AJ87" s="41"/>
      <c r="AK87" s="43"/>
      <c r="AL87" s="46">
        <v>0.0</v>
      </c>
      <c r="AM87" s="43"/>
      <c r="AN87" s="41"/>
      <c r="AO87" s="43"/>
      <c r="AP87" s="41"/>
      <c r="AQ87" s="43"/>
      <c r="AR87" s="41"/>
      <c r="AS87" s="43"/>
      <c r="AT87" s="42"/>
      <c r="AV87" s="42"/>
      <c r="AW87" s="43"/>
      <c r="AX87" s="47">
        <f t="shared" si="1"/>
        <v>9898.85</v>
      </c>
      <c r="AY87" s="38">
        <f t="shared" si="2"/>
        <v>685</v>
      </c>
      <c r="AZ87" s="38">
        <v>0.0</v>
      </c>
      <c r="BA87" s="38">
        <f t="shared" si="3"/>
        <v>685</v>
      </c>
      <c r="BB87" s="76">
        <f t="shared" si="4"/>
        <v>14.45087591</v>
      </c>
    </row>
    <row r="88" ht="15.75" customHeight="1">
      <c r="A88" s="50" t="s">
        <v>48</v>
      </c>
      <c r="B88" s="51">
        <f t="shared" si="5"/>
        <v>45741</v>
      </c>
      <c r="C88" s="52">
        <v>4.0</v>
      </c>
      <c r="D88" s="52" t="s">
        <v>47</v>
      </c>
      <c r="E88" s="53"/>
      <c r="F88" s="41">
        <v>0.0</v>
      </c>
      <c r="H88" s="42">
        <v>0.0</v>
      </c>
      <c r="J88" s="42">
        <v>0.0</v>
      </c>
      <c r="L88" s="42">
        <v>0.0</v>
      </c>
      <c r="N88" s="42">
        <v>0.0</v>
      </c>
      <c r="P88" s="42">
        <v>0.0</v>
      </c>
      <c r="Q88" s="43"/>
      <c r="R88" s="41">
        <v>240.0</v>
      </c>
      <c r="T88" s="42">
        <v>240.0</v>
      </c>
      <c r="V88" s="42">
        <v>0.0</v>
      </c>
      <c r="X88" s="42">
        <v>0.0</v>
      </c>
      <c r="Z88" s="42">
        <v>0.0</v>
      </c>
      <c r="AB88" s="42">
        <v>0.0</v>
      </c>
      <c r="AC88" s="43"/>
      <c r="AD88" s="42">
        <v>0.0</v>
      </c>
      <c r="AF88" s="42">
        <v>0.0</v>
      </c>
      <c r="AH88" s="42">
        <v>0.0</v>
      </c>
      <c r="AJ88" s="41"/>
      <c r="AK88" s="43"/>
      <c r="AL88" s="46">
        <v>0.0</v>
      </c>
      <c r="AM88" s="43"/>
      <c r="AN88" s="41"/>
      <c r="AO88" s="43"/>
      <c r="AP88" s="41"/>
      <c r="AQ88" s="43"/>
      <c r="AR88" s="41"/>
      <c r="AS88" s="43"/>
      <c r="AT88" s="42"/>
      <c r="AV88" s="42"/>
      <c r="AW88" s="43"/>
      <c r="AX88" s="54">
        <f t="shared" si="1"/>
        <v>5337.6</v>
      </c>
      <c r="AY88" s="52">
        <f t="shared" si="2"/>
        <v>480</v>
      </c>
      <c r="AZ88" s="52">
        <v>0.0</v>
      </c>
      <c r="BA88" s="52">
        <f t="shared" si="3"/>
        <v>480</v>
      </c>
      <c r="BB88" s="49">
        <f t="shared" si="4"/>
        <v>11.12</v>
      </c>
    </row>
    <row r="89" ht="15.75" customHeight="1">
      <c r="A89" s="50" t="s">
        <v>49</v>
      </c>
      <c r="B89" s="51">
        <f t="shared" si="5"/>
        <v>45742</v>
      </c>
      <c r="C89" s="52">
        <v>4.0</v>
      </c>
      <c r="D89" s="52" t="s">
        <v>47</v>
      </c>
      <c r="E89" s="53"/>
      <c r="F89" s="41">
        <v>0.0</v>
      </c>
      <c r="H89" s="42">
        <v>0.0</v>
      </c>
      <c r="J89" s="42">
        <v>0.0</v>
      </c>
      <c r="L89" s="42">
        <v>0.0</v>
      </c>
      <c r="N89" s="42">
        <v>0.0</v>
      </c>
      <c r="P89" s="42">
        <v>0.0</v>
      </c>
      <c r="Q89" s="43"/>
      <c r="R89" s="41">
        <v>240.0</v>
      </c>
      <c r="T89" s="42">
        <v>240.0</v>
      </c>
      <c r="V89" s="42">
        <v>0.0</v>
      </c>
      <c r="X89" s="42">
        <v>0.0</v>
      </c>
      <c r="Z89" s="42">
        <v>0.0</v>
      </c>
      <c r="AB89" s="42">
        <v>0.0</v>
      </c>
      <c r="AC89" s="43"/>
      <c r="AD89" s="42">
        <v>0.0</v>
      </c>
      <c r="AF89" s="42">
        <v>0.0</v>
      </c>
      <c r="AH89" s="42">
        <v>0.0</v>
      </c>
      <c r="AJ89" s="41"/>
      <c r="AK89" s="43"/>
      <c r="AL89" s="46">
        <v>0.0</v>
      </c>
      <c r="AM89" s="43"/>
      <c r="AN89" s="41"/>
      <c r="AO89" s="43"/>
      <c r="AP89" s="41"/>
      <c r="AQ89" s="43"/>
      <c r="AR89" s="41"/>
      <c r="AS89" s="43"/>
      <c r="AT89" s="42"/>
      <c r="AV89" s="42"/>
      <c r="AW89" s="43"/>
      <c r="AX89" s="54">
        <f t="shared" si="1"/>
        <v>5337.6</v>
      </c>
      <c r="AY89" s="52">
        <f t="shared" si="2"/>
        <v>480</v>
      </c>
      <c r="AZ89" s="52">
        <v>0.0</v>
      </c>
      <c r="BA89" s="52">
        <f t="shared" si="3"/>
        <v>480</v>
      </c>
      <c r="BB89" s="49">
        <f t="shared" si="4"/>
        <v>11.12</v>
      </c>
    </row>
    <row r="90" ht="15.75" customHeight="1">
      <c r="A90" s="50" t="s">
        <v>50</v>
      </c>
      <c r="B90" s="51">
        <f t="shared" si="5"/>
        <v>45743</v>
      </c>
      <c r="C90" s="52">
        <v>4.0</v>
      </c>
      <c r="D90" s="52" t="s">
        <v>47</v>
      </c>
      <c r="E90" s="53"/>
      <c r="F90" s="41">
        <v>0.0</v>
      </c>
      <c r="H90" s="42">
        <v>0.0</v>
      </c>
      <c r="J90" s="42">
        <v>0.0</v>
      </c>
      <c r="L90" s="42">
        <v>0.0</v>
      </c>
      <c r="N90" s="42">
        <v>0.0</v>
      </c>
      <c r="P90" s="42">
        <v>0.0</v>
      </c>
      <c r="Q90" s="43"/>
      <c r="R90" s="41">
        <v>240.0</v>
      </c>
      <c r="T90" s="42">
        <v>240.0</v>
      </c>
      <c r="V90" s="42">
        <v>0.0</v>
      </c>
      <c r="X90" s="42">
        <v>0.0</v>
      </c>
      <c r="Z90" s="42">
        <v>0.0</v>
      </c>
      <c r="AB90" s="42">
        <v>0.0</v>
      </c>
      <c r="AC90" s="43"/>
      <c r="AD90" s="42">
        <v>0.0</v>
      </c>
      <c r="AF90" s="42">
        <v>0.0</v>
      </c>
      <c r="AH90" s="42">
        <v>0.0</v>
      </c>
      <c r="AJ90" s="41"/>
      <c r="AK90" s="43"/>
      <c r="AL90" s="46">
        <v>0.0</v>
      </c>
      <c r="AM90" s="43"/>
      <c r="AN90" s="41"/>
      <c r="AO90" s="43"/>
      <c r="AP90" s="41"/>
      <c r="AQ90" s="43"/>
      <c r="AR90" s="41"/>
      <c r="AS90" s="43"/>
      <c r="AT90" s="42"/>
      <c r="AV90" s="42"/>
      <c r="AW90" s="43"/>
      <c r="AX90" s="54">
        <f t="shared" si="1"/>
        <v>5337.6</v>
      </c>
      <c r="AY90" s="52">
        <f t="shared" si="2"/>
        <v>480</v>
      </c>
      <c r="AZ90" s="52">
        <v>0.0</v>
      </c>
      <c r="BA90" s="52">
        <f t="shared" si="3"/>
        <v>480</v>
      </c>
      <c r="BB90" s="49">
        <f t="shared" si="4"/>
        <v>11.12</v>
      </c>
    </row>
    <row r="91" ht="15.75" customHeight="1">
      <c r="A91" s="50" t="s">
        <v>53</v>
      </c>
      <c r="B91" s="51">
        <f t="shared" si="5"/>
        <v>45744</v>
      </c>
      <c r="C91" s="52">
        <v>4.0</v>
      </c>
      <c r="D91" s="52" t="s">
        <v>47</v>
      </c>
      <c r="E91" s="53"/>
      <c r="F91" s="41">
        <v>0.0</v>
      </c>
      <c r="H91" s="42">
        <v>0.0</v>
      </c>
      <c r="J91" s="42">
        <v>0.0</v>
      </c>
      <c r="L91" s="42">
        <v>0.0</v>
      </c>
      <c r="N91" s="42">
        <v>0.0</v>
      </c>
      <c r="P91" s="42">
        <v>0.0</v>
      </c>
      <c r="Q91" s="43"/>
      <c r="R91" s="41">
        <v>240.0</v>
      </c>
      <c r="T91" s="42">
        <v>240.0</v>
      </c>
      <c r="V91" s="42">
        <v>0.0</v>
      </c>
      <c r="X91" s="42">
        <v>0.0</v>
      </c>
      <c r="Z91" s="42">
        <v>0.0</v>
      </c>
      <c r="AB91" s="42">
        <v>0.0</v>
      </c>
      <c r="AC91" s="43"/>
      <c r="AD91" s="42">
        <v>0.0</v>
      </c>
      <c r="AF91" s="42">
        <v>0.0</v>
      </c>
      <c r="AH91" s="42">
        <v>0.0</v>
      </c>
      <c r="AJ91" s="41"/>
      <c r="AK91" s="43"/>
      <c r="AL91" s="46">
        <v>0.0</v>
      </c>
      <c r="AM91" s="43"/>
      <c r="AN91" s="41"/>
      <c r="AO91" s="43"/>
      <c r="AP91" s="41"/>
      <c r="AQ91" s="43"/>
      <c r="AR91" s="41"/>
      <c r="AS91" s="43"/>
      <c r="AT91" s="42"/>
      <c r="AV91" s="42"/>
      <c r="AW91" s="43"/>
      <c r="AX91" s="54">
        <f t="shared" si="1"/>
        <v>5337.6</v>
      </c>
      <c r="AY91" s="52">
        <f t="shared" si="2"/>
        <v>480</v>
      </c>
      <c r="AZ91" s="52">
        <v>0.0</v>
      </c>
      <c r="BA91" s="52">
        <f t="shared" si="3"/>
        <v>480</v>
      </c>
      <c r="BB91" s="49">
        <f t="shared" si="4"/>
        <v>11.12</v>
      </c>
    </row>
    <row r="92" ht="15.75" customHeight="1">
      <c r="A92" s="50" t="s">
        <v>54</v>
      </c>
      <c r="B92" s="51">
        <f t="shared" si="5"/>
        <v>45745</v>
      </c>
      <c r="C92" s="52">
        <v>4.0</v>
      </c>
      <c r="D92" s="52" t="s">
        <v>47</v>
      </c>
      <c r="E92" s="53"/>
      <c r="F92" s="41">
        <v>0.0</v>
      </c>
      <c r="H92" s="42">
        <v>0.0</v>
      </c>
      <c r="J92" s="42">
        <v>0.0</v>
      </c>
      <c r="L92" s="42">
        <v>0.0</v>
      </c>
      <c r="N92" s="42">
        <v>0.0</v>
      </c>
      <c r="P92" s="42">
        <v>0.0</v>
      </c>
      <c r="Q92" s="43"/>
      <c r="R92" s="41">
        <v>150.0</v>
      </c>
      <c r="T92" s="42">
        <v>150.0</v>
      </c>
      <c r="V92" s="42">
        <v>0.0</v>
      </c>
      <c r="X92" s="42">
        <v>0.0</v>
      </c>
      <c r="Z92" s="42">
        <v>0.0</v>
      </c>
      <c r="AB92" s="42">
        <v>0.0</v>
      </c>
      <c r="AC92" s="43"/>
      <c r="AD92" s="42">
        <v>0.0</v>
      </c>
      <c r="AF92" s="42">
        <v>0.0</v>
      </c>
      <c r="AH92" s="42">
        <v>0.0</v>
      </c>
      <c r="AJ92" s="41"/>
      <c r="AK92" s="43"/>
      <c r="AL92" s="46">
        <v>0.0</v>
      </c>
      <c r="AM92" s="43"/>
      <c r="AN92" s="41"/>
      <c r="AO92" s="43"/>
      <c r="AP92" s="41"/>
      <c r="AQ92" s="43"/>
      <c r="AR92" s="41"/>
      <c r="AS92" s="43"/>
      <c r="AT92" s="42"/>
      <c r="AV92" s="42"/>
      <c r="AW92" s="43"/>
      <c r="AX92" s="54">
        <f t="shared" si="1"/>
        <v>3336</v>
      </c>
      <c r="AY92" s="52">
        <f t="shared" si="2"/>
        <v>300</v>
      </c>
      <c r="AZ92" s="52">
        <v>0.0</v>
      </c>
      <c r="BA92" s="52">
        <f t="shared" si="3"/>
        <v>300</v>
      </c>
      <c r="BB92" s="49">
        <f t="shared" si="4"/>
        <v>11.12</v>
      </c>
    </row>
    <row r="93" ht="15.75" customHeight="1">
      <c r="A93" s="59" t="s">
        <v>61</v>
      </c>
      <c r="B93" s="61">
        <f t="shared" si="5"/>
        <v>45746</v>
      </c>
      <c r="C93" s="63">
        <v>4.0</v>
      </c>
      <c r="D93" s="63" t="s">
        <v>47</v>
      </c>
      <c r="E93" s="64"/>
      <c r="F93" s="65">
        <v>0.0</v>
      </c>
      <c r="G93" s="66"/>
      <c r="H93" s="67">
        <v>0.0</v>
      </c>
      <c r="I93" s="66"/>
      <c r="J93" s="67">
        <v>0.0</v>
      </c>
      <c r="K93" s="66"/>
      <c r="L93" s="67">
        <v>0.0</v>
      </c>
      <c r="M93" s="66"/>
      <c r="N93" s="67">
        <v>0.0</v>
      </c>
      <c r="O93" s="66"/>
      <c r="P93" s="67">
        <v>0.0</v>
      </c>
      <c r="Q93" s="68"/>
      <c r="R93" s="65">
        <v>110.0</v>
      </c>
      <c r="S93" s="66"/>
      <c r="T93" s="67">
        <v>110.0</v>
      </c>
      <c r="U93" s="66"/>
      <c r="V93" s="67">
        <v>0.0</v>
      </c>
      <c r="W93" s="66"/>
      <c r="X93" s="67">
        <v>0.0</v>
      </c>
      <c r="Y93" s="66"/>
      <c r="Z93" s="67">
        <v>0.0</v>
      </c>
      <c r="AA93" s="66"/>
      <c r="AB93" s="67">
        <v>0.0</v>
      </c>
      <c r="AC93" s="68"/>
      <c r="AD93" s="67">
        <v>0.0</v>
      </c>
      <c r="AE93" s="66"/>
      <c r="AF93" s="67">
        <v>0.0</v>
      </c>
      <c r="AG93" s="66"/>
      <c r="AH93" s="67">
        <v>0.0</v>
      </c>
      <c r="AI93" s="66"/>
      <c r="AJ93" s="65"/>
      <c r="AK93" s="68"/>
      <c r="AL93" s="71">
        <v>0.0</v>
      </c>
      <c r="AM93" s="68"/>
      <c r="AN93" s="65"/>
      <c r="AO93" s="68"/>
      <c r="AP93" s="65"/>
      <c r="AQ93" s="68"/>
      <c r="AR93" s="65"/>
      <c r="AS93" s="68"/>
      <c r="AT93" s="67"/>
      <c r="AU93" s="66"/>
      <c r="AV93" s="67"/>
      <c r="AW93" s="68"/>
      <c r="AX93" s="73">
        <f t="shared" si="1"/>
        <v>2446.4</v>
      </c>
      <c r="AY93" s="63">
        <f t="shared" si="2"/>
        <v>220</v>
      </c>
      <c r="AZ93" s="63">
        <v>0.0</v>
      </c>
      <c r="BA93" s="63">
        <f t="shared" si="3"/>
        <v>220</v>
      </c>
      <c r="BB93" s="74">
        <f t="shared" si="4"/>
        <v>11.12</v>
      </c>
    </row>
    <row r="94" ht="15.75" customHeight="1">
      <c r="A94" s="36" t="s">
        <v>46</v>
      </c>
      <c r="B94" s="75">
        <f t="shared" si="5"/>
        <v>45747</v>
      </c>
      <c r="C94" s="38">
        <v>4.0</v>
      </c>
      <c r="D94" s="38" t="s">
        <v>65</v>
      </c>
      <c r="E94" s="40"/>
      <c r="F94" s="41">
        <v>0.0</v>
      </c>
      <c r="H94" s="42">
        <v>0.0</v>
      </c>
      <c r="J94" s="42">
        <v>0.0</v>
      </c>
      <c r="L94" s="42">
        <v>0.0</v>
      </c>
      <c r="N94" s="42">
        <v>0.0</v>
      </c>
      <c r="P94" s="42">
        <v>0.0</v>
      </c>
      <c r="Q94" s="43"/>
      <c r="R94" s="41">
        <v>80.0</v>
      </c>
      <c r="T94" s="42">
        <v>70.0</v>
      </c>
      <c r="V94" s="42">
        <v>0.0</v>
      </c>
      <c r="X94" s="42">
        <v>0.0</v>
      </c>
      <c r="Z94" s="42">
        <v>0.0</v>
      </c>
      <c r="AB94" s="42">
        <v>0.0</v>
      </c>
      <c r="AC94" s="43"/>
      <c r="AD94" s="42">
        <v>0.0</v>
      </c>
      <c r="AF94" s="42">
        <v>0.0</v>
      </c>
      <c r="AH94" s="42">
        <v>0.0</v>
      </c>
      <c r="AJ94" s="41"/>
      <c r="AK94" s="43"/>
      <c r="AL94" s="46">
        <v>0.0</v>
      </c>
      <c r="AM94" s="43"/>
      <c r="AN94" s="41"/>
      <c r="AO94" s="43"/>
      <c r="AP94" s="41"/>
      <c r="AQ94" s="43"/>
      <c r="AR94" s="41"/>
      <c r="AS94" s="43"/>
      <c r="AT94" s="42"/>
      <c r="AV94" s="42"/>
      <c r="AW94" s="43"/>
      <c r="AX94" s="47">
        <f t="shared" si="1"/>
        <v>1668</v>
      </c>
      <c r="AY94" s="38">
        <f t="shared" si="2"/>
        <v>150</v>
      </c>
      <c r="AZ94" s="38">
        <v>0.0</v>
      </c>
      <c r="BA94" s="38">
        <f t="shared" si="3"/>
        <v>150</v>
      </c>
      <c r="BB94" s="76">
        <f t="shared" si="4"/>
        <v>11.12</v>
      </c>
    </row>
    <row r="95" ht="15.75" customHeight="1">
      <c r="A95" s="50" t="s">
        <v>48</v>
      </c>
      <c r="B95" s="51">
        <f t="shared" si="5"/>
        <v>45748</v>
      </c>
      <c r="C95" s="52">
        <v>4.0</v>
      </c>
      <c r="D95" s="52" t="s">
        <v>65</v>
      </c>
      <c r="E95" s="53"/>
      <c r="F95" s="41">
        <v>0.0</v>
      </c>
      <c r="H95" s="42">
        <v>0.0</v>
      </c>
      <c r="J95" s="42">
        <v>0.0</v>
      </c>
      <c r="L95" s="42">
        <v>0.0</v>
      </c>
      <c r="N95" s="42">
        <v>0.0</v>
      </c>
      <c r="P95" s="42">
        <v>0.0</v>
      </c>
      <c r="Q95" s="43"/>
      <c r="R95" s="41">
        <v>120.0</v>
      </c>
      <c r="T95" s="42">
        <v>120.0</v>
      </c>
      <c r="V95" s="42">
        <v>0.0</v>
      </c>
      <c r="X95" s="42">
        <v>0.0</v>
      </c>
      <c r="Z95" s="42">
        <v>0.0</v>
      </c>
      <c r="AB95" s="42">
        <v>0.0</v>
      </c>
      <c r="AC95" s="43"/>
      <c r="AD95" s="42">
        <v>0.0</v>
      </c>
      <c r="AF95" s="42">
        <v>0.0</v>
      </c>
      <c r="AH95" s="42">
        <v>0.0</v>
      </c>
      <c r="AJ95" s="41"/>
      <c r="AK95" s="43"/>
      <c r="AL95" s="46">
        <v>0.0</v>
      </c>
      <c r="AM95" s="43"/>
      <c r="AN95" s="41"/>
      <c r="AO95" s="43"/>
      <c r="AP95" s="41"/>
      <c r="AQ95" s="43"/>
      <c r="AR95" s="41"/>
      <c r="AS95" s="43"/>
      <c r="AT95" s="42"/>
      <c r="AV95" s="42"/>
      <c r="AW95" s="43"/>
      <c r="AX95" s="54">
        <f t="shared" si="1"/>
        <v>2668.8</v>
      </c>
      <c r="AY95" s="52">
        <f t="shared" si="2"/>
        <v>240</v>
      </c>
      <c r="AZ95" s="52">
        <v>0.0</v>
      </c>
      <c r="BA95" s="52">
        <f t="shared" si="3"/>
        <v>240</v>
      </c>
      <c r="BB95" s="49">
        <f t="shared" si="4"/>
        <v>11.12</v>
      </c>
    </row>
    <row r="96" ht="15.75" customHeight="1">
      <c r="A96" s="50" t="s">
        <v>49</v>
      </c>
      <c r="B96" s="51">
        <f t="shared" si="5"/>
        <v>45749</v>
      </c>
      <c r="C96" s="52">
        <v>4.0</v>
      </c>
      <c r="D96" s="52" t="s">
        <v>65</v>
      </c>
      <c r="E96" s="53"/>
      <c r="F96" s="41">
        <v>0.0</v>
      </c>
      <c r="H96" s="42">
        <v>0.0</v>
      </c>
      <c r="J96" s="42">
        <v>0.0</v>
      </c>
      <c r="L96" s="42">
        <v>0.0</v>
      </c>
      <c r="N96" s="42">
        <v>0.0</v>
      </c>
      <c r="P96" s="42">
        <v>0.0</v>
      </c>
      <c r="Q96" s="43"/>
      <c r="R96" s="41">
        <v>133.0</v>
      </c>
      <c r="T96" s="42">
        <v>133.0</v>
      </c>
      <c r="V96" s="42">
        <v>0.0</v>
      </c>
      <c r="X96" s="42">
        <v>0.0</v>
      </c>
      <c r="Z96" s="42">
        <v>0.0</v>
      </c>
      <c r="AB96" s="42">
        <v>0.0</v>
      </c>
      <c r="AC96" s="43"/>
      <c r="AD96" s="42">
        <v>0.0</v>
      </c>
      <c r="AF96" s="42">
        <v>0.0</v>
      </c>
      <c r="AH96" s="42">
        <v>0.0</v>
      </c>
      <c r="AJ96" s="41"/>
      <c r="AK96" s="43"/>
      <c r="AL96" s="46">
        <v>0.0</v>
      </c>
      <c r="AM96" s="43"/>
      <c r="AN96" s="41"/>
      <c r="AO96" s="43"/>
      <c r="AP96" s="41"/>
      <c r="AQ96" s="43"/>
      <c r="AR96" s="41"/>
      <c r="AS96" s="43"/>
      <c r="AT96" s="42"/>
      <c r="AV96" s="42"/>
      <c r="AW96" s="43"/>
      <c r="AX96" s="54">
        <f t="shared" si="1"/>
        <v>2957.92</v>
      </c>
      <c r="AY96" s="52">
        <f t="shared" si="2"/>
        <v>266</v>
      </c>
      <c r="AZ96" s="52">
        <v>0.0</v>
      </c>
      <c r="BA96" s="52">
        <f t="shared" si="3"/>
        <v>266</v>
      </c>
      <c r="BB96" s="49">
        <f t="shared" si="4"/>
        <v>11.12</v>
      </c>
    </row>
    <row r="97" ht="15.75" customHeight="1">
      <c r="A97" s="50" t="s">
        <v>50</v>
      </c>
      <c r="B97" s="51">
        <f t="shared" si="5"/>
        <v>45750</v>
      </c>
      <c r="C97" s="52">
        <v>4.0</v>
      </c>
      <c r="D97" s="52" t="s">
        <v>65</v>
      </c>
      <c r="E97" s="53"/>
      <c r="F97" s="41">
        <v>0.0</v>
      </c>
      <c r="H97" s="42">
        <v>0.0</v>
      </c>
      <c r="J97" s="42">
        <v>0.0</v>
      </c>
      <c r="L97" s="42">
        <v>0.0</v>
      </c>
      <c r="N97" s="42">
        <v>0.0</v>
      </c>
      <c r="P97" s="42">
        <v>0.0</v>
      </c>
      <c r="Q97" s="43"/>
      <c r="R97" s="41">
        <v>145.0</v>
      </c>
      <c r="T97" s="42">
        <v>145.0</v>
      </c>
      <c r="V97" s="42">
        <v>60.0</v>
      </c>
      <c r="X97" s="42">
        <v>0.0</v>
      </c>
      <c r="Z97" s="42">
        <v>0.0</v>
      </c>
      <c r="AB97" s="42">
        <v>0.0</v>
      </c>
      <c r="AC97" s="43"/>
      <c r="AD97" s="42">
        <v>0.0</v>
      </c>
      <c r="AF97" s="42">
        <v>0.0</v>
      </c>
      <c r="AH97" s="42">
        <v>0.0</v>
      </c>
      <c r="AJ97" s="41"/>
      <c r="AK97" s="43"/>
      <c r="AL97" s="46">
        <v>0.0</v>
      </c>
      <c r="AM97" s="43"/>
      <c r="AN97" s="41"/>
      <c r="AO97" s="43"/>
      <c r="AP97" s="41"/>
      <c r="AQ97" s="43"/>
      <c r="AR97" s="41"/>
      <c r="AS97" s="43"/>
      <c r="AT97" s="42"/>
      <c r="AV97" s="42"/>
      <c r="AW97" s="43"/>
      <c r="AX97" s="54">
        <f t="shared" si="1"/>
        <v>3892</v>
      </c>
      <c r="AY97" s="52">
        <f t="shared" si="2"/>
        <v>350</v>
      </c>
      <c r="AZ97" s="52">
        <v>0.0</v>
      </c>
      <c r="BA97" s="52">
        <f t="shared" si="3"/>
        <v>350</v>
      </c>
      <c r="BB97" s="49">
        <f t="shared" si="4"/>
        <v>11.12</v>
      </c>
    </row>
    <row r="98" ht="15.75" customHeight="1">
      <c r="A98" s="50" t="s">
        <v>53</v>
      </c>
      <c r="B98" s="51">
        <f t="shared" si="5"/>
        <v>45751</v>
      </c>
      <c r="C98" s="52">
        <v>4.0</v>
      </c>
      <c r="D98" s="52" t="s">
        <v>65</v>
      </c>
      <c r="E98" s="53"/>
      <c r="F98" s="41">
        <v>0.0</v>
      </c>
      <c r="H98" s="42">
        <v>0.0</v>
      </c>
      <c r="J98" s="42">
        <v>0.0</v>
      </c>
      <c r="L98" s="42">
        <v>0.0</v>
      </c>
      <c r="N98" s="42">
        <v>0.0</v>
      </c>
      <c r="P98" s="42">
        <v>0.0</v>
      </c>
      <c r="Q98" s="43"/>
      <c r="R98" s="41">
        <v>160.0</v>
      </c>
      <c r="T98" s="42">
        <v>160.0</v>
      </c>
      <c r="V98" s="42">
        <v>0.0</v>
      </c>
      <c r="X98" s="42">
        <v>0.0</v>
      </c>
      <c r="Z98" s="42">
        <v>0.0</v>
      </c>
      <c r="AB98" s="42">
        <v>0.0</v>
      </c>
      <c r="AC98" s="43"/>
      <c r="AD98" s="42">
        <v>0.0</v>
      </c>
      <c r="AF98" s="42">
        <v>0.0</v>
      </c>
      <c r="AH98" s="42">
        <v>0.0</v>
      </c>
      <c r="AJ98" s="41"/>
      <c r="AK98" s="43"/>
      <c r="AL98" s="46">
        <v>0.0</v>
      </c>
      <c r="AM98" s="43"/>
      <c r="AN98" s="41"/>
      <c r="AO98" s="43"/>
      <c r="AP98" s="41"/>
      <c r="AQ98" s="43"/>
      <c r="AR98" s="41"/>
      <c r="AS98" s="43"/>
      <c r="AT98" s="42"/>
      <c r="AV98" s="42"/>
      <c r="AW98" s="43"/>
      <c r="AX98" s="54">
        <f t="shared" si="1"/>
        <v>3558.4</v>
      </c>
      <c r="AY98" s="52">
        <f t="shared" si="2"/>
        <v>320</v>
      </c>
      <c r="AZ98" s="52">
        <v>0.0</v>
      </c>
      <c r="BA98" s="52">
        <f t="shared" si="3"/>
        <v>320</v>
      </c>
      <c r="BB98" s="49">
        <f t="shared" si="4"/>
        <v>11.12</v>
      </c>
    </row>
    <row r="99" ht="15.75" customHeight="1">
      <c r="A99" s="50" t="s">
        <v>54</v>
      </c>
      <c r="B99" s="51">
        <f t="shared" si="5"/>
        <v>45752</v>
      </c>
      <c r="C99" s="52">
        <v>4.0</v>
      </c>
      <c r="D99" s="52" t="s">
        <v>65</v>
      </c>
      <c r="E99" s="53"/>
      <c r="F99" s="41">
        <v>0.0</v>
      </c>
      <c r="H99" s="42">
        <v>0.0</v>
      </c>
      <c r="J99" s="42">
        <v>0.0</v>
      </c>
      <c r="L99" s="42">
        <v>0.0</v>
      </c>
      <c r="N99" s="42">
        <v>0.0</v>
      </c>
      <c r="P99" s="42">
        <v>0.0</v>
      </c>
      <c r="Q99" s="43"/>
      <c r="R99" s="41">
        <v>160.0</v>
      </c>
      <c r="T99" s="42">
        <v>160.0</v>
      </c>
      <c r="V99" s="42">
        <v>0.0</v>
      </c>
      <c r="X99" s="42">
        <v>0.0</v>
      </c>
      <c r="Z99" s="42">
        <v>0.0</v>
      </c>
      <c r="AB99" s="42">
        <v>0.0</v>
      </c>
      <c r="AC99" s="43"/>
      <c r="AD99" s="42">
        <v>0.0</v>
      </c>
      <c r="AF99" s="42">
        <v>0.0</v>
      </c>
      <c r="AH99" s="42">
        <v>0.0</v>
      </c>
      <c r="AJ99" s="41"/>
      <c r="AK99" s="43"/>
      <c r="AL99" s="46">
        <v>0.0</v>
      </c>
      <c r="AM99" s="43"/>
      <c r="AN99" s="41"/>
      <c r="AO99" s="43"/>
      <c r="AP99" s="41"/>
      <c r="AQ99" s="43"/>
      <c r="AR99" s="41"/>
      <c r="AS99" s="43"/>
      <c r="AT99" s="42"/>
      <c r="AV99" s="42"/>
      <c r="AW99" s="43"/>
      <c r="AX99" s="54">
        <f t="shared" si="1"/>
        <v>3558.4</v>
      </c>
      <c r="AY99" s="52">
        <f t="shared" si="2"/>
        <v>320</v>
      </c>
      <c r="AZ99" s="52">
        <v>0.0</v>
      </c>
      <c r="BA99" s="52">
        <f t="shared" si="3"/>
        <v>320</v>
      </c>
      <c r="BB99" s="49">
        <f t="shared" si="4"/>
        <v>11.12</v>
      </c>
    </row>
    <row r="100" ht="15.75" customHeight="1">
      <c r="A100" s="59" t="s">
        <v>61</v>
      </c>
      <c r="B100" s="61">
        <f t="shared" si="5"/>
        <v>45753</v>
      </c>
      <c r="C100" s="63">
        <v>4.0</v>
      </c>
      <c r="D100" s="63" t="s">
        <v>65</v>
      </c>
      <c r="E100" s="64"/>
      <c r="F100" s="65">
        <v>0.0</v>
      </c>
      <c r="G100" s="66"/>
      <c r="H100" s="67">
        <v>0.0</v>
      </c>
      <c r="I100" s="66"/>
      <c r="J100" s="67">
        <v>0.0</v>
      </c>
      <c r="K100" s="66"/>
      <c r="L100" s="67">
        <v>0.0</v>
      </c>
      <c r="M100" s="66"/>
      <c r="N100" s="67">
        <v>0.0</v>
      </c>
      <c r="O100" s="66"/>
      <c r="P100" s="67">
        <v>0.0</v>
      </c>
      <c r="Q100" s="68"/>
      <c r="R100" s="65">
        <v>0.0</v>
      </c>
      <c r="S100" s="66"/>
      <c r="T100" s="67">
        <v>0.0</v>
      </c>
      <c r="U100" s="66"/>
      <c r="V100" s="67">
        <v>0.0</v>
      </c>
      <c r="W100" s="66"/>
      <c r="X100" s="67">
        <v>0.0</v>
      </c>
      <c r="Y100" s="66"/>
      <c r="Z100" s="67">
        <v>0.0</v>
      </c>
      <c r="AA100" s="66"/>
      <c r="AB100" s="67">
        <v>0.0</v>
      </c>
      <c r="AC100" s="68"/>
      <c r="AD100" s="67">
        <v>0.0</v>
      </c>
      <c r="AE100" s="66"/>
      <c r="AF100" s="67">
        <v>0.0</v>
      </c>
      <c r="AG100" s="66"/>
      <c r="AH100" s="67">
        <v>0.0</v>
      </c>
      <c r="AI100" s="66"/>
      <c r="AJ100" s="65"/>
      <c r="AK100" s="68"/>
      <c r="AL100" s="71">
        <v>0.0</v>
      </c>
      <c r="AM100" s="68"/>
      <c r="AN100" s="65"/>
      <c r="AO100" s="68"/>
      <c r="AP100" s="65"/>
      <c r="AQ100" s="68"/>
      <c r="AR100" s="65"/>
      <c r="AS100" s="68"/>
      <c r="AT100" s="67"/>
      <c r="AU100" s="66"/>
      <c r="AV100" s="67"/>
      <c r="AW100" s="68"/>
      <c r="AX100" s="73">
        <f t="shared" si="1"/>
        <v>0</v>
      </c>
      <c r="AY100" s="63">
        <f t="shared" si="2"/>
        <v>0</v>
      </c>
      <c r="AZ100" s="63">
        <v>0.0</v>
      </c>
      <c r="BA100" s="63">
        <f t="shared" si="3"/>
        <v>0</v>
      </c>
      <c r="BB100" s="74" t="str">
        <f t="shared" si="4"/>
        <v/>
      </c>
    </row>
    <row r="101" ht="15.75" customHeight="1">
      <c r="A101" s="36" t="s">
        <v>46</v>
      </c>
      <c r="B101" s="75">
        <f t="shared" si="5"/>
        <v>45754</v>
      </c>
      <c r="C101" s="38">
        <v>4.0</v>
      </c>
      <c r="D101" s="38" t="s">
        <v>69</v>
      </c>
      <c r="E101" s="40"/>
      <c r="F101" s="41">
        <v>0.0</v>
      </c>
      <c r="H101" s="42">
        <v>0.0</v>
      </c>
      <c r="J101" s="42">
        <v>0.0</v>
      </c>
      <c r="L101" s="42">
        <v>0.0</v>
      </c>
      <c r="N101" s="42">
        <v>0.0</v>
      </c>
      <c r="P101" s="42">
        <v>0.0</v>
      </c>
      <c r="Q101" s="43"/>
      <c r="R101" s="41">
        <v>160.0</v>
      </c>
      <c r="T101" s="42">
        <v>160.0</v>
      </c>
      <c r="V101" s="42">
        <v>0.0</v>
      </c>
      <c r="X101" s="42">
        <v>0.0</v>
      </c>
      <c r="Z101" s="42">
        <v>0.0</v>
      </c>
      <c r="AB101" s="42">
        <v>0.0</v>
      </c>
      <c r="AC101" s="43"/>
      <c r="AD101" s="42">
        <v>0.0</v>
      </c>
      <c r="AF101" s="42">
        <v>0.0</v>
      </c>
      <c r="AH101" s="42">
        <v>0.0</v>
      </c>
      <c r="AJ101" s="41"/>
      <c r="AK101" s="43"/>
      <c r="AL101" s="46">
        <v>0.0</v>
      </c>
      <c r="AM101" s="43"/>
      <c r="AN101" s="41"/>
      <c r="AO101" s="43"/>
      <c r="AP101" s="41"/>
      <c r="AQ101" s="43"/>
      <c r="AR101" s="41"/>
      <c r="AS101" s="43"/>
      <c r="AT101" s="42"/>
      <c r="AV101" s="42"/>
      <c r="AW101" s="43"/>
      <c r="AX101" s="47">
        <f t="shared" si="1"/>
        <v>3558.4</v>
      </c>
      <c r="AY101" s="38">
        <f t="shared" si="2"/>
        <v>320</v>
      </c>
      <c r="AZ101" s="38">
        <v>0.0</v>
      </c>
      <c r="BA101" s="38">
        <f t="shared" si="3"/>
        <v>320</v>
      </c>
      <c r="BB101" s="76">
        <f t="shared" si="4"/>
        <v>11.12</v>
      </c>
    </row>
    <row r="102" ht="15.75" customHeight="1">
      <c r="A102" s="50" t="s">
        <v>48</v>
      </c>
      <c r="B102" s="51">
        <f t="shared" si="5"/>
        <v>45755</v>
      </c>
      <c r="C102" s="52">
        <v>4.0</v>
      </c>
      <c r="D102" s="52" t="s">
        <v>69</v>
      </c>
      <c r="E102" s="53"/>
      <c r="F102" s="41">
        <v>0.0</v>
      </c>
      <c r="H102" s="42">
        <v>0.0</v>
      </c>
      <c r="J102" s="42">
        <v>0.0</v>
      </c>
      <c r="L102" s="42">
        <v>0.0</v>
      </c>
      <c r="N102" s="42">
        <v>0.0</v>
      </c>
      <c r="P102" s="42">
        <v>0.0</v>
      </c>
      <c r="Q102" s="43"/>
      <c r="R102" s="41">
        <v>160.0</v>
      </c>
      <c r="T102" s="42">
        <v>160.0</v>
      </c>
      <c r="V102" s="42">
        <v>0.0</v>
      </c>
      <c r="X102" s="42">
        <v>0.0</v>
      </c>
      <c r="Z102" s="42">
        <v>0.0</v>
      </c>
      <c r="AB102" s="42">
        <v>0.0</v>
      </c>
      <c r="AC102" s="43"/>
      <c r="AD102" s="42">
        <v>0.0</v>
      </c>
      <c r="AF102" s="42">
        <v>50.0</v>
      </c>
      <c r="AH102" s="42">
        <v>50.0</v>
      </c>
      <c r="AJ102" s="41"/>
      <c r="AK102" s="43"/>
      <c r="AL102" s="46">
        <v>0.0</v>
      </c>
      <c r="AM102" s="43"/>
      <c r="AN102" s="41"/>
      <c r="AO102" s="43"/>
      <c r="AP102" s="41"/>
      <c r="AQ102" s="43"/>
      <c r="AR102" s="41"/>
      <c r="AS102" s="43"/>
      <c r="AT102" s="42"/>
      <c r="AV102" s="42"/>
      <c r="AW102" s="43"/>
      <c r="AX102" s="54">
        <f t="shared" si="1"/>
        <v>5147.4</v>
      </c>
      <c r="AY102" s="52">
        <f t="shared" si="2"/>
        <v>420</v>
      </c>
      <c r="AZ102" s="52">
        <v>0.0</v>
      </c>
      <c r="BA102" s="52">
        <f t="shared" si="3"/>
        <v>420</v>
      </c>
      <c r="BB102" s="49">
        <f t="shared" si="4"/>
        <v>12.25571429</v>
      </c>
    </row>
    <row r="103" ht="15.75" customHeight="1">
      <c r="A103" s="50" t="s">
        <v>49</v>
      </c>
      <c r="B103" s="51">
        <f t="shared" si="5"/>
        <v>45756</v>
      </c>
      <c r="C103" s="52">
        <v>4.0</v>
      </c>
      <c r="D103" s="52" t="s">
        <v>69</v>
      </c>
      <c r="E103" s="53"/>
      <c r="F103" s="41">
        <v>0.0</v>
      </c>
      <c r="H103" s="42">
        <v>0.0</v>
      </c>
      <c r="J103" s="42">
        <v>0.0</v>
      </c>
      <c r="L103" s="42">
        <v>0.0</v>
      </c>
      <c r="N103" s="42">
        <v>0.0</v>
      </c>
      <c r="P103" s="42">
        <v>0.0</v>
      </c>
      <c r="Q103" s="43"/>
      <c r="R103" s="41">
        <v>160.0</v>
      </c>
      <c r="T103" s="42">
        <v>160.0</v>
      </c>
      <c r="V103" s="42">
        <v>0.0</v>
      </c>
      <c r="X103" s="42">
        <v>0.0</v>
      </c>
      <c r="Z103" s="42">
        <v>0.0</v>
      </c>
      <c r="AB103" s="42">
        <v>0.0</v>
      </c>
      <c r="AC103" s="43"/>
      <c r="AD103" s="42">
        <v>0.0</v>
      </c>
      <c r="AF103" s="42">
        <v>50.0</v>
      </c>
      <c r="AH103" s="42">
        <v>50.0</v>
      </c>
      <c r="AJ103" s="41"/>
      <c r="AK103" s="43"/>
      <c r="AL103" s="46">
        <v>0.0</v>
      </c>
      <c r="AM103" s="43"/>
      <c r="AN103" s="41"/>
      <c r="AO103" s="43"/>
      <c r="AP103" s="41"/>
      <c r="AQ103" s="43"/>
      <c r="AR103" s="41"/>
      <c r="AS103" s="43"/>
      <c r="AT103" s="42"/>
      <c r="AV103" s="42"/>
      <c r="AW103" s="43"/>
      <c r="AX103" s="54">
        <f t="shared" si="1"/>
        <v>5147.4</v>
      </c>
      <c r="AY103" s="52">
        <f t="shared" si="2"/>
        <v>420</v>
      </c>
      <c r="AZ103" s="52">
        <v>0.0</v>
      </c>
      <c r="BA103" s="52">
        <f t="shared" si="3"/>
        <v>420</v>
      </c>
      <c r="BB103" s="49">
        <f t="shared" si="4"/>
        <v>12.25571429</v>
      </c>
    </row>
    <row r="104" ht="15.75" customHeight="1">
      <c r="A104" s="50" t="s">
        <v>50</v>
      </c>
      <c r="B104" s="51">
        <f t="shared" si="5"/>
        <v>45757</v>
      </c>
      <c r="C104" s="52">
        <v>4.0</v>
      </c>
      <c r="D104" s="52" t="s">
        <v>69</v>
      </c>
      <c r="E104" s="53"/>
      <c r="F104" s="41">
        <v>0.0</v>
      </c>
      <c r="H104" s="42">
        <v>0.0</v>
      </c>
      <c r="J104" s="42">
        <v>0.0</v>
      </c>
      <c r="L104" s="42">
        <v>0.0</v>
      </c>
      <c r="N104" s="42">
        <v>0.0</v>
      </c>
      <c r="P104" s="42">
        <v>0.0</v>
      </c>
      <c r="Q104" s="43"/>
      <c r="R104" s="41">
        <v>160.0</v>
      </c>
      <c r="T104" s="42">
        <v>160.0</v>
      </c>
      <c r="V104" s="42">
        <v>0.0</v>
      </c>
      <c r="X104" s="42">
        <v>0.0</v>
      </c>
      <c r="Z104" s="42">
        <v>0.0</v>
      </c>
      <c r="AB104" s="42">
        <v>0.0</v>
      </c>
      <c r="AC104" s="43"/>
      <c r="AD104" s="42">
        <v>0.0</v>
      </c>
      <c r="AF104" s="42">
        <v>0.0</v>
      </c>
      <c r="AH104" s="42">
        <v>50.0</v>
      </c>
      <c r="AJ104" s="41"/>
      <c r="AK104" s="43"/>
      <c r="AL104" s="46">
        <v>0.0</v>
      </c>
      <c r="AM104" s="43"/>
      <c r="AN104" s="41"/>
      <c r="AO104" s="43"/>
      <c r="AP104" s="41"/>
      <c r="AQ104" s="43"/>
      <c r="AR104" s="41"/>
      <c r="AS104" s="43"/>
      <c r="AT104" s="42"/>
      <c r="AV104" s="42"/>
      <c r="AW104" s="43"/>
      <c r="AX104" s="54">
        <f t="shared" si="1"/>
        <v>4352.9</v>
      </c>
      <c r="AY104" s="52">
        <f t="shared" si="2"/>
        <v>370</v>
      </c>
      <c r="AZ104" s="52">
        <v>0.0</v>
      </c>
      <c r="BA104" s="52">
        <f t="shared" si="3"/>
        <v>370</v>
      </c>
      <c r="BB104" s="49">
        <f t="shared" si="4"/>
        <v>11.76459459</v>
      </c>
    </row>
    <row r="105" ht="15.75" customHeight="1">
      <c r="A105" s="50" t="s">
        <v>53</v>
      </c>
      <c r="B105" s="51">
        <f t="shared" si="5"/>
        <v>45758</v>
      </c>
      <c r="C105" s="52">
        <v>4.0</v>
      </c>
      <c r="D105" s="52" t="s">
        <v>69</v>
      </c>
      <c r="E105" s="53"/>
      <c r="F105" s="41">
        <v>0.0</v>
      </c>
      <c r="H105" s="42">
        <v>0.0</v>
      </c>
      <c r="J105" s="42">
        <v>0.0</v>
      </c>
      <c r="L105" s="42">
        <v>0.0</v>
      </c>
      <c r="N105" s="42">
        <v>0.0</v>
      </c>
      <c r="P105" s="42">
        <v>0.0</v>
      </c>
      <c r="Q105" s="43"/>
      <c r="R105" s="41">
        <v>160.0</v>
      </c>
      <c r="T105" s="42">
        <v>160.0</v>
      </c>
      <c r="V105" s="42">
        <v>0.0</v>
      </c>
      <c r="X105" s="42">
        <v>0.0</v>
      </c>
      <c r="Z105" s="42">
        <v>0.0</v>
      </c>
      <c r="AB105" s="42">
        <v>0.0</v>
      </c>
      <c r="AC105" s="43"/>
      <c r="AD105" s="42">
        <v>0.0</v>
      </c>
      <c r="AF105" s="42">
        <v>50.0</v>
      </c>
      <c r="AH105" s="42">
        <v>50.0</v>
      </c>
      <c r="AJ105" s="41"/>
      <c r="AK105" s="43"/>
      <c r="AL105" s="46">
        <v>0.0</v>
      </c>
      <c r="AM105" s="43"/>
      <c r="AN105" s="41"/>
      <c r="AO105" s="43"/>
      <c r="AP105" s="41"/>
      <c r="AQ105" s="43"/>
      <c r="AR105" s="41"/>
      <c r="AS105" s="43"/>
      <c r="AT105" s="42"/>
      <c r="AV105" s="42"/>
      <c r="AW105" s="43"/>
      <c r="AX105" s="54">
        <f t="shared" si="1"/>
        <v>5147.4</v>
      </c>
      <c r="AY105" s="52">
        <f t="shared" si="2"/>
        <v>420</v>
      </c>
      <c r="AZ105" s="52">
        <v>0.0</v>
      </c>
      <c r="BA105" s="52">
        <f t="shared" si="3"/>
        <v>420</v>
      </c>
      <c r="BB105" s="49">
        <f t="shared" si="4"/>
        <v>12.25571429</v>
      </c>
    </row>
    <row r="106" ht="15.75" customHeight="1">
      <c r="A106" s="50" t="s">
        <v>54</v>
      </c>
      <c r="B106" s="51">
        <f t="shared" si="5"/>
        <v>45759</v>
      </c>
      <c r="C106" s="52">
        <v>4.0</v>
      </c>
      <c r="D106" s="52" t="s">
        <v>69</v>
      </c>
      <c r="E106" s="53"/>
      <c r="F106" s="41">
        <v>0.0</v>
      </c>
      <c r="H106" s="42">
        <v>0.0</v>
      </c>
      <c r="J106" s="42">
        <v>0.0</v>
      </c>
      <c r="L106" s="42">
        <v>0.0</v>
      </c>
      <c r="N106" s="42">
        <v>0.0</v>
      </c>
      <c r="P106" s="42">
        <v>0.0</v>
      </c>
      <c r="Q106" s="43"/>
      <c r="R106" s="41">
        <v>160.0</v>
      </c>
      <c r="T106" s="42">
        <v>160.0</v>
      </c>
      <c r="V106" s="42">
        <v>0.0</v>
      </c>
      <c r="X106" s="42">
        <v>0.0</v>
      </c>
      <c r="Z106" s="42">
        <v>0.0</v>
      </c>
      <c r="AB106" s="42">
        <v>0.0</v>
      </c>
      <c r="AC106" s="43"/>
      <c r="AD106" s="42">
        <v>0.0</v>
      </c>
      <c r="AF106" s="42">
        <v>50.0</v>
      </c>
      <c r="AH106" s="42">
        <v>0.0</v>
      </c>
      <c r="AJ106" s="41"/>
      <c r="AK106" s="43"/>
      <c r="AL106" s="46">
        <v>0.0</v>
      </c>
      <c r="AM106" s="43"/>
      <c r="AN106" s="41"/>
      <c r="AO106" s="43"/>
      <c r="AP106" s="41"/>
      <c r="AQ106" s="43"/>
      <c r="AR106" s="41"/>
      <c r="AS106" s="43"/>
      <c r="AT106" s="42"/>
      <c r="AV106" s="42"/>
      <c r="AW106" s="43"/>
      <c r="AX106" s="54">
        <f t="shared" si="1"/>
        <v>4352.9</v>
      </c>
      <c r="AY106" s="52">
        <f t="shared" si="2"/>
        <v>370</v>
      </c>
      <c r="AZ106" s="52">
        <v>0.0</v>
      </c>
      <c r="BA106" s="52">
        <f t="shared" si="3"/>
        <v>370</v>
      </c>
      <c r="BB106" s="49">
        <f t="shared" si="4"/>
        <v>11.76459459</v>
      </c>
    </row>
    <row r="107" ht="15.75" customHeight="1">
      <c r="A107" s="59" t="s">
        <v>61</v>
      </c>
      <c r="B107" s="61">
        <f t="shared" si="5"/>
        <v>45760</v>
      </c>
      <c r="C107" s="63">
        <v>4.0</v>
      </c>
      <c r="D107" s="63" t="s">
        <v>69</v>
      </c>
      <c r="E107" s="64"/>
      <c r="F107" s="65">
        <v>0.0</v>
      </c>
      <c r="G107" s="66"/>
      <c r="H107" s="67">
        <v>0.0</v>
      </c>
      <c r="I107" s="66"/>
      <c r="J107" s="67">
        <v>0.0</v>
      </c>
      <c r="K107" s="66"/>
      <c r="L107" s="67">
        <v>0.0</v>
      </c>
      <c r="M107" s="66"/>
      <c r="N107" s="67">
        <v>0.0</v>
      </c>
      <c r="O107" s="66"/>
      <c r="P107" s="67">
        <v>0.0</v>
      </c>
      <c r="Q107" s="68"/>
      <c r="R107" s="65">
        <v>0.0</v>
      </c>
      <c r="S107" s="66"/>
      <c r="T107" s="67">
        <v>0.0</v>
      </c>
      <c r="U107" s="66"/>
      <c r="V107" s="67">
        <v>0.0</v>
      </c>
      <c r="W107" s="66"/>
      <c r="X107" s="67">
        <v>0.0</v>
      </c>
      <c r="Y107" s="66"/>
      <c r="Z107" s="67">
        <v>0.0</v>
      </c>
      <c r="AA107" s="66"/>
      <c r="AB107" s="67">
        <v>0.0</v>
      </c>
      <c r="AC107" s="68"/>
      <c r="AD107" s="67">
        <v>0.0</v>
      </c>
      <c r="AE107" s="66"/>
      <c r="AF107" s="67">
        <v>0.0</v>
      </c>
      <c r="AG107" s="66"/>
      <c r="AH107" s="67">
        <v>0.0</v>
      </c>
      <c r="AI107" s="66"/>
      <c r="AJ107" s="65"/>
      <c r="AK107" s="68"/>
      <c r="AL107" s="71">
        <v>0.0</v>
      </c>
      <c r="AM107" s="68"/>
      <c r="AN107" s="65"/>
      <c r="AO107" s="68"/>
      <c r="AP107" s="65"/>
      <c r="AQ107" s="68"/>
      <c r="AR107" s="65"/>
      <c r="AS107" s="68"/>
      <c r="AT107" s="67"/>
      <c r="AU107" s="66"/>
      <c r="AV107" s="67"/>
      <c r="AW107" s="68"/>
      <c r="AX107" s="73">
        <f t="shared" si="1"/>
        <v>0</v>
      </c>
      <c r="AY107" s="63">
        <f t="shared" si="2"/>
        <v>0</v>
      </c>
      <c r="AZ107" s="63">
        <v>0.0</v>
      </c>
      <c r="BA107" s="63">
        <f t="shared" si="3"/>
        <v>0</v>
      </c>
      <c r="BB107" s="74" t="str">
        <f t="shared" si="4"/>
        <v/>
      </c>
    </row>
    <row r="108" ht="15.75" customHeight="1">
      <c r="A108" s="36" t="s">
        <v>46</v>
      </c>
      <c r="B108" s="75">
        <f t="shared" si="5"/>
        <v>45761</v>
      </c>
      <c r="C108" s="38">
        <v>4.0</v>
      </c>
      <c r="D108" s="38" t="s">
        <v>72</v>
      </c>
      <c r="E108" s="40"/>
      <c r="F108" s="41">
        <v>0.0</v>
      </c>
      <c r="H108" s="42">
        <v>0.0</v>
      </c>
      <c r="J108" s="42">
        <v>0.0</v>
      </c>
      <c r="L108" s="42">
        <v>0.0</v>
      </c>
      <c r="N108" s="42">
        <v>0.0</v>
      </c>
      <c r="P108" s="42">
        <v>0.0</v>
      </c>
      <c r="Q108" s="43"/>
      <c r="R108" s="41">
        <v>160.0</v>
      </c>
      <c r="T108" s="42">
        <v>160.0</v>
      </c>
      <c r="V108" s="42">
        <v>0.0</v>
      </c>
      <c r="X108" s="42">
        <v>0.0</v>
      </c>
      <c r="Z108" s="42">
        <v>0.0</v>
      </c>
      <c r="AB108" s="42">
        <v>0.0</v>
      </c>
      <c r="AC108" s="43"/>
      <c r="AD108" s="42">
        <v>0.0</v>
      </c>
      <c r="AF108" s="42">
        <v>0.0</v>
      </c>
      <c r="AH108" s="42">
        <v>0.0</v>
      </c>
      <c r="AJ108" s="41"/>
      <c r="AK108" s="43"/>
      <c r="AL108" s="46">
        <v>0.0</v>
      </c>
      <c r="AM108" s="43"/>
      <c r="AN108" s="41"/>
      <c r="AO108" s="43"/>
      <c r="AP108" s="41"/>
      <c r="AQ108" s="43"/>
      <c r="AR108" s="41"/>
      <c r="AS108" s="43"/>
      <c r="AT108" s="42"/>
      <c r="AV108" s="42"/>
      <c r="AW108" s="43"/>
      <c r="AX108" s="47">
        <f t="shared" si="1"/>
        <v>3558.4</v>
      </c>
      <c r="AY108" s="38">
        <f t="shared" si="2"/>
        <v>320</v>
      </c>
      <c r="AZ108" s="38">
        <v>0.0</v>
      </c>
      <c r="BA108" s="38">
        <f t="shared" si="3"/>
        <v>320</v>
      </c>
      <c r="BB108" s="76">
        <f t="shared" si="4"/>
        <v>11.12</v>
      </c>
    </row>
    <row r="109" ht="15.75" customHeight="1">
      <c r="A109" s="50" t="s">
        <v>48</v>
      </c>
      <c r="B109" s="51">
        <f t="shared" si="5"/>
        <v>45762</v>
      </c>
      <c r="C109" s="52">
        <v>4.0</v>
      </c>
      <c r="D109" s="52" t="s">
        <v>72</v>
      </c>
      <c r="E109" s="53"/>
      <c r="F109" s="41">
        <v>0.0</v>
      </c>
      <c r="H109" s="42">
        <v>0.0</v>
      </c>
      <c r="J109" s="42">
        <v>0.0</v>
      </c>
      <c r="L109" s="42">
        <v>0.0</v>
      </c>
      <c r="N109" s="42">
        <v>0.0</v>
      </c>
      <c r="P109" s="42">
        <v>0.0</v>
      </c>
      <c r="Q109" s="43"/>
      <c r="R109" s="41">
        <v>160.0</v>
      </c>
      <c r="T109" s="42">
        <v>160.0</v>
      </c>
      <c r="V109" s="42">
        <v>0.0</v>
      </c>
      <c r="X109" s="42">
        <v>0.0</v>
      </c>
      <c r="Z109" s="42">
        <v>0.0</v>
      </c>
      <c r="AB109" s="42">
        <v>0.0</v>
      </c>
      <c r="AC109" s="43"/>
      <c r="AD109" s="42">
        <v>0.0</v>
      </c>
      <c r="AF109" s="42">
        <v>0.0</v>
      </c>
      <c r="AH109" s="42">
        <v>0.0</v>
      </c>
      <c r="AJ109" s="41"/>
      <c r="AK109" s="43"/>
      <c r="AL109" s="46">
        <v>0.0</v>
      </c>
      <c r="AM109" s="43"/>
      <c r="AN109" s="41"/>
      <c r="AO109" s="43"/>
      <c r="AP109" s="41"/>
      <c r="AQ109" s="43"/>
      <c r="AR109" s="41"/>
      <c r="AS109" s="43"/>
      <c r="AT109" s="42"/>
      <c r="AV109" s="42"/>
      <c r="AW109" s="43"/>
      <c r="AX109" s="54">
        <f t="shared" si="1"/>
        <v>3558.4</v>
      </c>
      <c r="AY109" s="52">
        <f t="shared" si="2"/>
        <v>320</v>
      </c>
      <c r="AZ109" s="52">
        <v>0.0</v>
      </c>
      <c r="BA109" s="52">
        <f t="shared" si="3"/>
        <v>320</v>
      </c>
      <c r="BB109" s="49">
        <f t="shared" si="4"/>
        <v>11.12</v>
      </c>
    </row>
    <row r="110" ht="15.75" customHeight="1">
      <c r="A110" s="50" t="s">
        <v>49</v>
      </c>
      <c r="B110" s="51">
        <f t="shared" si="5"/>
        <v>45763</v>
      </c>
      <c r="C110" s="52">
        <v>4.0</v>
      </c>
      <c r="D110" s="52" t="s">
        <v>72</v>
      </c>
      <c r="E110" s="53"/>
      <c r="F110" s="41">
        <v>0.0</v>
      </c>
      <c r="H110" s="42">
        <v>0.0</v>
      </c>
      <c r="J110" s="42">
        <v>0.0</v>
      </c>
      <c r="L110" s="42">
        <v>0.0</v>
      </c>
      <c r="N110" s="42">
        <v>0.0</v>
      </c>
      <c r="P110" s="42">
        <v>0.0</v>
      </c>
      <c r="Q110" s="43"/>
      <c r="R110" s="41">
        <v>160.0</v>
      </c>
      <c r="T110" s="42">
        <v>160.0</v>
      </c>
      <c r="V110" s="42">
        <v>0.0</v>
      </c>
      <c r="X110" s="42">
        <v>0.0</v>
      </c>
      <c r="Z110" s="42">
        <v>0.0</v>
      </c>
      <c r="AB110" s="42">
        <v>0.0</v>
      </c>
      <c r="AC110" s="43"/>
      <c r="AD110" s="42">
        <v>0.0</v>
      </c>
      <c r="AF110" s="42">
        <v>0.0</v>
      </c>
      <c r="AH110" s="42">
        <v>0.0</v>
      </c>
      <c r="AJ110" s="41"/>
      <c r="AK110" s="43"/>
      <c r="AL110" s="46">
        <v>0.0</v>
      </c>
      <c r="AM110" s="43"/>
      <c r="AN110" s="41"/>
      <c r="AO110" s="43"/>
      <c r="AP110" s="41"/>
      <c r="AQ110" s="43"/>
      <c r="AR110" s="41"/>
      <c r="AS110" s="43"/>
      <c r="AT110" s="42"/>
      <c r="AV110" s="42"/>
      <c r="AW110" s="43"/>
      <c r="AX110" s="54">
        <f t="shared" si="1"/>
        <v>3558.4</v>
      </c>
      <c r="AY110" s="52">
        <f t="shared" si="2"/>
        <v>320</v>
      </c>
      <c r="AZ110" s="52">
        <v>0.0</v>
      </c>
      <c r="BA110" s="52">
        <f t="shared" si="3"/>
        <v>320</v>
      </c>
      <c r="BB110" s="49">
        <f t="shared" si="4"/>
        <v>11.12</v>
      </c>
    </row>
    <row r="111" ht="15.75" customHeight="1">
      <c r="A111" s="50" t="s">
        <v>50</v>
      </c>
      <c r="B111" s="51">
        <f t="shared" si="5"/>
        <v>45764</v>
      </c>
      <c r="C111" s="52">
        <v>4.0</v>
      </c>
      <c r="D111" s="52" t="s">
        <v>72</v>
      </c>
      <c r="E111" s="53"/>
      <c r="F111" s="41">
        <v>0.0</v>
      </c>
      <c r="H111" s="42">
        <v>0.0</v>
      </c>
      <c r="J111" s="42">
        <v>0.0</v>
      </c>
      <c r="L111" s="42">
        <v>0.0</v>
      </c>
      <c r="N111" s="42">
        <v>0.0</v>
      </c>
      <c r="P111" s="42">
        <v>0.0</v>
      </c>
      <c r="Q111" s="43"/>
      <c r="R111" s="41">
        <v>160.0</v>
      </c>
      <c r="T111" s="42">
        <v>160.0</v>
      </c>
      <c r="V111" s="42">
        <v>0.0</v>
      </c>
      <c r="X111" s="42">
        <v>0.0</v>
      </c>
      <c r="Z111" s="42">
        <v>0.0</v>
      </c>
      <c r="AB111" s="42">
        <v>0.0</v>
      </c>
      <c r="AC111" s="43"/>
      <c r="AD111" s="42">
        <v>0.0</v>
      </c>
      <c r="AF111" s="42">
        <v>0.0</v>
      </c>
      <c r="AH111" s="42">
        <v>0.0</v>
      </c>
      <c r="AJ111" s="41"/>
      <c r="AK111" s="43"/>
      <c r="AL111" s="46">
        <v>0.0</v>
      </c>
      <c r="AM111" s="43"/>
      <c r="AN111" s="41"/>
      <c r="AO111" s="43"/>
      <c r="AP111" s="41"/>
      <c r="AQ111" s="43"/>
      <c r="AR111" s="41"/>
      <c r="AS111" s="43"/>
      <c r="AT111" s="42"/>
      <c r="AV111" s="42"/>
      <c r="AW111" s="43"/>
      <c r="AX111" s="54">
        <f t="shared" si="1"/>
        <v>3558.4</v>
      </c>
      <c r="AY111" s="52">
        <f t="shared" si="2"/>
        <v>320</v>
      </c>
      <c r="AZ111" s="52">
        <v>0.0</v>
      </c>
      <c r="BA111" s="52">
        <f t="shared" si="3"/>
        <v>320</v>
      </c>
      <c r="BB111" s="49">
        <f t="shared" si="4"/>
        <v>11.12</v>
      </c>
    </row>
    <row r="112" ht="15.75" customHeight="1">
      <c r="A112" s="50" t="s">
        <v>53</v>
      </c>
      <c r="B112" s="51">
        <f t="shared" si="5"/>
        <v>45765</v>
      </c>
      <c r="C112" s="52">
        <v>4.0</v>
      </c>
      <c r="D112" s="52" t="s">
        <v>72</v>
      </c>
      <c r="E112" s="53"/>
      <c r="F112" s="41">
        <v>0.0</v>
      </c>
      <c r="H112" s="42">
        <v>0.0</v>
      </c>
      <c r="J112" s="42">
        <v>0.0</v>
      </c>
      <c r="L112" s="42">
        <v>0.0</v>
      </c>
      <c r="N112" s="42">
        <v>0.0</v>
      </c>
      <c r="P112" s="42">
        <v>0.0</v>
      </c>
      <c r="Q112" s="43"/>
      <c r="R112" s="41">
        <v>155.0</v>
      </c>
      <c r="T112" s="42">
        <v>155.0</v>
      </c>
      <c r="V112" s="42">
        <v>0.0</v>
      </c>
      <c r="X112" s="42">
        <v>0.0</v>
      </c>
      <c r="Z112" s="42">
        <v>0.0</v>
      </c>
      <c r="AB112" s="42">
        <v>0.0</v>
      </c>
      <c r="AC112" s="43"/>
      <c r="AD112" s="42">
        <v>0.0</v>
      </c>
      <c r="AF112" s="42">
        <v>0.0</v>
      </c>
      <c r="AH112" s="42">
        <v>0.0</v>
      </c>
      <c r="AJ112" s="41"/>
      <c r="AK112" s="43"/>
      <c r="AL112" s="46">
        <v>0.0</v>
      </c>
      <c r="AM112" s="43"/>
      <c r="AN112" s="41"/>
      <c r="AO112" s="43"/>
      <c r="AP112" s="41"/>
      <c r="AQ112" s="43"/>
      <c r="AR112" s="41"/>
      <c r="AS112" s="43"/>
      <c r="AT112" s="42"/>
      <c r="AV112" s="42"/>
      <c r="AW112" s="43"/>
      <c r="AX112" s="54">
        <f t="shared" si="1"/>
        <v>3447.2</v>
      </c>
      <c r="AY112" s="52">
        <f t="shared" si="2"/>
        <v>310</v>
      </c>
      <c r="AZ112" s="52">
        <v>0.0</v>
      </c>
      <c r="BA112" s="52">
        <f t="shared" si="3"/>
        <v>310</v>
      </c>
      <c r="BB112" s="49">
        <f t="shared" si="4"/>
        <v>11.12</v>
      </c>
    </row>
    <row r="113" ht="15.75" customHeight="1">
      <c r="A113" s="50" t="s">
        <v>54</v>
      </c>
      <c r="B113" s="51">
        <f t="shared" si="5"/>
        <v>45766</v>
      </c>
      <c r="C113" s="52">
        <v>4.0</v>
      </c>
      <c r="D113" s="52" t="s">
        <v>72</v>
      </c>
      <c r="E113" s="53"/>
      <c r="F113" s="41">
        <v>0.0</v>
      </c>
      <c r="H113" s="42">
        <v>0.0</v>
      </c>
      <c r="J113" s="42">
        <v>0.0</v>
      </c>
      <c r="L113" s="42">
        <v>0.0</v>
      </c>
      <c r="N113" s="42">
        <v>0.0</v>
      </c>
      <c r="P113" s="42">
        <v>0.0</v>
      </c>
      <c r="Q113" s="43"/>
      <c r="R113" s="41">
        <v>155.0</v>
      </c>
      <c r="T113" s="42">
        <v>155.0</v>
      </c>
      <c r="V113" s="42">
        <v>0.0</v>
      </c>
      <c r="X113" s="42">
        <v>0.0</v>
      </c>
      <c r="Z113" s="42">
        <v>0.0</v>
      </c>
      <c r="AB113" s="42">
        <v>0.0</v>
      </c>
      <c r="AC113" s="43"/>
      <c r="AD113" s="42">
        <v>0.0</v>
      </c>
      <c r="AF113" s="42">
        <v>0.0</v>
      </c>
      <c r="AH113" s="42">
        <v>0.0</v>
      </c>
      <c r="AJ113" s="41"/>
      <c r="AK113" s="43"/>
      <c r="AL113" s="46">
        <v>0.0</v>
      </c>
      <c r="AM113" s="43"/>
      <c r="AN113" s="41"/>
      <c r="AO113" s="43"/>
      <c r="AP113" s="41"/>
      <c r="AQ113" s="43"/>
      <c r="AR113" s="41"/>
      <c r="AS113" s="43"/>
      <c r="AT113" s="42"/>
      <c r="AV113" s="42"/>
      <c r="AW113" s="43"/>
      <c r="AX113" s="54">
        <f t="shared" si="1"/>
        <v>3447.2</v>
      </c>
      <c r="AY113" s="52">
        <f t="shared" si="2"/>
        <v>310</v>
      </c>
      <c r="AZ113" s="52">
        <v>0.0</v>
      </c>
      <c r="BA113" s="52">
        <f t="shared" si="3"/>
        <v>310</v>
      </c>
      <c r="BB113" s="49">
        <f t="shared" si="4"/>
        <v>11.12</v>
      </c>
    </row>
    <row r="114" ht="15.75" customHeight="1">
      <c r="A114" s="59" t="s">
        <v>61</v>
      </c>
      <c r="B114" s="61">
        <f t="shared" si="5"/>
        <v>45767</v>
      </c>
      <c r="C114" s="63">
        <v>4.0</v>
      </c>
      <c r="D114" s="63" t="s">
        <v>72</v>
      </c>
      <c r="E114" s="64"/>
      <c r="F114" s="65">
        <v>0.0</v>
      </c>
      <c r="G114" s="66"/>
      <c r="H114" s="67">
        <v>0.0</v>
      </c>
      <c r="I114" s="66"/>
      <c r="J114" s="67">
        <v>0.0</v>
      </c>
      <c r="K114" s="66"/>
      <c r="L114" s="67">
        <v>0.0</v>
      </c>
      <c r="M114" s="66"/>
      <c r="N114" s="67">
        <v>0.0</v>
      </c>
      <c r="O114" s="66"/>
      <c r="P114" s="67">
        <v>0.0</v>
      </c>
      <c r="Q114" s="68"/>
      <c r="R114" s="65">
        <v>0.0</v>
      </c>
      <c r="S114" s="66"/>
      <c r="T114" s="67">
        <v>0.0</v>
      </c>
      <c r="U114" s="66"/>
      <c r="V114" s="67">
        <v>0.0</v>
      </c>
      <c r="W114" s="66"/>
      <c r="X114" s="67">
        <v>0.0</v>
      </c>
      <c r="Y114" s="66"/>
      <c r="Z114" s="67">
        <v>0.0</v>
      </c>
      <c r="AA114" s="66"/>
      <c r="AB114" s="67">
        <v>0.0</v>
      </c>
      <c r="AC114" s="68"/>
      <c r="AD114" s="67">
        <v>0.0</v>
      </c>
      <c r="AE114" s="66"/>
      <c r="AF114" s="67">
        <v>0.0</v>
      </c>
      <c r="AG114" s="66"/>
      <c r="AH114" s="67">
        <v>0.0</v>
      </c>
      <c r="AI114" s="66"/>
      <c r="AJ114" s="65"/>
      <c r="AK114" s="68"/>
      <c r="AL114" s="71">
        <v>0.0</v>
      </c>
      <c r="AM114" s="68"/>
      <c r="AN114" s="65"/>
      <c r="AO114" s="68"/>
      <c r="AP114" s="65"/>
      <c r="AQ114" s="68"/>
      <c r="AR114" s="65"/>
      <c r="AS114" s="68"/>
      <c r="AT114" s="67"/>
      <c r="AU114" s="66"/>
      <c r="AV114" s="67"/>
      <c r="AW114" s="68"/>
      <c r="AX114" s="73">
        <f t="shared" si="1"/>
        <v>0</v>
      </c>
      <c r="AY114" s="63">
        <f t="shared" si="2"/>
        <v>0</v>
      </c>
      <c r="AZ114" s="63">
        <v>0.0</v>
      </c>
      <c r="BA114" s="63">
        <f t="shared" si="3"/>
        <v>0</v>
      </c>
      <c r="BB114" s="74" t="str">
        <f t="shared" si="4"/>
        <v/>
      </c>
    </row>
    <row r="115" ht="15.75" customHeight="1">
      <c r="A115" s="36" t="s">
        <v>46</v>
      </c>
      <c r="B115" s="75">
        <f t="shared" si="5"/>
        <v>45768</v>
      </c>
      <c r="C115" s="38">
        <v>5.0</v>
      </c>
      <c r="D115" s="38" t="s">
        <v>47</v>
      </c>
      <c r="E115" s="40"/>
      <c r="F115" s="41">
        <v>0.0</v>
      </c>
      <c r="H115" s="42">
        <v>0.0</v>
      </c>
      <c r="J115" s="42">
        <v>0.0</v>
      </c>
      <c r="L115" s="42">
        <v>0.0</v>
      </c>
      <c r="N115" s="42">
        <v>0.0</v>
      </c>
      <c r="P115" s="42">
        <v>0.0</v>
      </c>
      <c r="Q115" s="43"/>
      <c r="R115" s="41">
        <v>155.0</v>
      </c>
      <c r="T115" s="42">
        <v>155.0</v>
      </c>
      <c r="V115" s="42">
        <v>0.0</v>
      </c>
      <c r="X115" s="42">
        <v>0.0</v>
      </c>
      <c r="Z115" s="42">
        <v>0.0</v>
      </c>
      <c r="AB115" s="42">
        <v>0.0</v>
      </c>
      <c r="AC115" s="43"/>
      <c r="AD115" s="42">
        <v>0.0</v>
      </c>
      <c r="AF115" s="42">
        <v>0.0</v>
      </c>
      <c r="AH115" s="42">
        <v>0.0</v>
      </c>
      <c r="AJ115" s="41"/>
      <c r="AK115" s="43"/>
      <c r="AL115" s="46">
        <v>0.0</v>
      </c>
      <c r="AM115" s="43"/>
      <c r="AN115" s="41"/>
      <c r="AO115" s="43"/>
      <c r="AP115" s="41"/>
      <c r="AQ115" s="43"/>
      <c r="AR115" s="41"/>
      <c r="AS115" s="43"/>
      <c r="AT115" s="42"/>
      <c r="AV115" s="42"/>
      <c r="AW115" s="43"/>
      <c r="AX115" s="47">
        <f t="shared" si="1"/>
        <v>3447.2</v>
      </c>
      <c r="AY115" s="38">
        <f t="shared" si="2"/>
        <v>310</v>
      </c>
      <c r="AZ115" s="38">
        <v>0.0</v>
      </c>
      <c r="BA115" s="38">
        <f t="shared" si="3"/>
        <v>310</v>
      </c>
      <c r="BB115" s="76">
        <f t="shared" si="4"/>
        <v>11.12</v>
      </c>
    </row>
    <row r="116" ht="15.75" customHeight="1">
      <c r="A116" s="50" t="s">
        <v>48</v>
      </c>
      <c r="B116" s="51">
        <f t="shared" si="5"/>
        <v>45769</v>
      </c>
      <c r="C116" s="52">
        <v>5.0</v>
      </c>
      <c r="D116" s="52" t="s">
        <v>47</v>
      </c>
      <c r="E116" s="53"/>
      <c r="F116" s="41">
        <v>0.0</v>
      </c>
      <c r="H116" s="42">
        <v>0.0</v>
      </c>
      <c r="J116" s="42">
        <v>0.0</v>
      </c>
      <c r="L116" s="42">
        <v>0.0</v>
      </c>
      <c r="N116" s="42">
        <v>0.0</v>
      </c>
      <c r="P116" s="42">
        <v>0.0</v>
      </c>
      <c r="Q116" s="43"/>
      <c r="R116" s="41">
        <v>155.0</v>
      </c>
      <c r="T116" s="42">
        <v>155.0</v>
      </c>
      <c r="V116" s="42">
        <v>0.0</v>
      </c>
      <c r="X116" s="42">
        <v>0.0</v>
      </c>
      <c r="Z116" s="42">
        <v>0.0</v>
      </c>
      <c r="AB116" s="42">
        <v>0.0</v>
      </c>
      <c r="AC116" s="43"/>
      <c r="AD116" s="42">
        <v>0.0</v>
      </c>
      <c r="AF116" s="42">
        <v>50.0</v>
      </c>
      <c r="AH116" s="42">
        <v>50.0</v>
      </c>
      <c r="AJ116" s="41"/>
      <c r="AK116" s="43"/>
      <c r="AL116" s="46">
        <v>0.0</v>
      </c>
      <c r="AM116" s="43"/>
      <c r="AN116" s="41"/>
      <c r="AO116" s="43"/>
      <c r="AP116" s="41"/>
      <c r="AQ116" s="43"/>
      <c r="AR116" s="41"/>
      <c r="AS116" s="43"/>
      <c r="AT116" s="42"/>
      <c r="AV116" s="42"/>
      <c r="AW116" s="43"/>
      <c r="AX116" s="54">
        <f t="shared" si="1"/>
        <v>5036.2</v>
      </c>
      <c r="AY116" s="52">
        <f t="shared" si="2"/>
        <v>410</v>
      </c>
      <c r="AZ116" s="52">
        <v>0.0</v>
      </c>
      <c r="BA116" s="52">
        <f t="shared" si="3"/>
        <v>410</v>
      </c>
      <c r="BB116" s="49">
        <f t="shared" si="4"/>
        <v>12.28341463</v>
      </c>
    </row>
    <row r="117" ht="15.75" customHeight="1">
      <c r="A117" s="50" t="s">
        <v>49</v>
      </c>
      <c r="B117" s="51">
        <f t="shared" si="5"/>
        <v>45770</v>
      </c>
      <c r="C117" s="52">
        <v>5.0</v>
      </c>
      <c r="D117" s="52" t="s">
        <v>47</v>
      </c>
      <c r="E117" s="53"/>
      <c r="F117" s="41">
        <v>0.0</v>
      </c>
      <c r="H117" s="42">
        <v>0.0</v>
      </c>
      <c r="J117" s="42">
        <v>0.0</v>
      </c>
      <c r="L117" s="42">
        <v>0.0</v>
      </c>
      <c r="N117" s="42">
        <v>0.0</v>
      </c>
      <c r="P117" s="42">
        <v>0.0</v>
      </c>
      <c r="Q117" s="43"/>
      <c r="R117" s="41">
        <v>155.0</v>
      </c>
      <c r="T117" s="42">
        <v>155.0</v>
      </c>
      <c r="V117" s="42">
        <v>0.0</v>
      </c>
      <c r="X117" s="42">
        <v>0.0</v>
      </c>
      <c r="Z117" s="42">
        <v>0.0</v>
      </c>
      <c r="AB117" s="42">
        <v>0.0</v>
      </c>
      <c r="AC117" s="43"/>
      <c r="AD117" s="42">
        <v>0.0</v>
      </c>
      <c r="AF117" s="42">
        <v>50.0</v>
      </c>
      <c r="AH117" s="42">
        <v>50.0</v>
      </c>
      <c r="AJ117" s="41"/>
      <c r="AK117" s="43"/>
      <c r="AL117" s="46">
        <v>0.0</v>
      </c>
      <c r="AM117" s="43"/>
      <c r="AN117" s="41"/>
      <c r="AO117" s="43"/>
      <c r="AP117" s="41"/>
      <c r="AQ117" s="43"/>
      <c r="AR117" s="41"/>
      <c r="AS117" s="43"/>
      <c r="AT117" s="42"/>
      <c r="AV117" s="42"/>
      <c r="AW117" s="43"/>
      <c r="AX117" s="54">
        <f t="shared" si="1"/>
        <v>5036.2</v>
      </c>
      <c r="AY117" s="52">
        <f t="shared" si="2"/>
        <v>410</v>
      </c>
      <c r="AZ117" s="52">
        <v>0.0</v>
      </c>
      <c r="BA117" s="52">
        <f t="shared" si="3"/>
        <v>410</v>
      </c>
      <c r="BB117" s="49">
        <f t="shared" si="4"/>
        <v>12.28341463</v>
      </c>
    </row>
    <row r="118" ht="15.75" customHeight="1">
      <c r="A118" s="50" t="s">
        <v>50</v>
      </c>
      <c r="B118" s="51">
        <f t="shared" si="5"/>
        <v>45771</v>
      </c>
      <c r="C118" s="52">
        <v>5.0</v>
      </c>
      <c r="D118" s="52" t="s">
        <v>47</v>
      </c>
      <c r="E118" s="53"/>
      <c r="F118" s="41">
        <v>0.0</v>
      </c>
      <c r="H118" s="42">
        <v>0.0</v>
      </c>
      <c r="J118" s="42">
        <v>0.0</v>
      </c>
      <c r="L118" s="42">
        <v>0.0</v>
      </c>
      <c r="N118" s="42">
        <v>0.0</v>
      </c>
      <c r="P118" s="42">
        <v>0.0</v>
      </c>
      <c r="Q118" s="43"/>
      <c r="R118" s="41">
        <v>155.0</v>
      </c>
      <c r="T118" s="42">
        <v>155.0</v>
      </c>
      <c r="V118" s="42">
        <v>0.0</v>
      </c>
      <c r="X118" s="42">
        <v>0.0</v>
      </c>
      <c r="Z118" s="42">
        <v>0.0</v>
      </c>
      <c r="AB118" s="42">
        <v>0.0</v>
      </c>
      <c r="AC118" s="43"/>
      <c r="AD118" s="42">
        <v>0.0</v>
      </c>
      <c r="AF118" s="42">
        <v>0.0</v>
      </c>
      <c r="AH118" s="42">
        <v>50.0</v>
      </c>
      <c r="AJ118" s="41"/>
      <c r="AK118" s="43"/>
      <c r="AL118" s="46">
        <v>0.0</v>
      </c>
      <c r="AM118" s="43"/>
      <c r="AN118" s="41"/>
      <c r="AO118" s="43"/>
      <c r="AP118" s="41"/>
      <c r="AQ118" s="43"/>
      <c r="AR118" s="41"/>
      <c r="AS118" s="43"/>
      <c r="AT118" s="42"/>
      <c r="AV118" s="42"/>
      <c r="AW118" s="43"/>
      <c r="AX118" s="54">
        <f t="shared" si="1"/>
        <v>4241.7</v>
      </c>
      <c r="AY118" s="52">
        <f t="shared" si="2"/>
        <v>360</v>
      </c>
      <c r="AZ118" s="52">
        <v>0.0</v>
      </c>
      <c r="BA118" s="52">
        <f t="shared" si="3"/>
        <v>360</v>
      </c>
      <c r="BB118" s="49">
        <f t="shared" si="4"/>
        <v>11.7825</v>
      </c>
    </row>
    <row r="119" ht="15.75" customHeight="1">
      <c r="A119" s="50" t="s">
        <v>53</v>
      </c>
      <c r="B119" s="51">
        <f t="shared" si="5"/>
        <v>45772</v>
      </c>
      <c r="C119" s="52">
        <v>5.0</v>
      </c>
      <c r="D119" s="52" t="s">
        <v>47</v>
      </c>
      <c r="E119" s="53"/>
      <c r="F119" s="41">
        <v>0.0</v>
      </c>
      <c r="H119" s="42">
        <v>0.0</v>
      </c>
      <c r="J119" s="42">
        <v>0.0</v>
      </c>
      <c r="L119" s="42">
        <v>0.0</v>
      </c>
      <c r="N119" s="42">
        <v>0.0</v>
      </c>
      <c r="P119" s="42">
        <v>0.0</v>
      </c>
      <c r="Q119" s="43"/>
      <c r="R119" s="41">
        <v>155.0</v>
      </c>
      <c r="T119" s="42">
        <v>155.0</v>
      </c>
      <c r="V119" s="42">
        <v>0.0</v>
      </c>
      <c r="X119" s="42">
        <v>0.0</v>
      </c>
      <c r="Z119" s="42">
        <v>0.0</v>
      </c>
      <c r="AB119" s="42">
        <v>0.0</v>
      </c>
      <c r="AC119" s="43"/>
      <c r="AD119" s="42">
        <v>0.0</v>
      </c>
      <c r="AF119" s="42">
        <v>50.0</v>
      </c>
      <c r="AH119" s="42">
        <v>50.0</v>
      </c>
      <c r="AJ119" s="41"/>
      <c r="AK119" s="43"/>
      <c r="AL119" s="46">
        <v>0.0</v>
      </c>
      <c r="AM119" s="43"/>
      <c r="AN119" s="41"/>
      <c r="AO119" s="43"/>
      <c r="AP119" s="41"/>
      <c r="AQ119" s="43"/>
      <c r="AR119" s="41"/>
      <c r="AS119" s="43"/>
      <c r="AT119" s="42"/>
      <c r="AV119" s="42"/>
      <c r="AW119" s="43"/>
      <c r="AX119" s="54">
        <f t="shared" si="1"/>
        <v>5036.2</v>
      </c>
      <c r="AY119" s="52">
        <f t="shared" si="2"/>
        <v>410</v>
      </c>
      <c r="AZ119" s="52">
        <v>0.0</v>
      </c>
      <c r="BA119" s="52">
        <f t="shared" si="3"/>
        <v>410</v>
      </c>
      <c r="BB119" s="49">
        <f t="shared" si="4"/>
        <v>12.28341463</v>
      </c>
    </row>
    <row r="120" ht="15.75" customHeight="1">
      <c r="A120" s="50" t="s">
        <v>54</v>
      </c>
      <c r="B120" s="51">
        <f t="shared" si="5"/>
        <v>45773</v>
      </c>
      <c r="C120" s="52">
        <v>5.0</v>
      </c>
      <c r="D120" s="52" t="s">
        <v>47</v>
      </c>
      <c r="E120" s="53"/>
      <c r="F120" s="41">
        <v>0.0</v>
      </c>
      <c r="H120" s="42">
        <v>0.0</v>
      </c>
      <c r="J120" s="42">
        <v>0.0</v>
      </c>
      <c r="L120" s="42">
        <v>0.0</v>
      </c>
      <c r="N120" s="42">
        <v>0.0</v>
      </c>
      <c r="P120" s="42">
        <v>0.0</v>
      </c>
      <c r="Q120" s="43"/>
      <c r="R120" s="41">
        <v>155.0</v>
      </c>
      <c r="T120" s="42">
        <v>155.0</v>
      </c>
      <c r="V120" s="42">
        <v>0.0</v>
      </c>
      <c r="X120" s="42">
        <v>0.0</v>
      </c>
      <c r="Z120" s="42">
        <v>0.0</v>
      </c>
      <c r="AB120" s="42">
        <v>0.0</v>
      </c>
      <c r="AC120" s="43"/>
      <c r="AD120" s="42">
        <v>0.0</v>
      </c>
      <c r="AF120" s="42">
        <v>50.0</v>
      </c>
      <c r="AH120" s="42">
        <v>0.0</v>
      </c>
      <c r="AJ120" s="41"/>
      <c r="AK120" s="43"/>
      <c r="AL120" s="46">
        <v>0.0</v>
      </c>
      <c r="AM120" s="43"/>
      <c r="AN120" s="41"/>
      <c r="AO120" s="43"/>
      <c r="AP120" s="41"/>
      <c r="AQ120" s="43"/>
      <c r="AR120" s="41"/>
      <c r="AS120" s="43"/>
      <c r="AT120" s="42"/>
      <c r="AV120" s="42"/>
      <c r="AW120" s="43"/>
      <c r="AX120" s="54">
        <f t="shared" si="1"/>
        <v>4241.7</v>
      </c>
      <c r="AY120" s="52">
        <f t="shared" si="2"/>
        <v>360</v>
      </c>
      <c r="AZ120" s="52">
        <v>0.0</v>
      </c>
      <c r="BA120" s="52">
        <f t="shared" si="3"/>
        <v>360</v>
      </c>
      <c r="BB120" s="49">
        <f t="shared" si="4"/>
        <v>11.7825</v>
      </c>
    </row>
    <row r="121" ht="15.75" customHeight="1">
      <c r="A121" s="59" t="s">
        <v>61</v>
      </c>
      <c r="B121" s="61">
        <f t="shared" si="5"/>
        <v>45774</v>
      </c>
      <c r="C121" s="63">
        <v>5.0</v>
      </c>
      <c r="D121" s="63" t="s">
        <v>47</v>
      </c>
      <c r="E121" s="64"/>
      <c r="F121" s="65">
        <v>0.0</v>
      </c>
      <c r="G121" s="66"/>
      <c r="H121" s="67">
        <v>0.0</v>
      </c>
      <c r="I121" s="66"/>
      <c r="J121" s="67">
        <v>0.0</v>
      </c>
      <c r="K121" s="66"/>
      <c r="L121" s="67">
        <v>0.0</v>
      </c>
      <c r="M121" s="66"/>
      <c r="N121" s="67">
        <v>0.0</v>
      </c>
      <c r="O121" s="66"/>
      <c r="P121" s="67">
        <v>0.0</v>
      </c>
      <c r="Q121" s="68"/>
      <c r="R121" s="65">
        <v>0.0</v>
      </c>
      <c r="S121" s="66"/>
      <c r="T121" s="67">
        <v>0.0</v>
      </c>
      <c r="U121" s="66"/>
      <c r="V121" s="67">
        <v>0.0</v>
      </c>
      <c r="W121" s="66"/>
      <c r="X121" s="67">
        <v>0.0</v>
      </c>
      <c r="Y121" s="66"/>
      <c r="Z121" s="67">
        <v>0.0</v>
      </c>
      <c r="AA121" s="66"/>
      <c r="AB121" s="67">
        <v>0.0</v>
      </c>
      <c r="AC121" s="68"/>
      <c r="AD121" s="67">
        <v>0.0</v>
      </c>
      <c r="AE121" s="66"/>
      <c r="AF121" s="67">
        <v>0.0</v>
      </c>
      <c r="AG121" s="66"/>
      <c r="AH121" s="67">
        <v>0.0</v>
      </c>
      <c r="AI121" s="66"/>
      <c r="AJ121" s="65"/>
      <c r="AK121" s="68"/>
      <c r="AL121" s="71">
        <v>0.0</v>
      </c>
      <c r="AM121" s="68"/>
      <c r="AN121" s="65"/>
      <c r="AO121" s="68"/>
      <c r="AP121" s="65"/>
      <c r="AQ121" s="68"/>
      <c r="AR121" s="65"/>
      <c r="AS121" s="68"/>
      <c r="AT121" s="67"/>
      <c r="AU121" s="66"/>
      <c r="AV121" s="67"/>
      <c r="AW121" s="68"/>
      <c r="AX121" s="73">
        <f t="shared" si="1"/>
        <v>0</v>
      </c>
      <c r="AY121" s="63">
        <f t="shared" si="2"/>
        <v>0</v>
      </c>
      <c r="AZ121" s="63">
        <v>0.0</v>
      </c>
      <c r="BA121" s="63">
        <f t="shared" si="3"/>
        <v>0</v>
      </c>
      <c r="BB121" s="74" t="str">
        <f t="shared" si="4"/>
        <v/>
      </c>
    </row>
    <row r="122" ht="15.75" customHeight="1">
      <c r="A122" s="36" t="s">
        <v>46</v>
      </c>
      <c r="B122" s="75">
        <f t="shared" si="5"/>
        <v>45775</v>
      </c>
      <c r="C122" s="38">
        <v>5.0</v>
      </c>
      <c r="D122" s="38" t="s">
        <v>65</v>
      </c>
      <c r="E122" s="40"/>
      <c r="F122" s="41">
        <v>0.0</v>
      </c>
      <c r="H122" s="42">
        <v>0.0</v>
      </c>
      <c r="J122" s="42">
        <v>0.0</v>
      </c>
      <c r="L122" s="42">
        <v>0.0</v>
      </c>
      <c r="N122" s="42">
        <v>0.0</v>
      </c>
      <c r="P122" s="42">
        <v>0.0</v>
      </c>
      <c r="Q122" s="43"/>
      <c r="R122" s="41">
        <v>155.0</v>
      </c>
      <c r="T122" s="42">
        <v>155.0</v>
      </c>
      <c r="V122" s="42">
        <v>0.0</v>
      </c>
      <c r="X122" s="42">
        <v>0.0</v>
      </c>
      <c r="Z122" s="42">
        <v>0.0</v>
      </c>
      <c r="AB122" s="42">
        <v>0.0</v>
      </c>
      <c r="AC122" s="43"/>
      <c r="AD122" s="42">
        <v>0.0</v>
      </c>
      <c r="AF122" s="42">
        <v>0.0</v>
      </c>
      <c r="AH122" s="42">
        <v>0.0</v>
      </c>
      <c r="AJ122" s="41"/>
      <c r="AK122" s="43"/>
      <c r="AL122" s="46">
        <v>0.0</v>
      </c>
      <c r="AM122" s="43"/>
      <c r="AN122" s="41"/>
      <c r="AO122" s="43"/>
      <c r="AP122" s="41"/>
      <c r="AQ122" s="43"/>
      <c r="AR122" s="41"/>
      <c r="AS122" s="43"/>
      <c r="AT122" s="42"/>
      <c r="AV122" s="42"/>
      <c r="AW122" s="43"/>
      <c r="AX122" s="47">
        <f t="shared" si="1"/>
        <v>3447.2</v>
      </c>
      <c r="AY122" s="38">
        <f t="shared" si="2"/>
        <v>310</v>
      </c>
      <c r="AZ122" s="38">
        <v>0.0</v>
      </c>
      <c r="BA122" s="38">
        <f t="shared" si="3"/>
        <v>310</v>
      </c>
      <c r="BB122" s="76">
        <f t="shared" si="4"/>
        <v>11.12</v>
      </c>
    </row>
    <row r="123" ht="15.75" customHeight="1">
      <c r="A123" s="50" t="s">
        <v>48</v>
      </c>
      <c r="B123" s="51">
        <f t="shared" si="5"/>
        <v>45776</v>
      </c>
      <c r="C123" s="52">
        <v>5.0</v>
      </c>
      <c r="D123" s="52" t="s">
        <v>65</v>
      </c>
      <c r="E123" s="53"/>
      <c r="F123" s="41">
        <v>0.0</v>
      </c>
      <c r="H123" s="42">
        <v>0.0</v>
      </c>
      <c r="J123" s="42">
        <v>0.0</v>
      </c>
      <c r="L123" s="42">
        <v>0.0</v>
      </c>
      <c r="N123" s="42">
        <v>0.0</v>
      </c>
      <c r="P123" s="42">
        <v>0.0</v>
      </c>
      <c r="Q123" s="43"/>
      <c r="R123" s="41">
        <v>155.0</v>
      </c>
      <c r="T123" s="42">
        <v>155.0</v>
      </c>
      <c r="V123" s="42">
        <v>0.0</v>
      </c>
      <c r="X123" s="42">
        <v>0.0</v>
      </c>
      <c r="Z123" s="42">
        <v>0.0</v>
      </c>
      <c r="AB123" s="42">
        <v>0.0</v>
      </c>
      <c r="AC123" s="43"/>
      <c r="AD123" s="42">
        <v>0.0</v>
      </c>
      <c r="AF123" s="42">
        <v>0.0</v>
      </c>
      <c r="AH123" s="42">
        <v>0.0</v>
      </c>
      <c r="AJ123" s="41"/>
      <c r="AK123" s="43"/>
      <c r="AL123" s="46">
        <v>0.0</v>
      </c>
      <c r="AM123" s="43"/>
      <c r="AN123" s="41"/>
      <c r="AO123" s="43"/>
      <c r="AP123" s="41"/>
      <c r="AQ123" s="43"/>
      <c r="AR123" s="41"/>
      <c r="AS123" s="43"/>
      <c r="AT123" s="42"/>
      <c r="AV123" s="42"/>
      <c r="AW123" s="43"/>
      <c r="AX123" s="54">
        <f t="shared" si="1"/>
        <v>3447.2</v>
      </c>
      <c r="AY123" s="52">
        <f t="shared" si="2"/>
        <v>310</v>
      </c>
      <c r="AZ123" s="52">
        <v>0.0</v>
      </c>
      <c r="BA123" s="52">
        <f t="shared" si="3"/>
        <v>310</v>
      </c>
      <c r="BB123" s="49">
        <f t="shared" si="4"/>
        <v>11.12</v>
      </c>
    </row>
    <row r="124" ht="15.75" customHeight="1">
      <c r="A124" s="50" t="s">
        <v>49</v>
      </c>
      <c r="B124" s="51">
        <f t="shared" si="5"/>
        <v>45777</v>
      </c>
      <c r="C124" s="52">
        <v>5.0</v>
      </c>
      <c r="D124" s="52" t="s">
        <v>65</v>
      </c>
      <c r="E124" s="53"/>
      <c r="F124" s="41">
        <v>0.0</v>
      </c>
      <c r="H124" s="42">
        <v>0.0</v>
      </c>
      <c r="J124" s="42">
        <v>0.0</v>
      </c>
      <c r="L124" s="42">
        <v>0.0</v>
      </c>
      <c r="N124" s="42">
        <v>0.0</v>
      </c>
      <c r="P124" s="42">
        <v>0.0</v>
      </c>
      <c r="Q124" s="43"/>
      <c r="R124" s="41">
        <v>155.0</v>
      </c>
      <c r="T124" s="42">
        <v>155.0</v>
      </c>
      <c r="V124" s="42">
        <v>0.0</v>
      </c>
      <c r="X124" s="42">
        <v>0.0</v>
      </c>
      <c r="Z124" s="42">
        <v>0.0</v>
      </c>
      <c r="AB124" s="42">
        <v>0.0</v>
      </c>
      <c r="AC124" s="43"/>
      <c r="AD124" s="42">
        <v>0.0</v>
      </c>
      <c r="AF124" s="42">
        <v>0.0</v>
      </c>
      <c r="AH124" s="42">
        <v>0.0</v>
      </c>
      <c r="AJ124" s="41"/>
      <c r="AK124" s="43"/>
      <c r="AL124" s="46">
        <v>0.0</v>
      </c>
      <c r="AM124" s="43"/>
      <c r="AN124" s="41"/>
      <c r="AO124" s="43"/>
      <c r="AP124" s="41"/>
      <c r="AQ124" s="43"/>
      <c r="AR124" s="41"/>
      <c r="AS124" s="43"/>
      <c r="AT124" s="42"/>
      <c r="AV124" s="42"/>
      <c r="AW124" s="43"/>
      <c r="AX124" s="54">
        <f t="shared" si="1"/>
        <v>3447.2</v>
      </c>
      <c r="AY124" s="52">
        <f t="shared" si="2"/>
        <v>310</v>
      </c>
      <c r="AZ124" s="52">
        <v>0.0</v>
      </c>
      <c r="BA124" s="52">
        <f t="shared" si="3"/>
        <v>310</v>
      </c>
      <c r="BB124" s="49">
        <f t="shared" si="4"/>
        <v>11.12</v>
      </c>
    </row>
    <row r="125" ht="15.75" customHeight="1">
      <c r="A125" s="50" t="s">
        <v>50</v>
      </c>
      <c r="B125" s="51">
        <f t="shared" si="5"/>
        <v>45778</v>
      </c>
      <c r="C125" s="52">
        <v>5.0</v>
      </c>
      <c r="D125" s="52" t="s">
        <v>65</v>
      </c>
      <c r="E125" s="53"/>
      <c r="F125" s="41">
        <v>0.0</v>
      </c>
      <c r="H125" s="42">
        <v>0.0</v>
      </c>
      <c r="J125" s="42">
        <v>0.0</v>
      </c>
      <c r="L125" s="42">
        <v>0.0</v>
      </c>
      <c r="N125" s="42">
        <v>0.0</v>
      </c>
      <c r="P125" s="42">
        <v>0.0</v>
      </c>
      <c r="Q125" s="43"/>
      <c r="R125" s="41">
        <v>155.0</v>
      </c>
      <c r="T125" s="42">
        <v>155.0</v>
      </c>
      <c r="V125" s="42">
        <v>0.0</v>
      </c>
      <c r="X125" s="42">
        <v>0.0</v>
      </c>
      <c r="Z125" s="42">
        <v>0.0</v>
      </c>
      <c r="AB125" s="42">
        <v>0.0</v>
      </c>
      <c r="AC125" s="43"/>
      <c r="AD125" s="42">
        <v>0.0</v>
      </c>
      <c r="AF125" s="42">
        <v>0.0</v>
      </c>
      <c r="AH125" s="42">
        <v>0.0</v>
      </c>
      <c r="AJ125" s="41"/>
      <c r="AK125" s="43"/>
      <c r="AL125" s="46">
        <v>0.0</v>
      </c>
      <c r="AM125" s="43"/>
      <c r="AN125" s="41"/>
      <c r="AO125" s="43"/>
      <c r="AP125" s="41"/>
      <c r="AQ125" s="43"/>
      <c r="AR125" s="41"/>
      <c r="AS125" s="43"/>
      <c r="AT125" s="42"/>
      <c r="AV125" s="42"/>
      <c r="AW125" s="43"/>
      <c r="AX125" s="54">
        <f t="shared" si="1"/>
        <v>3447.2</v>
      </c>
      <c r="AY125" s="52">
        <f t="shared" si="2"/>
        <v>310</v>
      </c>
      <c r="AZ125" s="52">
        <v>0.0</v>
      </c>
      <c r="BA125" s="52">
        <f t="shared" si="3"/>
        <v>310</v>
      </c>
      <c r="BB125" s="49">
        <f t="shared" si="4"/>
        <v>11.12</v>
      </c>
    </row>
    <row r="126" ht="15.75" customHeight="1">
      <c r="A126" s="50" t="s">
        <v>53</v>
      </c>
      <c r="B126" s="51">
        <f t="shared" si="5"/>
        <v>45779</v>
      </c>
      <c r="C126" s="52">
        <v>5.0</v>
      </c>
      <c r="D126" s="52" t="s">
        <v>65</v>
      </c>
      <c r="E126" s="53"/>
      <c r="F126" s="41">
        <v>0.0</v>
      </c>
      <c r="H126" s="42">
        <v>0.0</v>
      </c>
      <c r="J126" s="42">
        <v>0.0</v>
      </c>
      <c r="L126" s="42">
        <v>0.0</v>
      </c>
      <c r="N126" s="42">
        <v>0.0</v>
      </c>
      <c r="P126" s="42">
        <v>0.0</v>
      </c>
      <c r="Q126" s="43"/>
      <c r="R126" s="41">
        <v>155.0</v>
      </c>
      <c r="T126" s="42">
        <v>155.0</v>
      </c>
      <c r="V126" s="42">
        <v>0.0</v>
      </c>
      <c r="X126" s="42">
        <v>0.0</v>
      </c>
      <c r="Z126" s="42">
        <v>0.0</v>
      </c>
      <c r="AB126" s="42">
        <v>0.0</v>
      </c>
      <c r="AC126" s="43"/>
      <c r="AD126" s="42">
        <v>0.0</v>
      </c>
      <c r="AF126" s="42">
        <v>0.0</v>
      </c>
      <c r="AH126" s="42">
        <v>0.0</v>
      </c>
      <c r="AJ126" s="41"/>
      <c r="AK126" s="43"/>
      <c r="AL126" s="46">
        <v>0.0</v>
      </c>
      <c r="AM126" s="43"/>
      <c r="AN126" s="41"/>
      <c r="AO126" s="43"/>
      <c r="AP126" s="41"/>
      <c r="AQ126" s="43"/>
      <c r="AR126" s="41"/>
      <c r="AS126" s="43"/>
      <c r="AT126" s="42"/>
      <c r="AV126" s="42"/>
      <c r="AW126" s="43"/>
      <c r="AX126" s="54">
        <f t="shared" si="1"/>
        <v>3447.2</v>
      </c>
      <c r="AY126" s="52">
        <f t="shared" si="2"/>
        <v>310</v>
      </c>
      <c r="AZ126" s="52">
        <v>0.0</v>
      </c>
      <c r="BA126" s="52">
        <f t="shared" si="3"/>
        <v>310</v>
      </c>
      <c r="BB126" s="49">
        <f t="shared" si="4"/>
        <v>11.12</v>
      </c>
    </row>
    <row r="127" ht="15.75" customHeight="1">
      <c r="A127" s="50" t="s">
        <v>54</v>
      </c>
      <c r="B127" s="51">
        <f t="shared" si="5"/>
        <v>45780</v>
      </c>
      <c r="C127" s="52">
        <v>5.0</v>
      </c>
      <c r="D127" s="52" t="s">
        <v>65</v>
      </c>
      <c r="E127" s="53"/>
      <c r="F127" s="41">
        <v>0.0</v>
      </c>
      <c r="H127" s="42">
        <v>0.0</v>
      </c>
      <c r="J127" s="42">
        <v>0.0</v>
      </c>
      <c r="L127" s="42">
        <v>0.0</v>
      </c>
      <c r="N127" s="42">
        <v>0.0</v>
      </c>
      <c r="P127" s="42">
        <v>0.0</v>
      </c>
      <c r="Q127" s="43"/>
      <c r="R127" s="41">
        <v>155.0</v>
      </c>
      <c r="T127" s="42">
        <v>155.0</v>
      </c>
      <c r="V127" s="42">
        <v>0.0</v>
      </c>
      <c r="X127" s="42">
        <v>0.0</v>
      </c>
      <c r="Z127" s="42">
        <v>0.0</v>
      </c>
      <c r="AB127" s="42">
        <v>0.0</v>
      </c>
      <c r="AC127" s="43"/>
      <c r="AD127" s="42">
        <v>0.0</v>
      </c>
      <c r="AF127" s="42">
        <v>0.0</v>
      </c>
      <c r="AH127" s="42">
        <v>0.0</v>
      </c>
      <c r="AJ127" s="41"/>
      <c r="AK127" s="43"/>
      <c r="AL127" s="46">
        <v>0.0</v>
      </c>
      <c r="AM127" s="43"/>
      <c r="AN127" s="41"/>
      <c r="AO127" s="43"/>
      <c r="AP127" s="41"/>
      <c r="AQ127" s="43"/>
      <c r="AR127" s="41"/>
      <c r="AS127" s="43"/>
      <c r="AT127" s="42"/>
      <c r="AV127" s="42"/>
      <c r="AW127" s="43"/>
      <c r="AX127" s="54">
        <f t="shared" si="1"/>
        <v>3447.2</v>
      </c>
      <c r="AY127" s="52">
        <f t="shared" si="2"/>
        <v>310</v>
      </c>
      <c r="AZ127" s="52">
        <v>0.0</v>
      </c>
      <c r="BA127" s="52">
        <f t="shared" si="3"/>
        <v>310</v>
      </c>
      <c r="BB127" s="49">
        <f t="shared" si="4"/>
        <v>11.12</v>
      </c>
    </row>
    <row r="128" ht="15.75" customHeight="1">
      <c r="A128" s="59" t="s">
        <v>61</v>
      </c>
      <c r="B128" s="61">
        <f t="shared" si="5"/>
        <v>45781</v>
      </c>
      <c r="C128" s="63">
        <v>5.0</v>
      </c>
      <c r="D128" s="63" t="s">
        <v>65</v>
      </c>
      <c r="E128" s="64"/>
      <c r="F128" s="65">
        <v>0.0</v>
      </c>
      <c r="G128" s="66"/>
      <c r="H128" s="67">
        <v>0.0</v>
      </c>
      <c r="I128" s="66"/>
      <c r="J128" s="67">
        <v>0.0</v>
      </c>
      <c r="K128" s="66"/>
      <c r="L128" s="67">
        <v>0.0</v>
      </c>
      <c r="M128" s="66"/>
      <c r="N128" s="67">
        <v>0.0</v>
      </c>
      <c r="O128" s="66"/>
      <c r="P128" s="67">
        <v>0.0</v>
      </c>
      <c r="Q128" s="68"/>
      <c r="R128" s="65">
        <v>0.0</v>
      </c>
      <c r="S128" s="66"/>
      <c r="T128" s="67">
        <v>0.0</v>
      </c>
      <c r="U128" s="66"/>
      <c r="V128" s="67">
        <v>0.0</v>
      </c>
      <c r="W128" s="66"/>
      <c r="X128" s="67">
        <v>0.0</v>
      </c>
      <c r="Y128" s="66"/>
      <c r="Z128" s="67">
        <v>0.0</v>
      </c>
      <c r="AA128" s="66"/>
      <c r="AB128" s="67">
        <v>0.0</v>
      </c>
      <c r="AC128" s="68"/>
      <c r="AD128" s="67">
        <v>0.0</v>
      </c>
      <c r="AE128" s="66"/>
      <c r="AF128" s="67">
        <v>0.0</v>
      </c>
      <c r="AG128" s="66"/>
      <c r="AH128" s="67">
        <v>0.0</v>
      </c>
      <c r="AI128" s="66"/>
      <c r="AJ128" s="65"/>
      <c r="AK128" s="68"/>
      <c r="AL128" s="71">
        <v>0.0</v>
      </c>
      <c r="AM128" s="68"/>
      <c r="AN128" s="65"/>
      <c r="AO128" s="68"/>
      <c r="AP128" s="65"/>
      <c r="AQ128" s="68"/>
      <c r="AR128" s="65"/>
      <c r="AS128" s="68"/>
      <c r="AT128" s="67"/>
      <c r="AU128" s="66"/>
      <c r="AV128" s="67"/>
      <c r="AW128" s="68"/>
      <c r="AX128" s="73">
        <f t="shared" si="1"/>
        <v>0</v>
      </c>
      <c r="AY128" s="63">
        <f t="shared" si="2"/>
        <v>0</v>
      </c>
      <c r="AZ128" s="63">
        <v>0.0</v>
      </c>
      <c r="BA128" s="63">
        <f t="shared" si="3"/>
        <v>0</v>
      </c>
      <c r="BB128" s="74" t="str">
        <f t="shared" si="4"/>
        <v/>
      </c>
    </row>
    <row r="129" ht="15.75" customHeight="1">
      <c r="A129" s="36" t="s">
        <v>46</v>
      </c>
      <c r="B129" s="75">
        <f t="shared" si="5"/>
        <v>45782</v>
      </c>
      <c r="C129" s="38">
        <v>5.0</v>
      </c>
      <c r="D129" s="38" t="s">
        <v>69</v>
      </c>
      <c r="E129" s="40"/>
      <c r="F129" s="41">
        <v>0.0</v>
      </c>
      <c r="H129" s="42">
        <v>0.0</v>
      </c>
      <c r="J129" s="42">
        <v>0.0</v>
      </c>
      <c r="L129" s="42">
        <v>0.0</v>
      </c>
      <c r="N129" s="42">
        <v>0.0</v>
      </c>
      <c r="P129" s="42">
        <v>0.0</v>
      </c>
      <c r="Q129" s="43"/>
      <c r="R129" s="41">
        <v>155.0</v>
      </c>
      <c r="T129" s="42">
        <v>155.0</v>
      </c>
      <c r="V129" s="42">
        <v>0.0</v>
      </c>
      <c r="X129" s="42">
        <v>0.0</v>
      </c>
      <c r="Z129" s="42">
        <v>0.0</v>
      </c>
      <c r="AB129" s="42">
        <v>0.0</v>
      </c>
      <c r="AC129" s="43"/>
      <c r="AD129" s="42">
        <v>0.0</v>
      </c>
      <c r="AF129" s="42">
        <v>0.0</v>
      </c>
      <c r="AH129" s="42">
        <v>0.0</v>
      </c>
      <c r="AJ129" s="41"/>
      <c r="AK129" s="43"/>
      <c r="AL129" s="46">
        <v>0.0</v>
      </c>
      <c r="AM129" s="43"/>
      <c r="AN129" s="41"/>
      <c r="AO129" s="43"/>
      <c r="AP129" s="41"/>
      <c r="AQ129" s="43"/>
      <c r="AR129" s="41"/>
      <c r="AS129" s="43"/>
      <c r="AT129" s="42"/>
      <c r="AV129" s="42"/>
      <c r="AW129" s="43"/>
      <c r="AX129" s="47">
        <f t="shared" si="1"/>
        <v>3447.2</v>
      </c>
      <c r="AY129" s="38">
        <f t="shared" si="2"/>
        <v>310</v>
      </c>
      <c r="AZ129" s="38">
        <v>0.0</v>
      </c>
      <c r="BA129" s="38">
        <f t="shared" si="3"/>
        <v>310</v>
      </c>
      <c r="BB129" s="76">
        <f t="shared" si="4"/>
        <v>11.12</v>
      </c>
    </row>
    <row r="130" ht="15.75" customHeight="1">
      <c r="A130" s="50" t="s">
        <v>48</v>
      </c>
      <c r="B130" s="51">
        <f t="shared" si="5"/>
        <v>45783</v>
      </c>
      <c r="C130" s="52">
        <v>5.0</v>
      </c>
      <c r="D130" s="52" t="s">
        <v>69</v>
      </c>
      <c r="E130" s="53"/>
      <c r="F130" s="41">
        <v>0.0</v>
      </c>
      <c r="H130" s="42">
        <v>0.0</v>
      </c>
      <c r="J130" s="42">
        <v>0.0</v>
      </c>
      <c r="L130" s="42">
        <v>0.0</v>
      </c>
      <c r="N130" s="42">
        <v>0.0</v>
      </c>
      <c r="P130" s="42">
        <v>0.0</v>
      </c>
      <c r="Q130" s="43"/>
      <c r="R130" s="41">
        <v>155.0</v>
      </c>
      <c r="T130" s="42">
        <v>155.0</v>
      </c>
      <c r="V130" s="42">
        <v>0.0</v>
      </c>
      <c r="X130" s="42">
        <v>0.0</v>
      </c>
      <c r="Z130" s="42">
        <v>0.0</v>
      </c>
      <c r="AB130" s="42">
        <v>0.0</v>
      </c>
      <c r="AC130" s="43"/>
      <c r="AD130" s="42">
        <v>0.0</v>
      </c>
      <c r="AF130" s="42">
        <v>50.0</v>
      </c>
      <c r="AH130" s="42">
        <v>50.0</v>
      </c>
      <c r="AJ130" s="41"/>
      <c r="AK130" s="43"/>
      <c r="AL130" s="46">
        <v>0.0</v>
      </c>
      <c r="AM130" s="43"/>
      <c r="AN130" s="41"/>
      <c r="AO130" s="43"/>
      <c r="AP130" s="41"/>
      <c r="AQ130" s="43"/>
      <c r="AR130" s="41"/>
      <c r="AS130" s="43"/>
      <c r="AT130" s="42"/>
      <c r="AV130" s="42"/>
      <c r="AW130" s="43"/>
      <c r="AX130" s="54">
        <f t="shared" si="1"/>
        <v>5036.2</v>
      </c>
      <c r="AY130" s="52">
        <f t="shared" si="2"/>
        <v>410</v>
      </c>
      <c r="AZ130" s="52">
        <v>0.0</v>
      </c>
      <c r="BA130" s="52">
        <f t="shared" si="3"/>
        <v>410</v>
      </c>
      <c r="BB130" s="49">
        <f t="shared" si="4"/>
        <v>12.28341463</v>
      </c>
    </row>
    <row r="131" ht="15.75" customHeight="1">
      <c r="A131" s="50" t="s">
        <v>49</v>
      </c>
      <c r="B131" s="51">
        <f t="shared" si="5"/>
        <v>45784</v>
      </c>
      <c r="C131" s="52">
        <v>5.0</v>
      </c>
      <c r="D131" s="52" t="s">
        <v>69</v>
      </c>
      <c r="E131" s="53"/>
      <c r="F131" s="41">
        <v>0.0</v>
      </c>
      <c r="H131" s="42">
        <v>0.0</v>
      </c>
      <c r="J131" s="42">
        <v>0.0</v>
      </c>
      <c r="L131" s="42">
        <v>0.0</v>
      </c>
      <c r="N131" s="42">
        <v>0.0</v>
      </c>
      <c r="P131" s="42">
        <v>0.0</v>
      </c>
      <c r="Q131" s="43"/>
      <c r="R131" s="41">
        <v>155.0</v>
      </c>
      <c r="T131" s="42">
        <v>155.0</v>
      </c>
      <c r="V131" s="42">
        <v>0.0</v>
      </c>
      <c r="X131" s="42">
        <v>0.0</v>
      </c>
      <c r="Z131" s="42">
        <v>0.0</v>
      </c>
      <c r="AB131" s="42">
        <v>0.0</v>
      </c>
      <c r="AC131" s="43"/>
      <c r="AD131" s="42">
        <v>0.0</v>
      </c>
      <c r="AF131" s="42">
        <v>50.0</v>
      </c>
      <c r="AH131" s="42">
        <v>50.0</v>
      </c>
      <c r="AJ131" s="41"/>
      <c r="AK131" s="43"/>
      <c r="AL131" s="46">
        <v>0.0</v>
      </c>
      <c r="AM131" s="43"/>
      <c r="AN131" s="41"/>
      <c r="AO131" s="43"/>
      <c r="AP131" s="41"/>
      <c r="AQ131" s="43"/>
      <c r="AR131" s="41"/>
      <c r="AS131" s="43"/>
      <c r="AT131" s="42"/>
      <c r="AV131" s="42"/>
      <c r="AW131" s="43"/>
      <c r="AX131" s="54">
        <f t="shared" si="1"/>
        <v>5036.2</v>
      </c>
      <c r="AY131" s="52">
        <f t="shared" si="2"/>
        <v>410</v>
      </c>
      <c r="AZ131" s="52">
        <v>0.0</v>
      </c>
      <c r="BA131" s="52">
        <f t="shared" si="3"/>
        <v>410</v>
      </c>
      <c r="BB131" s="49">
        <f t="shared" si="4"/>
        <v>12.28341463</v>
      </c>
    </row>
    <row r="132" ht="15.75" customHeight="1">
      <c r="A132" s="50" t="s">
        <v>50</v>
      </c>
      <c r="B132" s="51">
        <f t="shared" si="5"/>
        <v>45785</v>
      </c>
      <c r="C132" s="52">
        <v>5.0</v>
      </c>
      <c r="D132" s="52" t="s">
        <v>69</v>
      </c>
      <c r="E132" s="53"/>
      <c r="F132" s="41">
        <v>0.0</v>
      </c>
      <c r="H132" s="42">
        <v>0.0</v>
      </c>
      <c r="J132" s="42">
        <v>0.0</v>
      </c>
      <c r="L132" s="42">
        <v>0.0</v>
      </c>
      <c r="N132" s="42">
        <v>0.0</v>
      </c>
      <c r="P132" s="42">
        <v>0.0</v>
      </c>
      <c r="Q132" s="43"/>
      <c r="R132" s="41">
        <v>155.0</v>
      </c>
      <c r="T132" s="42">
        <v>155.0</v>
      </c>
      <c r="V132" s="42">
        <v>0.0</v>
      </c>
      <c r="X132" s="42">
        <v>0.0</v>
      </c>
      <c r="Z132" s="42">
        <v>0.0</v>
      </c>
      <c r="AB132" s="42">
        <v>0.0</v>
      </c>
      <c r="AC132" s="43"/>
      <c r="AD132" s="42">
        <v>0.0</v>
      </c>
      <c r="AF132" s="42">
        <v>0.0</v>
      </c>
      <c r="AH132" s="42">
        <v>50.0</v>
      </c>
      <c r="AJ132" s="41"/>
      <c r="AK132" s="43"/>
      <c r="AL132" s="46">
        <v>0.0</v>
      </c>
      <c r="AM132" s="43"/>
      <c r="AN132" s="41"/>
      <c r="AO132" s="43"/>
      <c r="AP132" s="41"/>
      <c r="AQ132" s="43"/>
      <c r="AR132" s="41"/>
      <c r="AS132" s="43"/>
      <c r="AT132" s="42"/>
      <c r="AV132" s="42"/>
      <c r="AW132" s="43"/>
      <c r="AX132" s="54">
        <f t="shared" si="1"/>
        <v>4241.7</v>
      </c>
      <c r="AY132" s="52">
        <f t="shared" si="2"/>
        <v>360</v>
      </c>
      <c r="AZ132" s="52">
        <v>0.0</v>
      </c>
      <c r="BA132" s="52">
        <f t="shared" si="3"/>
        <v>360</v>
      </c>
      <c r="BB132" s="49">
        <f t="shared" si="4"/>
        <v>11.7825</v>
      </c>
    </row>
    <row r="133" ht="15.75" customHeight="1">
      <c r="A133" s="50" t="s">
        <v>53</v>
      </c>
      <c r="B133" s="51">
        <f t="shared" si="5"/>
        <v>45786</v>
      </c>
      <c r="C133" s="52">
        <v>5.0</v>
      </c>
      <c r="D133" s="52" t="s">
        <v>69</v>
      </c>
      <c r="E133" s="53"/>
      <c r="F133" s="41">
        <v>0.0</v>
      </c>
      <c r="H133" s="42">
        <v>0.0</v>
      </c>
      <c r="J133" s="42">
        <v>0.0</v>
      </c>
      <c r="L133" s="42">
        <v>0.0</v>
      </c>
      <c r="N133" s="42">
        <v>0.0</v>
      </c>
      <c r="P133" s="42">
        <v>0.0</v>
      </c>
      <c r="Q133" s="43"/>
      <c r="R133" s="41">
        <v>155.0</v>
      </c>
      <c r="T133" s="42">
        <v>155.0</v>
      </c>
      <c r="V133" s="42">
        <v>0.0</v>
      </c>
      <c r="X133" s="42">
        <v>0.0</v>
      </c>
      <c r="Z133" s="42">
        <v>0.0</v>
      </c>
      <c r="AB133" s="42">
        <v>0.0</v>
      </c>
      <c r="AC133" s="43"/>
      <c r="AD133" s="42">
        <v>0.0</v>
      </c>
      <c r="AF133" s="42">
        <v>0.0</v>
      </c>
      <c r="AH133" s="42">
        <v>50.0</v>
      </c>
      <c r="AJ133" s="41"/>
      <c r="AK133" s="43"/>
      <c r="AL133" s="46">
        <v>0.0</v>
      </c>
      <c r="AM133" s="43"/>
      <c r="AN133" s="41"/>
      <c r="AO133" s="43"/>
      <c r="AP133" s="41"/>
      <c r="AQ133" s="43"/>
      <c r="AR133" s="41"/>
      <c r="AS133" s="43"/>
      <c r="AT133" s="42"/>
      <c r="AV133" s="42"/>
      <c r="AW133" s="43"/>
      <c r="AX133" s="54">
        <f t="shared" si="1"/>
        <v>4241.7</v>
      </c>
      <c r="AY133" s="52">
        <f t="shared" si="2"/>
        <v>360</v>
      </c>
      <c r="AZ133" s="52">
        <v>0.0</v>
      </c>
      <c r="BA133" s="52">
        <f t="shared" si="3"/>
        <v>360</v>
      </c>
      <c r="BB133" s="49">
        <f t="shared" si="4"/>
        <v>11.7825</v>
      </c>
    </row>
    <row r="134" ht="15.75" customHeight="1">
      <c r="A134" s="50" t="s">
        <v>54</v>
      </c>
      <c r="B134" s="51">
        <f t="shared" si="5"/>
        <v>45787</v>
      </c>
      <c r="C134" s="52">
        <v>5.0</v>
      </c>
      <c r="D134" s="52" t="s">
        <v>69</v>
      </c>
      <c r="E134" s="53"/>
      <c r="F134" s="41">
        <v>0.0</v>
      </c>
      <c r="H134" s="42">
        <v>0.0</v>
      </c>
      <c r="J134" s="42">
        <v>0.0</v>
      </c>
      <c r="L134" s="42">
        <v>0.0</v>
      </c>
      <c r="N134" s="42">
        <v>0.0</v>
      </c>
      <c r="P134" s="42">
        <v>0.0</v>
      </c>
      <c r="Q134" s="43"/>
      <c r="R134" s="41">
        <v>155.0</v>
      </c>
      <c r="T134" s="42">
        <v>155.0</v>
      </c>
      <c r="V134" s="42">
        <v>0.0</v>
      </c>
      <c r="X134" s="42">
        <v>0.0</v>
      </c>
      <c r="Z134" s="42">
        <v>0.0</v>
      </c>
      <c r="AB134" s="42">
        <v>0.0</v>
      </c>
      <c r="AC134" s="43"/>
      <c r="AD134" s="42">
        <v>0.0</v>
      </c>
      <c r="AF134" s="42">
        <v>50.0</v>
      </c>
      <c r="AH134" s="42">
        <v>0.0</v>
      </c>
      <c r="AJ134" s="41"/>
      <c r="AK134" s="43"/>
      <c r="AL134" s="46">
        <v>0.0</v>
      </c>
      <c r="AM134" s="43"/>
      <c r="AN134" s="41"/>
      <c r="AO134" s="43"/>
      <c r="AP134" s="41"/>
      <c r="AQ134" s="43"/>
      <c r="AR134" s="41"/>
      <c r="AS134" s="43"/>
      <c r="AT134" s="42"/>
      <c r="AV134" s="42"/>
      <c r="AW134" s="43"/>
      <c r="AX134" s="54">
        <f t="shared" si="1"/>
        <v>4241.7</v>
      </c>
      <c r="AY134" s="52">
        <f t="shared" si="2"/>
        <v>360</v>
      </c>
      <c r="AZ134" s="52">
        <v>0.0</v>
      </c>
      <c r="BA134" s="52">
        <f t="shared" si="3"/>
        <v>360</v>
      </c>
      <c r="BB134" s="49">
        <f t="shared" si="4"/>
        <v>11.7825</v>
      </c>
    </row>
    <row r="135" ht="15.75" customHeight="1">
      <c r="A135" s="59" t="s">
        <v>61</v>
      </c>
      <c r="B135" s="61">
        <f t="shared" si="5"/>
        <v>45788</v>
      </c>
      <c r="C135" s="63">
        <v>5.0</v>
      </c>
      <c r="D135" s="63" t="s">
        <v>69</v>
      </c>
      <c r="E135" s="64"/>
      <c r="F135" s="65">
        <v>0.0</v>
      </c>
      <c r="G135" s="66"/>
      <c r="H135" s="67">
        <v>0.0</v>
      </c>
      <c r="I135" s="66"/>
      <c r="J135" s="67">
        <v>0.0</v>
      </c>
      <c r="K135" s="66"/>
      <c r="L135" s="67">
        <v>0.0</v>
      </c>
      <c r="M135" s="66"/>
      <c r="N135" s="67">
        <v>0.0</v>
      </c>
      <c r="O135" s="66"/>
      <c r="P135" s="67">
        <v>0.0</v>
      </c>
      <c r="Q135" s="68"/>
      <c r="R135" s="65">
        <v>0.0</v>
      </c>
      <c r="S135" s="66"/>
      <c r="T135" s="67">
        <v>0.0</v>
      </c>
      <c r="U135" s="66"/>
      <c r="V135" s="67">
        <v>0.0</v>
      </c>
      <c r="W135" s="66"/>
      <c r="X135" s="67">
        <v>0.0</v>
      </c>
      <c r="Y135" s="66"/>
      <c r="Z135" s="67">
        <v>0.0</v>
      </c>
      <c r="AA135" s="66"/>
      <c r="AB135" s="67">
        <v>0.0</v>
      </c>
      <c r="AC135" s="68"/>
      <c r="AD135" s="67">
        <v>0.0</v>
      </c>
      <c r="AE135" s="66"/>
      <c r="AF135" s="67">
        <v>0.0</v>
      </c>
      <c r="AG135" s="66"/>
      <c r="AH135" s="67">
        <v>0.0</v>
      </c>
      <c r="AI135" s="66"/>
      <c r="AJ135" s="65"/>
      <c r="AK135" s="68"/>
      <c r="AL135" s="71">
        <v>0.0</v>
      </c>
      <c r="AM135" s="68"/>
      <c r="AN135" s="65"/>
      <c r="AO135" s="68"/>
      <c r="AP135" s="65"/>
      <c r="AQ135" s="68"/>
      <c r="AR135" s="65"/>
      <c r="AS135" s="68"/>
      <c r="AT135" s="67"/>
      <c r="AU135" s="66"/>
      <c r="AV135" s="67"/>
      <c r="AW135" s="68"/>
      <c r="AX135" s="73">
        <f t="shared" si="1"/>
        <v>0</v>
      </c>
      <c r="AY135" s="63">
        <f t="shared" si="2"/>
        <v>0</v>
      </c>
      <c r="AZ135" s="63">
        <v>0.0</v>
      </c>
      <c r="BA135" s="63">
        <f t="shared" si="3"/>
        <v>0</v>
      </c>
      <c r="BB135" s="74" t="str">
        <f t="shared" si="4"/>
        <v/>
      </c>
    </row>
    <row r="136" ht="15.75" customHeight="1">
      <c r="A136" s="36" t="s">
        <v>46</v>
      </c>
      <c r="B136" s="75">
        <f t="shared" si="5"/>
        <v>45789</v>
      </c>
      <c r="C136" s="38">
        <v>5.0</v>
      </c>
      <c r="D136" s="38" t="s">
        <v>72</v>
      </c>
      <c r="E136" s="40"/>
      <c r="F136" s="41">
        <v>0.0</v>
      </c>
      <c r="H136" s="42">
        <v>0.0</v>
      </c>
      <c r="J136" s="42">
        <v>0.0</v>
      </c>
      <c r="L136" s="42">
        <v>0.0</v>
      </c>
      <c r="N136" s="42">
        <v>0.0</v>
      </c>
      <c r="P136" s="42">
        <v>0.0</v>
      </c>
      <c r="Q136" s="43"/>
      <c r="R136" s="41">
        <v>155.0</v>
      </c>
      <c r="T136" s="42">
        <v>155.0</v>
      </c>
      <c r="V136" s="42">
        <v>0.0</v>
      </c>
      <c r="X136" s="42">
        <v>0.0</v>
      </c>
      <c r="Z136" s="42">
        <v>0.0</v>
      </c>
      <c r="AB136" s="42">
        <v>0.0</v>
      </c>
      <c r="AC136" s="43"/>
      <c r="AD136" s="42">
        <v>0.0</v>
      </c>
      <c r="AF136" s="42">
        <v>0.0</v>
      </c>
      <c r="AH136" s="42">
        <v>0.0</v>
      </c>
      <c r="AJ136" s="41"/>
      <c r="AK136" s="43"/>
      <c r="AL136" s="46">
        <v>0.0</v>
      </c>
      <c r="AM136" s="43"/>
      <c r="AN136" s="41"/>
      <c r="AO136" s="43"/>
      <c r="AP136" s="41"/>
      <c r="AQ136" s="43"/>
      <c r="AR136" s="41"/>
      <c r="AS136" s="43"/>
      <c r="AT136" s="42"/>
      <c r="AV136" s="42"/>
      <c r="AW136" s="43"/>
      <c r="AX136" s="47">
        <f t="shared" si="1"/>
        <v>3447.2</v>
      </c>
      <c r="AY136" s="38">
        <f t="shared" si="2"/>
        <v>310</v>
      </c>
      <c r="AZ136" s="38">
        <v>0.0</v>
      </c>
      <c r="BA136" s="38">
        <f t="shared" si="3"/>
        <v>310</v>
      </c>
      <c r="BB136" s="76">
        <f t="shared" si="4"/>
        <v>11.12</v>
      </c>
    </row>
    <row r="137" ht="15.75" customHeight="1">
      <c r="A137" s="50" t="s">
        <v>48</v>
      </c>
      <c r="B137" s="51">
        <f t="shared" si="5"/>
        <v>45790</v>
      </c>
      <c r="C137" s="52">
        <v>5.0</v>
      </c>
      <c r="D137" s="52" t="s">
        <v>72</v>
      </c>
      <c r="E137" s="53"/>
      <c r="F137" s="41">
        <v>0.0</v>
      </c>
      <c r="H137" s="42">
        <v>0.0</v>
      </c>
      <c r="J137" s="42">
        <v>0.0</v>
      </c>
      <c r="L137" s="42">
        <v>0.0</v>
      </c>
      <c r="N137" s="42">
        <v>0.0</v>
      </c>
      <c r="P137" s="42">
        <v>0.0</v>
      </c>
      <c r="Q137" s="43"/>
      <c r="R137" s="41">
        <v>155.0</v>
      </c>
      <c r="T137" s="42">
        <v>155.0</v>
      </c>
      <c r="V137" s="42">
        <v>0.0</v>
      </c>
      <c r="X137" s="42">
        <v>0.0</v>
      </c>
      <c r="Z137" s="42">
        <v>0.0</v>
      </c>
      <c r="AB137" s="42">
        <v>0.0</v>
      </c>
      <c r="AC137" s="43"/>
      <c r="AD137" s="42">
        <v>0.0</v>
      </c>
      <c r="AF137" s="42">
        <v>0.0</v>
      </c>
      <c r="AH137" s="42">
        <v>0.0</v>
      </c>
      <c r="AJ137" s="41"/>
      <c r="AK137" s="43"/>
      <c r="AL137" s="46">
        <v>0.0</v>
      </c>
      <c r="AM137" s="43"/>
      <c r="AN137" s="41"/>
      <c r="AO137" s="43"/>
      <c r="AP137" s="41"/>
      <c r="AQ137" s="43"/>
      <c r="AR137" s="41"/>
      <c r="AS137" s="43"/>
      <c r="AT137" s="42"/>
      <c r="AV137" s="42"/>
      <c r="AW137" s="43"/>
      <c r="AX137" s="54">
        <f t="shared" si="1"/>
        <v>3447.2</v>
      </c>
      <c r="AY137" s="52">
        <f t="shared" si="2"/>
        <v>310</v>
      </c>
      <c r="AZ137" s="52">
        <v>0.0</v>
      </c>
      <c r="BA137" s="52">
        <f t="shared" si="3"/>
        <v>310</v>
      </c>
      <c r="BB137" s="49">
        <f t="shared" si="4"/>
        <v>11.12</v>
      </c>
    </row>
    <row r="138" ht="15.75" customHeight="1">
      <c r="A138" s="50" t="s">
        <v>49</v>
      </c>
      <c r="B138" s="51">
        <f t="shared" si="5"/>
        <v>45791</v>
      </c>
      <c r="C138" s="52">
        <v>5.0</v>
      </c>
      <c r="D138" s="52" t="s">
        <v>72</v>
      </c>
      <c r="E138" s="53"/>
      <c r="F138" s="41">
        <v>0.0</v>
      </c>
      <c r="H138" s="42">
        <v>0.0</v>
      </c>
      <c r="J138" s="42">
        <v>0.0</v>
      </c>
      <c r="L138" s="42">
        <v>0.0</v>
      </c>
      <c r="N138" s="42">
        <v>0.0</v>
      </c>
      <c r="P138" s="42">
        <v>0.0</v>
      </c>
      <c r="Q138" s="43"/>
      <c r="R138" s="41">
        <v>155.0</v>
      </c>
      <c r="T138" s="42">
        <v>155.0</v>
      </c>
      <c r="V138" s="42">
        <v>0.0</v>
      </c>
      <c r="X138" s="42">
        <v>0.0</v>
      </c>
      <c r="Z138" s="42">
        <v>0.0</v>
      </c>
      <c r="AB138" s="42">
        <v>0.0</v>
      </c>
      <c r="AC138" s="43"/>
      <c r="AD138" s="42">
        <v>0.0</v>
      </c>
      <c r="AF138" s="42">
        <v>0.0</v>
      </c>
      <c r="AH138" s="42">
        <v>0.0</v>
      </c>
      <c r="AJ138" s="41"/>
      <c r="AK138" s="43"/>
      <c r="AL138" s="46">
        <v>0.0</v>
      </c>
      <c r="AM138" s="43"/>
      <c r="AN138" s="41"/>
      <c r="AO138" s="43"/>
      <c r="AP138" s="41"/>
      <c r="AQ138" s="43"/>
      <c r="AR138" s="41"/>
      <c r="AS138" s="43"/>
      <c r="AT138" s="42"/>
      <c r="AV138" s="42"/>
      <c r="AW138" s="43"/>
      <c r="AX138" s="54">
        <f t="shared" si="1"/>
        <v>3447.2</v>
      </c>
      <c r="AY138" s="52">
        <f t="shared" si="2"/>
        <v>310</v>
      </c>
      <c r="AZ138" s="52">
        <v>0.0</v>
      </c>
      <c r="BA138" s="52">
        <f t="shared" si="3"/>
        <v>310</v>
      </c>
      <c r="BB138" s="49">
        <f t="shared" si="4"/>
        <v>11.12</v>
      </c>
    </row>
    <row r="139" ht="15.75" customHeight="1">
      <c r="A139" s="50" t="s">
        <v>50</v>
      </c>
      <c r="B139" s="51">
        <f t="shared" si="5"/>
        <v>45792</v>
      </c>
      <c r="C139" s="52">
        <v>5.0</v>
      </c>
      <c r="D139" s="52" t="s">
        <v>72</v>
      </c>
      <c r="E139" s="53"/>
      <c r="F139" s="41">
        <v>0.0</v>
      </c>
      <c r="H139" s="42">
        <v>0.0</v>
      </c>
      <c r="J139" s="42">
        <v>0.0</v>
      </c>
      <c r="L139" s="42">
        <v>0.0</v>
      </c>
      <c r="N139" s="42">
        <v>0.0</v>
      </c>
      <c r="P139" s="42">
        <v>0.0</v>
      </c>
      <c r="Q139" s="43"/>
      <c r="R139" s="41">
        <v>155.0</v>
      </c>
      <c r="T139" s="42">
        <v>155.0</v>
      </c>
      <c r="V139" s="42">
        <v>0.0</v>
      </c>
      <c r="X139" s="42">
        <v>0.0</v>
      </c>
      <c r="Z139" s="42">
        <v>0.0</v>
      </c>
      <c r="AB139" s="42">
        <v>0.0</v>
      </c>
      <c r="AC139" s="43"/>
      <c r="AD139" s="42">
        <v>0.0</v>
      </c>
      <c r="AF139" s="42">
        <v>0.0</v>
      </c>
      <c r="AH139" s="42">
        <v>0.0</v>
      </c>
      <c r="AJ139" s="41"/>
      <c r="AK139" s="43"/>
      <c r="AL139" s="46">
        <v>0.0</v>
      </c>
      <c r="AM139" s="43"/>
      <c r="AN139" s="41"/>
      <c r="AO139" s="43"/>
      <c r="AP139" s="41"/>
      <c r="AQ139" s="43"/>
      <c r="AR139" s="41"/>
      <c r="AS139" s="43"/>
      <c r="AT139" s="42"/>
      <c r="AV139" s="42"/>
      <c r="AW139" s="43"/>
      <c r="AX139" s="54">
        <f t="shared" si="1"/>
        <v>3447.2</v>
      </c>
      <c r="AY139" s="52">
        <f t="shared" si="2"/>
        <v>310</v>
      </c>
      <c r="AZ139" s="52">
        <v>0.0</v>
      </c>
      <c r="BA139" s="52">
        <f t="shared" si="3"/>
        <v>310</v>
      </c>
      <c r="BB139" s="49">
        <f t="shared" si="4"/>
        <v>11.12</v>
      </c>
    </row>
    <row r="140" ht="15.75" customHeight="1">
      <c r="A140" s="50" t="s">
        <v>53</v>
      </c>
      <c r="B140" s="51">
        <f t="shared" si="5"/>
        <v>45793</v>
      </c>
      <c r="C140" s="52">
        <v>5.0</v>
      </c>
      <c r="D140" s="52" t="s">
        <v>72</v>
      </c>
      <c r="E140" s="53"/>
      <c r="F140" s="41">
        <v>0.0</v>
      </c>
      <c r="H140" s="42">
        <v>0.0</v>
      </c>
      <c r="J140" s="42">
        <v>0.0</v>
      </c>
      <c r="L140" s="42">
        <v>0.0</v>
      </c>
      <c r="N140" s="42">
        <v>0.0</v>
      </c>
      <c r="P140" s="42">
        <v>0.0</v>
      </c>
      <c r="Q140" s="43"/>
      <c r="R140" s="41">
        <v>155.0</v>
      </c>
      <c r="T140" s="42">
        <v>155.0</v>
      </c>
      <c r="V140" s="42">
        <v>0.0</v>
      </c>
      <c r="X140" s="42">
        <v>0.0</v>
      </c>
      <c r="Z140" s="42">
        <v>0.0</v>
      </c>
      <c r="AB140" s="42">
        <v>0.0</v>
      </c>
      <c r="AC140" s="43"/>
      <c r="AD140" s="42">
        <v>0.0</v>
      </c>
      <c r="AF140" s="42">
        <v>0.0</v>
      </c>
      <c r="AH140" s="42">
        <v>0.0</v>
      </c>
      <c r="AJ140" s="41"/>
      <c r="AK140" s="43"/>
      <c r="AL140" s="46">
        <v>0.0</v>
      </c>
      <c r="AM140" s="43"/>
      <c r="AN140" s="41"/>
      <c r="AO140" s="43"/>
      <c r="AP140" s="41"/>
      <c r="AQ140" s="43"/>
      <c r="AR140" s="41"/>
      <c r="AS140" s="43"/>
      <c r="AT140" s="42"/>
      <c r="AV140" s="42"/>
      <c r="AW140" s="43"/>
      <c r="AX140" s="54">
        <f t="shared" si="1"/>
        <v>3447.2</v>
      </c>
      <c r="AY140" s="52">
        <f t="shared" si="2"/>
        <v>310</v>
      </c>
      <c r="AZ140" s="52">
        <v>0.0</v>
      </c>
      <c r="BA140" s="52">
        <f t="shared" si="3"/>
        <v>310</v>
      </c>
      <c r="BB140" s="49">
        <f t="shared" si="4"/>
        <v>11.12</v>
      </c>
    </row>
    <row r="141" ht="15.75" customHeight="1">
      <c r="A141" s="50" t="s">
        <v>54</v>
      </c>
      <c r="B141" s="51">
        <f t="shared" si="5"/>
        <v>45794</v>
      </c>
      <c r="C141" s="52">
        <v>5.0</v>
      </c>
      <c r="D141" s="52" t="s">
        <v>72</v>
      </c>
      <c r="E141" s="53"/>
      <c r="F141" s="41">
        <v>0.0</v>
      </c>
      <c r="H141" s="42">
        <v>0.0</v>
      </c>
      <c r="J141" s="42">
        <v>0.0</v>
      </c>
      <c r="L141" s="42">
        <v>0.0</v>
      </c>
      <c r="N141" s="42">
        <v>0.0</v>
      </c>
      <c r="P141" s="42">
        <v>0.0</v>
      </c>
      <c r="Q141" s="43"/>
      <c r="R141" s="41">
        <v>155.0</v>
      </c>
      <c r="T141" s="42">
        <v>155.0</v>
      </c>
      <c r="V141" s="42">
        <v>0.0</v>
      </c>
      <c r="X141" s="42">
        <v>0.0</v>
      </c>
      <c r="Z141" s="42">
        <v>0.0</v>
      </c>
      <c r="AB141" s="42">
        <v>0.0</v>
      </c>
      <c r="AC141" s="43"/>
      <c r="AD141" s="42">
        <v>0.0</v>
      </c>
      <c r="AF141" s="42">
        <v>0.0</v>
      </c>
      <c r="AH141" s="42">
        <v>0.0</v>
      </c>
      <c r="AJ141" s="41"/>
      <c r="AK141" s="43"/>
      <c r="AL141" s="46">
        <v>0.0</v>
      </c>
      <c r="AM141" s="43"/>
      <c r="AN141" s="41"/>
      <c r="AO141" s="43"/>
      <c r="AP141" s="41"/>
      <c r="AQ141" s="43"/>
      <c r="AR141" s="41"/>
      <c r="AS141" s="43"/>
      <c r="AT141" s="42"/>
      <c r="AV141" s="42"/>
      <c r="AW141" s="43"/>
      <c r="AX141" s="54">
        <f t="shared" si="1"/>
        <v>3447.2</v>
      </c>
      <c r="AY141" s="52">
        <f t="shared" si="2"/>
        <v>310</v>
      </c>
      <c r="AZ141" s="52">
        <v>0.0</v>
      </c>
      <c r="BA141" s="52">
        <f t="shared" si="3"/>
        <v>310</v>
      </c>
      <c r="BB141" s="49">
        <f t="shared" si="4"/>
        <v>11.12</v>
      </c>
    </row>
    <row r="142" ht="15.75" customHeight="1">
      <c r="A142" s="59" t="s">
        <v>61</v>
      </c>
      <c r="B142" s="61">
        <f t="shared" si="5"/>
        <v>45795</v>
      </c>
      <c r="C142" s="63">
        <v>5.0</v>
      </c>
      <c r="D142" s="63" t="s">
        <v>72</v>
      </c>
      <c r="E142" s="64"/>
      <c r="F142" s="65">
        <v>0.0</v>
      </c>
      <c r="G142" s="66"/>
      <c r="H142" s="67">
        <v>0.0</v>
      </c>
      <c r="I142" s="66"/>
      <c r="J142" s="67">
        <v>0.0</v>
      </c>
      <c r="K142" s="66"/>
      <c r="L142" s="67">
        <v>0.0</v>
      </c>
      <c r="M142" s="66"/>
      <c r="N142" s="67">
        <v>0.0</v>
      </c>
      <c r="O142" s="66"/>
      <c r="P142" s="67">
        <v>0.0</v>
      </c>
      <c r="Q142" s="68"/>
      <c r="R142" s="65">
        <v>0.0</v>
      </c>
      <c r="S142" s="66"/>
      <c r="T142" s="67">
        <v>0.0</v>
      </c>
      <c r="U142" s="66"/>
      <c r="V142" s="67">
        <v>0.0</v>
      </c>
      <c r="W142" s="66"/>
      <c r="X142" s="67">
        <v>0.0</v>
      </c>
      <c r="Y142" s="66"/>
      <c r="Z142" s="67">
        <v>0.0</v>
      </c>
      <c r="AA142" s="66"/>
      <c r="AB142" s="67">
        <v>0.0</v>
      </c>
      <c r="AC142" s="68"/>
      <c r="AD142" s="67">
        <v>0.0</v>
      </c>
      <c r="AE142" s="66"/>
      <c r="AF142" s="67">
        <v>0.0</v>
      </c>
      <c r="AG142" s="66"/>
      <c r="AH142" s="67">
        <v>0.0</v>
      </c>
      <c r="AI142" s="66"/>
      <c r="AJ142" s="65"/>
      <c r="AK142" s="68"/>
      <c r="AL142" s="71">
        <v>0.0</v>
      </c>
      <c r="AM142" s="68"/>
      <c r="AN142" s="65"/>
      <c r="AO142" s="68"/>
      <c r="AP142" s="65"/>
      <c r="AQ142" s="68"/>
      <c r="AR142" s="65"/>
      <c r="AS142" s="68"/>
      <c r="AT142" s="67"/>
      <c r="AU142" s="66"/>
      <c r="AV142" s="67"/>
      <c r="AW142" s="68"/>
      <c r="AX142" s="73">
        <f t="shared" si="1"/>
        <v>0</v>
      </c>
      <c r="AY142" s="63">
        <f t="shared" si="2"/>
        <v>0</v>
      </c>
      <c r="AZ142" s="63">
        <v>0.0</v>
      </c>
      <c r="BA142" s="63">
        <f t="shared" si="3"/>
        <v>0</v>
      </c>
      <c r="BB142" s="74" t="str">
        <f t="shared" si="4"/>
        <v/>
      </c>
    </row>
    <row r="143" ht="15.75" customHeight="1">
      <c r="A143" s="36" t="s">
        <v>46</v>
      </c>
      <c r="B143" s="75">
        <f t="shared" si="5"/>
        <v>45796</v>
      </c>
      <c r="C143" s="38">
        <v>6.0</v>
      </c>
      <c r="D143" s="38" t="s">
        <v>47</v>
      </c>
      <c r="E143" s="40"/>
      <c r="F143" s="41">
        <v>0.0</v>
      </c>
      <c r="H143" s="42">
        <v>0.0</v>
      </c>
      <c r="J143" s="42">
        <v>0.0</v>
      </c>
      <c r="L143" s="42">
        <v>0.0</v>
      </c>
      <c r="N143" s="42">
        <v>0.0</v>
      </c>
      <c r="P143" s="42">
        <v>0.0</v>
      </c>
      <c r="Q143" s="43"/>
      <c r="R143" s="41">
        <v>155.0</v>
      </c>
      <c r="T143" s="42">
        <v>155.0</v>
      </c>
      <c r="V143" s="42">
        <v>0.0</v>
      </c>
      <c r="X143" s="42">
        <v>0.0</v>
      </c>
      <c r="Z143" s="42">
        <v>0.0</v>
      </c>
      <c r="AB143" s="42">
        <v>0.0</v>
      </c>
      <c r="AC143" s="43"/>
      <c r="AD143" s="42">
        <v>0.0</v>
      </c>
      <c r="AF143" s="42">
        <v>0.0</v>
      </c>
      <c r="AH143" s="42">
        <v>0.0</v>
      </c>
      <c r="AJ143" s="41"/>
      <c r="AK143" s="43"/>
      <c r="AL143" s="46">
        <v>0.0</v>
      </c>
      <c r="AM143" s="43"/>
      <c r="AN143" s="41"/>
      <c r="AO143" s="43"/>
      <c r="AP143" s="41"/>
      <c r="AQ143" s="43"/>
      <c r="AR143" s="41"/>
      <c r="AS143" s="43"/>
      <c r="AT143" s="42"/>
      <c r="AV143" s="42"/>
      <c r="AW143" s="43"/>
      <c r="AX143" s="47">
        <f t="shared" si="1"/>
        <v>3447.2</v>
      </c>
      <c r="AY143" s="38">
        <f t="shared" si="2"/>
        <v>310</v>
      </c>
      <c r="AZ143" s="38">
        <v>0.0</v>
      </c>
      <c r="BA143" s="38">
        <f t="shared" si="3"/>
        <v>310</v>
      </c>
      <c r="BB143" s="76">
        <f t="shared" si="4"/>
        <v>11.12</v>
      </c>
    </row>
    <row r="144" ht="15.75" customHeight="1">
      <c r="A144" s="50" t="s">
        <v>48</v>
      </c>
      <c r="B144" s="51">
        <f t="shared" si="5"/>
        <v>45797</v>
      </c>
      <c r="C144" s="52">
        <v>6.0</v>
      </c>
      <c r="D144" s="52" t="s">
        <v>47</v>
      </c>
      <c r="E144" s="53"/>
      <c r="F144" s="41">
        <v>0.0</v>
      </c>
      <c r="H144" s="42">
        <v>0.0</v>
      </c>
      <c r="J144" s="42">
        <v>0.0</v>
      </c>
      <c r="L144" s="42">
        <v>0.0</v>
      </c>
      <c r="N144" s="42">
        <v>0.0</v>
      </c>
      <c r="P144" s="42">
        <v>0.0</v>
      </c>
      <c r="Q144" s="43"/>
      <c r="R144" s="41">
        <v>155.0</v>
      </c>
      <c r="T144" s="42">
        <v>155.0</v>
      </c>
      <c r="V144" s="42">
        <v>0.0</v>
      </c>
      <c r="X144" s="42">
        <v>0.0</v>
      </c>
      <c r="Z144" s="42">
        <v>0.0</v>
      </c>
      <c r="AB144" s="42">
        <v>0.0</v>
      </c>
      <c r="AC144" s="43"/>
      <c r="AD144" s="42">
        <v>0.0</v>
      </c>
      <c r="AF144" s="42">
        <v>50.0</v>
      </c>
      <c r="AH144" s="42">
        <v>50.0</v>
      </c>
      <c r="AJ144" s="41"/>
      <c r="AK144" s="43"/>
      <c r="AL144" s="46">
        <v>0.0</v>
      </c>
      <c r="AM144" s="43"/>
      <c r="AN144" s="41"/>
      <c r="AO144" s="43"/>
      <c r="AP144" s="41"/>
      <c r="AQ144" s="43"/>
      <c r="AR144" s="41"/>
      <c r="AS144" s="43"/>
      <c r="AT144" s="42"/>
      <c r="AV144" s="42"/>
      <c r="AW144" s="43"/>
      <c r="AX144" s="54">
        <f t="shared" si="1"/>
        <v>5036.2</v>
      </c>
      <c r="AY144" s="52">
        <f t="shared" si="2"/>
        <v>410</v>
      </c>
      <c r="AZ144" s="52">
        <v>0.0</v>
      </c>
      <c r="BA144" s="52">
        <f t="shared" si="3"/>
        <v>410</v>
      </c>
      <c r="BB144" s="49">
        <f t="shared" si="4"/>
        <v>12.28341463</v>
      </c>
    </row>
    <row r="145" ht="15.75" customHeight="1">
      <c r="A145" s="50" t="s">
        <v>49</v>
      </c>
      <c r="B145" s="51">
        <f t="shared" si="5"/>
        <v>45798</v>
      </c>
      <c r="C145" s="52">
        <v>6.0</v>
      </c>
      <c r="D145" s="52" t="s">
        <v>47</v>
      </c>
      <c r="E145" s="53"/>
      <c r="F145" s="41">
        <v>0.0</v>
      </c>
      <c r="H145" s="42">
        <v>0.0</v>
      </c>
      <c r="J145" s="42">
        <v>0.0</v>
      </c>
      <c r="L145" s="42">
        <v>0.0</v>
      </c>
      <c r="N145" s="42">
        <v>0.0</v>
      </c>
      <c r="P145" s="42">
        <v>0.0</v>
      </c>
      <c r="Q145" s="43"/>
      <c r="R145" s="41">
        <v>155.0</v>
      </c>
      <c r="T145" s="42">
        <v>155.0</v>
      </c>
      <c r="V145" s="42">
        <v>0.0</v>
      </c>
      <c r="X145" s="42">
        <v>0.0</v>
      </c>
      <c r="Z145" s="42">
        <v>0.0</v>
      </c>
      <c r="AB145" s="42">
        <v>0.0</v>
      </c>
      <c r="AC145" s="43"/>
      <c r="AD145" s="42">
        <v>0.0</v>
      </c>
      <c r="AF145" s="42">
        <v>50.0</v>
      </c>
      <c r="AH145" s="42">
        <v>50.0</v>
      </c>
      <c r="AJ145" s="41"/>
      <c r="AK145" s="43"/>
      <c r="AL145" s="46">
        <v>0.0</v>
      </c>
      <c r="AM145" s="43"/>
      <c r="AN145" s="41"/>
      <c r="AO145" s="43"/>
      <c r="AP145" s="41"/>
      <c r="AQ145" s="43"/>
      <c r="AR145" s="41"/>
      <c r="AS145" s="43"/>
      <c r="AT145" s="42"/>
      <c r="AV145" s="42"/>
      <c r="AW145" s="43"/>
      <c r="AX145" s="54">
        <f t="shared" si="1"/>
        <v>5036.2</v>
      </c>
      <c r="AY145" s="52">
        <f t="shared" si="2"/>
        <v>410</v>
      </c>
      <c r="AZ145" s="52">
        <v>0.0</v>
      </c>
      <c r="BA145" s="52">
        <f t="shared" si="3"/>
        <v>410</v>
      </c>
      <c r="BB145" s="49">
        <f t="shared" si="4"/>
        <v>12.28341463</v>
      </c>
    </row>
    <row r="146" ht="15.75" customHeight="1">
      <c r="A146" s="50" t="s">
        <v>50</v>
      </c>
      <c r="B146" s="51">
        <f t="shared" si="5"/>
        <v>45799</v>
      </c>
      <c r="C146" s="52">
        <v>6.0</v>
      </c>
      <c r="D146" s="52" t="s">
        <v>47</v>
      </c>
      <c r="E146" s="53"/>
      <c r="F146" s="41">
        <v>0.0</v>
      </c>
      <c r="H146" s="42">
        <v>0.0</v>
      </c>
      <c r="J146" s="42">
        <v>0.0</v>
      </c>
      <c r="L146" s="42">
        <v>0.0</v>
      </c>
      <c r="N146" s="42">
        <v>0.0</v>
      </c>
      <c r="P146" s="42">
        <v>0.0</v>
      </c>
      <c r="Q146" s="43"/>
      <c r="R146" s="41">
        <v>155.0</v>
      </c>
      <c r="T146" s="42">
        <v>155.0</v>
      </c>
      <c r="V146" s="42">
        <v>0.0</v>
      </c>
      <c r="X146" s="42">
        <v>0.0</v>
      </c>
      <c r="Z146" s="42">
        <v>0.0</v>
      </c>
      <c r="AB146" s="42">
        <v>0.0</v>
      </c>
      <c r="AC146" s="43"/>
      <c r="AD146" s="42">
        <v>0.0</v>
      </c>
      <c r="AF146" s="42">
        <v>0.0</v>
      </c>
      <c r="AH146" s="42">
        <v>50.0</v>
      </c>
      <c r="AJ146" s="41"/>
      <c r="AK146" s="43"/>
      <c r="AL146" s="46">
        <v>0.0</v>
      </c>
      <c r="AM146" s="43"/>
      <c r="AN146" s="41"/>
      <c r="AO146" s="43"/>
      <c r="AP146" s="41"/>
      <c r="AQ146" s="43"/>
      <c r="AR146" s="41"/>
      <c r="AS146" s="43"/>
      <c r="AT146" s="42"/>
      <c r="AV146" s="42"/>
      <c r="AW146" s="43"/>
      <c r="AX146" s="54">
        <f t="shared" si="1"/>
        <v>4241.7</v>
      </c>
      <c r="AY146" s="52">
        <f t="shared" si="2"/>
        <v>360</v>
      </c>
      <c r="AZ146" s="52">
        <v>0.0</v>
      </c>
      <c r="BA146" s="52">
        <f t="shared" si="3"/>
        <v>360</v>
      </c>
      <c r="BB146" s="49">
        <f t="shared" si="4"/>
        <v>11.7825</v>
      </c>
    </row>
    <row r="147" ht="15.75" customHeight="1">
      <c r="A147" s="50" t="s">
        <v>53</v>
      </c>
      <c r="B147" s="51">
        <f t="shared" si="5"/>
        <v>45800</v>
      </c>
      <c r="C147" s="52">
        <v>6.0</v>
      </c>
      <c r="D147" s="52" t="s">
        <v>47</v>
      </c>
      <c r="E147" s="53"/>
      <c r="F147" s="41">
        <v>0.0</v>
      </c>
      <c r="H147" s="42">
        <v>0.0</v>
      </c>
      <c r="J147" s="42">
        <v>0.0</v>
      </c>
      <c r="L147" s="42">
        <v>0.0</v>
      </c>
      <c r="N147" s="42">
        <v>0.0</v>
      </c>
      <c r="P147" s="42">
        <v>0.0</v>
      </c>
      <c r="Q147" s="43"/>
      <c r="R147" s="41">
        <v>155.0</v>
      </c>
      <c r="T147" s="42">
        <v>155.0</v>
      </c>
      <c r="V147" s="42">
        <v>0.0</v>
      </c>
      <c r="X147" s="42">
        <v>0.0</v>
      </c>
      <c r="Z147" s="42">
        <v>0.0</v>
      </c>
      <c r="AB147" s="42">
        <v>0.0</v>
      </c>
      <c r="AC147" s="43"/>
      <c r="AD147" s="42">
        <v>0.0</v>
      </c>
      <c r="AF147" s="42">
        <v>50.0</v>
      </c>
      <c r="AH147" s="42">
        <v>50.0</v>
      </c>
      <c r="AJ147" s="41"/>
      <c r="AK147" s="43"/>
      <c r="AL147" s="46">
        <v>0.0</v>
      </c>
      <c r="AM147" s="43"/>
      <c r="AN147" s="41"/>
      <c r="AO147" s="43"/>
      <c r="AP147" s="41"/>
      <c r="AQ147" s="43"/>
      <c r="AR147" s="41"/>
      <c r="AS147" s="43"/>
      <c r="AT147" s="42"/>
      <c r="AV147" s="42"/>
      <c r="AW147" s="43"/>
      <c r="AX147" s="54">
        <f t="shared" si="1"/>
        <v>5036.2</v>
      </c>
      <c r="AY147" s="52">
        <f t="shared" si="2"/>
        <v>410</v>
      </c>
      <c r="AZ147" s="52">
        <v>0.0</v>
      </c>
      <c r="BA147" s="52">
        <f t="shared" si="3"/>
        <v>410</v>
      </c>
      <c r="BB147" s="49">
        <f t="shared" si="4"/>
        <v>12.28341463</v>
      </c>
    </row>
    <row r="148" ht="15.75" customHeight="1">
      <c r="A148" s="50" t="s">
        <v>54</v>
      </c>
      <c r="B148" s="51">
        <f t="shared" si="5"/>
        <v>45801</v>
      </c>
      <c r="C148" s="52">
        <v>6.0</v>
      </c>
      <c r="D148" s="52" t="s">
        <v>47</v>
      </c>
      <c r="E148" s="53"/>
      <c r="F148" s="41">
        <v>0.0</v>
      </c>
      <c r="H148" s="42">
        <v>0.0</v>
      </c>
      <c r="J148" s="42">
        <v>0.0</v>
      </c>
      <c r="L148" s="42">
        <v>0.0</v>
      </c>
      <c r="N148" s="42">
        <v>0.0</v>
      </c>
      <c r="P148" s="42">
        <v>0.0</v>
      </c>
      <c r="Q148" s="43"/>
      <c r="R148" s="41">
        <v>155.0</v>
      </c>
      <c r="T148" s="42">
        <v>155.0</v>
      </c>
      <c r="V148" s="42">
        <v>0.0</v>
      </c>
      <c r="X148" s="42">
        <v>0.0</v>
      </c>
      <c r="Z148" s="42">
        <v>0.0</v>
      </c>
      <c r="AB148" s="42">
        <v>0.0</v>
      </c>
      <c r="AC148" s="43"/>
      <c r="AD148" s="42">
        <v>0.0</v>
      </c>
      <c r="AF148" s="42">
        <v>50.0</v>
      </c>
      <c r="AH148" s="42">
        <v>0.0</v>
      </c>
      <c r="AJ148" s="41"/>
      <c r="AK148" s="43"/>
      <c r="AL148" s="46">
        <v>0.0</v>
      </c>
      <c r="AM148" s="43"/>
      <c r="AN148" s="41"/>
      <c r="AO148" s="43"/>
      <c r="AP148" s="41"/>
      <c r="AQ148" s="43"/>
      <c r="AR148" s="41"/>
      <c r="AS148" s="43"/>
      <c r="AT148" s="42"/>
      <c r="AV148" s="42"/>
      <c r="AW148" s="43"/>
      <c r="AX148" s="54">
        <f t="shared" si="1"/>
        <v>4241.7</v>
      </c>
      <c r="AY148" s="52">
        <f t="shared" si="2"/>
        <v>360</v>
      </c>
      <c r="AZ148" s="52">
        <v>0.0</v>
      </c>
      <c r="BA148" s="52">
        <f t="shared" si="3"/>
        <v>360</v>
      </c>
      <c r="BB148" s="49">
        <f t="shared" si="4"/>
        <v>11.7825</v>
      </c>
    </row>
    <row r="149" ht="15.75" customHeight="1">
      <c r="A149" s="59" t="s">
        <v>61</v>
      </c>
      <c r="B149" s="61">
        <f t="shared" si="5"/>
        <v>45802</v>
      </c>
      <c r="C149" s="63">
        <v>6.0</v>
      </c>
      <c r="D149" s="63" t="s">
        <v>47</v>
      </c>
      <c r="E149" s="64"/>
      <c r="F149" s="65">
        <v>0.0</v>
      </c>
      <c r="G149" s="66"/>
      <c r="H149" s="67">
        <v>0.0</v>
      </c>
      <c r="I149" s="66"/>
      <c r="J149" s="67">
        <v>0.0</v>
      </c>
      <c r="K149" s="66"/>
      <c r="L149" s="67">
        <v>0.0</v>
      </c>
      <c r="M149" s="66"/>
      <c r="N149" s="67">
        <v>0.0</v>
      </c>
      <c r="O149" s="66"/>
      <c r="P149" s="67">
        <v>0.0</v>
      </c>
      <c r="Q149" s="68"/>
      <c r="R149" s="65">
        <v>0.0</v>
      </c>
      <c r="S149" s="66"/>
      <c r="T149" s="67">
        <v>0.0</v>
      </c>
      <c r="U149" s="66"/>
      <c r="V149" s="67">
        <v>0.0</v>
      </c>
      <c r="W149" s="66"/>
      <c r="X149" s="67">
        <v>0.0</v>
      </c>
      <c r="Y149" s="66"/>
      <c r="Z149" s="67">
        <v>0.0</v>
      </c>
      <c r="AA149" s="66"/>
      <c r="AB149" s="67">
        <v>0.0</v>
      </c>
      <c r="AC149" s="68"/>
      <c r="AD149" s="67">
        <v>0.0</v>
      </c>
      <c r="AE149" s="66"/>
      <c r="AF149" s="67">
        <v>0.0</v>
      </c>
      <c r="AG149" s="66"/>
      <c r="AH149" s="67">
        <v>0.0</v>
      </c>
      <c r="AI149" s="66"/>
      <c r="AJ149" s="65"/>
      <c r="AK149" s="68"/>
      <c r="AL149" s="71">
        <v>0.0</v>
      </c>
      <c r="AM149" s="68"/>
      <c r="AN149" s="65"/>
      <c r="AO149" s="68"/>
      <c r="AP149" s="65"/>
      <c r="AQ149" s="68"/>
      <c r="AR149" s="65"/>
      <c r="AS149" s="68"/>
      <c r="AT149" s="67"/>
      <c r="AU149" s="66"/>
      <c r="AV149" s="67"/>
      <c r="AW149" s="68"/>
      <c r="AX149" s="73">
        <f t="shared" si="1"/>
        <v>0</v>
      </c>
      <c r="AY149" s="63">
        <f t="shared" si="2"/>
        <v>0</v>
      </c>
      <c r="AZ149" s="63">
        <v>0.0</v>
      </c>
      <c r="BA149" s="63">
        <f t="shared" si="3"/>
        <v>0</v>
      </c>
      <c r="BB149" s="74" t="str">
        <f t="shared" si="4"/>
        <v/>
      </c>
    </row>
    <row r="150" ht="15.75" customHeight="1">
      <c r="A150" s="36" t="s">
        <v>46</v>
      </c>
      <c r="B150" s="75">
        <f t="shared" si="5"/>
        <v>45803</v>
      </c>
      <c r="C150" s="38">
        <v>6.0</v>
      </c>
      <c r="D150" s="38" t="s">
        <v>65</v>
      </c>
      <c r="E150" s="40"/>
      <c r="F150" s="41">
        <v>0.0</v>
      </c>
      <c r="H150" s="42">
        <v>0.0</v>
      </c>
      <c r="J150" s="42">
        <v>0.0</v>
      </c>
      <c r="L150" s="42">
        <v>0.0</v>
      </c>
      <c r="N150" s="42">
        <v>0.0</v>
      </c>
      <c r="P150" s="42">
        <v>0.0</v>
      </c>
      <c r="Q150" s="43"/>
      <c r="R150" s="41">
        <v>155.0</v>
      </c>
      <c r="T150" s="42">
        <v>155.0</v>
      </c>
      <c r="V150" s="42">
        <v>0.0</v>
      </c>
      <c r="X150" s="42">
        <v>0.0</v>
      </c>
      <c r="Z150" s="42">
        <v>0.0</v>
      </c>
      <c r="AB150" s="42">
        <v>0.0</v>
      </c>
      <c r="AC150" s="43"/>
      <c r="AD150" s="42">
        <v>0.0</v>
      </c>
      <c r="AF150" s="42">
        <v>0.0</v>
      </c>
      <c r="AH150" s="42">
        <v>0.0</v>
      </c>
      <c r="AJ150" s="41"/>
      <c r="AK150" s="43"/>
      <c r="AL150" s="46">
        <v>0.0</v>
      </c>
      <c r="AM150" s="43"/>
      <c r="AN150" s="41"/>
      <c r="AO150" s="43"/>
      <c r="AP150" s="41"/>
      <c r="AQ150" s="43"/>
      <c r="AR150" s="41"/>
      <c r="AS150" s="43"/>
      <c r="AT150" s="42"/>
      <c r="AV150" s="42"/>
      <c r="AW150" s="43"/>
      <c r="AX150" s="47">
        <f t="shared" si="1"/>
        <v>3447.2</v>
      </c>
      <c r="AY150" s="38">
        <f t="shared" si="2"/>
        <v>310</v>
      </c>
      <c r="AZ150" s="38">
        <v>0.0</v>
      </c>
      <c r="BA150" s="38">
        <f t="shared" si="3"/>
        <v>310</v>
      </c>
      <c r="BB150" s="76">
        <f t="shared" si="4"/>
        <v>11.12</v>
      </c>
    </row>
    <row r="151" ht="15.75" customHeight="1">
      <c r="A151" s="50" t="s">
        <v>48</v>
      </c>
      <c r="B151" s="51">
        <f t="shared" si="5"/>
        <v>45804</v>
      </c>
      <c r="C151" s="52">
        <v>6.0</v>
      </c>
      <c r="D151" s="52" t="s">
        <v>65</v>
      </c>
      <c r="E151" s="53"/>
      <c r="F151" s="41">
        <v>0.0</v>
      </c>
      <c r="H151" s="42">
        <v>0.0</v>
      </c>
      <c r="J151" s="42">
        <v>0.0</v>
      </c>
      <c r="L151" s="42">
        <v>0.0</v>
      </c>
      <c r="N151" s="42">
        <v>0.0</v>
      </c>
      <c r="P151" s="42">
        <v>0.0</v>
      </c>
      <c r="Q151" s="43"/>
      <c r="R151" s="41">
        <v>155.0</v>
      </c>
      <c r="T151" s="42">
        <v>167.0</v>
      </c>
      <c r="V151" s="42">
        <v>0.0</v>
      </c>
      <c r="X151" s="42">
        <v>0.0</v>
      </c>
      <c r="Z151" s="42">
        <v>0.0</v>
      </c>
      <c r="AB151" s="42">
        <v>0.0</v>
      </c>
      <c r="AC151" s="43"/>
      <c r="AD151" s="42">
        <v>0.0</v>
      </c>
      <c r="AF151" s="42">
        <v>0.0</v>
      </c>
      <c r="AH151" s="42">
        <v>50.0</v>
      </c>
      <c r="AJ151" s="41"/>
      <c r="AK151" s="43"/>
      <c r="AL151" s="46">
        <v>0.0</v>
      </c>
      <c r="AM151" s="43"/>
      <c r="AN151" s="41"/>
      <c r="AO151" s="43"/>
      <c r="AP151" s="41"/>
      <c r="AQ151" s="43"/>
      <c r="AR151" s="41"/>
      <c r="AS151" s="43"/>
      <c r="AT151" s="42"/>
      <c r="AV151" s="42"/>
      <c r="AW151" s="43"/>
      <c r="AX151" s="54">
        <f t="shared" si="1"/>
        <v>4375.14</v>
      </c>
      <c r="AY151" s="52">
        <f t="shared" si="2"/>
        <v>372</v>
      </c>
      <c r="AZ151" s="52">
        <v>0.0</v>
      </c>
      <c r="BA151" s="52">
        <f t="shared" si="3"/>
        <v>372</v>
      </c>
      <c r="BB151" s="49">
        <f t="shared" si="4"/>
        <v>11.76112903</v>
      </c>
    </row>
    <row r="152" ht="15.75" customHeight="1">
      <c r="A152" s="50" t="s">
        <v>49</v>
      </c>
      <c r="B152" s="51">
        <f t="shared" si="5"/>
        <v>45805</v>
      </c>
      <c r="C152" s="52">
        <v>6.0</v>
      </c>
      <c r="D152" s="52" t="s">
        <v>65</v>
      </c>
      <c r="E152" s="53"/>
      <c r="F152" s="41">
        <v>0.0</v>
      </c>
      <c r="H152" s="42">
        <v>0.0</v>
      </c>
      <c r="J152" s="42">
        <v>0.0</v>
      </c>
      <c r="L152" s="42">
        <v>0.0</v>
      </c>
      <c r="N152" s="42">
        <v>0.0</v>
      </c>
      <c r="P152" s="42">
        <v>0.0</v>
      </c>
      <c r="Q152" s="43"/>
      <c r="R152" s="42">
        <v>155.0</v>
      </c>
      <c r="T152" s="42">
        <v>155.0</v>
      </c>
      <c r="V152" s="42">
        <v>0.0</v>
      </c>
      <c r="X152" s="42">
        <v>0.0</v>
      </c>
      <c r="Z152" s="42">
        <v>0.0</v>
      </c>
      <c r="AB152" s="42">
        <v>0.0</v>
      </c>
      <c r="AC152" s="43"/>
      <c r="AD152" s="42">
        <v>0.0</v>
      </c>
      <c r="AF152" s="42">
        <v>0.0</v>
      </c>
      <c r="AH152" s="42">
        <v>0.0</v>
      </c>
      <c r="AJ152" s="41"/>
      <c r="AK152" s="43"/>
      <c r="AL152" s="46">
        <v>0.0</v>
      </c>
      <c r="AM152" s="43"/>
      <c r="AN152" s="41"/>
      <c r="AO152" s="43"/>
      <c r="AP152" s="41"/>
      <c r="AQ152" s="43"/>
      <c r="AR152" s="41"/>
      <c r="AS152" s="43"/>
      <c r="AT152" s="42"/>
      <c r="AV152" s="42"/>
      <c r="AW152" s="43"/>
      <c r="AX152" s="54">
        <f t="shared" si="1"/>
        <v>3447.2</v>
      </c>
      <c r="AY152" s="52">
        <f t="shared" si="2"/>
        <v>310</v>
      </c>
      <c r="AZ152" s="52">
        <v>0.0</v>
      </c>
      <c r="BA152" s="52">
        <f t="shared" si="3"/>
        <v>310</v>
      </c>
      <c r="BB152" s="49">
        <f t="shared" si="4"/>
        <v>11.12</v>
      </c>
    </row>
    <row r="153" ht="15.75" customHeight="1">
      <c r="A153" s="50" t="s">
        <v>50</v>
      </c>
      <c r="B153" s="51">
        <f t="shared" si="5"/>
        <v>45806</v>
      </c>
      <c r="C153" s="52">
        <v>6.0</v>
      </c>
      <c r="D153" s="52" t="s">
        <v>65</v>
      </c>
      <c r="E153" s="53"/>
      <c r="F153" s="41">
        <v>0.0</v>
      </c>
      <c r="H153" s="42">
        <v>0.0</v>
      </c>
      <c r="J153" s="42">
        <v>0.0</v>
      </c>
      <c r="L153" s="42">
        <v>0.0</v>
      </c>
      <c r="N153" s="42">
        <v>0.0</v>
      </c>
      <c r="P153" s="42">
        <v>0.0</v>
      </c>
      <c r="Q153" s="43"/>
      <c r="R153" s="42">
        <v>155.0</v>
      </c>
      <c r="T153" s="42">
        <v>155.0</v>
      </c>
      <c r="V153" s="42">
        <v>0.0</v>
      </c>
      <c r="X153" s="42">
        <v>0.0</v>
      </c>
      <c r="Z153" s="42">
        <v>0.0</v>
      </c>
      <c r="AB153" s="42">
        <v>0.0</v>
      </c>
      <c r="AC153" s="43"/>
      <c r="AD153" s="42">
        <v>0.0</v>
      </c>
      <c r="AF153" s="42">
        <v>0.0</v>
      </c>
      <c r="AH153" s="42">
        <v>50.0</v>
      </c>
      <c r="AJ153" s="41"/>
      <c r="AK153" s="43"/>
      <c r="AL153" s="46">
        <v>0.0</v>
      </c>
      <c r="AM153" s="43"/>
      <c r="AN153" s="41"/>
      <c r="AO153" s="43"/>
      <c r="AP153" s="41"/>
      <c r="AQ153" s="43"/>
      <c r="AR153" s="41"/>
      <c r="AS153" s="43"/>
      <c r="AT153" s="42"/>
      <c r="AV153" s="42"/>
      <c r="AW153" s="43"/>
      <c r="AX153" s="54">
        <f t="shared" si="1"/>
        <v>4241.7</v>
      </c>
      <c r="AY153" s="52">
        <f t="shared" si="2"/>
        <v>360</v>
      </c>
      <c r="AZ153" s="52">
        <v>0.0</v>
      </c>
      <c r="BA153" s="52">
        <f t="shared" si="3"/>
        <v>360</v>
      </c>
      <c r="BB153" s="49">
        <f t="shared" si="4"/>
        <v>11.7825</v>
      </c>
    </row>
    <row r="154" ht="15.75" customHeight="1">
      <c r="A154" s="50" t="s">
        <v>53</v>
      </c>
      <c r="B154" s="51">
        <f t="shared" si="5"/>
        <v>45807</v>
      </c>
      <c r="C154" s="52">
        <v>6.0</v>
      </c>
      <c r="D154" s="52" t="s">
        <v>65</v>
      </c>
      <c r="E154" s="53"/>
      <c r="F154" s="41">
        <v>0.0</v>
      </c>
      <c r="H154" s="42">
        <v>0.0</v>
      </c>
      <c r="J154" s="42">
        <v>0.0</v>
      </c>
      <c r="L154" s="42">
        <v>0.0</v>
      </c>
      <c r="N154" s="42">
        <v>0.0</v>
      </c>
      <c r="P154" s="42">
        <v>0.0</v>
      </c>
      <c r="Q154" s="43"/>
      <c r="R154" s="42">
        <v>155.0</v>
      </c>
      <c r="T154" s="42">
        <v>155.0</v>
      </c>
      <c r="V154" s="42">
        <v>0.0</v>
      </c>
      <c r="X154" s="42">
        <v>0.0</v>
      </c>
      <c r="Z154" s="42">
        <v>0.0</v>
      </c>
      <c r="AB154" s="42">
        <v>0.0</v>
      </c>
      <c r="AC154" s="43"/>
      <c r="AD154" s="42">
        <v>0.0</v>
      </c>
      <c r="AF154" s="42">
        <v>0.0</v>
      </c>
      <c r="AH154" s="42">
        <v>0.0</v>
      </c>
      <c r="AJ154" s="41"/>
      <c r="AK154" s="43"/>
      <c r="AL154" s="46">
        <v>0.0</v>
      </c>
      <c r="AM154" s="43"/>
      <c r="AN154" s="41"/>
      <c r="AO154" s="43"/>
      <c r="AP154" s="41"/>
      <c r="AQ154" s="43"/>
      <c r="AR154" s="41"/>
      <c r="AS154" s="43"/>
      <c r="AT154" s="42"/>
      <c r="AV154" s="42"/>
      <c r="AW154" s="43"/>
      <c r="AX154" s="54">
        <f t="shared" si="1"/>
        <v>3447.2</v>
      </c>
      <c r="AY154" s="52">
        <f t="shared" si="2"/>
        <v>310</v>
      </c>
      <c r="AZ154" s="52">
        <v>0.0</v>
      </c>
      <c r="BA154" s="52">
        <f t="shared" si="3"/>
        <v>310</v>
      </c>
      <c r="BB154" s="49">
        <f t="shared" si="4"/>
        <v>11.12</v>
      </c>
    </row>
    <row r="155" ht="15.75" customHeight="1">
      <c r="A155" s="50" t="s">
        <v>54</v>
      </c>
      <c r="B155" s="51">
        <f t="shared" si="5"/>
        <v>45808</v>
      </c>
      <c r="C155" s="52">
        <v>6.0</v>
      </c>
      <c r="D155" s="52" t="s">
        <v>65</v>
      </c>
      <c r="E155" s="53"/>
      <c r="F155" s="41">
        <v>0.0</v>
      </c>
      <c r="H155" s="42">
        <v>0.0</v>
      </c>
      <c r="J155" s="42">
        <v>0.0</v>
      </c>
      <c r="L155" s="42">
        <v>0.0</v>
      </c>
      <c r="N155" s="42">
        <v>0.0</v>
      </c>
      <c r="P155" s="42">
        <v>0.0</v>
      </c>
      <c r="Q155" s="43"/>
      <c r="R155" s="42">
        <v>155.0</v>
      </c>
      <c r="T155" s="42">
        <v>155.0</v>
      </c>
      <c r="V155" s="42">
        <v>0.0</v>
      </c>
      <c r="X155" s="42">
        <v>0.0</v>
      </c>
      <c r="Z155" s="42">
        <v>0.0</v>
      </c>
      <c r="AB155" s="42">
        <v>0.0</v>
      </c>
      <c r="AC155" s="43"/>
      <c r="AD155" s="42">
        <v>0.0</v>
      </c>
      <c r="AF155" s="42">
        <v>0.0</v>
      </c>
      <c r="AH155" s="42">
        <v>50.0</v>
      </c>
      <c r="AJ155" s="41"/>
      <c r="AK155" s="43"/>
      <c r="AL155" s="46">
        <v>0.0</v>
      </c>
      <c r="AM155" s="43"/>
      <c r="AN155" s="41"/>
      <c r="AO155" s="43"/>
      <c r="AP155" s="41"/>
      <c r="AQ155" s="43"/>
      <c r="AR155" s="41"/>
      <c r="AS155" s="43"/>
      <c r="AT155" s="42"/>
      <c r="AV155" s="42"/>
      <c r="AW155" s="43"/>
      <c r="AX155" s="54">
        <f t="shared" si="1"/>
        <v>4241.7</v>
      </c>
      <c r="AY155" s="52">
        <f t="shared" si="2"/>
        <v>360</v>
      </c>
      <c r="AZ155" s="52">
        <v>0.0</v>
      </c>
      <c r="BA155" s="52">
        <f t="shared" si="3"/>
        <v>360</v>
      </c>
      <c r="BB155" s="49">
        <f t="shared" si="4"/>
        <v>11.7825</v>
      </c>
    </row>
    <row r="156" ht="15.75" customHeight="1">
      <c r="A156" s="59" t="s">
        <v>61</v>
      </c>
      <c r="B156" s="61">
        <f t="shared" si="5"/>
        <v>45809</v>
      </c>
      <c r="C156" s="63">
        <v>6.0</v>
      </c>
      <c r="D156" s="63" t="s">
        <v>65</v>
      </c>
      <c r="E156" s="64"/>
      <c r="F156" s="65">
        <v>0.0</v>
      </c>
      <c r="G156" s="66"/>
      <c r="H156" s="67">
        <v>0.0</v>
      </c>
      <c r="I156" s="66"/>
      <c r="J156" s="67">
        <v>0.0</v>
      </c>
      <c r="K156" s="66"/>
      <c r="L156" s="67">
        <v>0.0</v>
      </c>
      <c r="M156" s="66"/>
      <c r="N156" s="67">
        <v>0.0</v>
      </c>
      <c r="O156" s="66"/>
      <c r="P156" s="67">
        <v>0.0</v>
      </c>
      <c r="Q156" s="68"/>
      <c r="R156" s="65">
        <v>0.0</v>
      </c>
      <c r="S156" s="66"/>
      <c r="T156" s="67">
        <v>0.0</v>
      </c>
      <c r="U156" s="66"/>
      <c r="V156" s="67">
        <v>0.0</v>
      </c>
      <c r="W156" s="66"/>
      <c r="X156" s="67">
        <v>0.0</v>
      </c>
      <c r="Y156" s="66"/>
      <c r="Z156" s="67">
        <v>0.0</v>
      </c>
      <c r="AA156" s="66"/>
      <c r="AB156" s="67">
        <v>0.0</v>
      </c>
      <c r="AC156" s="68"/>
      <c r="AD156" s="67">
        <v>0.0</v>
      </c>
      <c r="AE156" s="66"/>
      <c r="AF156" s="67">
        <v>0.0</v>
      </c>
      <c r="AG156" s="66"/>
      <c r="AH156" s="67">
        <v>0.0</v>
      </c>
      <c r="AI156" s="66"/>
      <c r="AJ156" s="65"/>
      <c r="AK156" s="68"/>
      <c r="AL156" s="71">
        <v>0.0</v>
      </c>
      <c r="AM156" s="68"/>
      <c r="AN156" s="65"/>
      <c r="AO156" s="68"/>
      <c r="AP156" s="65"/>
      <c r="AQ156" s="68"/>
      <c r="AR156" s="65"/>
      <c r="AS156" s="68"/>
      <c r="AT156" s="67"/>
      <c r="AU156" s="66"/>
      <c r="AV156" s="67"/>
      <c r="AW156" s="68"/>
      <c r="AX156" s="73">
        <f t="shared" si="1"/>
        <v>0</v>
      </c>
      <c r="AY156" s="63">
        <f t="shared" si="2"/>
        <v>0</v>
      </c>
      <c r="AZ156" s="63">
        <v>0.0</v>
      </c>
      <c r="BA156" s="63">
        <f t="shared" si="3"/>
        <v>0</v>
      </c>
      <c r="BB156" s="74" t="str">
        <f t="shared" si="4"/>
        <v/>
      </c>
    </row>
    <row r="157" ht="15.75" customHeight="1">
      <c r="A157" s="36" t="s">
        <v>46</v>
      </c>
      <c r="B157" s="75">
        <f t="shared" si="5"/>
        <v>45810</v>
      </c>
      <c r="C157" s="38">
        <v>6.0</v>
      </c>
      <c r="D157" s="38" t="s">
        <v>69</v>
      </c>
      <c r="E157" s="40"/>
      <c r="F157" s="41">
        <v>0.0</v>
      </c>
      <c r="H157" s="42">
        <v>0.0</v>
      </c>
      <c r="J157" s="42">
        <v>0.0</v>
      </c>
      <c r="L157" s="42">
        <v>0.0</v>
      </c>
      <c r="N157" s="42">
        <v>0.0</v>
      </c>
      <c r="P157" s="42">
        <v>0.0</v>
      </c>
      <c r="Q157" s="43"/>
      <c r="R157" s="41">
        <v>155.0</v>
      </c>
      <c r="T157" s="42">
        <v>155.0</v>
      </c>
      <c r="V157" s="42">
        <v>0.0</v>
      </c>
      <c r="X157" s="42">
        <v>0.0</v>
      </c>
      <c r="Z157" s="42">
        <v>0.0</v>
      </c>
      <c r="AB157" s="42">
        <v>0.0</v>
      </c>
      <c r="AC157" s="43"/>
      <c r="AD157" s="42">
        <v>0.0</v>
      </c>
      <c r="AF157" s="42">
        <v>0.0</v>
      </c>
      <c r="AH157" s="42">
        <v>0.0</v>
      </c>
      <c r="AJ157" s="41"/>
      <c r="AK157" s="43"/>
      <c r="AL157" s="46">
        <v>0.0</v>
      </c>
      <c r="AM157" s="43"/>
      <c r="AN157" s="41"/>
      <c r="AO157" s="43"/>
      <c r="AP157" s="41"/>
      <c r="AQ157" s="43"/>
      <c r="AR157" s="41"/>
      <c r="AS157" s="43"/>
      <c r="AT157" s="42"/>
      <c r="AV157" s="42"/>
      <c r="AW157" s="43"/>
      <c r="AX157" s="47">
        <f t="shared" si="1"/>
        <v>3447.2</v>
      </c>
      <c r="AY157" s="38">
        <f t="shared" si="2"/>
        <v>310</v>
      </c>
      <c r="AZ157" s="38">
        <v>0.0</v>
      </c>
      <c r="BA157" s="38">
        <f t="shared" si="3"/>
        <v>310</v>
      </c>
      <c r="BB157" s="76">
        <f t="shared" si="4"/>
        <v>11.12</v>
      </c>
    </row>
    <row r="158" ht="15.75" customHeight="1">
      <c r="A158" s="50" t="s">
        <v>48</v>
      </c>
      <c r="B158" s="51">
        <f t="shared" si="5"/>
        <v>45811</v>
      </c>
      <c r="C158" s="52">
        <v>6.0</v>
      </c>
      <c r="D158" s="52" t="s">
        <v>69</v>
      </c>
      <c r="E158" s="92"/>
      <c r="F158" s="41">
        <v>0.0</v>
      </c>
      <c r="H158" s="42">
        <v>0.0</v>
      </c>
      <c r="J158" s="42">
        <v>0.0</v>
      </c>
      <c r="L158" s="42">
        <v>0.0</v>
      </c>
      <c r="N158" s="42">
        <v>0.0</v>
      </c>
      <c r="P158" s="42">
        <v>0.0</v>
      </c>
      <c r="Q158" s="43"/>
      <c r="R158" s="41">
        <v>155.0</v>
      </c>
      <c r="T158" s="42">
        <v>155.0</v>
      </c>
      <c r="V158" s="42">
        <v>0.0</v>
      </c>
      <c r="X158" s="42">
        <v>0.0</v>
      </c>
      <c r="Z158" s="42">
        <v>0.0</v>
      </c>
      <c r="AB158" s="42">
        <v>0.0</v>
      </c>
      <c r="AC158" s="43"/>
      <c r="AD158" s="42">
        <v>0.0</v>
      </c>
      <c r="AF158" s="42">
        <v>0.0</v>
      </c>
      <c r="AH158" s="42">
        <v>0.0</v>
      </c>
      <c r="AJ158" s="41"/>
      <c r="AK158" s="43"/>
      <c r="AL158" s="46">
        <v>0.0</v>
      </c>
      <c r="AM158" s="43"/>
      <c r="AN158" s="41"/>
      <c r="AO158" s="43"/>
      <c r="AP158" s="41"/>
      <c r="AQ158" s="43"/>
      <c r="AR158" s="41"/>
      <c r="AS158" s="43"/>
      <c r="AT158" s="42"/>
      <c r="AV158" s="42"/>
      <c r="AW158" s="43"/>
      <c r="AX158" s="54">
        <f t="shared" si="1"/>
        <v>3447.2</v>
      </c>
      <c r="AY158" s="52">
        <f t="shared" si="2"/>
        <v>310</v>
      </c>
      <c r="AZ158" s="52">
        <v>0.0</v>
      </c>
      <c r="BA158" s="52">
        <f t="shared" si="3"/>
        <v>310</v>
      </c>
      <c r="BB158" s="49">
        <f t="shared" si="4"/>
        <v>11.12</v>
      </c>
    </row>
    <row r="159" ht="15.75" customHeight="1">
      <c r="A159" s="50" t="s">
        <v>49</v>
      </c>
      <c r="B159" s="51">
        <f t="shared" si="5"/>
        <v>45812</v>
      </c>
      <c r="C159" s="52">
        <v>6.0</v>
      </c>
      <c r="D159" s="52" t="s">
        <v>69</v>
      </c>
      <c r="E159" s="53"/>
      <c r="F159" s="41">
        <v>0.0</v>
      </c>
      <c r="H159" s="42">
        <v>0.0</v>
      </c>
      <c r="J159" s="42">
        <v>0.0</v>
      </c>
      <c r="L159" s="42">
        <v>0.0</v>
      </c>
      <c r="N159" s="42">
        <v>0.0</v>
      </c>
      <c r="P159" s="42">
        <v>0.0</v>
      </c>
      <c r="Q159" s="43"/>
      <c r="R159" s="41">
        <v>155.0</v>
      </c>
      <c r="T159" s="42">
        <v>155.0</v>
      </c>
      <c r="V159" s="42">
        <v>0.0</v>
      </c>
      <c r="X159" s="42">
        <v>0.0</v>
      </c>
      <c r="Z159" s="42">
        <v>0.0</v>
      </c>
      <c r="AB159" s="42">
        <v>0.0</v>
      </c>
      <c r="AC159" s="43"/>
      <c r="AD159" s="42">
        <v>0.0</v>
      </c>
      <c r="AF159" s="42">
        <v>0.0</v>
      </c>
      <c r="AH159" s="42">
        <v>0.0</v>
      </c>
      <c r="AJ159" s="41"/>
      <c r="AK159" s="43"/>
      <c r="AL159" s="46">
        <v>0.0</v>
      </c>
      <c r="AM159" s="43"/>
      <c r="AN159" s="41"/>
      <c r="AO159" s="43"/>
      <c r="AP159" s="41"/>
      <c r="AQ159" s="43"/>
      <c r="AR159" s="41"/>
      <c r="AS159" s="43"/>
      <c r="AT159" s="42"/>
      <c r="AV159" s="42"/>
      <c r="AW159" s="43"/>
      <c r="AX159" s="54">
        <f t="shared" si="1"/>
        <v>3447.2</v>
      </c>
      <c r="AY159" s="52">
        <f t="shared" si="2"/>
        <v>310</v>
      </c>
      <c r="AZ159" s="52">
        <v>0.0</v>
      </c>
      <c r="BA159" s="52">
        <f t="shared" si="3"/>
        <v>310</v>
      </c>
      <c r="BB159" s="49">
        <f t="shared" si="4"/>
        <v>11.12</v>
      </c>
    </row>
    <row r="160" ht="15.75" customHeight="1">
      <c r="A160" s="50" t="s">
        <v>50</v>
      </c>
      <c r="B160" s="51">
        <f t="shared" si="5"/>
        <v>45813</v>
      </c>
      <c r="C160" s="52">
        <v>6.0</v>
      </c>
      <c r="D160" s="52" t="s">
        <v>69</v>
      </c>
      <c r="E160" s="53"/>
      <c r="F160" s="41">
        <v>0.0</v>
      </c>
      <c r="H160" s="42">
        <v>0.0</v>
      </c>
      <c r="J160" s="42">
        <v>0.0</v>
      </c>
      <c r="L160" s="42">
        <v>0.0</v>
      </c>
      <c r="N160" s="42">
        <v>0.0</v>
      </c>
      <c r="P160" s="42">
        <v>0.0</v>
      </c>
      <c r="Q160" s="43"/>
      <c r="R160" s="41">
        <v>155.0</v>
      </c>
      <c r="T160" s="42">
        <v>155.0</v>
      </c>
      <c r="V160" s="42">
        <v>0.0</v>
      </c>
      <c r="X160" s="42">
        <v>0.0</v>
      </c>
      <c r="Z160" s="42">
        <v>0.0</v>
      </c>
      <c r="AB160" s="42">
        <v>0.0</v>
      </c>
      <c r="AC160" s="43"/>
      <c r="AD160" s="42">
        <v>0.0</v>
      </c>
      <c r="AF160" s="42">
        <v>0.0</v>
      </c>
      <c r="AH160" s="42">
        <v>0.0</v>
      </c>
      <c r="AJ160" s="41"/>
      <c r="AK160" s="43"/>
      <c r="AL160" s="46">
        <v>0.0</v>
      </c>
      <c r="AM160" s="43"/>
      <c r="AN160" s="41"/>
      <c r="AO160" s="43"/>
      <c r="AP160" s="41"/>
      <c r="AQ160" s="43"/>
      <c r="AR160" s="41"/>
      <c r="AS160" s="43"/>
      <c r="AT160" s="42"/>
      <c r="AV160" s="42"/>
      <c r="AW160" s="43"/>
      <c r="AX160" s="54">
        <f t="shared" si="1"/>
        <v>3447.2</v>
      </c>
      <c r="AY160" s="52">
        <f t="shared" si="2"/>
        <v>310</v>
      </c>
      <c r="AZ160" s="52">
        <v>0.0</v>
      </c>
      <c r="BA160" s="52">
        <f t="shared" si="3"/>
        <v>310</v>
      </c>
      <c r="BB160" s="49">
        <f t="shared" si="4"/>
        <v>11.12</v>
      </c>
    </row>
    <row r="161" ht="15.75" customHeight="1">
      <c r="A161" s="50" t="s">
        <v>53</v>
      </c>
      <c r="B161" s="51">
        <f t="shared" si="5"/>
        <v>45814</v>
      </c>
      <c r="C161" s="52">
        <v>6.0</v>
      </c>
      <c r="D161" s="52" t="s">
        <v>69</v>
      </c>
      <c r="E161" s="53"/>
      <c r="F161" s="41">
        <v>0.0</v>
      </c>
      <c r="H161" s="42">
        <v>0.0</v>
      </c>
      <c r="J161" s="42">
        <v>0.0</v>
      </c>
      <c r="L161" s="42">
        <v>0.0</v>
      </c>
      <c r="N161" s="42">
        <v>0.0</v>
      </c>
      <c r="P161" s="42">
        <v>0.0</v>
      </c>
      <c r="Q161" s="43"/>
      <c r="R161" s="41">
        <v>155.0</v>
      </c>
      <c r="T161" s="42">
        <v>155.0</v>
      </c>
      <c r="V161" s="42">
        <v>0.0</v>
      </c>
      <c r="X161" s="42">
        <v>0.0</v>
      </c>
      <c r="Z161" s="42">
        <v>0.0</v>
      </c>
      <c r="AB161" s="42">
        <v>0.0</v>
      </c>
      <c r="AC161" s="43"/>
      <c r="AD161" s="42">
        <v>0.0</v>
      </c>
      <c r="AF161" s="42">
        <v>0.0</v>
      </c>
      <c r="AH161" s="42">
        <v>0.0</v>
      </c>
      <c r="AJ161" s="41"/>
      <c r="AK161" s="43"/>
      <c r="AL161" s="46">
        <v>0.0</v>
      </c>
      <c r="AM161" s="43"/>
      <c r="AN161" s="41"/>
      <c r="AO161" s="43"/>
      <c r="AP161" s="41"/>
      <c r="AQ161" s="43"/>
      <c r="AR161" s="41"/>
      <c r="AS161" s="43"/>
      <c r="AT161" s="42"/>
      <c r="AV161" s="42"/>
      <c r="AW161" s="43"/>
      <c r="AX161" s="54">
        <f t="shared" si="1"/>
        <v>3447.2</v>
      </c>
      <c r="AY161" s="52">
        <f t="shared" si="2"/>
        <v>310</v>
      </c>
      <c r="AZ161" s="52">
        <v>0.0</v>
      </c>
      <c r="BA161" s="52">
        <f t="shared" si="3"/>
        <v>310</v>
      </c>
      <c r="BB161" s="49">
        <f t="shared" si="4"/>
        <v>11.12</v>
      </c>
    </row>
    <row r="162" ht="15.75" customHeight="1">
      <c r="A162" s="50" t="s">
        <v>54</v>
      </c>
      <c r="B162" s="51">
        <f t="shared" si="5"/>
        <v>45815</v>
      </c>
      <c r="C162" s="52">
        <v>6.0</v>
      </c>
      <c r="D162" s="52" t="s">
        <v>69</v>
      </c>
      <c r="E162" s="92"/>
      <c r="F162" s="41">
        <v>0.0</v>
      </c>
      <c r="H162" s="42">
        <v>0.0</v>
      </c>
      <c r="J162" s="42">
        <v>0.0</v>
      </c>
      <c r="L162" s="42">
        <v>0.0</v>
      </c>
      <c r="N162" s="42">
        <v>0.0</v>
      </c>
      <c r="P162" s="42">
        <v>0.0</v>
      </c>
      <c r="Q162" s="43"/>
      <c r="R162" s="41">
        <v>155.0</v>
      </c>
      <c r="T162" s="42">
        <v>155.0</v>
      </c>
      <c r="V162" s="42">
        <v>0.0</v>
      </c>
      <c r="X162" s="42">
        <v>0.0</v>
      </c>
      <c r="Z162" s="42">
        <v>0.0</v>
      </c>
      <c r="AB162" s="42">
        <v>0.0</v>
      </c>
      <c r="AC162" s="43"/>
      <c r="AD162" s="42">
        <v>0.0</v>
      </c>
      <c r="AF162" s="42">
        <v>0.0</v>
      </c>
      <c r="AH162" s="42">
        <v>0.0</v>
      </c>
      <c r="AJ162" s="41"/>
      <c r="AK162" s="43"/>
      <c r="AL162" s="46">
        <v>0.0</v>
      </c>
      <c r="AM162" s="43"/>
      <c r="AN162" s="41"/>
      <c r="AO162" s="43"/>
      <c r="AP162" s="41"/>
      <c r="AQ162" s="43"/>
      <c r="AR162" s="41"/>
      <c r="AS162" s="43"/>
      <c r="AT162" s="42"/>
      <c r="AV162" s="42"/>
      <c r="AW162" s="43"/>
      <c r="AX162" s="54">
        <f t="shared" si="1"/>
        <v>3447.2</v>
      </c>
      <c r="AY162" s="52">
        <f t="shared" si="2"/>
        <v>310</v>
      </c>
      <c r="AZ162" s="52">
        <v>0.0</v>
      </c>
      <c r="BA162" s="52">
        <f t="shared" si="3"/>
        <v>310</v>
      </c>
      <c r="BB162" s="49">
        <f t="shared" si="4"/>
        <v>11.12</v>
      </c>
    </row>
    <row r="163" ht="15.75" customHeight="1">
      <c r="A163" s="59" t="s">
        <v>61</v>
      </c>
      <c r="B163" s="61">
        <f t="shared" si="5"/>
        <v>45816</v>
      </c>
      <c r="C163" s="63">
        <v>6.0</v>
      </c>
      <c r="D163" s="63" t="s">
        <v>69</v>
      </c>
      <c r="E163" s="94"/>
      <c r="F163" s="65">
        <v>0.0</v>
      </c>
      <c r="G163" s="66"/>
      <c r="H163" s="67">
        <v>0.0</v>
      </c>
      <c r="I163" s="66"/>
      <c r="J163" s="67">
        <v>0.0</v>
      </c>
      <c r="K163" s="66"/>
      <c r="L163" s="67">
        <v>0.0</v>
      </c>
      <c r="M163" s="66"/>
      <c r="N163" s="67">
        <v>0.0</v>
      </c>
      <c r="O163" s="66"/>
      <c r="P163" s="67">
        <v>0.0</v>
      </c>
      <c r="Q163" s="68"/>
      <c r="R163" s="65"/>
      <c r="S163" s="66"/>
      <c r="T163" s="67"/>
      <c r="U163" s="66"/>
      <c r="V163" s="67">
        <v>0.0</v>
      </c>
      <c r="W163" s="66"/>
      <c r="X163" s="67">
        <v>0.0</v>
      </c>
      <c r="Y163" s="66"/>
      <c r="Z163" s="67">
        <v>0.0</v>
      </c>
      <c r="AA163" s="66"/>
      <c r="AB163" s="67">
        <v>0.0</v>
      </c>
      <c r="AC163" s="68"/>
      <c r="AD163" s="67">
        <v>0.0</v>
      </c>
      <c r="AE163" s="66"/>
      <c r="AF163" s="67">
        <v>0.0</v>
      </c>
      <c r="AG163" s="66"/>
      <c r="AH163" s="67">
        <v>0.0</v>
      </c>
      <c r="AI163" s="66"/>
      <c r="AJ163" s="65"/>
      <c r="AK163" s="68"/>
      <c r="AL163" s="71">
        <v>0.0</v>
      </c>
      <c r="AM163" s="68"/>
      <c r="AN163" s="65"/>
      <c r="AO163" s="68"/>
      <c r="AP163" s="65"/>
      <c r="AQ163" s="68"/>
      <c r="AR163" s="65"/>
      <c r="AS163" s="68"/>
      <c r="AT163" s="67"/>
      <c r="AU163" s="66"/>
      <c r="AV163" s="67"/>
      <c r="AW163" s="68"/>
      <c r="AX163" s="73">
        <f t="shared" si="1"/>
        <v>0</v>
      </c>
      <c r="AY163" s="63">
        <f t="shared" si="2"/>
        <v>0</v>
      </c>
      <c r="AZ163" s="63">
        <v>0.0</v>
      </c>
      <c r="BA163" s="63">
        <f t="shared" si="3"/>
        <v>0</v>
      </c>
      <c r="BB163" s="74" t="str">
        <f t="shared" si="4"/>
        <v/>
      </c>
    </row>
    <row r="164" ht="15.75" customHeight="1">
      <c r="A164" s="36" t="s">
        <v>46</v>
      </c>
      <c r="B164" s="75">
        <f t="shared" si="5"/>
        <v>45817</v>
      </c>
      <c r="C164" s="38">
        <v>6.0</v>
      </c>
      <c r="D164" s="38" t="s">
        <v>72</v>
      </c>
      <c r="E164" s="40"/>
      <c r="F164" s="41">
        <v>0.0</v>
      </c>
      <c r="H164" s="42">
        <v>0.0</v>
      </c>
      <c r="J164" s="42">
        <v>0.0</v>
      </c>
      <c r="L164" s="42">
        <v>0.0</v>
      </c>
      <c r="N164" s="42">
        <v>0.0</v>
      </c>
      <c r="P164" s="42">
        <v>0.0</v>
      </c>
      <c r="Q164" s="43"/>
      <c r="R164" s="41">
        <v>155.0</v>
      </c>
      <c r="T164" s="42">
        <v>155.0</v>
      </c>
      <c r="V164" s="42">
        <v>0.0</v>
      </c>
      <c r="X164" s="42">
        <v>0.0</v>
      </c>
      <c r="Z164" s="42">
        <v>0.0</v>
      </c>
      <c r="AB164" s="42">
        <v>0.0</v>
      </c>
      <c r="AC164" s="43"/>
      <c r="AD164" s="42">
        <v>0.0</v>
      </c>
      <c r="AF164" s="42">
        <v>0.0</v>
      </c>
      <c r="AH164" s="42">
        <v>0.0</v>
      </c>
      <c r="AJ164" s="41"/>
      <c r="AK164" s="43"/>
      <c r="AL164" s="46">
        <v>0.0</v>
      </c>
      <c r="AM164" s="43"/>
      <c r="AN164" s="41"/>
      <c r="AO164" s="43"/>
      <c r="AP164" s="41"/>
      <c r="AQ164" s="43"/>
      <c r="AR164" s="41"/>
      <c r="AS164" s="43"/>
      <c r="AT164" s="42"/>
      <c r="AV164" s="42"/>
      <c r="AW164" s="43"/>
      <c r="AX164" s="47">
        <f t="shared" si="1"/>
        <v>3447.2</v>
      </c>
      <c r="AY164" s="38">
        <f t="shared" si="2"/>
        <v>310</v>
      </c>
      <c r="AZ164" s="38">
        <v>0.0</v>
      </c>
      <c r="BA164" s="38">
        <f t="shared" si="3"/>
        <v>310</v>
      </c>
      <c r="BB164" s="76">
        <f t="shared" si="4"/>
        <v>11.12</v>
      </c>
    </row>
    <row r="165" ht="15.75" customHeight="1">
      <c r="A165" s="50" t="s">
        <v>48</v>
      </c>
      <c r="B165" s="51">
        <f t="shared" si="5"/>
        <v>45818</v>
      </c>
      <c r="C165" s="52">
        <v>6.0</v>
      </c>
      <c r="D165" s="52" t="s">
        <v>72</v>
      </c>
      <c r="E165" s="53"/>
      <c r="F165" s="41">
        <v>0.0</v>
      </c>
      <c r="H165" s="42">
        <v>0.0</v>
      </c>
      <c r="J165" s="42">
        <v>0.0</v>
      </c>
      <c r="L165" s="42">
        <v>0.0</v>
      </c>
      <c r="N165" s="42">
        <v>0.0</v>
      </c>
      <c r="P165" s="42">
        <v>0.0</v>
      </c>
      <c r="Q165" s="43"/>
      <c r="R165" s="41">
        <v>155.0</v>
      </c>
      <c r="T165" s="42">
        <v>155.0</v>
      </c>
      <c r="V165" s="42">
        <v>0.0</v>
      </c>
      <c r="X165" s="42">
        <v>0.0</v>
      </c>
      <c r="Z165" s="42">
        <v>0.0</v>
      </c>
      <c r="AB165" s="42">
        <v>0.0</v>
      </c>
      <c r="AC165" s="43"/>
      <c r="AD165" s="42">
        <v>0.0</v>
      </c>
      <c r="AF165" s="42">
        <v>55.0</v>
      </c>
      <c r="AH165" s="42">
        <v>55.0</v>
      </c>
      <c r="AJ165" s="41"/>
      <c r="AK165" s="43"/>
      <c r="AL165" s="46">
        <v>0.0</v>
      </c>
      <c r="AM165" s="43"/>
      <c r="AN165" s="41"/>
      <c r="AO165" s="43"/>
      <c r="AP165" s="41"/>
      <c r="AQ165" s="43"/>
      <c r="AR165" s="41"/>
      <c r="AS165" s="43"/>
      <c r="AT165" s="42"/>
      <c r="AV165" s="42"/>
      <c r="AW165" s="43"/>
      <c r="AX165" s="54">
        <f t="shared" si="1"/>
        <v>5195.1</v>
      </c>
      <c r="AY165" s="52">
        <f t="shared" si="2"/>
        <v>420</v>
      </c>
      <c r="AZ165" s="52">
        <v>0.0</v>
      </c>
      <c r="BA165" s="52">
        <f t="shared" si="3"/>
        <v>420</v>
      </c>
      <c r="BB165" s="49">
        <f t="shared" si="4"/>
        <v>12.36928571</v>
      </c>
    </row>
    <row r="166" ht="15.75" customHeight="1">
      <c r="A166" s="50" t="s">
        <v>49</v>
      </c>
      <c r="B166" s="51">
        <f t="shared" si="5"/>
        <v>45819</v>
      </c>
      <c r="C166" s="52">
        <v>6.0</v>
      </c>
      <c r="D166" s="52" t="s">
        <v>72</v>
      </c>
      <c r="E166" s="53"/>
      <c r="F166" s="41">
        <v>0.0</v>
      </c>
      <c r="H166" s="42">
        <v>0.0</v>
      </c>
      <c r="J166" s="42">
        <v>0.0</v>
      </c>
      <c r="L166" s="42">
        <v>0.0</v>
      </c>
      <c r="N166" s="42">
        <v>0.0</v>
      </c>
      <c r="P166" s="42">
        <v>0.0</v>
      </c>
      <c r="Q166" s="43"/>
      <c r="R166" s="41">
        <v>155.0</v>
      </c>
      <c r="T166" s="42">
        <v>155.0</v>
      </c>
      <c r="V166" s="42">
        <v>0.0</v>
      </c>
      <c r="X166" s="42">
        <v>0.0</v>
      </c>
      <c r="Z166" s="42">
        <v>0.0</v>
      </c>
      <c r="AB166" s="42">
        <v>0.0</v>
      </c>
      <c r="AC166" s="43"/>
      <c r="AD166" s="42">
        <v>0.0</v>
      </c>
      <c r="AF166" s="42">
        <v>55.0</v>
      </c>
      <c r="AH166" s="42">
        <v>55.0</v>
      </c>
      <c r="AJ166" s="41"/>
      <c r="AK166" s="43"/>
      <c r="AL166" s="46">
        <v>0.0</v>
      </c>
      <c r="AM166" s="43"/>
      <c r="AN166" s="41"/>
      <c r="AO166" s="43"/>
      <c r="AP166" s="41"/>
      <c r="AQ166" s="43"/>
      <c r="AR166" s="41"/>
      <c r="AS166" s="43"/>
      <c r="AT166" s="42"/>
      <c r="AV166" s="42"/>
      <c r="AW166" s="43"/>
      <c r="AX166" s="54">
        <f t="shared" si="1"/>
        <v>5195.1</v>
      </c>
      <c r="AY166" s="52">
        <f t="shared" si="2"/>
        <v>420</v>
      </c>
      <c r="AZ166" s="52">
        <v>0.0</v>
      </c>
      <c r="BA166" s="52">
        <f t="shared" si="3"/>
        <v>420</v>
      </c>
      <c r="BB166" s="49">
        <f t="shared" si="4"/>
        <v>12.36928571</v>
      </c>
    </row>
    <row r="167" ht="15.75" customHeight="1">
      <c r="A167" s="50" t="s">
        <v>50</v>
      </c>
      <c r="B167" s="51">
        <f t="shared" si="5"/>
        <v>45820</v>
      </c>
      <c r="C167" s="52">
        <v>6.0</v>
      </c>
      <c r="D167" s="52" t="s">
        <v>72</v>
      </c>
      <c r="E167" s="53"/>
      <c r="F167" s="41">
        <v>0.0</v>
      </c>
      <c r="H167" s="42">
        <v>0.0</v>
      </c>
      <c r="J167" s="42">
        <v>0.0</v>
      </c>
      <c r="L167" s="42">
        <v>0.0</v>
      </c>
      <c r="N167" s="42">
        <v>0.0</v>
      </c>
      <c r="P167" s="42">
        <v>0.0</v>
      </c>
      <c r="Q167" s="43"/>
      <c r="R167" s="41">
        <v>155.0</v>
      </c>
      <c r="T167" s="42">
        <v>155.0</v>
      </c>
      <c r="V167" s="42">
        <v>0.0</v>
      </c>
      <c r="X167" s="42">
        <v>0.0</v>
      </c>
      <c r="Z167" s="42">
        <v>0.0</v>
      </c>
      <c r="AB167" s="42">
        <v>0.0</v>
      </c>
      <c r="AC167" s="43"/>
      <c r="AD167" s="42">
        <v>0.0</v>
      </c>
      <c r="AF167" s="42">
        <v>0.0</v>
      </c>
      <c r="AH167" s="42">
        <v>55.0</v>
      </c>
      <c r="AJ167" s="41"/>
      <c r="AK167" s="43"/>
      <c r="AL167" s="46">
        <v>0.0</v>
      </c>
      <c r="AM167" s="43"/>
      <c r="AN167" s="41"/>
      <c r="AO167" s="43"/>
      <c r="AP167" s="41"/>
      <c r="AQ167" s="43"/>
      <c r="AR167" s="41"/>
      <c r="AS167" s="43"/>
      <c r="AT167" s="42"/>
      <c r="AV167" s="42"/>
      <c r="AW167" s="43"/>
      <c r="AX167" s="54">
        <f t="shared" si="1"/>
        <v>4321.15</v>
      </c>
      <c r="AY167" s="52">
        <f t="shared" si="2"/>
        <v>365</v>
      </c>
      <c r="AZ167" s="52">
        <v>0.0</v>
      </c>
      <c r="BA167" s="52">
        <f t="shared" si="3"/>
        <v>365</v>
      </c>
      <c r="BB167" s="49">
        <f t="shared" si="4"/>
        <v>11.83876712</v>
      </c>
    </row>
    <row r="168" ht="15.75" customHeight="1">
      <c r="A168" s="50" t="s">
        <v>53</v>
      </c>
      <c r="B168" s="51">
        <f t="shared" si="5"/>
        <v>45821</v>
      </c>
      <c r="C168" s="52">
        <v>6.0</v>
      </c>
      <c r="D168" s="52" t="s">
        <v>72</v>
      </c>
      <c r="E168" s="53"/>
      <c r="F168" s="41">
        <v>0.0</v>
      </c>
      <c r="H168" s="42">
        <v>0.0</v>
      </c>
      <c r="J168" s="42">
        <v>0.0</v>
      </c>
      <c r="L168" s="42">
        <v>0.0</v>
      </c>
      <c r="N168" s="42">
        <v>0.0</v>
      </c>
      <c r="P168" s="42">
        <v>0.0</v>
      </c>
      <c r="Q168" s="43"/>
      <c r="R168" s="41">
        <v>155.0</v>
      </c>
      <c r="T168" s="42">
        <v>155.0</v>
      </c>
      <c r="V168" s="42">
        <v>0.0</v>
      </c>
      <c r="X168" s="42">
        <v>0.0</v>
      </c>
      <c r="Z168" s="42">
        <v>0.0</v>
      </c>
      <c r="AB168" s="42">
        <v>0.0</v>
      </c>
      <c r="AC168" s="43"/>
      <c r="AD168" s="42">
        <v>0.0</v>
      </c>
      <c r="AF168" s="42">
        <v>55.0</v>
      </c>
      <c r="AH168" s="42">
        <v>55.0</v>
      </c>
      <c r="AJ168" s="41"/>
      <c r="AK168" s="43"/>
      <c r="AL168" s="46">
        <v>0.0</v>
      </c>
      <c r="AM168" s="43"/>
      <c r="AN168" s="41"/>
      <c r="AO168" s="43"/>
      <c r="AP168" s="41"/>
      <c r="AQ168" s="43"/>
      <c r="AR168" s="41"/>
      <c r="AS168" s="43"/>
      <c r="AT168" s="42"/>
      <c r="AV168" s="42"/>
      <c r="AW168" s="43"/>
      <c r="AX168" s="54">
        <f t="shared" si="1"/>
        <v>5195.1</v>
      </c>
      <c r="AY168" s="52">
        <f t="shared" si="2"/>
        <v>420</v>
      </c>
      <c r="AZ168" s="52">
        <v>0.0</v>
      </c>
      <c r="BA168" s="52">
        <f t="shared" si="3"/>
        <v>420</v>
      </c>
      <c r="BB168" s="49">
        <f t="shared" si="4"/>
        <v>12.36928571</v>
      </c>
    </row>
    <row r="169" ht="15.75" customHeight="1">
      <c r="A169" s="50" t="s">
        <v>54</v>
      </c>
      <c r="B169" s="51">
        <f t="shared" si="5"/>
        <v>45822</v>
      </c>
      <c r="C169" s="52">
        <v>6.0</v>
      </c>
      <c r="D169" s="52" t="s">
        <v>72</v>
      </c>
      <c r="E169" s="53"/>
      <c r="F169" s="41">
        <v>0.0</v>
      </c>
      <c r="H169" s="42">
        <v>0.0</v>
      </c>
      <c r="J169" s="42">
        <v>0.0</v>
      </c>
      <c r="L169" s="42">
        <v>0.0</v>
      </c>
      <c r="N169" s="42">
        <v>0.0</v>
      </c>
      <c r="P169" s="42">
        <v>0.0</v>
      </c>
      <c r="Q169" s="43"/>
      <c r="R169" s="41">
        <v>155.0</v>
      </c>
      <c r="T169" s="42">
        <v>155.0</v>
      </c>
      <c r="V169" s="42">
        <v>0.0</v>
      </c>
      <c r="X169" s="42">
        <v>0.0</v>
      </c>
      <c r="Z169" s="42">
        <v>0.0</v>
      </c>
      <c r="AB169" s="42">
        <v>0.0</v>
      </c>
      <c r="AC169" s="43"/>
      <c r="AD169" s="42">
        <v>0.0</v>
      </c>
      <c r="AF169" s="42">
        <v>55.0</v>
      </c>
      <c r="AH169" s="42">
        <v>0.0</v>
      </c>
      <c r="AJ169" s="41"/>
      <c r="AK169" s="43"/>
      <c r="AL169" s="46">
        <v>0.0</v>
      </c>
      <c r="AM169" s="43"/>
      <c r="AN169" s="41"/>
      <c r="AO169" s="43"/>
      <c r="AP169" s="41"/>
      <c r="AQ169" s="43"/>
      <c r="AR169" s="41"/>
      <c r="AS169" s="43"/>
      <c r="AT169" s="42"/>
      <c r="AV169" s="42"/>
      <c r="AW169" s="43"/>
      <c r="AX169" s="54">
        <f t="shared" si="1"/>
        <v>4321.15</v>
      </c>
      <c r="AY169" s="52">
        <f t="shared" si="2"/>
        <v>365</v>
      </c>
      <c r="AZ169" s="52">
        <v>0.0</v>
      </c>
      <c r="BA169" s="52">
        <f t="shared" si="3"/>
        <v>365</v>
      </c>
      <c r="BB169" s="49">
        <f t="shared" si="4"/>
        <v>11.83876712</v>
      </c>
    </row>
    <row r="170" ht="15.75" customHeight="1">
      <c r="A170" s="59" t="s">
        <v>61</v>
      </c>
      <c r="B170" s="61">
        <f t="shared" si="5"/>
        <v>45823</v>
      </c>
      <c r="C170" s="63">
        <v>6.0</v>
      </c>
      <c r="D170" s="63" t="s">
        <v>72</v>
      </c>
      <c r="E170" s="64"/>
      <c r="F170" s="65">
        <v>0.0</v>
      </c>
      <c r="G170" s="66"/>
      <c r="H170" s="67">
        <v>0.0</v>
      </c>
      <c r="I170" s="66"/>
      <c r="J170" s="67">
        <v>0.0</v>
      </c>
      <c r="K170" s="66"/>
      <c r="L170" s="67">
        <v>0.0</v>
      </c>
      <c r="M170" s="66"/>
      <c r="N170" s="67">
        <v>0.0</v>
      </c>
      <c r="O170" s="66"/>
      <c r="P170" s="67">
        <v>0.0</v>
      </c>
      <c r="Q170" s="68"/>
      <c r="R170" s="65"/>
      <c r="S170" s="66"/>
      <c r="T170" s="67"/>
      <c r="U170" s="66"/>
      <c r="V170" s="67">
        <v>0.0</v>
      </c>
      <c r="W170" s="66"/>
      <c r="X170" s="67">
        <v>0.0</v>
      </c>
      <c r="Y170" s="66"/>
      <c r="Z170" s="67">
        <v>0.0</v>
      </c>
      <c r="AA170" s="66"/>
      <c r="AB170" s="67">
        <v>0.0</v>
      </c>
      <c r="AC170" s="68"/>
      <c r="AD170" s="67">
        <v>0.0</v>
      </c>
      <c r="AE170" s="66"/>
      <c r="AF170" s="67">
        <v>0.0</v>
      </c>
      <c r="AG170" s="66"/>
      <c r="AH170" s="67">
        <v>0.0</v>
      </c>
      <c r="AI170" s="66"/>
      <c r="AJ170" s="65"/>
      <c r="AK170" s="68"/>
      <c r="AL170" s="71">
        <v>0.0</v>
      </c>
      <c r="AM170" s="68"/>
      <c r="AN170" s="65"/>
      <c r="AO170" s="68"/>
      <c r="AP170" s="65"/>
      <c r="AQ170" s="68"/>
      <c r="AR170" s="65"/>
      <c r="AS170" s="68"/>
      <c r="AT170" s="67"/>
      <c r="AU170" s="66"/>
      <c r="AV170" s="67"/>
      <c r="AW170" s="68"/>
      <c r="AX170" s="73">
        <f t="shared" si="1"/>
        <v>0</v>
      </c>
      <c r="AY170" s="63">
        <f t="shared" si="2"/>
        <v>0</v>
      </c>
      <c r="AZ170" s="63">
        <v>0.0</v>
      </c>
      <c r="BA170" s="63">
        <f t="shared" si="3"/>
        <v>0</v>
      </c>
      <c r="BB170" s="74" t="str">
        <f t="shared" si="4"/>
        <v/>
      </c>
    </row>
    <row r="171" ht="15.75" customHeight="1">
      <c r="A171" s="36" t="s">
        <v>46</v>
      </c>
      <c r="B171" s="75">
        <f t="shared" si="5"/>
        <v>45824</v>
      </c>
      <c r="C171" s="38">
        <v>7.0</v>
      </c>
      <c r="D171" s="38" t="s">
        <v>47</v>
      </c>
      <c r="E171" s="40"/>
      <c r="F171" s="41">
        <v>0.0</v>
      </c>
      <c r="H171" s="42">
        <v>0.0</v>
      </c>
      <c r="J171" s="42">
        <v>0.0</v>
      </c>
      <c r="L171" s="42">
        <v>0.0</v>
      </c>
      <c r="N171" s="42">
        <v>0.0</v>
      </c>
      <c r="P171" s="42">
        <v>0.0</v>
      </c>
      <c r="Q171" s="43"/>
      <c r="R171" s="41">
        <v>155.0</v>
      </c>
      <c r="T171" s="42">
        <v>155.0</v>
      </c>
      <c r="V171" s="42">
        <v>0.0</v>
      </c>
      <c r="X171" s="42">
        <v>0.0</v>
      </c>
      <c r="Z171" s="42">
        <v>0.0</v>
      </c>
      <c r="AB171" s="42">
        <v>0.0</v>
      </c>
      <c r="AC171" s="43"/>
      <c r="AD171" s="42">
        <v>0.0</v>
      </c>
      <c r="AF171" s="42">
        <v>0.0</v>
      </c>
      <c r="AH171" s="42">
        <v>0.0</v>
      </c>
      <c r="AJ171" s="41"/>
      <c r="AK171" s="43"/>
      <c r="AL171" s="46">
        <v>0.0</v>
      </c>
      <c r="AM171" s="43"/>
      <c r="AN171" s="41"/>
      <c r="AO171" s="43"/>
      <c r="AP171" s="41"/>
      <c r="AQ171" s="43"/>
      <c r="AR171" s="41"/>
      <c r="AS171" s="43"/>
      <c r="AT171" s="42"/>
      <c r="AV171" s="42"/>
      <c r="AW171" s="43"/>
      <c r="AX171" s="47">
        <f t="shared" si="1"/>
        <v>3447.2</v>
      </c>
      <c r="AY171" s="38">
        <f t="shared" si="2"/>
        <v>310</v>
      </c>
      <c r="AZ171" s="38">
        <v>0.0</v>
      </c>
      <c r="BA171" s="38">
        <f t="shared" si="3"/>
        <v>310</v>
      </c>
      <c r="BB171" s="76">
        <f t="shared" si="4"/>
        <v>11.12</v>
      </c>
    </row>
    <row r="172" ht="15.75" customHeight="1">
      <c r="A172" s="50" t="s">
        <v>48</v>
      </c>
      <c r="B172" s="51">
        <f t="shared" si="5"/>
        <v>45825</v>
      </c>
      <c r="C172" s="52">
        <v>7.0</v>
      </c>
      <c r="D172" s="52" t="s">
        <v>47</v>
      </c>
      <c r="E172" s="53"/>
      <c r="F172" s="41">
        <v>0.0</v>
      </c>
      <c r="H172" s="42">
        <v>0.0</v>
      </c>
      <c r="J172" s="42">
        <v>0.0</v>
      </c>
      <c r="L172" s="42">
        <v>0.0</v>
      </c>
      <c r="N172" s="42">
        <v>0.0</v>
      </c>
      <c r="P172" s="42">
        <v>0.0</v>
      </c>
      <c r="Q172" s="43"/>
      <c r="R172" s="41">
        <v>155.0</v>
      </c>
      <c r="T172" s="42">
        <v>155.0</v>
      </c>
      <c r="V172" s="42">
        <v>0.0</v>
      </c>
      <c r="X172" s="42">
        <v>0.0</v>
      </c>
      <c r="Z172" s="42">
        <v>0.0</v>
      </c>
      <c r="AB172" s="42">
        <v>0.0</v>
      </c>
      <c r="AC172" s="43"/>
      <c r="AD172" s="42">
        <v>0.0</v>
      </c>
      <c r="AF172" s="42">
        <v>55.0</v>
      </c>
      <c r="AH172" s="42">
        <v>55.0</v>
      </c>
      <c r="AJ172" s="41"/>
      <c r="AK172" s="43"/>
      <c r="AL172" s="46">
        <v>0.0</v>
      </c>
      <c r="AM172" s="43"/>
      <c r="AN172" s="41"/>
      <c r="AO172" s="43"/>
      <c r="AP172" s="41"/>
      <c r="AQ172" s="43"/>
      <c r="AR172" s="41"/>
      <c r="AS172" s="43"/>
      <c r="AT172" s="42"/>
      <c r="AV172" s="42"/>
      <c r="AW172" s="43"/>
      <c r="AX172" s="54">
        <f t="shared" si="1"/>
        <v>5195.1</v>
      </c>
      <c r="AY172" s="52">
        <f t="shared" si="2"/>
        <v>420</v>
      </c>
      <c r="AZ172" s="52">
        <v>0.0</v>
      </c>
      <c r="BA172" s="52">
        <f t="shared" si="3"/>
        <v>420</v>
      </c>
      <c r="BB172" s="49">
        <f t="shared" si="4"/>
        <v>12.36928571</v>
      </c>
    </row>
    <row r="173" ht="15.75" customHeight="1">
      <c r="A173" s="50" t="s">
        <v>49</v>
      </c>
      <c r="B173" s="51">
        <f t="shared" si="5"/>
        <v>45826</v>
      </c>
      <c r="C173" s="52">
        <v>7.0</v>
      </c>
      <c r="D173" s="52" t="s">
        <v>47</v>
      </c>
      <c r="E173" s="53"/>
      <c r="F173" s="41">
        <v>0.0</v>
      </c>
      <c r="H173" s="42">
        <v>0.0</v>
      </c>
      <c r="J173" s="42">
        <v>0.0</v>
      </c>
      <c r="L173" s="42">
        <v>0.0</v>
      </c>
      <c r="N173" s="42">
        <v>0.0</v>
      </c>
      <c r="P173" s="42">
        <v>0.0</v>
      </c>
      <c r="Q173" s="43"/>
      <c r="R173" s="41">
        <v>155.0</v>
      </c>
      <c r="T173" s="42">
        <v>155.0</v>
      </c>
      <c r="V173" s="42">
        <v>0.0</v>
      </c>
      <c r="X173" s="42">
        <v>0.0</v>
      </c>
      <c r="Z173" s="42">
        <v>0.0</v>
      </c>
      <c r="AB173" s="42">
        <v>0.0</v>
      </c>
      <c r="AC173" s="43"/>
      <c r="AD173" s="42">
        <v>0.0</v>
      </c>
      <c r="AF173" s="42">
        <v>55.0</v>
      </c>
      <c r="AH173" s="42">
        <v>55.0</v>
      </c>
      <c r="AJ173" s="41"/>
      <c r="AK173" s="43"/>
      <c r="AL173" s="46">
        <v>0.0</v>
      </c>
      <c r="AM173" s="43"/>
      <c r="AN173" s="41"/>
      <c r="AO173" s="43"/>
      <c r="AP173" s="41"/>
      <c r="AQ173" s="43"/>
      <c r="AR173" s="41"/>
      <c r="AS173" s="43"/>
      <c r="AT173" s="42"/>
      <c r="AV173" s="42"/>
      <c r="AW173" s="43"/>
      <c r="AX173" s="54">
        <f t="shared" si="1"/>
        <v>5195.1</v>
      </c>
      <c r="AY173" s="52">
        <f t="shared" si="2"/>
        <v>420</v>
      </c>
      <c r="AZ173" s="52">
        <v>0.0</v>
      </c>
      <c r="BA173" s="52">
        <f t="shared" si="3"/>
        <v>420</v>
      </c>
      <c r="BB173" s="49">
        <f t="shared" si="4"/>
        <v>12.36928571</v>
      </c>
    </row>
    <row r="174" ht="15.75" customHeight="1">
      <c r="A174" s="50" t="s">
        <v>50</v>
      </c>
      <c r="B174" s="51">
        <f t="shared" si="5"/>
        <v>45827</v>
      </c>
      <c r="C174" s="52">
        <v>7.0</v>
      </c>
      <c r="D174" s="52" t="s">
        <v>47</v>
      </c>
      <c r="E174" s="53"/>
      <c r="F174" s="41">
        <v>0.0</v>
      </c>
      <c r="H174" s="42">
        <v>0.0</v>
      </c>
      <c r="J174" s="42">
        <v>0.0</v>
      </c>
      <c r="L174" s="42">
        <v>0.0</v>
      </c>
      <c r="N174" s="42">
        <v>0.0</v>
      </c>
      <c r="P174" s="42">
        <v>0.0</v>
      </c>
      <c r="Q174" s="43"/>
      <c r="R174" s="41">
        <v>155.0</v>
      </c>
      <c r="T174" s="42">
        <v>155.0</v>
      </c>
      <c r="V174" s="42">
        <v>0.0</v>
      </c>
      <c r="X174" s="42">
        <v>0.0</v>
      </c>
      <c r="Z174" s="42">
        <v>0.0</v>
      </c>
      <c r="AB174" s="42">
        <v>0.0</v>
      </c>
      <c r="AC174" s="43"/>
      <c r="AD174" s="42">
        <v>0.0</v>
      </c>
      <c r="AF174" s="42">
        <v>0.0</v>
      </c>
      <c r="AH174" s="42">
        <v>55.0</v>
      </c>
      <c r="AJ174" s="41"/>
      <c r="AK174" s="43"/>
      <c r="AL174" s="46">
        <v>0.0</v>
      </c>
      <c r="AM174" s="43"/>
      <c r="AN174" s="41"/>
      <c r="AO174" s="43"/>
      <c r="AP174" s="41"/>
      <c r="AQ174" s="43"/>
      <c r="AR174" s="41"/>
      <c r="AS174" s="43"/>
      <c r="AT174" s="42"/>
      <c r="AV174" s="42"/>
      <c r="AW174" s="43"/>
      <c r="AX174" s="54">
        <f t="shared" si="1"/>
        <v>4321.15</v>
      </c>
      <c r="AY174" s="52">
        <f t="shared" si="2"/>
        <v>365</v>
      </c>
      <c r="AZ174" s="52">
        <v>0.0</v>
      </c>
      <c r="BA174" s="52">
        <f t="shared" si="3"/>
        <v>365</v>
      </c>
      <c r="BB174" s="49">
        <f t="shared" si="4"/>
        <v>11.83876712</v>
      </c>
    </row>
    <row r="175" ht="15.75" customHeight="1">
      <c r="A175" s="50" t="s">
        <v>53</v>
      </c>
      <c r="B175" s="51">
        <f t="shared" si="5"/>
        <v>45828</v>
      </c>
      <c r="C175" s="52">
        <v>7.0</v>
      </c>
      <c r="D175" s="52" t="s">
        <v>47</v>
      </c>
      <c r="E175" s="53"/>
      <c r="F175" s="41">
        <v>0.0</v>
      </c>
      <c r="H175" s="42">
        <v>0.0</v>
      </c>
      <c r="J175" s="42">
        <v>0.0</v>
      </c>
      <c r="L175" s="42">
        <v>0.0</v>
      </c>
      <c r="N175" s="42">
        <v>0.0</v>
      </c>
      <c r="P175" s="42">
        <v>0.0</v>
      </c>
      <c r="Q175" s="43"/>
      <c r="R175" s="41">
        <v>155.0</v>
      </c>
      <c r="T175" s="42">
        <v>155.0</v>
      </c>
      <c r="V175" s="42">
        <v>0.0</v>
      </c>
      <c r="X175" s="42">
        <v>0.0</v>
      </c>
      <c r="Z175" s="42">
        <v>0.0</v>
      </c>
      <c r="AB175" s="42">
        <v>0.0</v>
      </c>
      <c r="AC175" s="43"/>
      <c r="AD175" s="42">
        <v>0.0</v>
      </c>
      <c r="AF175" s="42">
        <v>55.0</v>
      </c>
      <c r="AH175" s="42">
        <v>55.0</v>
      </c>
      <c r="AJ175" s="41"/>
      <c r="AK175" s="43"/>
      <c r="AL175" s="46">
        <v>0.0</v>
      </c>
      <c r="AM175" s="43"/>
      <c r="AN175" s="41"/>
      <c r="AO175" s="43"/>
      <c r="AP175" s="41"/>
      <c r="AQ175" s="43"/>
      <c r="AR175" s="41"/>
      <c r="AS175" s="43"/>
      <c r="AT175" s="42"/>
      <c r="AV175" s="42"/>
      <c r="AW175" s="43"/>
      <c r="AX175" s="54">
        <f t="shared" si="1"/>
        <v>5195.1</v>
      </c>
      <c r="AY175" s="52">
        <f t="shared" si="2"/>
        <v>420</v>
      </c>
      <c r="AZ175" s="52">
        <v>0.0</v>
      </c>
      <c r="BA175" s="52">
        <f t="shared" si="3"/>
        <v>420</v>
      </c>
      <c r="BB175" s="49">
        <f t="shared" si="4"/>
        <v>12.36928571</v>
      </c>
    </row>
    <row r="176" ht="15.75" customHeight="1">
      <c r="A176" s="50" t="s">
        <v>54</v>
      </c>
      <c r="B176" s="51">
        <f t="shared" si="5"/>
        <v>45829</v>
      </c>
      <c r="C176" s="52">
        <v>7.0</v>
      </c>
      <c r="D176" s="52" t="s">
        <v>47</v>
      </c>
      <c r="E176" s="53"/>
      <c r="F176" s="41">
        <v>0.0</v>
      </c>
      <c r="H176" s="42">
        <v>0.0</v>
      </c>
      <c r="J176" s="42">
        <v>0.0</v>
      </c>
      <c r="L176" s="42">
        <v>0.0</v>
      </c>
      <c r="N176" s="42">
        <v>0.0</v>
      </c>
      <c r="P176" s="42">
        <v>0.0</v>
      </c>
      <c r="Q176" s="43"/>
      <c r="R176" s="41">
        <v>155.0</v>
      </c>
      <c r="T176" s="42">
        <v>155.0</v>
      </c>
      <c r="V176" s="42">
        <v>0.0</v>
      </c>
      <c r="X176" s="42">
        <v>0.0</v>
      </c>
      <c r="Z176" s="42">
        <v>0.0</v>
      </c>
      <c r="AB176" s="42">
        <v>0.0</v>
      </c>
      <c r="AC176" s="43"/>
      <c r="AD176" s="42">
        <v>0.0</v>
      </c>
      <c r="AF176" s="42">
        <v>55.0</v>
      </c>
      <c r="AH176" s="42">
        <v>0.0</v>
      </c>
      <c r="AJ176" s="41"/>
      <c r="AK176" s="43"/>
      <c r="AL176" s="46">
        <v>0.0</v>
      </c>
      <c r="AM176" s="43"/>
      <c r="AN176" s="41"/>
      <c r="AO176" s="43"/>
      <c r="AP176" s="41"/>
      <c r="AQ176" s="43"/>
      <c r="AR176" s="41"/>
      <c r="AS176" s="43"/>
      <c r="AT176" s="42"/>
      <c r="AV176" s="42"/>
      <c r="AW176" s="43"/>
      <c r="AX176" s="54">
        <f t="shared" si="1"/>
        <v>4321.15</v>
      </c>
      <c r="AY176" s="52">
        <f t="shared" si="2"/>
        <v>365</v>
      </c>
      <c r="AZ176" s="52">
        <v>0.0</v>
      </c>
      <c r="BA176" s="52">
        <f t="shared" si="3"/>
        <v>365</v>
      </c>
      <c r="BB176" s="49">
        <f t="shared" si="4"/>
        <v>11.83876712</v>
      </c>
    </row>
    <row r="177" ht="15.75" customHeight="1">
      <c r="A177" s="59" t="s">
        <v>61</v>
      </c>
      <c r="B177" s="61">
        <f t="shared" si="5"/>
        <v>45830</v>
      </c>
      <c r="C177" s="63">
        <v>7.0</v>
      </c>
      <c r="D177" s="63" t="s">
        <v>47</v>
      </c>
      <c r="E177" s="64"/>
      <c r="F177" s="65">
        <v>0.0</v>
      </c>
      <c r="G177" s="66"/>
      <c r="H177" s="67">
        <v>0.0</v>
      </c>
      <c r="I177" s="66"/>
      <c r="J177" s="67">
        <v>0.0</v>
      </c>
      <c r="K177" s="66"/>
      <c r="L177" s="67">
        <v>0.0</v>
      </c>
      <c r="M177" s="66"/>
      <c r="N177" s="67">
        <v>0.0</v>
      </c>
      <c r="O177" s="66"/>
      <c r="P177" s="67">
        <v>0.0</v>
      </c>
      <c r="Q177" s="68"/>
      <c r="R177" s="65"/>
      <c r="S177" s="66"/>
      <c r="T177" s="67"/>
      <c r="U177" s="66"/>
      <c r="V177" s="67">
        <v>0.0</v>
      </c>
      <c r="W177" s="66"/>
      <c r="X177" s="67">
        <v>0.0</v>
      </c>
      <c r="Y177" s="66"/>
      <c r="Z177" s="67">
        <v>0.0</v>
      </c>
      <c r="AA177" s="66"/>
      <c r="AB177" s="67">
        <v>0.0</v>
      </c>
      <c r="AC177" s="68"/>
      <c r="AD177" s="67">
        <v>0.0</v>
      </c>
      <c r="AE177" s="66"/>
      <c r="AF177" s="67">
        <v>0.0</v>
      </c>
      <c r="AG177" s="66"/>
      <c r="AH177" s="67">
        <v>0.0</v>
      </c>
      <c r="AI177" s="66"/>
      <c r="AJ177" s="65"/>
      <c r="AK177" s="68"/>
      <c r="AL177" s="71">
        <v>0.0</v>
      </c>
      <c r="AM177" s="68"/>
      <c r="AN177" s="65"/>
      <c r="AO177" s="68"/>
      <c r="AP177" s="65"/>
      <c r="AQ177" s="68"/>
      <c r="AR177" s="65"/>
      <c r="AS177" s="68"/>
      <c r="AT177" s="67"/>
      <c r="AU177" s="66"/>
      <c r="AV177" s="67"/>
      <c r="AW177" s="68"/>
      <c r="AX177" s="73">
        <f t="shared" si="1"/>
        <v>0</v>
      </c>
      <c r="AY177" s="63">
        <f t="shared" si="2"/>
        <v>0</v>
      </c>
      <c r="AZ177" s="63">
        <v>0.0</v>
      </c>
      <c r="BA177" s="63">
        <f t="shared" si="3"/>
        <v>0</v>
      </c>
      <c r="BB177" s="74" t="str">
        <f t="shared" si="4"/>
        <v/>
      </c>
    </row>
    <row r="178" ht="15.75" customHeight="1">
      <c r="A178" s="36" t="s">
        <v>46</v>
      </c>
      <c r="B178" s="75">
        <f t="shared" si="5"/>
        <v>45831</v>
      </c>
      <c r="C178" s="38">
        <v>7.0</v>
      </c>
      <c r="D178" s="38" t="s">
        <v>65</v>
      </c>
      <c r="E178" s="40"/>
      <c r="F178" s="41">
        <v>0.0</v>
      </c>
      <c r="H178" s="42">
        <v>0.0</v>
      </c>
      <c r="J178" s="42">
        <v>0.0</v>
      </c>
      <c r="L178" s="42">
        <v>0.0</v>
      </c>
      <c r="N178" s="42">
        <v>0.0</v>
      </c>
      <c r="P178" s="42">
        <v>0.0</v>
      </c>
      <c r="Q178" s="43"/>
      <c r="R178" s="41">
        <v>155.0</v>
      </c>
      <c r="T178" s="42">
        <v>155.0</v>
      </c>
      <c r="V178" s="42">
        <v>0.0</v>
      </c>
      <c r="X178" s="42">
        <v>0.0</v>
      </c>
      <c r="Z178" s="42">
        <v>0.0</v>
      </c>
      <c r="AB178" s="42">
        <v>0.0</v>
      </c>
      <c r="AC178" s="43"/>
      <c r="AD178" s="42">
        <v>0.0</v>
      </c>
      <c r="AF178" s="42">
        <v>0.0</v>
      </c>
      <c r="AH178" s="42">
        <v>0.0</v>
      </c>
      <c r="AJ178" s="41"/>
      <c r="AK178" s="43"/>
      <c r="AL178" s="46">
        <v>0.0</v>
      </c>
      <c r="AM178" s="43"/>
      <c r="AN178" s="41"/>
      <c r="AO178" s="43"/>
      <c r="AP178" s="41"/>
      <c r="AQ178" s="43"/>
      <c r="AR178" s="41"/>
      <c r="AS178" s="43"/>
      <c r="AT178" s="42"/>
      <c r="AV178" s="42"/>
      <c r="AW178" s="43"/>
      <c r="AX178" s="47">
        <f t="shared" si="1"/>
        <v>3447.2</v>
      </c>
      <c r="AY178" s="38">
        <f t="shared" si="2"/>
        <v>310</v>
      </c>
      <c r="AZ178" s="38">
        <v>0.0</v>
      </c>
      <c r="BA178" s="38">
        <f t="shared" si="3"/>
        <v>310</v>
      </c>
      <c r="BB178" s="76">
        <f t="shared" si="4"/>
        <v>11.12</v>
      </c>
    </row>
    <row r="179" ht="15.75" customHeight="1">
      <c r="A179" s="50" t="s">
        <v>48</v>
      </c>
      <c r="B179" s="51">
        <f t="shared" si="5"/>
        <v>45832</v>
      </c>
      <c r="C179" s="52">
        <v>7.0</v>
      </c>
      <c r="D179" s="52" t="s">
        <v>65</v>
      </c>
      <c r="E179" s="53"/>
      <c r="F179" s="41">
        <v>0.0</v>
      </c>
      <c r="H179" s="42">
        <v>0.0</v>
      </c>
      <c r="J179" s="42">
        <v>0.0</v>
      </c>
      <c r="L179" s="42">
        <v>0.0</v>
      </c>
      <c r="N179" s="42">
        <v>0.0</v>
      </c>
      <c r="P179" s="42">
        <v>0.0</v>
      </c>
      <c r="Q179" s="43"/>
      <c r="R179" s="41">
        <v>155.0</v>
      </c>
      <c r="T179" s="42">
        <v>155.0</v>
      </c>
      <c r="V179" s="42">
        <v>0.0</v>
      </c>
      <c r="X179" s="42">
        <v>0.0</v>
      </c>
      <c r="Z179" s="42">
        <v>0.0</v>
      </c>
      <c r="AB179" s="42">
        <v>0.0</v>
      </c>
      <c r="AC179" s="43"/>
      <c r="AD179" s="42">
        <v>0.0</v>
      </c>
      <c r="AF179" s="42">
        <v>0.0</v>
      </c>
      <c r="AH179" s="42">
        <v>0.0</v>
      </c>
      <c r="AJ179" s="41"/>
      <c r="AK179" s="43"/>
      <c r="AL179" s="46">
        <v>0.0</v>
      </c>
      <c r="AM179" s="43"/>
      <c r="AN179" s="41"/>
      <c r="AO179" s="43"/>
      <c r="AP179" s="41"/>
      <c r="AQ179" s="43"/>
      <c r="AR179" s="41"/>
      <c r="AS179" s="43"/>
      <c r="AT179" s="42"/>
      <c r="AV179" s="42"/>
      <c r="AW179" s="43"/>
      <c r="AX179" s="54">
        <f t="shared" si="1"/>
        <v>3447.2</v>
      </c>
      <c r="AY179" s="52">
        <f t="shared" si="2"/>
        <v>310</v>
      </c>
      <c r="AZ179" s="52">
        <v>0.0</v>
      </c>
      <c r="BA179" s="52">
        <f t="shared" si="3"/>
        <v>310</v>
      </c>
      <c r="BB179" s="49">
        <f t="shared" si="4"/>
        <v>11.12</v>
      </c>
    </row>
    <row r="180" ht="15.75" customHeight="1">
      <c r="A180" s="50" t="s">
        <v>49</v>
      </c>
      <c r="B180" s="51">
        <f t="shared" si="5"/>
        <v>45833</v>
      </c>
      <c r="C180" s="52">
        <v>7.0</v>
      </c>
      <c r="D180" s="52" t="s">
        <v>65</v>
      </c>
      <c r="E180" s="53"/>
      <c r="F180" s="41">
        <v>0.0</v>
      </c>
      <c r="H180" s="42">
        <v>0.0</v>
      </c>
      <c r="J180" s="42">
        <v>0.0</v>
      </c>
      <c r="L180" s="42">
        <v>0.0</v>
      </c>
      <c r="N180" s="42">
        <v>0.0</v>
      </c>
      <c r="P180" s="42">
        <v>0.0</v>
      </c>
      <c r="Q180" s="43"/>
      <c r="R180" s="41">
        <v>155.0</v>
      </c>
      <c r="T180" s="42">
        <v>155.0</v>
      </c>
      <c r="V180" s="42">
        <v>0.0</v>
      </c>
      <c r="X180" s="42">
        <v>0.0</v>
      </c>
      <c r="Z180" s="42">
        <v>0.0</v>
      </c>
      <c r="AB180" s="42">
        <v>0.0</v>
      </c>
      <c r="AC180" s="43"/>
      <c r="AD180" s="42">
        <v>0.0</v>
      </c>
      <c r="AF180" s="42">
        <v>0.0</v>
      </c>
      <c r="AH180" s="42">
        <v>0.0</v>
      </c>
      <c r="AJ180" s="41"/>
      <c r="AK180" s="43"/>
      <c r="AL180" s="46">
        <v>0.0</v>
      </c>
      <c r="AM180" s="43"/>
      <c r="AN180" s="41"/>
      <c r="AO180" s="43"/>
      <c r="AP180" s="41"/>
      <c r="AQ180" s="43"/>
      <c r="AR180" s="41"/>
      <c r="AS180" s="43"/>
      <c r="AT180" s="42"/>
      <c r="AV180" s="42"/>
      <c r="AW180" s="43"/>
      <c r="AX180" s="54">
        <f t="shared" si="1"/>
        <v>3447.2</v>
      </c>
      <c r="AY180" s="52">
        <f t="shared" si="2"/>
        <v>310</v>
      </c>
      <c r="AZ180" s="52">
        <v>0.0</v>
      </c>
      <c r="BA180" s="52">
        <f t="shared" si="3"/>
        <v>310</v>
      </c>
      <c r="BB180" s="49">
        <f t="shared" si="4"/>
        <v>11.12</v>
      </c>
    </row>
    <row r="181" ht="15.75" customHeight="1">
      <c r="A181" s="50" t="s">
        <v>50</v>
      </c>
      <c r="B181" s="51">
        <f t="shared" si="5"/>
        <v>45834</v>
      </c>
      <c r="C181" s="52">
        <v>7.0</v>
      </c>
      <c r="D181" s="52" t="s">
        <v>65</v>
      </c>
      <c r="E181" s="53"/>
      <c r="F181" s="41">
        <v>0.0</v>
      </c>
      <c r="H181" s="42">
        <v>0.0</v>
      </c>
      <c r="J181" s="42">
        <v>0.0</v>
      </c>
      <c r="L181" s="42">
        <v>0.0</v>
      </c>
      <c r="N181" s="42">
        <v>0.0</v>
      </c>
      <c r="P181" s="42">
        <v>0.0</v>
      </c>
      <c r="Q181" s="43"/>
      <c r="R181" s="41">
        <v>155.0</v>
      </c>
      <c r="T181" s="42">
        <v>155.0</v>
      </c>
      <c r="V181" s="42">
        <v>0.0</v>
      </c>
      <c r="X181" s="42">
        <v>0.0</v>
      </c>
      <c r="Z181" s="42">
        <v>0.0</v>
      </c>
      <c r="AB181" s="42">
        <v>0.0</v>
      </c>
      <c r="AC181" s="43"/>
      <c r="AD181" s="42">
        <v>0.0</v>
      </c>
      <c r="AF181" s="42">
        <v>0.0</v>
      </c>
      <c r="AH181" s="42">
        <v>0.0</v>
      </c>
      <c r="AJ181" s="41"/>
      <c r="AK181" s="43"/>
      <c r="AL181" s="46">
        <v>0.0</v>
      </c>
      <c r="AM181" s="43"/>
      <c r="AN181" s="41"/>
      <c r="AO181" s="43"/>
      <c r="AP181" s="41"/>
      <c r="AQ181" s="43"/>
      <c r="AR181" s="41"/>
      <c r="AS181" s="43"/>
      <c r="AT181" s="42"/>
      <c r="AV181" s="42"/>
      <c r="AW181" s="43"/>
      <c r="AX181" s="54">
        <f t="shared" si="1"/>
        <v>3447.2</v>
      </c>
      <c r="AY181" s="52">
        <f t="shared" si="2"/>
        <v>310</v>
      </c>
      <c r="AZ181" s="52">
        <v>0.0</v>
      </c>
      <c r="BA181" s="52">
        <f t="shared" si="3"/>
        <v>310</v>
      </c>
      <c r="BB181" s="49">
        <f t="shared" si="4"/>
        <v>11.12</v>
      </c>
    </row>
    <row r="182" ht="15.75" customHeight="1">
      <c r="A182" s="50" t="s">
        <v>53</v>
      </c>
      <c r="B182" s="51">
        <f t="shared" si="5"/>
        <v>45835</v>
      </c>
      <c r="C182" s="52">
        <v>7.0</v>
      </c>
      <c r="D182" s="52" t="s">
        <v>65</v>
      </c>
      <c r="E182" s="53"/>
      <c r="F182" s="41">
        <v>0.0</v>
      </c>
      <c r="H182" s="42">
        <v>0.0</v>
      </c>
      <c r="J182" s="42">
        <v>0.0</v>
      </c>
      <c r="L182" s="42">
        <v>0.0</v>
      </c>
      <c r="N182" s="42">
        <v>0.0</v>
      </c>
      <c r="P182" s="42">
        <v>0.0</v>
      </c>
      <c r="Q182" s="43"/>
      <c r="R182" s="41">
        <v>155.0</v>
      </c>
      <c r="T182" s="42">
        <v>155.0</v>
      </c>
      <c r="V182" s="42">
        <v>0.0</v>
      </c>
      <c r="X182" s="42">
        <v>0.0</v>
      </c>
      <c r="Z182" s="42">
        <v>0.0</v>
      </c>
      <c r="AB182" s="42">
        <v>0.0</v>
      </c>
      <c r="AC182" s="43"/>
      <c r="AD182" s="42">
        <v>0.0</v>
      </c>
      <c r="AF182" s="42">
        <v>0.0</v>
      </c>
      <c r="AH182" s="42">
        <v>0.0</v>
      </c>
      <c r="AJ182" s="41"/>
      <c r="AK182" s="43"/>
      <c r="AL182" s="46">
        <v>0.0</v>
      </c>
      <c r="AM182" s="43"/>
      <c r="AN182" s="41"/>
      <c r="AO182" s="43"/>
      <c r="AP182" s="41"/>
      <c r="AQ182" s="43"/>
      <c r="AR182" s="41"/>
      <c r="AS182" s="43"/>
      <c r="AT182" s="42"/>
      <c r="AV182" s="42"/>
      <c r="AW182" s="43"/>
      <c r="AX182" s="54">
        <f t="shared" si="1"/>
        <v>3447.2</v>
      </c>
      <c r="AY182" s="52">
        <f t="shared" si="2"/>
        <v>310</v>
      </c>
      <c r="AZ182" s="52">
        <v>0.0</v>
      </c>
      <c r="BA182" s="52">
        <f t="shared" si="3"/>
        <v>310</v>
      </c>
      <c r="BB182" s="49">
        <f t="shared" si="4"/>
        <v>11.12</v>
      </c>
    </row>
    <row r="183" ht="15.75" customHeight="1">
      <c r="A183" s="50" t="s">
        <v>54</v>
      </c>
      <c r="B183" s="51">
        <f t="shared" si="5"/>
        <v>45836</v>
      </c>
      <c r="C183" s="52">
        <v>7.0</v>
      </c>
      <c r="D183" s="52" t="s">
        <v>65</v>
      </c>
      <c r="E183" s="53"/>
      <c r="F183" s="41">
        <v>0.0</v>
      </c>
      <c r="H183" s="42">
        <v>0.0</v>
      </c>
      <c r="J183" s="42">
        <v>0.0</v>
      </c>
      <c r="L183" s="42">
        <v>0.0</v>
      </c>
      <c r="N183" s="42">
        <v>0.0</v>
      </c>
      <c r="P183" s="42">
        <v>0.0</v>
      </c>
      <c r="Q183" s="43"/>
      <c r="R183" s="41">
        <v>155.0</v>
      </c>
      <c r="T183" s="42">
        <v>155.0</v>
      </c>
      <c r="V183" s="42">
        <v>0.0</v>
      </c>
      <c r="X183" s="42">
        <v>0.0</v>
      </c>
      <c r="Z183" s="42">
        <v>0.0</v>
      </c>
      <c r="AB183" s="42">
        <v>0.0</v>
      </c>
      <c r="AC183" s="43"/>
      <c r="AD183" s="42">
        <v>0.0</v>
      </c>
      <c r="AF183" s="42">
        <v>0.0</v>
      </c>
      <c r="AH183" s="42">
        <v>0.0</v>
      </c>
      <c r="AJ183" s="41"/>
      <c r="AK183" s="43"/>
      <c r="AL183" s="46">
        <v>0.0</v>
      </c>
      <c r="AM183" s="43"/>
      <c r="AN183" s="41"/>
      <c r="AO183" s="43"/>
      <c r="AP183" s="41"/>
      <c r="AQ183" s="43"/>
      <c r="AR183" s="41"/>
      <c r="AS183" s="43"/>
      <c r="AT183" s="42"/>
      <c r="AV183" s="42"/>
      <c r="AW183" s="43"/>
      <c r="AX183" s="54">
        <f t="shared" si="1"/>
        <v>3447.2</v>
      </c>
      <c r="AY183" s="52">
        <f t="shared" si="2"/>
        <v>310</v>
      </c>
      <c r="AZ183" s="52">
        <v>0.0</v>
      </c>
      <c r="BA183" s="52">
        <f t="shared" si="3"/>
        <v>310</v>
      </c>
      <c r="BB183" s="49">
        <f t="shared" si="4"/>
        <v>11.12</v>
      </c>
    </row>
    <row r="184" ht="15.75" customHeight="1">
      <c r="A184" s="59" t="s">
        <v>61</v>
      </c>
      <c r="B184" s="61">
        <f t="shared" si="5"/>
        <v>45837</v>
      </c>
      <c r="C184" s="63">
        <v>7.0</v>
      </c>
      <c r="D184" s="63" t="s">
        <v>65</v>
      </c>
      <c r="E184" s="64"/>
      <c r="F184" s="65">
        <v>0.0</v>
      </c>
      <c r="G184" s="66"/>
      <c r="H184" s="67">
        <v>0.0</v>
      </c>
      <c r="I184" s="66"/>
      <c r="J184" s="67">
        <v>0.0</v>
      </c>
      <c r="K184" s="66"/>
      <c r="L184" s="67">
        <v>0.0</v>
      </c>
      <c r="M184" s="66"/>
      <c r="N184" s="67">
        <v>0.0</v>
      </c>
      <c r="O184" s="66"/>
      <c r="P184" s="67">
        <v>0.0</v>
      </c>
      <c r="Q184" s="68"/>
      <c r="R184" s="65">
        <v>0.0</v>
      </c>
      <c r="S184" s="66"/>
      <c r="T184" s="67">
        <v>0.0</v>
      </c>
      <c r="U184" s="66"/>
      <c r="V184" s="67">
        <v>0.0</v>
      </c>
      <c r="W184" s="66"/>
      <c r="X184" s="67">
        <v>0.0</v>
      </c>
      <c r="Y184" s="66"/>
      <c r="Z184" s="67">
        <v>0.0</v>
      </c>
      <c r="AA184" s="66"/>
      <c r="AB184" s="67">
        <v>0.0</v>
      </c>
      <c r="AC184" s="68"/>
      <c r="AD184" s="67">
        <v>0.0</v>
      </c>
      <c r="AE184" s="66"/>
      <c r="AF184" s="67">
        <v>0.0</v>
      </c>
      <c r="AG184" s="66"/>
      <c r="AH184" s="67">
        <v>0.0</v>
      </c>
      <c r="AI184" s="66"/>
      <c r="AJ184" s="65"/>
      <c r="AK184" s="68"/>
      <c r="AL184" s="71">
        <v>0.0</v>
      </c>
      <c r="AM184" s="68"/>
      <c r="AN184" s="65"/>
      <c r="AO184" s="68"/>
      <c r="AP184" s="65"/>
      <c r="AQ184" s="68"/>
      <c r="AR184" s="65"/>
      <c r="AS184" s="68"/>
      <c r="AT184" s="67"/>
      <c r="AU184" s="66"/>
      <c r="AV184" s="67"/>
      <c r="AW184" s="68"/>
      <c r="AX184" s="73">
        <f t="shared" si="1"/>
        <v>0</v>
      </c>
      <c r="AY184" s="63">
        <f t="shared" si="2"/>
        <v>0</v>
      </c>
      <c r="AZ184" s="63">
        <v>0.0</v>
      </c>
      <c r="BA184" s="63">
        <f t="shared" si="3"/>
        <v>0</v>
      </c>
      <c r="BB184" s="74" t="str">
        <f t="shared" si="4"/>
        <v/>
      </c>
    </row>
    <row r="185" ht="15.75" customHeight="1">
      <c r="A185" s="36" t="s">
        <v>46</v>
      </c>
      <c r="B185" s="75">
        <f t="shared" si="5"/>
        <v>45838</v>
      </c>
      <c r="C185" s="38">
        <v>7.0</v>
      </c>
      <c r="D185" s="38" t="s">
        <v>69</v>
      </c>
      <c r="E185" s="40"/>
      <c r="F185" s="41">
        <v>0.0</v>
      </c>
      <c r="H185" s="42">
        <v>0.0</v>
      </c>
      <c r="J185" s="42">
        <v>0.0</v>
      </c>
      <c r="L185" s="42">
        <v>0.0</v>
      </c>
      <c r="N185" s="42">
        <v>0.0</v>
      </c>
      <c r="P185" s="42">
        <v>0.0</v>
      </c>
      <c r="Q185" s="43"/>
      <c r="R185" s="41">
        <v>155.0</v>
      </c>
      <c r="T185" s="42">
        <v>155.0</v>
      </c>
      <c r="V185" s="42">
        <v>0.0</v>
      </c>
      <c r="X185" s="42">
        <v>0.0</v>
      </c>
      <c r="Z185" s="42">
        <v>0.0</v>
      </c>
      <c r="AB185" s="42">
        <v>0.0</v>
      </c>
      <c r="AC185" s="43"/>
      <c r="AD185" s="42">
        <v>0.0</v>
      </c>
      <c r="AF185" s="42">
        <v>0.0</v>
      </c>
      <c r="AH185" s="42">
        <v>0.0</v>
      </c>
      <c r="AJ185" s="41"/>
      <c r="AK185" s="43"/>
      <c r="AL185" s="46">
        <v>0.0</v>
      </c>
      <c r="AM185" s="43"/>
      <c r="AN185" s="41"/>
      <c r="AO185" s="43"/>
      <c r="AP185" s="41"/>
      <c r="AQ185" s="43"/>
      <c r="AR185" s="41"/>
      <c r="AS185" s="43"/>
      <c r="AT185" s="42"/>
      <c r="AV185" s="42"/>
      <c r="AW185" s="43"/>
      <c r="AX185" s="47">
        <f t="shared" si="1"/>
        <v>3447.2</v>
      </c>
      <c r="AY185" s="38">
        <f t="shared" si="2"/>
        <v>310</v>
      </c>
      <c r="AZ185" s="38">
        <v>0.0</v>
      </c>
      <c r="BA185" s="38">
        <f t="shared" si="3"/>
        <v>310</v>
      </c>
      <c r="BB185" s="76">
        <f t="shared" si="4"/>
        <v>11.12</v>
      </c>
    </row>
    <row r="186" ht="15.75" customHeight="1">
      <c r="A186" s="50" t="s">
        <v>48</v>
      </c>
      <c r="B186" s="51">
        <f t="shared" si="5"/>
        <v>45839</v>
      </c>
      <c r="C186" s="52">
        <v>7.0</v>
      </c>
      <c r="D186" s="52" t="s">
        <v>69</v>
      </c>
      <c r="E186" s="53"/>
      <c r="F186" s="41">
        <v>0.0</v>
      </c>
      <c r="H186" s="42">
        <v>0.0</v>
      </c>
      <c r="J186" s="42">
        <v>0.0</v>
      </c>
      <c r="L186" s="42">
        <v>0.0</v>
      </c>
      <c r="N186" s="42">
        <v>0.0</v>
      </c>
      <c r="P186" s="42">
        <v>0.0</v>
      </c>
      <c r="Q186" s="43"/>
      <c r="R186" s="41">
        <v>155.0</v>
      </c>
      <c r="T186" s="42">
        <v>155.0</v>
      </c>
      <c r="V186" s="42">
        <v>0.0</v>
      </c>
      <c r="X186" s="42">
        <v>0.0</v>
      </c>
      <c r="Z186" s="42">
        <v>0.0</v>
      </c>
      <c r="AB186" s="42">
        <v>0.0</v>
      </c>
      <c r="AC186" s="43"/>
      <c r="AD186" s="42">
        <v>0.0</v>
      </c>
      <c r="AF186" s="42">
        <v>50.0</v>
      </c>
      <c r="AH186" s="42">
        <v>50.0</v>
      </c>
      <c r="AJ186" s="41"/>
      <c r="AK186" s="43"/>
      <c r="AL186" s="46">
        <v>0.0</v>
      </c>
      <c r="AM186" s="43"/>
      <c r="AN186" s="41"/>
      <c r="AO186" s="43"/>
      <c r="AP186" s="41"/>
      <c r="AQ186" s="43"/>
      <c r="AR186" s="41"/>
      <c r="AS186" s="43"/>
      <c r="AT186" s="42"/>
      <c r="AV186" s="42"/>
      <c r="AW186" s="43"/>
      <c r="AX186" s="54">
        <f t="shared" si="1"/>
        <v>5036.2</v>
      </c>
      <c r="AY186" s="52">
        <f t="shared" si="2"/>
        <v>410</v>
      </c>
      <c r="AZ186" s="52">
        <v>0.0</v>
      </c>
      <c r="BA186" s="52">
        <f t="shared" si="3"/>
        <v>410</v>
      </c>
      <c r="BB186" s="49">
        <f t="shared" si="4"/>
        <v>12.28341463</v>
      </c>
    </row>
    <row r="187" ht="15.75" customHeight="1">
      <c r="A187" s="50" t="s">
        <v>49</v>
      </c>
      <c r="B187" s="51">
        <f t="shared" si="5"/>
        <v>45840</v>
      </c>
      <c r="C187" s="52">
        <v>7.0</v>
      </c>
      <c r="D187" s="52" t="s">
        <v>69</v>
      </c>
      <c r="E187" s="53"/>
      <c r="F187" s="41">
        <v>0.0</v>
      </c>
      <c r="H187" s="42">
        <v>0.0</v>
      </c>
      <c r="J187" s="42">
        <v>0.0</v>
      </c>
      <c r="L187" s="42">
        <v>0.0</v>
      </c>
      <c r="N187" s="42">
        <v>0.0</v>
      </c>
      <c r="P187" s="42">
        <v>0.0</v>
      </c>
      <c r="Q187" s="43"/>
      <c r="R187" s="41">
        <v>155.0</v>
      </c>
      <c r="T187" s="42">
        <v>50.0</v>
      </c>
      <c r="V187" s="42">
        <v>0.0</v>
      </c>
      <c r="X187" s="42">
        <v>0.0</v>
      </c>
      <c r="Z187" s="42">
        <v>0.0</v>
      </c>
      <c r="AB187" s="42">
        <v>0.0</v>
      </c>
      <c r="AC187" s="43"/>
      <c r="AD187" s="42">
        <v>0.0</v>
      </c>
      <c r="AF187" s="42">
        <v>50.0</v>
      </c>
      <c r="AH187" s="42">
        <v>50.0</v>
      </c>
      <c r="AJ187" s="41"/>
      <c r="AK187" s="43"/>
      <c r="AL187" s="46">
        <v>0.0</v>
      </c>
      <c r="AM187" s="43"/>
      <c r="AN187" s="41"/>
      <c r="AO187" s="43"/>
      <c r="AP187" s="41"/>
      <c r="AQ187" s="43"/>
      <c r="AR187" s="41"/>
      <c r="AS187" s="43"/>
      <c r="AT187" s="42"/>
      <c r="AV187" s="42"/>
      <c r="AW187" s="43"/>
      <c r="AX187" s="54">
        <f t="shared" si="1"/>
        <v>3868.6</v>
      </c>
      <c r="AY187" s="52">
        <f t="shared" si="2"/>
        <v>305</v>
      </c>
      <c r="AZ187" s="52">
        <v>0.0</v>
      </c>
      <c r="BA187" s="52">
        <f t="shared" si="3"/>
        <v>305</v>
      </c>
      <c r="BB187" s="49">
        <f t="shared" si="4"/>
        <v>12.68393443</v>
      </c>
    </row>
    <row r="188" ht="15.75" customHeight="1">
      <c r="A188" s="50" t="s">
        <v>50</v>
      </c>
      <c r="B188" s="51">
        <f t="shared" si="5"/>
        <v>45841</v>
      </c>
      <c r="C188" s="52">
        <v>7.0</v>
      </c>
      <c r="D188" s="52" t="s">
        <v>69</v>
      </c>
      <c r="E188" s="53"/>
      <c r="F188" s="41">
        <v>0.0</v>
      </c>
      <c r="H188" s="42">
        <v>0.0</v>
      </c>
      <c r="J188" s="42">
        <v>0.0</v>
      </c>
      <c r="L188" s="42">
        <v>0.0</v>
      </c>
      <c r="N188" s="42">
        <v>0.0</v>
      </c>
      <c r="P188" s="42">
        <v>0.0</v>
      </c>
      <c r="Q188" s="43"/>
      <c r="R188" s="41">
        <v>155.0</v>
      </c>
      <c r="T188" s="42">
        <v>155.0</v>
      </c>
      <c r="V188" s="42">
        <v>0.0</v>
      </c>
      <c r="X188" s="42">
        <v>0.0</v>
      </c>
      <c r="Z188" s="42">
        <v>0.0</v>
      </c>
      <c r="AB188" s="42">
        <v>0.0</v>
      </c>
      <c r="AC188" s="43"/>
      <c r="AD188" s="42">
        <v>0.0</v>
      </c>
      <c r="AF188" s="42">
        <v>0.0</v>
      </c>
      <c r="AH188" s="42">
        <v>50.0</v>
      </c>
      <c r="AJ188" s="41"/>
      <c r="AK188" s="43"/>
      <c r="AL188" s="46">
        <v>0.0</v>
      </c>
      <c r="AM188" s="43"/>
      <c r="AN188" s="41"/>
      <c r="AO188" s="43"/>
      <c r="AP188" s="41"/>
      <c r="AQ188" s="43"/>
      <c r="AR188" s="41"/>
      <c r="AS188" s="43"/>
      <c r="AT188" s="42"/>
      <c r="AV188" s="42"/>
      <c r="AW188" s="43"/>
      <c r="AX188" s="54">
        <f t="shared" si="1"/>
        <v>4241.7</v>
      </c>
      <c r="AY188" s="52">
        <f t="shared" si="2"/>
        <v>360</v>
      </c>
      <c r="AZ188" s="52">
        <v>0.0</v>
      </c>
      <c r="BA188" s="52">
        <f t="shared" si="3"/>
        <v>360</v>
      </c>
      <c r="BB188" s="49">
        <f t="shared" si="4"/>
        <v>11.7825</v>
      </c>
    </row>
    <row r="189" ht="15.75" customHeight="1">
      <c r="A189" s="50" t="s">
        <v>53</v>
      </c>
      <c r="B189" s="51">
        <f t="shared" si="5"/>
        <v>45842</v>
      </c>
      <c r="C189" s="52">
        <v>7.0</v>
      </c>
      <c r="D189" s="52" t="s">
        <v>69</v>
      </c>
      <c r="E189" s="53"/>
      <c r="F189" s="41">
        <v>0.0</v>
      </c>
      <c r="H189" s="42">
        <v>0.0</v>
      </c>
      <c r="J189" s="42">
        <v>0.0</v>
      </c>
      <c r="L189" s="42">
        <v>0.0</v>
      </c>
      <c r="N189" s="42">
        <v>0.0</v>
      </c>
      <c r="P189" s="42">
        <v>0.0</v>
      </c>
      <c r="Q189" s="43"/>
      <c r="R189" s="41">
        <v>155.0</v>
      </c>
      <c r="T189" s="42">
        <v>115.0</v>
      </c>
      <c r="V189" s="42">
        <v>0.0</v>
      </c>
      <c r="X189" s="42">
        <v>0.0</v>
      </c>
      <c r="Z189" s="42">
        <v>0.0</v>
      </c>
      <c r="AB189" s="42">
        <v>0.0</v>
      </c>
      <c r="AC189" s="43"/>
      <c r="AD189" s="42">
        <v>0.0</v>
      </c>
      <c r="AF189" s="42">
        <v>50.0</v>
      </c>
      <c r="AH189" s="42">
        <v>50.0</v>
      </c>
      <c r="AJ189" s="41"/>
      <c r="AK189" s="43"/>
      <c r="AL189" s="46">
        <v>0.0</v>
      </c>
      <c r="AM189" s="43"/>
      <c r="AN189" s="41"/>
      <c r="AO189" s="43"/>
      <c r="AP189" s="41"/>
      <c r="AQ189" s="43"/>
      <c r="AR189" s="41"/>
      <c r="AS189" s="43"/>
      <c r="AT189" s="42"/>
      <c r="AV189" s="42"/>
      <c r="AW189" s="43"/>
      <c r="AX189" s="54">
        <f t="shared" si="1"/>
        <v>4591.4</v>
      </c>
      <c r="AY189" s="52">
        <f t="shared" si="2"/>
        <v>370</v>
      </c>
      <c r="AZ189" s="52">
        <v>0.0</v>
      </c>
      <c r="BA189" s="52">
        <f t="shared" si="3"/>
        <v>370</v>
      </c>
      <c r="BB189" s="49">
        <f t="shared" si="4"/>
        <v>12.40918919</v>
      </c>
    </row>
    <row r="190" ht="15.75" customHeight="1">
      <c r="A190" s="50" t="s">
        <v>54</v>
      </c>
      <c r="B190" s="51">
        <f t="shared" si="5"/>
        <v>45843</v>
      </c>
      <c r="C190" s="52">
        <v>7.0</v>
      </c>
      <c r="D190" s="52" t="s">
        <v>69</v>
      </c>
      <c r="E190" s="53"/>
      <c r="F190" s="41">
        <v>0.0</v>
      </c>
      <c r="H190" s="42">
        <v>0.0</v>
      </c>
      <c r="J190" s="42">
        <v>0.0</v>
      </c>
      <c r="L190" s="42">
        <v>0.0</v>
      </c>
      <c r="N190" s="42">
        <v>0.0</v>
      </c>
      <c r="P190" s="42">
        <v>0.0</v>
      </c>
      <c r="Q190" s="43"/>
      <c r="R190" s="41">
        <v>155.0</v>
      </c>
      <c r="T190" s="42">
        <v>155.0</v>
      </c>
      <c r="V190" s="42">
        <v>0.0</v>
      </c>
      <c r="X190" s="42">
        <v>0.0</v>
      </c>
      <c r="Z190" s="42">
        <v>0.0</v>
      </c>
      <c r="AB190" s="42">
        <v>0.0</v>
      </c>
      <c r="AC190" s="43"/>
      <c r="AD190" s="42">
        <v>0.0</v>
      </c>
      <c r="AF190" s="42">
        <v>50.0</v>
      </c>
      <c r="AH190" s="42">
        <v>0.0</v>
      </c>
      <c r="AJ190" s="41"/>
      <c r="AK190" s="43"/>
      <c r="AL190" s="46">
        <v>0.0</v>
      </c>
      <c r="AM190" s="43"/>
      <c r="AN190" s="41"/>
      <c r="AO190" s="43"/>
      <c r="AP190" s="41"/>
      <c r="AQ190" s="43"/>
      <c r="AR190" s="41"/>
      <c r="AS190" s="43"/>
      <c r="AT190" s="42"/>
      <c r="AV190" s="42"/>
      <c r="AW190" s="43"/>
      <c r="AX190" s="54">
        <f t="shared" si="1"/>
        <v>4241.7</v>
      </c>
      <c r="AY190" s="52">
        <f t="shared" si="2"/>
        <v>360</v>
      </c>
      <c r="AZ190" s="52">
        <v>0.0</v>
      </c>
      <c r="BA190" s="52">
        <f t="shared" si="3"/>
        <v>360</v>
      </c>
      <c r="BB190" s="49">
        <f t="shared" si="4"/>
        <v>11.7825</v>
      </c>
    </row>
    <row r="191" ht="15.75" customHeight="1">
      <c r="A191" s="59" t="s">
        <v>61</v>
      </c>
      <c r="B191" s="61">
        <f t="shared" si="5"/>
        <v>45844</v>
      </c>
      <c r="C191" s="63">
        <v>7.0</v>
      </c>
      <c r="D191" s="63" t="s">
        <v>69</v>
      </c>
      <c r="E191" s="64"/>
      <c r="F191" s="65">
        <v>0.0</v>
      </c>
      <c r="G191" s="66"/>
      <c r="H191" s="67">
        <v>0.0</v>
      </c>
      <c r="I191" s="66"/>
      <c r="J191" s="67">
        <v>0.0</v>
      </c>
      <c r="K191" s="66"/>
      <c r="L191" s="67">
        <v>0.0</v>
      </c>
      <c r="M191" s="66"/>
      <c r="N191" s="67">
        <v>0.0</v>
      </c>
      <c r="O191" s="66"/>
      <c r="P191" s="67">
        <v>0.0</v>
      </c>
      <c r="Q191" s="68"/>
      <c r="R191" s="65">
        <v>0.0</v>
      </c>
      <c r="S191" s="66"/>
      <c r="T191" s="67">
        <v>0.0</v>
      </c>
      <c r="U191" s="66"/>
      <c r="V191" s="67">
        <v>0.0</v>
      </c>
      <c r="W191" s="66"/>
      <c r="X191" s="67">
        <v>0.0</v>
      </c>
      <c r="Y191" s="66"/>
      <c r="Z191" s="67">
        <v>0.0</v>
      </c>
      <c r="AA191" s="66"/>
      <c r="AB191" s="67">
        <v>0.0</v>
      </c>
      <c r="AC191" s="68"/>
      <c r="AD191" s="67">
        <v>0.0</v>
      </c>
      <c r="AE191" s="66"/>
      <c r="AF191" s="67">
        <v>0.0</v>
      </c>
      <c r="AG191" s="66"/>
      <c r="AH191" s="67">
        <v>0.0</v>
      </c>
      <c r="AI191" s="66"/>
      <c r="AJ191" s="65"/>
      <c r="AK191" s="68"/>
      <c r="AL191" s="71">
        <v>0.0</v>
      </c>
      <c r="AM191" s="68"/>
      <c r="AN191" s="65"/>
      <c r="AO191" s="68"/>
      <c r="AP191" s="65"/>
      <c r="AQ191" s="68"/>
      <c r="AR191" s="65"/>
      <c r="AS191" s="68"/>
      <c r="AT191" s="67"/>
      <c r="AU191" s="66"/>
      <c r="AV191" s="67"/>
      <c r="AW191" s="68"/>
      <c r="AX191" s="73">
        <f t="shared" si="1"/>
        <v>0</v>
      </c>
      <c r="AY191" s="63">
        <f t="shared" si="2"/>
        <v>0</v>
      </c>
      <c r="AZ191" s="63">
        <v>0.0</v>
      </c>
      <c r="BA191" s="63">
        <f t="shared" si="3"/>
        <v>0</v>
      </c>
      <c r="BB191" s="74" t="str">
        <f t="shared" si="4"/>
        <v/>
      </c>
    </row>
    <row r="192" ht="15.75" customHeight="1">
      <c r="A192" s="36" t="s">
        <v>46</v>
      </c>
      <c r="B192" s="75">
        <f t="shared" si="5"/>
        <v>45845</v>
      </c>
      <c r="C192" s="38">
        <v>7.0</v>
      </c>
      <c r="D192" s="38" t="s">
        <v>72</v>
      </c>
      <c r="E192" s="82" t="s">
        <v>75</v>
      </c>
      <c r="F192" s="41">
        <v>0.0</v>
      </c>
      <c r="H192" s="42">
        <v>0.0</v>
      </c>
      <c r="J192" s="42">
        <v>0.0</v>
      </c>
      <c r="L192" s="42">
        <v>0.0</v>
      </c>
      <c r="N192" s="42">
        <v>0.0</v>
      </c>
      <c r="P192" s="42">
        <v>0.0</v>
      </c>
      <c r="Q192" s="43"/>
      <c r="R192" s="41">
        <v>0.0</v>
      </c>
      <c r="T192" s="42">
        <v>0.0</v>
      </c>
      <c r="V192" s="42">
        <v>0.0</v>
      </c>
      <c r="X192" s="42">
        <v>0.0</v>
      </c>
      <c r="Z192" s="42">
        <v>0.0</v>
      </c>
      <c r="AB192" s="42">
        <v>0.0</v>
      </c>
      <c r="AC192" s="43"/>
      <c r="AD192" s="42">
        <v>0.0</v>
      </c>
      <c r="AF192" s="42">
        <v>0.0</v>
      </c>
      <c r="AH192" s="42">
        <v>0.0</v>
      </c>
      <c r="AJ192" s="41"/>
      <c r="AK192" s="43"/>
      <c r="AL192" s="46">
        <v>0.0</v>
      </c>
      <c r="AM192" s="43"/>
      <c r="AN192" s="41"/>
      <c r="AO192" s="43"/>
      <c r="AP192" s="41"/>
      <c r="AQ192" s="43"/>
      <c r="AR192" s="41"/>
      <c r="AS192" s="43"/>
      <c r="AT192" s="42"/>
      <c r="AV192" s="42"/>
      <c r="AW192" s="43"/>
      <c r="AX192" s="47">
        <f t="shared" si="1"/>
        <v>0</v>
      </c>
      <c r="AY192" s="38">
        <f t="shared" si="2"/>
        <v>0</v>
      </c>
      <c r="AZ192" s="38">
        <v>0.0</v>
      </c>
      <c r="BA192" s="38">
        <f t="shared" si="3"/>
        <v>0</v>
      </c>
      <c r="BB192" s="76" t="str">
        <f t="shared" si="4"/>
        <v/>
      </c>
    </row>
    <row r="193" ht="15.75" customHeight="1">
      <c r="A193" s="50" t="s">
        <v>48</v>
      </c>
      <c r="B193" s="51">
        <f t="shared" si="5"/>
        <v>45846</v>
      </c>
      <c r="C193" s="52">
        <v>7.0</v>
      </c>
      <c r="D193" s="52" t="s">
        <v>72</v>
      </c>
      <c r="E193" s="53"/>
      <c r="F193" s="41">
        <v>0.0</v>
      </c>
      <c r="H193" s="42">
        <v>0.0</v>
      </c>
      <c r="J193" s="42">
        <v>0.0</v>
      </c>
      <c r="L193" s="42">
        <v>0.0</v>
      </c>
      <c r="N193" s="42">
        <v>0.0</v>
      </c>
      <c r="P193" s="42">
        <v>0.0</v>
      </c>
      <c r="Q193" s="43"/>
      <c r="R193" s="41">
        <v>50.0</v>
      </c>
      <c r="T193" s="42">
        <v>50.0</v>
      </c>
      <c r="V193" s="42">
        <v>0.0</v>
      </c>
      <c r="X193" s="42">
        <v>0.0</v>
      </c>
      <c r="Z193" s="42">
        <v>0.0</v>
      </c>
      <c r="AB193" s="42">
        <v>0.0</v>
      </c>
      <c r="AC193" s="43"/>
      <c r="AD193" s="42">
        <v>0.0</v>
      </c>
      <c r="AF193" s="42">
        <v>0.0</v>
      </c>
      <c r="AH193" s="42">
        <v>0.0</v>
      </c>
      <c r="AJ193" s="41"/>
      <c r="AK193" s="43"/>
      <c r="AL193" s="46">
        <v>0.0</v>
      </c>
      <c r="AM193" s="43"/>
      <c r="AN193" s="41"/>
      <c r="AO193" s="43"/>
      <c r="AP193" s="41"/>
      <c r="AQ193" s="43"/>
      <c r="AR193" s="41"/>
      <c r="AS193" s="43"/>
      <c r="AT193" s="42"/>
      <c r="AV193" s="42"/>
      <c r="AW193" s="43"/>
      <c r="AX193" s="54">
        <f t="shared" si="1"/>
        <v>1112</v>
      </c>
      <c r="AY193" s="52">
        <f t="shared" si="2"/>
        <v>100</v>
      </c>
      <c r="AZ193" s="52">
        <v>0.0</v>
      </c>
      <c r="BA193" s="52">
        <f t="shared" si="3"/>
        <v>100</v>
      </c>
      <c r="BB193" s="49">
        <f t="shared" si="4"/>
        <v>11.12</v>
      </c>
    </row>
    <row r="194" ht="15.75" customHeight="1">
      <c r="A194" s="50" t="s">
        <v>49</v>
      </c>
      <c r="B194" s="51">
        <f t="shared" si="5"/>
        <v>45847</v>
      </c>
      <c r="C194" s="52">
        <v>7.0</v>
      </c>
      <c r="D194" s="52" t="s">
        <v>72</v>
      </c>
      <c r="E194" s="53"/>
      <c r="F194" s="41">
        <v>0.0</v>
      </c>
      <c r="H194" s="42">
        <v>0.0</v>
      </c>
      <c r="J194" s="42">
        <v>0.0</v>
      </c>
      <c r="L194" s="42">
        <v>0.0</v>
      </c>
      <c r="N194" s="42">
        <v>0.0</v>
      </c>
      <c r="P194" s="42">
        <v>0.0</v>
      </c>
      <c r="Q194" s="43"/>
      <c r="R194" s="41">
        <v>50.0</v>
      </c>
      <c r="T194" s="42">
        <v>155.0</v>
      </c>
      <c r="V194" s="42">
        <v>0.0</v>
      </c>
      <c r="X194" s="42">
        <v>0.0</v>
      </c>
      <c r="Z194" s="42">
        <v>0.0</v>
      </c>
      <c r="AB194" s="42">
        <v>0.0</v>
      </c>
      <c r="AC194" s="43"/>
      <c r="AD194" s="42">
        <v>0.0</v>
      </c>
      <c r="AF194" s="42">
        <v>0.0</v>
      </c>
      <c r="AH194" s="42">
        <v>0.0</v>
      </c>
      <c r="AJ194" s="41"/>
      <c r="AK194" s="43"/>
      <c r="AL194" s="46">
        <v>0.0</v>
      </c>
      <c r="AM194" s="43"/>
      <c r="AN194" s="41"/>
      <c r="AO194" s="43"/>
      <c r="AP194" s="41"/>
      <c r="AQ194" s="43"/>
      <c r="AR194" s="41"/>
      <c r="AS194" s="43"/>
      <c r="AT194" s="42"/>
      <c r="AV194" s="42"/>
      <c r="AW194" s="43"/>
      <c r="AX194" s="54">
        <f t="shared" si="1"/>
        <v>2279.6</v>
      </c>
      <c r="AY194" s="52">
        <f t="shared" si="2"/>
        <v>205</v>
      </c>
      <c r="AZ194" s="52">
        <v>0.0</v>
      </c>
      <c r="BA194" s="52">
        <f t="shared" si="3"/>
        <v>205</v>
      </c>
      <c r="BB194" s="49">
        <f t="shared" si="4"/>
        <v>11.12</v>
      </c>
    </row>
    <row r="195" ht="15.75" customHeight="1">
      <c r="A195" s="50" t="s">
        <v>50</v>
      </c>
      <c r="B195" s="51">
        <f t="shared" si="5"/>
        <v>45848</v>
      </c>
      <c r="C195" s="52">
        <v>7.0</v>
      </c>
      <c r="D195" s="52" t="s">
        <v>72</v>
      </c>
      <c r="E195" s="53"/>
      <c r="F195" s="41">
        <v>0.0</v>
      </c>
      <c r="H195" s="42">
        <v>0.0</v>
      </c>
      <c r="J195" s="42">
        <v>0.0</v>
      </c>
      <c r="L195" s="42">
        <v>0.0</v>
      </c>
      <c r="N195" s="42">
        <v>0.0</v>
      </c>
      <c r="P195" s="42">
        <v>0.0</v>
      </c>
      <c r="Q195" s="43"/>
      <c r="R195" s="41">
        <v>155.0</v>
      </c>
      <c r="T195" s="42">
        <v>155.0</v>
      </c>
      <c r="V195" s="42">
        <v>0.0</v>
      </c>
      <c r="X195" s="42">
        <v>0.0</v>
      </c>
      <c r="Z195" s="42">
        <v>0.0</v>
      </c>
      <c r="AB195" s="42">
        <v>0.0</v>
      </c>
      <c r="AC195" s="43"/>
      <c r="AD195" s="42">
        <v>0.0</v>
      </c>
      <c r="AF195" s="42">
        <v>0.0</v>
      </c>
      <c r="AH195" s="42">
        <v>0.0</v>
      </c>
      <c r="AJ195" s="41"/>
      <c r="AK195" s="43"/>
      <c r="AL195" s="46">
        <v>0.0</v>
      </c>
      <c r="AM195" s="43"/>
      <c r="AN195" s="41"/>
      <c r="AO195" s="43"/>
      <c r="AP195" s="41"/>
      <c r="AQ195" s="43"/>
      <c r="AR195" s="41"/>
      <c r="AS195" s="43"/>
      <c r="AT195" s="42"/>
      <c r="AV195" s="42"/>
      <c r="AW195" s="43"/>
      <c r="AX195" s="54">
        <f t="shared" si="1"/>
        <v>3447.2</v>
      </c>
      <c r="AY195" s="52">
        <f t="shared" si="2"/>
        <v>310</v>
      </c>
      <c r="AZ195" s="52">
        <v>0.0</v>
      </c>
      <c r="BA195" s="52">
        <f t="shared" si="3"/>
        <v>310</v>
      </c>
      <c r="BB195" s="49">
        <f t="shared" si="4"/>
        <v>11.12</v>
      </c>
    </row>
    <row r="196" ht="15.75" customHeight="1">
      <c r="A196" s="50" t="s">
        <v>53</v>
      </c>
      <c r="B196" s="51">
        <f t="shared" si="5"/>
        <v>45849</v>
      </c>
      <c r="C196" s="52">
        <v>7.0</v>
      </c>
      <c r="D196" s="52" t="s">
        <v>72</v>
      </c>
      <c r="E196" s="53"/>
      <c r="F196" s="41">
        <v>0.0</v>
      </c>
      <c r="H196" s="42">
        <v>0.0</v>
      </c>
      <c r="J196" s="42">
        <v>0.0</v>
      </c>
      <c r="L196" s="42">
        <v>0.0</v>
      </c>
      <c r="N196" s="42">
        <v>0.0</v>
      </c>
      <c r="P196" s="42">
        <v>0.0</v>
      </c>
      <c r="Q196" s="43"/>
      <c r="R196" s="41">
        <v>155.0</v>
      </c>
      <c r="T196" s="42">
        <v>115.0</v>
      </c>
      <c r="V196" s="42">
        <v>0.0</v>
      </c>
      <c r="X196" s="42">
        <v>0.0</v>
      </c>
      <c r="Z196" s="42">
        <v>0.0</v>
      </c>
      <c r="AB196" s="42">
        <v>0.0</v>
      </c>
      <c r="AC196" s="43"/>
      <c r="AD196" s="42">
        <v>0.0</v>
      </c>
      <c r="AF196" s="42">
        <v>0.0</v>
      </c>
      <c r="AH196" s="42">
        <v>0.0</v>
      </c>
      <c r="AJ196" s="41"/>
      <c r="AK196" s="43"/>
      <c r="AL196" s="46">
        <v>0.0</v>
      </c>
      <c r="AM196" s="43"/>
      <c r="AN196" s="41"/>
      <c r="AO196" s="43"/>
      <c r="AP196" s="41"/>
      <c r="AQ196" s="43"/>
      <c r="AR196" s="41"/>
      <c r="AS196" s="43"/>
      <c r="AT196" s="42"/>
      <c r="AV196" s="42"/>
      <c r="AW196" s="43"/>
      <c r="AX196" s="54">
        <f t="shared" si="1"/>
        <v>3002.4</v>
      </c>
      <c r="AY196" s="52">
        <f t="shared" si="2"/>
        <v>270</v>
      </c>
      <c r="AZ196" s="52">
        <v>0.0</v>
      </c>
      <c r="BA196" s="52">
        <f t="shared" si="3"/>
        <v>270</v>
      </c>
      <c r="BB196" s="49">
        <f t="shared" si="4"/>
        <v>11.12</v>
      </c>
    </row>
    <row r="197" ht="15.75" customHeight="1">
      <c r="A197" s="50" t="s">
        <v>54</v>
      </c>
      <c r="B197" s="51">
        <f t="shared" si="5"/>
        <v>45850</v>
      </c>
      <c r="C197" s="52">
        <v>7.0</v>
      </c>
      <c r="D197" s="52" t="s">
        <v>72</v>
      </c>
      <c r="E197" s="92" t="s">
        <v>76</v>
      </c>
      <c r="F197" s="41">
        <v>0.0</v>
      </c>
      <c r="H197" s="42">
        <v>0.0</v>
      </c>
      <c r="J197" s="42">
        <v>0.0</v>
      </c>
      <c r="L197" s="42">
        <v>0.0</v>
      </c>
      <c r="N197" s="42">
        <v>0.0</v>
      </c>
      <c r="P197" s="42">
        <v>0.0</v>
      </c>
      <c r="Q197" s="43"/>
      <c r="R197" s="41">
        <v>155.0</v>
      </c>
      <c r="T197" s="42">
        <v>155.0</v>
      </c>
      <c r="V197" s="42">
        <v>65.0</v>
      </c>
      <c r="X197" s="42">
        <v>0.0</v>
      </c>
      <c r="Z197" s="42">
        <v>0.0</v>
      </c>
      <c r="AB197" s="42">
        <v>0.0</v>
      </c>
      <c r="AC197" s="43"/>
      <c r="AD197" s="42">
        <v>0.0</v>
      </c>
      <c r="AF197" s="42">
        <v>0.0</v>
      </c>
      <c r="AH197" s="42">
        <v>0.0</v>
      </c>
      <c r="AJ197" s="41"/>
      <c r="AK197" s="43"/>
      <c r="AL197" s="46">
        <v>0.0</v>
      </c>
      <c r="AM197" s="43"/>
      <c r="AN197" s="41"/>
      <c r="AO197" s="43"/>
      <c r="AP197" s="41"/>
      <c r="AQ197" s="43"/>
      <c r="AR197" s="41"/>
      <c r="AS197" s="43"/>
      <c r="AT197" s="42"/>
      <c r="AV197" s="42"/>
      <c r="AW197" s="43"/>
      <c r="AX197" s="54">
        <f t="shared" si="1"/>
        <v>4170</v>
      </c>
      <c r="AY197" s="52">
        <f t="shared" si="2"/>
        <v>375</v>
      </c>
      <c r="AZ197" s="52">
        <v>0.0</v>
      </c>
      <c r="BA197" s="52">
        <f t="shared" si="3"/>
        <v>375</v>
      </c>
      <c r="BB197" s="49">
        <f t="shared" si="4"/>
        <v>11.12</v>
      </c>
    </row>
    <row r="198" ht="15.75" customHeight="1">
      <c r="A198" s="59" t="s">
        <v>61</v>
      </c>
      <c r="B198" s="61">
        <f t="shared" si="5"/>
        <v>45851</v>
      </c>
      <c r="C198" s="63">
        <v>7.0</v>
      </c>
      <c r="D198" s="63" t="s">
        <v>72</v>
      </c>
      <c r="E198" s="64"/>
      <c r="F198" s="65">
        <v>0.0</v>
      </c>
      <c r="G198" s="66"/>
      <c r="H198" s="67">
        <v>0.0</v>
      </c>
      <c r="I198" s="66"/>
      <c r="J198" s="67">
        <v>0.0</v>
      </c>
      <c r="K198" s="66"/>
      <c r="L198" s="67">
        <v>0.0</v>
      </c>
      <c r="M198" s="66"/>
      <c r="N198" s="67">
        <v>0.0</v>
      </c>
      <c r="O198" s="66"/>
      <c r="P198" s="67">
        <v>0.0</v>
      </c>
      <c r="Q198" s="68"/>
      <c r="R198" s="65">
        <v>0.0</v>
      </c>
      <c r="S198" s="66"/>
      <c r="T198" s="67">
        <v>0.0</v>
      </c>
      <c r="U198" s="66"/>
      <c r="V198" s="67">
        <v>0.0</v>
      </c>
      <c r="W198" s="66"/>
      <c r="X198" s="67">
        <v>0.0</v>
      </c>
      <c r="Y198" s="66"/>
      <c r="Z198" s="67">
        <v>0.0</v>
      </c>
      <c r="AA198" s="66"/>
      <c r="AB198" s="67">
        <v>0.0</v>
      </c>
      <c r="AC198" s="68"/>
      <c r="AD198" s="67">
        <v>0.0</v>
      </c>
      <c r="AE198" s="66"/>
      <c r="AF198" s="67">
        <v>0.0</v>
      </c>
      <c r="AG198" s="66"/>
      <c r="AH198" s="67">
        <v>0.0</v>
      </c>
      <c r="AI198" s="66"/>
      <c r="AJ198" s="65"/>
      <c r="AK198" s="68"/>
      <c r="AL198" s="71">
        <v>0.0</v>
      </c>
      <c r="AM198" s="68"/>
      <c r="AN198" s="65"/>
      <c r="AO198" s="68"/>
      <c r="AP198" s="65"/>
      <c r="AQ198" s="68"/>
      <c r="AR198" s="65"/>
      <c r="AS198" s="68"/>
      <c r="AT198" s="67"/>
      <c r="AU198" s="66"/>
      <c r="AV198" s="67"/>
      <c r="AW198" s="68"/>
      <c r="AX198" s="73">
        <f t="shared" si="1"/>
        <v>0</v>
      </c>
      <c r="AY198" s="63">
        <f t="shared" si="2"/>
        <v>0</v>
      </c>
      <c r="AZ198" s="63">
        <v>0.0</v>
      </c>
      <c r="BA198" s="63">
        <f t="shared" si="3"/>
        <v>0</v>
      </c>
      <c r="BB198" s="74" t="str">
        <f t="shared" si="4"/>
        <v/>
      </c>
    </row>
    <row r="199" ht="15.75" customHeight="1">
      <c r="A199" s="36" t="s">
        <v>46</v>
      </c>
      <c r="B199" s="75">
        <f t="shared" si="5"/>
        <v>45852</v>
      </c>
      <c r="C199" s="38">
        <v>8.0</v>
      </c>
      <c r="D199" s="38" t="s">
        <v>47</v>
      </c>
      <c r="E199" s="40"/>
      <c r="F199" s="41">
        <v>0.0</v>
      </c>
      <c r="H199" s="42">
        <v>0.0</v>
      </c>
      <c r="J199" s="42">
        <v>0.0</v>
      </c>
      <c r="L199" s="42">
        <v>0.0</v>
      </c>
      <c r="N199" s="42">
        <v>0.0</v>
      </c>
      <c r="P199" s="42">
        <v>0.0</v>
      </c>
      <c r="Q199" s="43"/>
      <c r="R199" s="41">
        <v>185.0</v>
      </c>
      <c r="T199" s="42">
        <v>185.0</v>
      </c>
      <c r="V199" s="42">
        <v>0.0</v>
      </c>
      <c r="X199" s="42">
        <v>0.0</v>
      </c>
      <c r="Z199" s="42">
        <v>0.0</v>
      </c>
      <c r="AB199" s="42">
        <v>0.0</v>
      </c>
      <c r="AC199" s="43"/>
      <c r="AD199" s="42">
        <v>0.0</v>
      </c>
      <c r="AF199" s="42">
        <v>0.0</v>
      </c>
      <c r="AH199" s="42">
        <v>0.0</v>
      </c>
      <c r="AJ199" s="41"/>
      <c r="AK199" s="43"/>
      <c r="AL199" s="46">
        <v>0.0</v>
      </c>
      <c r="AM199" s="43"/>
      <c r="AN199" s="41"/>
      <c r="AO199" s="43"/>
      <c r="AP199" s="41"/>
      <c r="AQ199" s="43"/>
      <c r="AR199" s="41"/>
      <c r="AS199" s="43"/>
      <c r="AT199" s="42"/>
      <c r="AV199" s="42"/>
      <c r="AW199" s="43"/>
      <c r="AX199" s="47">
        <f t="shared" si="1"/>
        <v>4114.4</v>
      </c>
      <c r="AY199" s="38">
        <f t="shared" si="2"/>
        <v>370</v>
      </c>
      <c r="AZ199" s="38">
        <v>0.0</v>
      </c>
      <c r="BA199" s="38">
        <f t="shared" si="3"/>
        <v>370</v>
      </c>
      <c r="BB199" s="76">
        <f t="shared" si="4"/>
        <v>11.12</v>
      </c>
    </row>
    <row r="200" ht="15.75" customHeight="1">
      <c r="A200" s="50" t="s">
        <v>48</v>
      </c>
      <c r="B200" s="51">
        <f t="shared" si="5"/>
        <v>45853</v>
      </c>
      <c r="C200" s="52">
        <v>8.0</v>
      </c>
      <c r="D200" s="52" t="s">
        <v>47</v>
      </c>
      <c r="E200" s="92" t="s">
        <v>77</v>
      </c>
      <c r="F200" s="41">
        <v>0.0</v>
      </c>
      <c r="H200" s="42">
        <v>0.0</v>
      </c>
      <c r="J200" s="42">
        <v>0.0</v>
      </c>
      <c r="L200" s="42">
        <v>0.0</v>
      </c>
      <c r="N200" s="42">
        <v>0.0</v>
      </c>
      <c r="P200" s="42">
        <v>0.0</v>
      </c>
      <c r="Q200" s="43"/>
      <c r="R200" s="41">
        <v>185.0</v>
      </c>
      <c r="T200" s="42">
        <v>185.0</v>
      </c>
      <c r="V200" s="42">
        <v>0.0</v>
      </c>
      <c r="X200" s="42">
        <v>0.0</v>
      </c>
      <c r="Z200" s="42">
        <v>0.0</v>
      </c>
      <c r="AB200" s="42">
        <v>0.0</v>
      </c>
      <c r="AC200" s="43"/>
      <c r="AD200" s="42">
        <v>50.0</v>
      </c>
      <c r="AF200" s="42">
        <v>50.0</v>
      </c>
      <c r="AH200" s="42">
        <v>0.0</v>
      </c>
      <c r="AJ200" s="41"/>
      <c r="AK200" s="43"/>
      <c r="AL200" s="46">
        <v>0.0</v>
      </c>
      <c r="AM200" s="43"/>
      <c r="AN200" s="41"/>
      <c r="AO200" s="43"/>
      <c r="AP200" s="41"/>
      <c r="AQ200" s="43"/>
      <c r="AR200" s="41"/>
      <c r="AS200" s="43"/>
      <c r="AT200" s="42"/>
      <c r="AV200" s="42"/>
      <c r="AW200" s="43"/>
      <c r="AX200" s="54">
        <f t="shared" si="1"/>
        <v>5703.4</v>
      </c>
      <c r="AY200" s="52">
        <f t="shared" si="2"/>
        <v>470</v>
      </c>
      <c r="AZ200" s="52">
        <v>0.0</v>
      </c>
      <c r="BA200" s="52">
        <f t="shared" si="3"/>
        <v>470</v>
      </c>
      <c r="BB200" s="49">
        <f t="shared" si="4"/>
        <v>12.13489362</v>
      </c>
    </row>
    <row r="201" ht="15.75" customHeight="1">
      <c r="A201" s="50" t="s">
        <v>49</v>
      </c>
      <c r="B201" s="51">
        <f t="shared" si="5"/>
        <v>45854</v>
      </c>
      <c r="C201" s="52">
        <v>8.0</v>
      </c>
      <c r="D201" s="52" t="s">
        <v>47</v>
      </c>
      <c r="E201" s="53"/>
      <c r="F201" s="41">
        <v>0.0</v>
      </c>
      <c r="H201" s="42">
        <v>0.0</v>
      </c>
      <c r="J201" s="42">
        <v>0.0</v>
      </c>
      <c r="L201" s="42">
        <v>0.0</v>
      </c>
      <c r="N201" s="42">
        <v>0.0</v>
      </c>
      <c r="P201" s="42">
        <v>0.0</v>
      </c>
      <c r="Q201" s="43"/>
      <c r="R201" s="41">
        <v>185.0</v>
      </c>
      <c r="T201" s="42">
        <v>185.0</v>
      </c>
      <c r="V201" s="42">
        <v>0.0</v>
      </c>
      <c r="X201" s="42">
        <v>0.0</v>
      </c>
      <c r="Z201" s="42">
        <v>0.0</v>
      </c>
      <c r="AB201" s="42">
        <v>0.0</v>
      </c>
      <c r="AC201" s="43"/>
      <c r="AD201" s="42">
        <v>50.0</v>
      </c>
      <c r="AF201" s="42">
        <v>50.0</v>
      </c>
      <c r="AH201" s="42">
        <v>0.0</v>
      </c>
      <c r="AJ201" s="41"/>
      <c r="AK201" s="43"/>
      <c r="AL201" s="46">
        <v>0.0</v>
      </c>
      <c r="AM201" s="43"/>
      <c r="AN201" s="41"/>
      <c r="AO201" s="43"/>
      <c r="AP201" s="41"/>
      <c r="AQ201" s="43"/>
      <c r="AR201" s="41"/>
      <c r="AS201" s="43"/>
      <c r="AT201" s="42"/>
      <c r="AV201" s="42"/>
      <c r="AW201" s="43"/>
      <c r="AX201" s="54">
        <f t="shared" si="1"/>
        <v>5703.4</v>
      </c>
      <c r="AY201" s="52">
        <f t="shared" si="2"/>
        <v>470</v>
      </c>
      <c r="AZ201" s="52">
        <v>0.0</v>
      </c>
      <c r="BA201" s="52">
        <f t="shared" si="3"/>
        <v>470</v>
      </c>
      <c r="BB201" s="49">
        <f t="shared" si="4"/>
        <v>12.13489362</v>
      </c>
    </row>
    <row r="202" ht="15.75" customHeight="1">
      <c r="A202" s="50" t="s">
        <v>50</v>
      </c>
      <c r="B202" s="51">
        <f t="shared" si="5"/>
        <v>45855</v>
      </c>
      <c r="C202" s="52">
        <v>8.0</v>
      </c>
      <c r="D202" s="52" t="s">
        <v>47</v>
      </c>
      <c r="E202" s="53"/>
      <c r="F202" s="41">
        <v>0.0</v>
      </c>
      <c r="H202" s="42">
        <v>0.0</v>
      </c>
      <c r="J202" s="42">
        <v>0.0</v>
      </c>
      <c r="L202" s="42">
        <v>0.0</v>
      </c>
      <c r="N202" s="42">
        <v>0.0</v>
      </c>
      <c r="P202" s="42">
        <v>0.0</v>
      </c>
      <c r="Q202" s="43"/>
      <c r="R202" s="41">
        <v>185.0</v>
      </c>
      <c r="T202" s="42">
        <v>185.0</v>
      </c>
      <c r="V202" s="42">
        <v>0.0</v>
      </c>
      <c r="X202" s="42">
        <v>0.0</v>
      </c>
      <c r="Z202" s="42">
        <v>0.0</v>
      </c>
      <c r="AB202" s="42">
        <v>0.0</v>
      </c>
      <c r="AC202" s="43"/>
      <c r="AD202" s="42">
        <v>0.0</v>
      </c>
      <c r="AF202" s="42">
        <v>50.0</v>
      </c>
      <c r="AH202" s="42">
        <v>0.0</v>
      </c>
      <c r="AJ202" s="41"/>
      <c r="AK202" s="43"/>
      <c r="AL202" s="46">
        <v>0.0</v>
      </c>
      <c r="AM202" s="43"/>
      <c r="AN202" s="41"/>
      <c r="AO202" s="43"/>
      <c r="AP202" s="41"/>
      <c r="AQ202" s="43"/>
      <c r="AR202" s="41"/>
      <c r="AS202" s="43"/>
      <c r="AT202" s="42"/>
      <c r="AV202" s="42"/>
      <c r="AW202" s="43"/>
      <c r="AX202" s="54">
        <f t="shared" si="1"/>
        <v>4908.9</v>
      </c>
      <c r="AY202" s="52">
        <f t="shared" si="2"/>
        <v>420</v>
      </c>
      <c r="AZ202" s="52">
        <v>0.0</v>
      </c>
      <c r="BA202" s="52">
        <f t="shared" si="3"/>
        <v>420</v>
      </c>
      <c r="BB202" s="49">
        <f t="shared" si="4"/>
        <v>11.68785714</v>
      </c>
    </row>
    <row r="203" ht="15.75" customHeight="1">
      <c r="A203" s="50" t="s">
        <v>53</v>
      </c>
      <c r="B203" s="51">
        <f t="shared" si="5"/>
        <v>45856</v>
      </c>
      <c r="C203" s="52">
        <v>8.0</v>
      </c>
      <c r="D203" s="52" t="s">
        <v>47</v>
      </c>
      <c r="E203" s="53"/>
      <c r="F203" s="41">
        <v>0.0</v>
      </c>
      <c r="H203" s="42">
        <v>0.0</v>
      </c>
      <c r="J203" s="42">
        <v>0.0</v>
      </c>
      <c r="L203" s="42">
        <v>0.0</v>
      </c>
      <c r="N203" s="42">
        <v>0.0</v>
      </c>
      <c r="P203" s="42">
        <v>0.0</v>
      </c>
      <c r="Q203" s="43"/>
      <c r="R203" s="41">
        <v>185.0</v>
      </c>
      <c r="T203" s="42">
        <v>185.0</v>
      </c>
      <c r="V203" s="42">
        <v>0.0</v>
      </c>
      <c r="X203" s="42">
        <v>0.0</v>
      </c>
      <c r="Z203" s="42">
        <v>0.0</v>
      </c>
      <c r="AB203" s="42">
        <v>0.0</v>
      </c>
      <c r="AC203" s="43"/>
      <c r="AD203" s="42">
        <v>50.0</v>
      </c>
      <c r="AF203" s="42">
        <v>50.0</v>
      </c>
      <c r="AH203" s="42">
        <v>0.0</v>
      </c>
      <c r="AJ203" s="41"/>
      <c r="AK203" s="43"/>
      <c r="AL203" s="46">
        <v>0.0</v>
      </c>
      <c r="AM203" s="43"/>
      <c r="AN203" s="41"/>
      <c r="AO203" s="43"/>
      <c r="AP203" s="41"/>
      <c r="AQ203" s="43"/>
      <c r="AR203" s="41"/>
      <c r="AS203" s="43"/>
      <c r="AT203" s="42"/>
      <c r="AV203" s="42"/>
      <c r="AW203" s="43"/>
      <c r="AX203" s="54">
        <f t="shared" si="1"/>
        <v>5703.4</v>
      </c>
      <c r="AY203" s="52">
        <f t="shared" si="2"/>
        <v>470</v>
      </c>
      <c r="AZ203" s="52">
        <v>0.0</v>
      </c>
      <c r="BA203" s="52">
        <f t="shared" si="3"/>
        <v>470</v>
      </c>
      <c r="BB203" s="49">
        <f t="shared" si="4"/>
        <v>12.13489362</v>
      </c>
    </row>
    <row r="204" ht="15.75" customHeight="1">
      <c r="A204" s="50" t="s">
        <v>54</v>
      </c>
      <c r="B204" s="51">
        <f t="shared" si="5"/>
        <v>45857</v>
      </c>
      <c r="C204" s="52">
        <v>8.0</v>
      </c>
      <c r="D204" s="52" t="s">
        <v>47</v>
      </c>
      <c r="E204" s="53"/>
      <c r="F204" s="41">
        <v>0.0</v>
      </c>
      <c r="H204" s="42">
        <v>0.0</v>
      </c>
      <c r="J204" s="42">
        <v>0.0</v>
      </c>
      <c r="L204" s="42">
        <v>0.0</v>
      </c>
      <c r="N204" s="42">
        <v>0.0</v>
      </c>
      <c r="P204" s="42">
        <v>0.0</v>
      </c>
      <c r="Q204" s="43"/>
      <c r="R204" s="41">
        <v>185.0</v>
      </c>
      <c r="T204" s="42">
        <v>185.0</v>
      </c>
      <c r="V204" s="42">
        <v>0.0</v>
      </c>
      <c r="X204" s="42">
        <v>0.0</v>
      </c>
      <c r="Z204" s="42">
        <v>0.0</v>
      </c>
      <c r="AB204" s="42">
        <v>0.0</v>
      </c>
      <c r="AC204" s="43"/>
      <c r="AD204" s="42">
        <v>50.0</v>
      </c>
      <c r="AF204" s="42">
        <v>0.0</v>
      </c>
      <c r="AH204" s="42">
        <v>0.0</v>
      </c>
      <c r="AJ204" s="41"/>
      <c r="AK204" s="43"/>
      <c r="AL204" s="46">
        <v>0.0</v>
      </c>
      <c r="AM204" s="43"/>
      <c r="AN204" s="41"/>
      <c r="AO204" s="43"/>
      <c r="AP204" s="41"/>
      <c r="AQ204" s="43"/>
      <c r="AR204" s="41"/>
      <c r="AS204" s="43"/>
      <c r="AT204" s="42"/>
      <c r="AV204" s="42"/>
      <c r="AW204" s="43"/>
      <c r="AX204" s="54">
        <f t="shared" si="1"/>
        <v>4908.9</v>
      </c>
      <c r="AY204" s="52">
        <f t="shared" si="2"/>
        <v>420</v>
      </c>
      <c r="AZ204" s="52">
        <v>0.0</v>
      </c>
      <c r="BA204" s="52">
        <f t="shared" si="3"/>
        <v>420</v>
      </c>
      <c r="BB204" s="49">
        <f t="shared" si="4"/>
        <v>11.68785714</v>
      </c>
    </row>
    <row r="205" ht="15.75" customHeight="1">
      <c r="A205" s="59" t="s">
        <v>61</v>
      </c>
      <c r="B205" s="61">
        <f t="shared" si="5"/>
        <v>45858</v>
      </c>
      <c r="C205" s="63">
        <v>8.0</v>
      </c>
      <c r="D205" s="63" t="s">
        <v>47</v>
      </c>
      <c r="E205" s="64"/>
      <c r="F205" s="65">
        <v>0.0</v>
      </c>
      <c r="G205" s="66"/>
      <c r="H205" s="67">
        <v>0.0</v>
      </c>
      <c r="I205" s="66"/>
      <c r="J205" s="67">
        <v>0.0</v>
      </c>
      <c r="K205" s="66"/>
      <c r="L205" s="67">
        <v>0.0</v>
      </c>
      <c r="M205" s="66"/>
      <c r="N205" s="67">
        <v>0.0</v>
      </c>
      <c r="O205" s="66"/>
      <c r="P205" s="67">
        <v>0.0</v>
      </c>
      <c r="Q205" s="68"/>
      <c r="R205" s="65">
        <v>0.0</v>
      </c>
      <c r="S205" s="66"/>
      <c r="T205" s="67">
        <v>0.0</v>
      </c>
      <c r="U205" s="66"/>
      <c r="V205" s="67">
        <v>0.0</v>
      </c>
      <c r="W205" s="66"/>
      <c r="X205" s="67">
        <v>0.0</v>
      </c>
      <c r="Y205" s="66"/>
      <c r="Z205" s="67">
        <v>0.0</v>
      </c>
      <c r="AA205" s="66"/>
      <c r="AB205" s="67">
        <v>0.0</v>
      </c>
      <c r="AC205" s="68"/>
      <c r="AD205" s="67">
        <v>0.0</v>
      </c>
      <c r="AE205" s="66"/>
      <c r="AF205" s="67">
        <v>0.0</v>
      </c>
      <c r="AG205" s="66"/>
      <c r="AH205" s="67">
        <v>0.0</v>
      </c>
      <c r="AI205" s="66"/>
      <c r="AJ205" s="65"/>
      <c r="AK205" s="68"/>
      <c r="AL205" s="71">
        <v>0.0</v>
      </c>
      <c r="AM205" s="68"/>
      <c r="AN205" s="65"/>
      <c r="AO205" s="68"/>
      <c r="AP205" s="65"/>
      <c r="AQ205" s="68"/>
      <c r="AR205" s="65"/>
      <c r="AS205" s="68"/>
      <c r="AT205" s="67"/>
      <c r="AU205" s="66"/>
      <c r="AV205" s="67"/>
      <c r="AW205" s="68"/>
      <c r="AX205" s="73">
        <f t="shared" si="1"/>
        <v>0</v>
      </c>
      <c r="AY205" s="63">
        <f t="shared" si="2"/>
        <v>0</v>
      </c>
      <c r="AZ205" s="63">
        <v>0.0</v>
      </c>
      <c r="BA205" s="63">
        <f t="shared" si="3"/>
        <v>0</v>
      </c>
      <c r="BB205" s="74" t="str">
        <f t="shared" si="4"/>
        <v/>
      </c>
    </row>
    <row r="206" ht="15.75" customHeight="1">
      <c r="A206" s="36" t="s">
        <v>46</v>
      </c>
      <c r="B206" s="75">
        <f t="shared" si="5"/>
        <v>45859</v>
      </c>
      <c r="C206" s="38">
        <v>8.0</v>
      </c>
      <c r="D206" s="38" t="s">
        <v>65</v>
      </c>
      <c r="E206" s="40"/>
      <c r="F206" s="41">
        <v>0.0</v>
      </c>
      <c r="H206" s="42">
        <v>0.0</v>
      </c>
      <c r="J206" s="42">
        <v>0.0</v>
      </c>
      <c r="L206" s="42">
        <v>0.0</v>
      </c>
      <c r="N206" s="42">
        <v>0.0</v>
      </c>
      <c r="P206" s="42">
        <v>0.0</v>
      </c>
      <c r="Q206" s="43"/>
      <c r="R206" s="41">
        <v>185.0</v>
      </c>
      <c r="T206" s="42">
        <v>185.0</v>
      </c>
      <c r="V206" s="42">
        <v>0.0</v>
      </c>
      <c r="X206" s="42">
        <v>0.0</v>
      </c>
      <c r="Z206" s="42">
        <v>0.0</v>
      </c>
      <c r="AB206" s="42">
        <v>0.0</v>
      </c>
      <c r="AC206" s="43"/>
      <c r="AD206" s="42">
        <v>0.0</v>
      </c>
      <c r="AF206" s="42">
        <v>0.0</v>
      </c>
      <c r="AH206" s="42">
        <v>0.0</v>
      </c>
      <c r="AJ206" s="41"/>
      <c r="AK206" s="43"/>
      <c r="AL206" s="46">
        <v>0.0</v>
      </c>
      <c r="AM206" s="43"/>
      <c r="AN206" s="41"/>
      <c r="AO206" s="43"/>
      <c r="AP206" s="41"/>
      <c r="AQ206" s="43"/>
      <c r="AR206" s="41"/>
      <c r="AS206" s="43"/>
      <c r="AT206" s="42"/>
      <c r="AV206" s="42"/>
      <c r="AW206" s="43"/>
      <c r="AX206" s="47">
        <f t="shared" si="1"/>
        <v>4114.4</v>
      </c>
      <c r="AY206" s="38">
        <f t="shared" si="2"/>
        <v>370</v>
      </c>
      <c r="AZ206" s="38">
        <v>0.0</v>
      </c>
      <c r="BA206" s="38">
        <f t="shared" si="3"/>
        <v>370</v>
      </c>
      <c r="BB206" s="76">
        <f t="shared" si="4"/>
        <v>11.12</v>
      </c>
    </row>
    <row r="207" ht="15.75" customHeight="1">
      <c r="A207" s="50" t="s">
        <v>48</v>
      </c>
      <c r="B207" s="51">
        <f t="shared" si="5"/>
        <v>45860</v>
      </c>
      <c r="C207" s="52">
        <v>8.0</v>
      </c>
      <c r="D207" s="52" t="s">
        <v>65</v>
      </c>
      <c r="E207" s="53"/>
      <c r="F207" s="41">
        <v>0.0</v>
      </c>
      <c r="H207" s="42">
        <v>0.0</v>
      </c>
      <c r="J207" s="42">
        <v>0.0</v>
      </c>
      <c r="L207" s="42">
        <v>0.0</v>
      </c>
      <c r="N207" s="42">
        <v>0.0</v>
      </c>
      <c r="P207" s="42">
        <v>0.0</v>
      </c>
      <c r="Q207" s="43"/>
      <c r="R207" s="41">
        <v>185.0</v>
      </c>
      <c r="T207" s="42">
        <v>185.0</v>
      </c>
      <c r="V207" s="42">
        <v>0.0</v>
      </c>
      <c r="X207" s="42">
        <v>0.0</v>
      </c>
      <c r="Z207" s="42">
        <v>0.0</v>
      </c>
      <c r="AB207" s="42">
        <v>0.0</v>
      </c>
      <c r="AC207" s="43"/>
      <c r="AD207" s="42">
        <v>0.0</v>
      </c>
      <c r="AF207" s="42">
        <v>0.0</v>
      </c>
      <c r="AH207" s="42">
        <v>0.0</v>
      </c>
      <c r="AJ207" s="41"/>
      <c r="AK207" s="43"/>
      <c r="AL207" s="46">
        <v>0.0</v>
      </c>
      <c r="AM207" s="43"/>
      <c r="AN207" s="41"/>
      <c r="AO207" s="43"/>
      <c r="AP207" s="41"/>
      <c r="AQ207" s="43"/>
      <c r="AR207" s="41"/>
      <c r="AS207" s="43"/>
      <c r="AT207" s="42"/>
      <c r="AV207" s="42"/>
      <c r="AW207" s="43"/>
      <c r="AX207" s="54">
        <f t="shared" si="1"/>
        <v>4114.4</v>
      </c>
      <c r="AY207" s="52">
        <f t="shared" si="2"/>
        <v>370</v>
      </c>
      <c r="AZ207" s="52">
        <v>0.0</v>
      </c>
      <c r="BA207" s="52">
        <f t="shared" si="3"/>
        <v>370</v>
      </c>
      <c r="BB207" s="49">
        <f t="shared" si="4"/>
        <v>11.12</v>
      </c>
    </row>
    <row r="208" ht="15.75" customHeight="1">
      <c r="A208" s="50" t="s">
        <v>49</v>
      </c>
      <c r="B208" s="51">
        <f t="shared" si="5"/>
        <v>45861</v>
      </c>
      <c r="C208" s="52">
        <v>8.0</v>
      </c>
      <c r="D208" s="52" t="s">
        <v>65</v>
      </c>
      <c r="E208" s="53"/>
      <c r="F208" s="41">
        <v>0.0</v>
      </c>
      <c r="H208" s="42">
        <v>0.0</v>
      </c>
      <c r="J208" s="42">
        <v>0.0</v>
      </c>
      <c r="L208" s="42">
        <v>0.0</v>
      </c>
      <c r="N208" s="42">
        <v>0.0</v>
      </c>
      <c r="P208" s="42">
        <v>0.0</v>
      </c>
      <c r="Q208" s="43"/>
      <c r="R208" s="41">
        <v>185.0</v>
      </c>
      <c r="T208" s="42">
        <v>185.0</v>
      </c>
      <c r="V208" s="42">
        <v>0.0</v>
      </c>
      <c r="X208" s="42">
        <v>0.0</v>
      </c>
      <c r="Z208" s="42">
        <v>0.0</v>
      </c>
      <c r="AB208" s="42">
        <v>0.0</v>
      </c>
      <c r="AC208" s="43"/>
      <c r="AD208" s="42">
        <v>0.0</v>
      </c>
      <c r="AF208" s="42">
        <v>0.0</v>
      </c>
      <c r="AH208" s="42">
        <v>0.0</v>
      </c>
      <c r="AJ208" s="41"/>
      <c r="AK208" s="43"/>
      <c r="AL208" s="46">
        <v>0.0</v>
      </c>
      <c r="AM208" s="43"/>
      <c r="AN208" s="41"/>
      <c r="AO208" s="43"/>
      <c r="AP208" s="41"/>
      <c r="AQ208" s="43"/>
      <c r="AR208" s="41"/>
      <c r="AS208" s="43"/>
      <c r="AT208" s="42"/>
      <c r="AV208" s="42"/>
      <c r="AW208" s="43"/>
      <c r="AX208" s="54">
        <f t="shared" si="1"/>
        <v>4114.4</v>
      </c>
      <c r="AY208" s="52">
        <f t="shared" si="2"/>
        <v>370</v>
      </c>
      <c r="AZ208" s="52">
        <v>0.0</v>
      </c>
      <c r="BA208" s="52">
        <f t="shared" si="3"/>
        <v>370</v>
      </c>
      <c r="BB208" s="49">
        <f t="shared" si="4"/>
        <v>11.12</v>
      </c>
    </row>
    <row r="209" ht="15.75" customHeight="1">
      <c r="A209" s="50" t="s">
        <v>50</v>
      </c>
      <c r="B209" s="51">
        <f t="shared" si="5"/>
        <v>45862</v>
      </c>
      <c r="C209" s="52">
        <v>8.0</v>
      </c>
      <c r="D209" s="52" t="s">
        <v>65</v>
      </c>
      <c r="E209" s="53"/>
      <c r="F209" s="41">
        <v>0.0</v>
      </c>
      <c r="H209" s="42">
        <v>0.0</v>
      </c>
      <c r="J209" s="42">
        <v>0.0</v>
      </c>
      <c r="L209" s="42">
        <v>0.0</v>
      </c>
      <c r="N209" s="42">
        <v>0.0</v>
      </c>
      <c r="P209" s="42">
        <v>0.0</v>
      </c>
      <c r="Q209" s="43"/>
      <c r="R209" s="41">
        <v>185.0</v>
      </c>
      <c r="T209" s="42">
        <v>185.0</v>
      </c>
      <c r="V209" s="42">
        <v>0.0</v>
      </c>
      <c r="X209" s="42">
        <v>0.0</v>
      </c>
      <c r="Z209" s="42">
        <v>0.0</v>
      </c>
      <c r="AB209" s="42">
        <v>0.0</v>
      </c>
      <c r="AC209" s="43"/>
      <c r="AD209" s="42">
        <v>0.0</v>
      </c>
      <c r="AF209" s="42">
        <v>0.0</v>
      </c>
      <c r="AH209" s="42">
        <v>0.0</v>
      </c>
      <c r="AJ209" s="41"/>
      <c r="AK209" s="43"/>
      <c r="AL209" s="46">
        <v>0.0</v>
      </c>
      <c r="AM209" s="43"/>
      <c r="AN209" s="41"/>
      <c r="AO209" s="43"/>
      <c r="AP209" s="41"/>
      <c r="AQ209" s="43"/>
      <c r="AR209" s="41"/>
      <c r="AS209" s="43"/>
      <c r="AT209" s="42"/>
      <c r="AV209" s="42"/>
      <c r="AW209" s="43"/>
      <c r="AX209" s="54">
        <f t="shared" si="1"/>
        <v>4114.4</v>
      </c>
      <c r="AY209" s="52">
        <f t="shared" si="2"/>
        <v>370</v>
      </c>
      <c r="AZ209" s="52">
        <v>0.0</v>
      </c>
      <c r="BA209" s="52">
        <f t="shared" si="3"/>
        <v>370</v>
      </c>
      <c r="BB209" s="49">
        <f t="shared" si="4"/>
        <v>11.12</v>
      </c>
    </row>
    <row r="210" ht="15.75" customHeight="1">
      <c r="A210" s="50" t="s">
        <v>53</v>
      </c>
      <c r="B210" s="51">
        <f t="shared" si="5"/>
        <v>45863</v>
      </c>
      <c r="C210" s="52">
        <v>8.0</v>
      </c>
      <c r="D210" s="52" t="s">
        <v>65</v>
      </c>
      <c r="E210" s="53"/>
      <c r="F210" s="41">
        <v>0.0</v>
      </c>
      <c r="H210" s="42">
        <v>0.0</v>
      </c>
      <c r="J210" s="42">
        <v>0.0</v>
      </c>
      <c r="L210" s="42">
        <v>0.0</v>
      </c>
      <c r="N210" s="42">
        <v>0.0</v>
      </c>
      <c r="P210" s="42">
        <v>0.0</v>
      </c>
      <c r="Q210" s="43"/>
      <c r="R210" s="41">
        <v>185.0</v>
      </c>
      <c r="T210" s="42">
        <v>185.0</v>
      </c>
      <c r="V210" s="42">
        <v>0.0</v>
      </c>
      <c r="X210" s="42">
        <v>0.0</v>
      </c>
      <c r="Z210" s="42">
        <v>0.0</v>
      </c>
      <c r="AB210" s="42">
        <v>0.0</v>
      </c>
      <c r="AC210" s="43"/>
      <c r="AD210" s="42">
        <v>0.0</v>
      </c>
      <c r="AF210" s="42">
        <v>0.0</v>
      </c>
      <c r="AH210" s="42">
        <v>0.0</v>
      </c>
      <c r="AJ210" s="41"/>
      <c r="AK210" s="43"/>
      <c r="AL210" s="46">
        <v>0.0</v>
      </c>
      <c r="AM210" s="43"/>
      <c r="AN210" s="41"/>
      <c r="AO210" s="43"/>
      <c r="AP210" s="41"/>
      <c r="AQ210" s="43"/>
      <c r="AR210" s="41"/>
      <c r="AS210" s="43"/>
      <c r="AT210" s="42"/>
      <c r="AV210" s="42"/>
      <c r="AW210" s="43"/>
      <c r="AX210" s="54">
        <f t="shared" si="1"/>
        <v>4114.4</v>
      </c>
      <c r="AY210" s="52">
        <f t="shared" si="2"/>
        <v>370</v>
      </c>
      <c r="AZ210" s="52">
        <v>0.0</v>
      </c>
      <c r="BA210" s="52">
        <f t="shared" si="3"/>
        <v>370</v>
      </c>
      <c r="BB210" s="49">
        <f t="shared" si="4"/>
        <v>11.12</v>
      </c>
    </row>
    <row r="211" ht="15.75" customHeight="1">
      <c r="A211" s="50" t="s">
        <v>54</v>
      </c>
      <c r="B211" s="51">
        <f t="shared" si="5"/>
        <v>45864</v>
      </c>
      <c r="C211" s="52">
        <v>8.0</v>
      </c>
      <c r="D211" s="52" t="s">
        <v>65</v>
      </c>
      <c r="E211" s="53"/>
      <c r="F211" s="41">
        <v>0.0</v>
      </c>
      <c r="H211" s="42">
        <v>0.0</v>
      </c>
      <c r="J211" s="42">
        <v>0.0</v>
      </c>
      <c r="L211" s="42">
        <v>0.0</v>
      </c>
      <c r="N211" s="42">
        <v>0.0</v>
      </c>
      <c r="P211" s="42">
        <v>0.0</v>
      </c>
      <c r="Q211" s="43"/>
      <c r="R211" s="41">
        <v>185.0</v>
      </c>
      <c r="T211" s="42">
        <v>185.0</v>
      </c>
      <c r="V211" s="42">
        <v>0.0</v>
      </c>
      <c r="X211" s="42">
        <v>0.0</v>
      </c>
      <c r="Z211" s="42">
        <v>0.0</v>
      </c>
      <c r="AB211" s="42">
        <v>0.0</v>
      </c>
      <c r="AC211" s="43"/>
      <c r="AD211" s="42">
        <v>0.0</v>
      </c>
      <c r="AF211" s="42">
        <v>0.0</v>
      </c>
      <c r="AH211" s="42">
        <v>0.0</v>
      </c>
      <c r="AJ211" s="41"/>
      <c r="AK211" s="43"/>
      <c r="AL211" s="46">
        <v>0.0</v>
      </c>
      <c r="AM211" s="43"/>
      <c r="AN211" s="41"/>
      <c r="AO211" s="43"/>
      <c r="AP211" s="41"/>
      <c r="AQ211" s="43"/>
      <c r="AR211" s="41"/>
      <c r="AS211" s="43"/>
      <c r="AT211" s="42"/>
      <c r="AV211" s="42"/>
      <c r="AW211" s="43"/>
      <c r="AX211" s="54">
        <f t="shared" si="1"/>
        <v>4114.4</v>
      </c>
      <c r="AY211" s="52">
        <f t="shared" si="2"/>
        <v>370</v>
      </c>
      <c r="AZ211" s="52">
        <v>0.0</v>
      </c>
      <c r="BA211" s="52">
        <f t="shared" si="3"/>
        <v>370</v>
      </c>
      <c r="BB211" s="49">
        <f t="shared" si="4"/>
        <v>11.12</v>
      </c>
    </row>
    <row r="212" ht="15.75" customHeight="1">
      <c r="A212" s="59" t="s">
        <v>61</v>
      </c>
      <c r="B212" s="61">
        <f t="shared" si="5"/>
        <v>45865</v>
      </c>
      <c r="C212" s="63">
        <v>8.0</v>
      </c>
      <c r="D212" s="63" t="s">
        <v>65</v>
      </c>
      <c r="E212" s="64"/>
      <c r="F212" s="65">
        <v>0.0</v>
      </c>
      <c r="G212" s="66"/>
      <c r="H212" s="67">
        <v>0.0</v>
      </c>
      <c r="I212" s="66"/>
      <c r="J212" s="67">
        <v>0.0</v>
      </c>
      <c r="K212" s="66"/>
      <c r="L212" s="67">
        <v>0.0</v>
      </c>
      <c r="M212" s="66"/>
      <c r="N212" s="67">
        <v>0.0</v>
      </c>
      <c r="O212" s="66"/>
      <c r="P212" s="67">
        <v>0.0</v>
      </c>
      <c r="Q212" s="68"/>
      <c r="R212" s="65">
        <v>0.0</v>
      </c>
      <c r="S212" s="66"/>
      <c r="T212" s="67">
        <v>0.0</v>
      </c>
      <c r="U212" s="66"/>
      <c r="V212" s="67">
        <v>0.0</v>
      </c>
      <c r="W212" s="66"/>
      <c r="X212" s="67">
        <v>0.0</v>
      </c>
      <c r="Y212" s="66"/>
      <c r="Z212" s="67">
        <v>0.0</v>
      </c>
      <c r="AA212" s="66"/>
      <c r="AB212" s="67">
        <v>0.0</v>
      </c>
      <c r="AC212" s="68"/>
      <c r="AD212" s="67">
        <v>0.0</v>
      </c>
      <c r="AE212" s="66"/>
      <c r="AF212" s="67">
        <v>0.0</v>
      </c>
      <c r="AG212" s="66"/>
      <c r="AH212" s="67">
        <v>0.0</v>
      </c>
      <c r="AI212" s="66"/>
      <c r="AJ212" s="65"/>
      <c r="AK212" s="68"/>
      <c r="AL212" s="71">
        <v>0.0</v>
      </c>
      <c r="AM212" s="68"/>
      <c r="AN212" s="65"/>
      <c r="AO212" s="68"/>
      <c r="AP212" s="65"/>
      <c r="AQ212" s="68"/>
      <c r="AR212" s="65"/>
      <c r="AS212" s="68"/>
      <c r="AT212" s="67"/>
      <c r="AU212" s="66"/>
      <c r="AV212" s="67"/>
      <c r="AW212" s="68"/>
      <c r="AX212" s="73">
        <f t="shared" si="1"/>
        <v>0</v>
      </c>
      <c r="AY212" s="63">
        <f t="shared" si="2"/>
        <v>0</v>
      </c>
      <c r="AZ212" s="63">
        <v>0.0</v>
      </c>
      <c r="BA212" s="63">
        <f t="shared" si="3"/>
        <v>0</v>
      </c>
      <c r="BB212" s="74" t="str">
        <f t="shared" si="4"/>
        <v/>
      </c>
    </row>
    <row r="213" ht="15.75" customHeight="1">
      <c r="A213" s="36" t="s">
        <v>46</v>
      </c>
      <c r="B213" s="75">
        <f t="shared" si="5"/>
        <v>45866</v>
      </c>
      <c r="C213" s="38">
        <v>8.0</v>
      </c>
      <c r="D213" s="38" t="s">
        <v>69</v>
      </c>
      <c r="E213" s="40"/>
      <c r="F213" s="41">
        <v>0.0</v>
      </c>
      <c r="H213" s="42">
        <v>0.0</v>
      </c>
      <c r="J213" s="42">
        <v>0.0</v>
      </c>
      <c r="L213" s="42">
        <v>0.0</v>
      </c>
      <c r="N213" s="42">
        <v>0.0</v>
      </c>
      <c r="P213" s="42">
        <v>0.0</v>
      </c>
      <c r="Q213" s="43"/>
      <c r="R213" s="41">
        <v>160.0</v>
      </c>
      <c r="T213" s="42">
        <v>160.0</v>
      </c>
      <c r="V213" s="42">
        <v>0.0</v>
      </c>
      <c r="X213" s="42">
        <v>0.0</v>
      </c>
      <c r="Z213" s="42">
        <v>0.0</v>
      </c>
      <c r="AB213" s="42">
        <v>0.0</v>
      </c>
      <c r="AC213" s="43"/>
      <c r="AD213" s="42">
        <v>0.0</v>
      </c>
      <c r="AF213" s="42">
        <v>0.0</v>
      </c>
      <c r="AH213" s="42">
        <v>0.0</v>
      </c>
      <c r="AJ213" s="41"/>
      <c r="AK213" s="43"/>
      <c r="AL213" s="46">
        <v>0.0</v>
      </c>
      <c r="AM213" s="43"/>
      <c r="AN213" s="41"/>
      <c r="AO213" s="43"/>
      <c r="AP213" s="41"/>
      <c r="AQ213" s="43"/>
      <c r="AR213" s="41"/>
      <c r="AS213" s="43"/>
      <c r="AT213" s="42"/>
      <c r="AV213" s="42"/>
      <c r="AW213" s="43"/>
      <c r="AX213" s="47">
        <f t="shared" si="1"/>
        <v>3558.4</v>
      </c>
      <c r="AY213" s="38">
        <f t="shared" si="2"/>
        <v>320</v>
      </c>
      <c r="AZ213" s="38">
        <v>0.0</v>
      </c>
      <c r="BA213" s="38">
        <f t="shared" si="3"/>
        <v>320</v>
      </c>
      <c r="BB213" s="76">
        <f t="shared" si="4"/>
        <v>11.12</v>
      </c>
    </row>
    <row r="214" ht="15.75" customHeight="1">
      <c r="A214" s="50" t="s">
        <v>48</v>
      </c>
      <c r="B214" s="51">
        <f t="shared" si="5"/>
        <v>45867</v>
      </c>
      <c r="C214" s="52">
        <v>8.0</v>
      </c>
      <c r="D214" s="52" t="s">
        <v>69</v>
      </c>
      <c r="E214" s="53"/>
      <c r="F214" s="41">
        <v>0.0</v>
      </c>
      <c r="H214" s="42">
        <v>0.0</v>
      </c>
      <c r="J214" s="42">
        <v>0.0</v>
      </c>
      <c r="L214" s="42">
        <v>0.0</v>
      </c>
      <c r="N214" s="42">
        <v>0.0</v>
      </c>
      <c r="P214" s="42">
        <v>0.0</v>
      </c>
      <c r="Q214" s="43"/>
      <c r="R214" s="41">
        <v>160.0</v>
      </c>
      <c r="T214" s="42">
        <v>160.0</v>
      </c>
      <c r="V214" s="42">
        <v>0.0</v>
      </c>
      <c r="X214" s="42">
        <v>0.0</v>
      </c>
      <c r="Z214" s="42">
        <v>0.0</v>
      </c>
      <c r="AB214" s="42">
        <v>0.0</v>
      </c>
      <c r="AC214" s="43"/>
      <c r="AD214" s="42">
        <v>50.0</v>
      </c>
      <c r="AF214" s="42">
        <v>50.0</v>
      </c>
      <c r="AH214" s="42">
        <v>0.0</v>
      </c>
      <c r="AJ214" s="41"/>
      <c r="AK214" s="43"/>
      <c r="AL214" s="46">
        <v>0.0</v>
      </c>
      <c r="AM214" s="43"/>
      <c r="AN214" s="41"/>
      <c r="AO214" s="43"/>
      <c r="AP214" s="41"/>
      <c r="AQ214" s="43"/>
      <c r="AR214" s="41"/>
      <c r="AS214" s="43"/>
      <c r="AT214" s="42"/>
      <c r="AV214" s="42"/>
      <c r="AW214" s="43"/>
      <c r="AX214" s="54">
        <f t="shared" si="1"/>
        <v>5147.4</v>
      </c>
      <c r="AY214" s="52">
        <f t="shared" si="2"/>
        <v>420</v>
      </c>
      <c r="AZ214" s="52">
        <v>0.0</v>
      </c>
      <c r="BA214" s="52">
        <f t="shared" si="3"/>
        <v>420</v>
      </c>
      <c r="BB214" s="49">
        <f t="shared" si="4"/>
        <v>12.25571429</v>
      </c>
    </row>
    <row r="215" ht="15.75" customHeight="1">
      <c r="A215" s="50" t="s">
        <v>49</v>
      </c>
      <c r="B215" s="51">
        <f t="shared" si="5"/>
        <v>45868</v>
      </c>
      <c r="C215" s="52">
        <v>8.0</v>
      </c>
      <c r="D215" s="52" t="s">
        <v>69</v>
      </c>
      <c r="E215" s="53"/>
      <c r="F215" s="41">
        <v>0.0</v>
      </c>
      <c r="H215" s="42">
        <v>0.0</v>
      </c>
      <c r="J215" s="42">
        <v>0.0</v>
      </c>
      <c r="L215" s="42">
        <v>0.0</v>
      </c>
      <c r="N215" s="42">
        <v>0.0</v>
      </c>
      <c r="P215" s="42">
        <v>0.0</v>
      </c>
      <c r="Q215" s="43"/>
      <c r="R215" s="41">
        <v>160.0</v>
      </c>
      <c r="T215" s="42">
        <v>160.0</v>
      </c>
      <c r="V215" s="42">
        <v>0.0</v>
      </c>
      <c r="X215" s="42">
        <v>0.0</v>
      </c>
      <c r="Z215" s="42">
        <v>0.0</v>
      </c>
      <c r="AB215" s="42">
        <v>0.0</v>
      </c>
      <c r="AC215" s="43"/>
      <c r="AD215" s="42">
        <v>50.0</v>
      </c>
      <c r="AF215" s="42">
        <v>50.0</v>
      </c>
      <c r="AH215" s="42">
        <v>0.0</v>
      </c>
      <c r="AJ215" s="41"/>
      <c r="AK215" s="43"/>
      <c r="AL215" s="46">
        <v>0.0</v>
      </c>
      <c r="AM215" s="43"/>
      <c r="AN215" s="41"/>
      <c r="AO215" s="43"/>
      <c r="AP215" s="41"/>
      <c r="AQ215" s="43"/>
      <c r="AR215" s="41"/>
      <c r="AS215" s="43"/>
      <c r="AT215" s="42"/>
      <c r="AV215" s="42"/>
      <c r="AW215" s="43"/>
      <c r="AX215" s="54">
        <f t="shared" si="1"/>
        <v>5147.4</v>
      </c>
      <c r="AY215" s="52">
        <f t="shared" si="2"/>
        <v>420</v>
      </c>
      <c r="AZ215" s="52">
        <v>0.0</v>
      </c>
      <c r="BA215" s="52">
        <f t="shared" si="3"/>
        <v>420</v>
      </c>
      <c r="BB215" s="49">
        <f t="shared" si="4"/>
        <v>12.25571429</v>
      </c>
    </row>
    <row r="216" ht="15.75" customHeight="1">
      <c r="A216" s="50" t="s">
        <v>50</v>
      </c>
      <c r="B216" s="51">
        <f t="shared" si="5"/>
        <v>45869</v>
      </c>
      <c r="C216" s="52">
        <v>8.0</v>
      </c>
      <c r="D216" s="52" t="s">
        <v>69</v>
      </c>
      <c r="E216" s="53"/>
      <c r="F216" s="41">
        <v>0.0</v>
      </c>
      <c r="H216" s="42">
        <v>0.0</v>
      </c>
      <c r="J216" s="42">
        <v>0.0</v>
      </c>
      <c r="L216" s="42">
        <v>0.0</v>
      </c>
      <c r="N216" s="42">
        <v>0.0</v>
      </c>
      <c r="P216" s="42">
        <v>0.0</v>
      </c>
      <c r="Q216" s="43"/>
      <c r="R216" s="41">
        <v>160.0</v>
      </c>
      <c r="T216" s="42">
        <v>160.0</v>
      </c>
      <c r="V216" s="42">
        <v>0.0</v>
      </c>
      <c r="X216" s="42">
        <v>0.0</v>
      </c>
      <c r="Z216" s="42">
        <v>0.0</v>
      </c>
      <c r="AB216" s="42">
        <v>0.0</v>
      </c>
      <c r="AC216" s="43"/>
      <c r="AD216" s="42">
        <v>0.0</v>
      </c>
      <c r="AF216" s="42">
        <v>50.0</v>
      </c>
      <c r="AH216" s="42">
        <v>0.0</v>
      </c>
      <c r="AJ216" s="41"/>
      <c r="AK216" s="43"/>
      <c r="AL216" s="46">
        <v>0.0</v>
      </c>
      <c r="AM216" s="43"/>
      <c r="AN216" s="41"/>
      <c r="AO216" s="43"/>
      <c r="AP216" s="41"/>
      <c r="AQ216" s="43"/>
      <c r="AR216" s="41"/>
      <c r="AS216" s="43"/>
      <c r="AT216" s="42"/>
      <c r="AV216" s="42"/>
      <c r="AW216" s="43"/>
      <c r="AX216" s="54">
        <f t="shared" si="1"/>
        <v>4352.9</v>
      </c>
      <c r="AY216" s="52">
        <f t="shared" si="2"/>
        <v>370</v>
      </c>
      <c r="AZ216" s="52">
        <v>0.0</v>
      </c>
      <c r="BA216" s="52">
        <f t="shared" si="3"/>
        <v>370</v>
      </c>
      <c r="BB216" s="49">
        <f t="shared" si="4"/>
        <v>11.76459459</v>
      </c>
    </row>
    <row r="217" ht="15.75" customHeight="1">
      <c r="A217" s="50" t="s">
        <v>53</v>
      </c>
      <c r="B217" s="51">
        <f t="shared" si="5"/>
        <v>45870</v>
      </c>
      <c r="C217" s="52">
        <v>8.0</v>
      </c>
      <c r="D217" s="52" t="s">
        <v>69</v>
      </c>
      <c r="E217" s="53"/>
      <c r="F217" s="41">
        <v>0.0</v>
      </c>
      <c r="H217" s="42">
        <v>0.0</v>
      </c>
      <c r="J217" s="42">
        <v>0.0</v>
      </c>
      <c r="L217" s="42">
        <v>0.0</v>
      </c>
      <c r="N217" s="42">
        <v>0.0</v>
      </c>
      <c r="P217" s="42">
        <v>0.0</v>
      </c>
      <c r="Q217" s="43"/>
      <c r="R217" s="41">
        <v>160.0</v>
      </c>
      <c r="T217" s="42">
        <v>160.0</v>
      </c>
      <c r="V217" s="42">
        <v>0.0</v>
      </c>
      <c r="X217" s="42">
        <v>0.0</v>
      </c>
      <c r="Z217" s="42">
        <v>0.0</v>
      </c>
      <c r="AB217" s="42">
        <v>0.0</v>
      </c>
      <c r="AC217" s="43"/>
      <c r="AD217" s="42">
        <v>50.0</v>
      </c>
      <c r="AF217" s="42">
        <v>50.0</v>
      </c>
      <c r="AH217" s="42">
        <v>0.0</v>
      </c>
      <c r="AJ217" s="41"/>
      <c r="AK217" s="43"/>
      <c r="AL217" s="46">
        <v>0.0</v>
      </c>
      <c r="AM217" s="43"/>
      <c r="AN217" s="41"/>
      <c r="AO217" s="43"/>
      <c r="AP217" s="41"/>
      <c r="AQ217" s="43"/>
      <c r="AR217" s="41"/>
      <c r="AS217" s="43"/>
      <c r="AT217" s="42"/>
      <c r="AV217" s="42"/>
      <c r="AW217" s="43"/>
      <c r="AX217" s="54">
        <f t="shared" si="1"/>
        <v>5147.4</v>
      </c>
      <c r="AY217" s="52">
        <f t="shared" si="2"/>
        <v>420</v>
      </c>
      <c r="AZ217" s="52">
        <v>0.0</v>
      </c>
      <c r="BA217" s="52">
        <f t="shared" si="3"/>
        <v>420</v>
      </c>
      <c r="BB217" s="49">
        <f t="shared" si="4"/>
        <v>12.25571429</v>
      </c>
    </row>
    <row r="218" ht="15.75" customHeight="1">
      <c r="A218" s="50" t="s">
        <v>54</v>
      </c>
      <c r="B218" s="51">
        <f t="shared" si="5"/>
        <v>45871</v>
      </c>
      <c r="C218" s="52">
        <v>8.0</v>
      </c>
      <c r="D218" s="52" t="s">
        <v>69</v>
      </c>
      <c r="E218" s="53"/>
      <c r="F218" s="41">
        <v>0.0</v>
      </c>
      <c r="H218" s="42">
        <v>0.0</v>
      </c>
      <c r="J218" s="42">
        <v>0.0</v>
      </c>
      <c r="L218" s="42">
        <v>0.0</v>
      </c>
      <c r="N218" s="42">
        <v>0.0</v>
      </c>
      <c r="P218" s="42">
        <v>0.0</v>
      </c>
      <c r="Q218" s="43"/>
      <c r="R218" s="41">
        <v>160.0</v>
      </c>
      <c r="T218" s="42">
        <v>160.0</v>
      </c>
      <c r="V218" s="42">
        <v>0.0</v>
      </c>
      <c r="X218" s="42">
        <v>0.0</v>
      </c>
      <c r="Z218" s="42">
        <v>0.0</v>
      </c>
      <c r="AB218" s="42">
        <v>0.0</v>
      </c>
      <c r="AC218" s="43"/>
      <c r="AD218" s="42">
        <v>50.0</v>
      </c>
      <c r="AF218" s="42">
        <v>0.0</v>
      </c>
      <c r="AH218" s="42">
        <v>0.0</v>
      </c>
      <c r="AJ218" s="41"/>
      <c r="AK218" s="43"/>
      <c r="AL218" s="46">
        <v>0.0</v>
      </c>
      <c r="AM218" s="43"/>
      <c r="AN218" s="41"/>
      <c r="AO218" s="43"/>
      <c r="AP218" s="41"/>
      <c r="AQ218" s="43"/>
      <c r="AR218" s="41"/>
      <c r="AS218" s="43"/>
      <c r="AT218" s="42"/>
      <c r="AV218" s="42"/>
      <c r="AW218" s="43"/>
      <c r="AX218" s="54">
        <f t="shared" si="1"/>
        <v>4352.9</v>
      </c>
      <c r="AY218" s="52">
        <f t="shared" si="2"/>
        <v>370</v>
      </c>
      <c r="AZ218" s="52">
        <v>0.0</v>
      </c>
      <c r="BA218" s="52">
        <f t="shared" si="3"/>
        <v>370</v>
      </c>
      <c r="BB218" s="49">
        <f t="shared" si="4"/>
        <v>11.76459459</v>
      </c>
    </row>
    <row r="219" ht="15.75" customHeight="1">
      <c r="A219" s="59" t="s">
        <v>61</v>
      </c>
      <c r="B219" s="61">
        <f t="shared" si="5"/>
        <v>45872</v>
      </c>
      <c r="C219" s="63">
        <v>8.0</v>
      </c>
      <c r="D219" s="63" t="s">
        <v>69</v>
      </c>
      <c r="E219" s="64"/>
      <c r="F219" s="65">
        <v>0.0</v>
      </c>
      <c r="G219" s="66"/>
      <c r="H219" s="67">
        <v>0.0</v>
      </c>
      <c r="I219" s="66"/>
      <c r="J219" s="67">
        <v>0.0</v>
      </c>
      <c r="K219" s="66"/>
      <c r="L219" s="67">
        <v>0.0</v>
      </c>
      <c r="M219" s="66"/>
      <c r="N219" s="67">
        <v>0.0</v>
      </c>
      <c r="O219" s="66"/>
      <c r="P219" s="67">
        <v>0.0</v>
      </c>
      <c r="Q219" s="68"/>
      <c r="R219" s="65">
        <v>0.0</v>
      </c>
      <c r="S219" s="66"/>
      <c r="T219" s="67">
        <v>0.0</v>
      </c>
      <c r="U219" s="66"/>
      <c r="V219" s="67">
        <v>0.0</v>
      </c>
      <c r="W219" s="66"/>
      <c r="X219" s="67">
        <v>0.0</v>
      </c>
      <c r="Y219" s="66"/>
      <c r="Z219" s="67">
        <v>0.0</v>
      </c>
      <c r="AA219" s="66"/>
      <c r="AB219" s="67">
        <v>0.0</v>
      </c>
      <c r="AC219" s="68"/>
      <c r="AD219" s="67">
        <v>0.0</v>
      </c>
      <c r="AE219" s="66"/>
      <c r="AF219" s="67">
        <v>0.0</v>
      </c>
      <c r="AG219" s="66"/>
      <c r="AH219" s="67">
        <v>0.0</v>
      </c>
      <c r="AI219" s="66"/>
      <c r="AJ219" s="65"/>
      <c r="AK219" s="68"/>
      <c r="AL219" s="71">
        <v>0.0</v>
      </c>
      <c r="AM219" s="68"/>
      <c r="AN219" s="65"/>
      <c r="AO219" s="68"/>
      <c r="AP219" s="65"/>
      <c r="AQ219" s="68"/>
      <c r="AR219" s="65"/>
      <c r="AS219" s="68"/>
      <c r="AT219" s="67"/>
      <c r="AU219" s="66"/>
      <c r="AV219" s="67"/>
      <c r="AW219" s="68"/>
      <c r="AX219" s="73">
        <f t="shared" si="1"/>
        <v>0</v>
      </c>
      <c r="AY219" s="63">
        <f t="shared" si="2"/>
        <v>0</v>
      </c>
      <c r="AZ219" s="63">
        <v>0.0</v>
      </c>
      <c r="BA219" s="63">
        <f t="shared" si="3"/>
        <v>0</v>
      </c>
      <c r="BB219" s="74" t="str">
        <f t="shared" si="4"/>
        <v/>
      </c>
    </row>
    <row r="220" ht="15.75" customHeight="1">
      <c r="A220" s="36" t="s">
        <v>46</v>
      </c>
      <c r="B220" s="75">
        <f t="shared" si="5"/>
        <v>45873</v>
      </c>
      <c r="C220" s="38">
        <v>8.0</v>
      </c>
      <c r="D220" s="38" t="s">
        <v>72</v>
      </c>
      <c r="E220" s="40"/>
      <c r="F220" s="41">
        <v>0.0</v>
      </c>
      <c r="H220" s="42">
        <v>0.0</v>
      </c>
      <c r="J220" s="42">
        <v>0.0</v>
      </c>
      <c r="L220" s="42">
        <v>0.0</v>
      </c>
      <c r="N220" s="42">
        <v>0.0</v>
      </c>
      <c r="P220" s="42">
        <v>0.0</v>
      </c>
      <c r="Q220" s="43"/>
      <c r="R220" s="41">
        <v>160.0</v>
      </c>
      <c r="T220" s="42">
        <v>160.0</v>
      </c>
      <c r="V220" s="42">
        <v>0.0</v>
      </c>
      <c r="X220" s="42">
        <v>0.0</v>
      </c>
      <c r="Z220" s="42">
        <v>0.0</v>
      </c>
      <c r="AB220" s="42">
        <v>0.0</v>
      </c>
      <c r="AC220" s="43"/>
      <c r="AD220" s="42">
        <v>0.0</v>
      </c>
      <c r="AF220" s="42">
        <v>0.0</v>
      </c>
      <c r="AH220" s="42">
        <v>0.0</v>
      </c>
      <c r="AJ220" s="41"/>
      <c r="AK220" s="43"/>
      <c r="AL220" s="46">
        <v>0.0</v>
      </c>
      <c r="AM220" s="43"/>
      <c r="AN220" s="41"/>
      <c r="AO220" s="43"/>
      <c r="AP220" s="41"/>
      <c r="AQ220" s="43"/>
      <c r="AR220" s="41"/>
      <c r="AS220" s="43"/>
      <c r="AT220" s="42"/>
      <c r="AV220" s="42"/>
      <c r="AW220" s="43"/>
      <c r="AX220" s="47">
        <f t="shared" si="1"/>
        <v>3558.4</v>
      </c>
      <c r="AY220" s="38">
        <f t="shared" si="2"/>
        <v>320</v>
      </c>
      <c r="AZ220" s="38">
        <v>0.0</v>
      </c>
      <c r="BA220" s="38">
        <f t="shared" si="3"/>
        <v>320</v>
      </c>
      <c r="BB220" s="76">
        <f t="shared" si="4"/>
        <v>11.12</v>
      </c>
    </row>
    <row r="221" ht="15.75" customHeight="1">
      <c r="A221" s="50" t="s">
        <v>48</v>
      </c>
      <c r="B221" s="51">
        <f t="shared" si="5"/>
        <v>45874</v>
      </c>
      <c r="C221" s="52">
        <v>8.0</v>
      </c>
      <c r="D221" s="52" t="s">
        <v>72</v>
      </c>
      <c r="E221" s="53"/>
      <c r="F221" s="41">
        <v>0.0</v>
      </c>
      <c r="H221" s="42">
        <v>0.0</v>
      </c>
      <c r="J221" s="42">
        <v>0.0</v>
      </c>
      <c r="L221" s="42">
        <v>0.0</v>
      </c>
      <c r="N221" s="42">
        <v>0.0</v>
      </c>
      <c r="P221" s="42">
        <v>0.0</v>
      </c>
      <c r="Q221" s="43"/>
      <c r="R221" s="41">
        <v>172.0</v>
      </c>
      <c r="T221" s="42">
        <v>172.0</v>
      </c>
      <c r="V221" s="42">
        <v>0.0</v>
      </c>
      <c r="X221" s="42">
        <v>0.0</v>
      </c>
      <c r="Z221" s="42">
        <v>0.0</v>
      </c>
      <c r="AB221" s="42">
        <v>0.0</v>
      </c>
      <c r="AC221" s="43"/>
      <c r="AD221" s="42">
        <v>0.0</v>
      </c>
      <c r="AF221" s="42">
        <v>0.0</v>
      </c>
      <c r="AH221" s="42">
        <v>0.0</v>
      </c>
      <c r="AJ221" s="41"/>
      <c r="AK221" s="43"/>
      <c r="AL221" s="46">
        <v>0.0</v>
      </c>
      <c r="AM221" s="43"/>
      <c r="AN221" s="41"/>
      <c r="AO221" s="43"/>
      <c r="AP221" s="41"/>
      <c r="AQ221" s="43"/>
      <c r="AR221" s="41"/>
      <c r="AS221" s="43"/>
      <c r="AT221" s="42"/>
      <c r="AV221" s="42"/>
      <c r="AW221" s="43"/>
      <c r="AX221" s="54">
        <f t="shared" si="1"/>
        <v>3825.28</v>
      </c>
      <c r="AY221" s="52">
        <f t="shared" si="2"/>
        <v>344</v>
      </c>
      <c r="AZ221" s="52">
        <v>0.0</v>
      </c>
      <c r="BA221" s="52">
        <f t="shared" si="3"/>
        <v>344</v>
      </c>
      <c r="BB221" s="49">
        <f t="shared" si="4"/>
        <v>11.12</v>
      </c>
    </row>
    <row r="222" ht="15.75" customHeight="1">
      <c r="A222" s="50" t="s">
        <v>49</v>
      </c>
      <c r="B222" s="51">
        <f t="shared" si="5"/>
        <v>45875</v>
      </c>
      <c r="C222" s="52">
        <v>8.0</v>
      </c>
      <c r="D222" s="52" t="s">
        <v>72</v>
      </c>
      <c r="E222" s="53"/>
      <c r="F222" s="41">
        <v>0.0</v>
      </c>
      <c r="H222" s="42">
        <v>0.0</v>
      </c>
      <c r="J222" s="42">
        <v>0.0</v>
      </c>
      <c r="L222" s="42">
        <v>0.0</v>
      </c>
      <c r="N222" s="42">
        <v>0.0</v>
      </c>
      <c r="P222" s="42">
        <v>0.0</v>
      </c>
      <c r="Q222" s="43"/>
      <c r="R222" s="41">
        <v>172.0</v>
      </c>
      <c r="T222" s="42">
        <v>172.0</v>
      </c>
      <c r="V222" s="42">
        <v>0.0</v>
      </c>
      <c r="X222" s="42">
        <v>0.0</v>
      </c>
      <c r="Z222" s="42">
        <v>0.0</v>
      </c>
      <c r="AB222" s="42">
        <v>0.0</v>
      </c>
      <c r="AC222" s="43"/>
      <c r="AD222" s="42">
        <v>0.0</v>
      </c>
      <c r="AF222" s="42">
        <v>0.0</v>
      </c>
      <c r="AH222" s="42">
        <v>0.0</v>
      </c>
      <c r="AJ222" s="41"/>
      <c r="AK222" s="43"/>
      <c r="AL222" s="46">
        <v>0.0</v>
      </c>
      <c r="AM222" s="43"/>
      <c r="AN222" s="41"/>
      <c r="AO222" s="43"/>
      <c r="AP222" s="41"/>
      <c r="AQ222" s="43"/>
      <c r="AR222" s="41"/>
      <c r="AS222" s="43"/>
      <c r="AT222" s="42"/>
      <c r="AV222" s="42"/>
      <c r="AW222" s="43"/>
      <c r="AX222" s="54">
        <f t="shared" si="1"/>
        <v>3825.28</v>
      </c>
      <c r="AY222" s="52">
        <f t="shared" si="2"/>
        <v>344</v>
      </c>
      <c r="AZ222" s="52">
        <v>0.0</v>
      </c>
      <c r="BA222" s="52">
        <f t="shared" si="3"/>
        <v>344</v>
      </c>
      <c r="BB222" s="49">
        <f t="shared" si="4"/>
        <v>11.12</v>
      </c>
    </row>
    <row r="223" ht="15.75" customHeight="1">
      <c r="A223" s="50" t="s">
        <v>50</v>
      </c>
      <c r="B223" s="51">
        <f t="shared" si="5"/>
        <v>45876</v>
      </c>
      <c r="C223" s="52">
        <v>8.0</v>
      </c>
      <c r="D223" s="52" t="s">
        <v>72</v>
      </c>
      <c r="E223" s="53"/>
      <c r="F223" s="41">
        <v>0.0</v>
      </c>
      <c r="H223" s="42">
        <v>0.0</v>
      </c>
      <c r="J223" s="42">
        <v>0.0</v>
      </c>
      <c r="L223" s="42">
        <v>0.0</v>
      </c>
      <c r="N223" s="42">
        <v>0.0</v>
      </c>
      <c r="P223" s="42">
        <v>0.0</v>
      </c>
      <c r="Q223" s="43"/>
      <c r="R223" s="41">
        <v>172.0</v>
      </c>
      <c r="T223" s="42">
        <v>172.0</v>
      </c>
      <c r="V223" s="42">
        <v>0.0</v>
      </c>
      <c r="X223" s="42">
        <v>0.0</v>
      </c>
      <c r="Z223" s="42">
        <v>0.0</v>
      </c>
      <c r="AB223" s="42">
        <v>0.0</v>
      </c>
      <c r="AC223" s="43"/>
      <c r="AD223" s="42">
        <v>0.0</v>
      </c>
      <c r="AF223" s="42">
        <v>0.0</v>
      </c>
      <c r="AH223" s="42">
        <v>0.0</v>
      </c>
      <c r="AJ223" s="41"/>
      <c r="AK223" s="43"/>
      <c r="AL223" s="46">
        <v>0.0</v>
      </c>
      <c r="AM223" s="43"/>
      <c r="AN223" s="41"/>
      <c r="AO223" s="43"/>
      <c r="AP223" s="41"/>
      <c r="AQ223" s="43"/>
      <c r="AR223" s="41"/>
      <c r="AS223" s="43"/>
      <c r="AT223" s="42"/>
      <c r="AV223" s="42"/>
      <c r="AW223" s="43"/>
      <c r="AX223" s="54">
        <f t="shared" si="1"/>
        <v>3825.28</v>
      </c>
      <c r="AY223" s="52">
        <f t="shared" si="2"/>
        <v>344</v>
      </c>
      <c r="AZ223" s="52">
        <v>0.0</v>
      </c>
      <c r="BA223" s="52">
        <f t="shared" si="3"/>
        <v>344</v>
      </c>
      <c r="BB223" s="49">
        <f t="shared" si="4"/>
        <v>11.12</v>
      </c>
    </row>
    <row r="224" ht="15.75" customHeight="1">
      <c r="A224" s="50" t="s">
        <v>53</v>
      </c>
      <c r="B224" s="51">
        <f t="shared" si="5"/>
        <v>45877</v>
      </c>
      <c r="C224" s="52">
        <v>8.0</v>
      </c>
      <c r="D224" s="52" t="s">
        <v>72</v>
      </c>
      <c r="E224" s="53"/>
      <c r="F224" s="41">
        <v>0.0</v>
      </c>
      <c r="H224" s="42">
        <v>0.0</v>
      </c>
      <c r="J224" s="42">
        <v>0.0</v>
      </c>
      <c r="L224" s="42">
        <v>0.0</v>
      </c>
      <c r="N224" s="42">
        <v>0.0</v>
      </c>
      <c r="P224" s="42">
        <v>0.0</v>
      </c>
      <c r="Q224" s="43"/>
      <c r="R224" s="41">
        <v>172.0</v>
      </c>
      <c r="T224" s="42">
        <v>172.0</v>
      </c>
      <c r="V224" s="42">
        <v>0.0</v>
      </c>
      <c r="X224" s="42">
        <v>0.0</v>
      </c>
      <c r="Z224" s="42">
        <v>0.0</v>
      </c>
      <c r="AB224" s="42">
        <v>0.0</v>
      </c>
      <c r="AC224" s="43"/>
      <c r="AD224" s="42">
        <v>0.0</v>
      </c>
      <c r="AF224" s="42">
        <v>0.0</v>
      </c>
      <c r="AH224" s="42">
        <v>0.0</v>
      </c>
      <c r="AJ224" s="41"/>
      <c r="AK224" s="43"/>
      <c r="AL224" s="46">
        <v>0.0</v>
      </c>
      <c r="AM224" s="43"/>
      <c r="AN224" s="41"/>
      <c r="AO224" s="43"/>
      <c r="AP224" s="41"/>
      <c r="AQ224" s="43"/>
      <c r="AR224" s="41"/>
      <c r="AS224" s="43"/>
      <c r="AT224" s="42"/>
      <c r="AV224" s="42"/>
      <c r="AW224" s="43"/>
      <c r="AX224" s="54">
        <f t="shared" si="1"/>
        <v>3825.28</v>
      </c>
      <c r="AY224" s="52">
        <f t="shared" si="2"/>
        <v>344</v>
      </c>
      <c r="AZ224" s="52">
        <v>0.0</v>
      </c>
      <c r="BA224" s="52">
        <f t="shared" si="3"/>
        <v>344</v>
      </c>
      <c r="BB224" s="49">
        <f t="shared" si="4"/>
        <v>11.12</v>
      </c>
    </row>
    <row r="225" ht="15.75" customHeight="1">
      <c r="A225" s="50" t="s">
        <v>54</v>
      </c>
      <c r="B225" s="51">
        <f t="shared" si="5"/>
        <v>45878</v>
      </c>
      <c r="C225" s="52">
        <v>8.0</v>
      </c>
      <c r="D225" s="52" t="s">
        <v>72</v>
      </c>
      <c r="E225" s="53"/>
      <c r="F225" s="41">
        <v>0.0</v>
      </c>
      <c r="H225" s="42">
        <v>0.0</v>
      </c>
      <c r="J225" s="42">
        <v>0.0</v>
      </c>
      <c r="L225" s="42">
        <v>0.0</v>
      </c>
      <c r="N225" s="42">
        <v>0.0</v>
      </c>
      <c r="P225" s="42">
        <v>0.0</v>
      </c>
      <c r="Q225" s="43"/>
      <c r="R225" s="41">
        <v>160.0</v>
      </c>
      <c r="T225" s="42">
        <v>160.0</v>
      </c>
      <c r="V225" s="42">
        <v>0.0</v>
      </c>
      <c r="X225" s="42">
        <v>0.0</v>
      </c>
      <c r="Z225" s="42">
        <v>0.0</v>
      </c>
      <c r="AB225" s="42">
        <v>0.0</v>
      </c>
      <c r="AC225" s="43"/>
      <c r="AD225" s="42">
        <v>0.0</v>
      </c>
      <c r="AF225" s="42">
        <v>0.0</v>
      </c>
      <c r="AH225" s="42">
        <v>0.0</v>
      </c>
      <c r="AJ225" s="41"/>
      <c r="AK225" s="43"/>
      <c r="AL225" s="46">
        <v>0.0</v>
      </c>
      <c r="AM225" s="43"/>
      <c r="AN225" s="41"/>
      <c r="AO225" s="43"/>
      <c r="AP225" s="41"/>
      <c r="AQ225" s="43"/>
      <c r="AR225" s="41"/>
      <c r="AS225" s="43"/>
      <c r="AT225" s="42"/>
      <c r="AV225" s="42"/>
      <c r="AW225" s="43"/>
      <c r="AX225" s="54">
        <f t="shared" si="1"/>
        <v>3558.4</v>
      </c>
      <c r="AY225" s="52">
        <f t="shared" si="2"/>
        <v>320</v>
      </c>
      <c r="AZ225" s="52">
        <v>0.0</v>
      </c>
      <c r="BA225" s="52">
        <f t="shared" si="3"/>
        <v>320</v>
      </c>
      <c r="BB225" s="49">
        <f t="shared" si="4"/>
        <v>11.12</v>
      </c>
    </row>
    <row r="226" ht="15.75" customHeight="1">
      <c r="A226" s="59" t="s">
        <v>61</v>
      </c>
      <c r="B226" s="61">
        <f t="shared" si="5"/>
        <v>45879</v>
      </c>
      <c r="C226" s="63">
        <v>8.0</v>
      </c>
      <c r="D226" s="63" t="s">
        <v>72</v>
      </c>
      <c r="E226" s="64"/>
      <c r="F226" s="65">
        <v>0.0</v>
      </c>
      <c r="G226" s="66"/>
      <c r="H226" s="67">
        <v>0.0</v>
      </c>
      <c r="I226" s="66"/>
      <c r="J226" s="67">
        <v>0.0</v>
      </c>
      <c r="K226" s="66"/>
      <c r="L226" s="67">
        <v>0.0</v>
      </c>
      <c r="M226" s="66"/>
      <c r="N226" s="67">
        <v>0.0</v>
      </c>
      <c r="O226" s="66"/>
      <c r="P226" s="67">
        <v>0.0</v>
      </c>
      <c r="Q226" s="68"/>
      <c r="R226" s="65">
        <v>0.0</v>
      </c>
      <c r="S226" s="66"/>
      <c r="T226" s="67">
        <v>0.0</v>
      </c>
      <c r="U226" s="66"/>
      <c r="V226" s="67">
        <v>0.0</v>
      </c>
      <c r="W226" s="66"/>
      <c r="X226" s="67">
        <v>0.0</v>
      </c>
      <c r="Y226" s="66"/>
      <c r="Z226" s="67">
        <v>0.0</v>
      </c>
      <c r="AA226" s="66"/>
      <c r="AB226" s="67">
        <v>0.0</v>
      </c>
      <c r="AC226" s="68"/>
      <c r="AD226" s="67">
        <v>0.0</v>
      </c>
      <c r="AE226" s="66"/>
      <c r="AF226" s="67">
        <v>0.0</v>
      </c>
      <c r="AG226" s="66"/>
      <c r="AH226" s="67">
        <v>0.0</v>
      </c>
      <c r="AI226" s="66"/>
      <c r="AJ226" s="65"/>
      <c r="AK226" s="68"/>
      <c r="AL226" s="71">
        <v>0.0</v>
      </c>
      <c r="AM226" s="68"/>
      <c r="AN226" s="65"/>
      <c r="AO226" s="68"/>
      <c r="AP226" s="65"/>
      <c r="AQ226" s="68"/>
      <c r="AR226" s="65"/>
      <c r="AS226" s="68"/>
      <c r="AT226" s="67"/>
      <c r="AU226" s="66"/>
      <c r="AV226" s="67"/>
      <c r="AW226" s="68"/>
      <c r="AX226" s="73">
        <f t="shared" si="1"/>
        <v>0</v>
      </c>
      <c r="AY226" s="63">
        <f t="shared" si="2"/>
        <v>0</v>
      </c>
      <c r="AZ226" s="63">
        <v>0.0</v>
      </c>
      <c r="BA226" s="63">
        <f t="shared" si="3"/>
        <v>0</v>
      </c>
      <c r="BB226" s="74" t="str">
        <f t="shared" si="4"/>
        <v/>
      </c>
    </row>
    <row r="227" ht="15.75" customHeight="1">
      <c r="A227" s="36" t="s">
        <v>46</v>
      </c>
      <c r="B227" s="75">
        <f t="shared" si="5"/>
        <v>45880</v>
      </c>
      <c r="C227" s="38">
        <v>9.0</v>
      </c>
      <c r="D227" s="38" t="s">
        <v>47</v>
      </c>
      <c r="E227" s="40"/>
      <c r="F227" s="41">
        <v>0.0</v>
      </c>
      <c r="H227" s="42">
        <v>0.0</v>
      </c>
      <c r="J227" s="42">
        <v>0.0</v>
      </c>
      <c r="L227" s="42">
        <v>0.0</v>
      </c>
      <c r="N227" s="42">
        <v>0.0</v>
      </c>
      <c r="P227" s="42">
        <v>0.0</v>
      </c>
      <c r="Q227" s="43"/>
      <c r="R227" s="41">
        <v>160.0</v>
      </c>
      <c r="T227" s="42">
        <v>160.0</v>
      </c>
      <c r="V227" s="42">
        <v>0.0</v>
      </c>
      <c r="X227" s="42">
        <v>0.0</v>
      </c>
      <c r="Z227" s="42">
        <v>0.0</v>
      </c>
      <c r="AB227" s="42">
        <v>0.0</v>
      </c>
      <c r="AC227" s="43"/>
      <c r="AD227" s="42">
        <v>0.0</v>
      </c>
      <c r="AF227" s="42">
        <v>0.0</v>
      </c>
      <c r="AH227" s="42">
        <v>0.0</v>
      </c>
      <c r="AJ227" s="41"/>
      <c r="AK227" s="43"/>
      <c r="AL227" s="46">
        <v>0.0</v>
      </c>
      <c r="AM227" s="43"/>
      <c r="AN227" s="41"/>
      <c r="AO227" s="43"/>
      <c r="AP227" s="41"/>
      <c r="AQ227" s="43"/>
      <c r="AR227" s="41"/>
      <c r="AS227" s="43"/>
      <c r="AT227" s="42"/>
      <c r="AV227" s="42"/>
      <c r="AW227" s="43"/>
      <c r="AX227" s="47">
        <f t="shared" si="1"/>
        <v>3558.4</v>
      </c>
      <c r="AY227" s="38">
        <f t="shared" si="2"/>
        <v>320</v>
      </c>
      <c r="AZ227" s="38">
        <v>0.0</v>
      </c>
      <c r="BA227" s="38">
        <f t="shared" si="3"/>
        <v>320</v>
      </c>
      <c r="BB227" s="76">
        <f t="shared" si="4"/>
        <v>11.12</v>
      </c>
    </row>
    <row r="228" ht="15.75" customHeight="1">
      <c r="A228" s="50" t="s">
        <v>48</v>
      </c>
      <c r="B228" s="51">
        <f t="shared" si="5"/>
        <v>45881</v>
      </c>
      <c r="C228" s="52">
        <v>9.0</v>
      </c>
      <c r="D228" s="52" t="s">
        <v>47</v>
      </c>
      <c r="E228" s="53"/>
      <c r="F228" s="41">
        <v>0.0</v>
      </c>
      <c r="H228" s="42">
        <v>0.0</v>
      </c>
      <c r="J228" s="42">
        <v>0.0</v>
      </c>
      <c r="L228" s="42">
        <v>0.0</v>
      </c>
      <c r="N228" s="42">
        <v>0.0</v>
      </c>
      <c r="P228" s="42">
        <v>0.0</v>
      </c>
      <c r="Q228" s="43"/>
      <c r="R228" s="41">
        <v>160.0</v>
      </c>
      <c r="T228" s="42">
        <v>160.0</v>
      </c>
      <c r="V228" s="42">
        <v>0.0</v>
      </c>
      <c r="X228" s="42">
        <v>0.0</v>
      </c>
      <c r="Z228" s="42">
        <v>0.0</v>
      </c>
      <c r="AB228" s="42">
        <v>0.0</v>
      </c>
      <c r="AC228" s="43"/>
      <c r="AD228" s="42">
        <v>0.0</v>
      </c>
      <c r="AF228" s="42">
        <v>0.0</v>
      </c>
      <c r="AH228" s="42">
        <v>50.0</v>
      </c>
      <c r="AJ228" s="41"/>
      <c r="AK228" s="43"/>
      <c r="AL228" s="46">
        <v>0.0</v>
      </c>
      <c r="AM228" s="43"/>
      <c r="AN228" s="41"/>
      <c r="AO228" s="43"/>
      <c r="AP228" s="41"/>
      <c r="AQ228" s="43"/>
      <c r="AR228" s="41"/>
      <c r="AS228" s="43"/>
      <c r="AT228" s="42"/>
      <c r="AV228" s="42"/>
      <c r="AW228" s="43"/>
      <c r="AX228" s="54">
        <f t="shared" si="1"/>
        <v>4352.9</v>
      </c>
      <c r="AY228" s="52">
        <f t="shared" si="2"/>
        <v>370</v>
      </c>
      <c r="AZ228" s="52">
        <v>0.0</v>
      </c>
      <c r="BA228" s="52">
        <f t="shared" si="3"/>
        <v>370</v>
      </c>
      <c r="BB228" s="49">
        <f t="shared" si="4"/>
        <v>11.76459459</v>
      </c>
    </row>
    <row r="229" ht="15.75" customHeight="1">
      <c r="A229" s="50" t="s">
        <v>49</v>
      </c>
      <c r="B229" s="51">
        <f t="shared" si="5"/>
        <v>45882</v>
      </c>
      <c r="C229" s="52">
        <v>9.0</v>
      </c>
      <c r="D229" s="52" t="s">
        <v>47</v>
      </c>
      <c r="E229" s="92"/>
      <c r="F229" s="41">
        <v>0.0</v>
      </c>
      <c r="H229" s="42">
        <v>0.0</v>
      </c>
      <c r="J229" s="42">
        <v>0.0</v>
      </c>
      <c r="L229" s="42">
        <v>0.0</v>
      </c>
      <c r="N229" s="42">
        <v>0.0</v>
      </c>
      <c r="P229" s="42">
        <v>0.0</v>
      </c>
      <c r="Q229" s="43"/>
      <c r="R229" s="41">
        <v>160.0</v>
      </c>
      <c r="T229" s="42">
        <v>160.0</v>
      </c>
      <c r="V229" s="42">
        <v>0.0</v>
      </c>
      <c r="X229" s="42">
        <v>0.0</v>
      </c>
      <c r="Z229" s="42">
        <v>0.0</v>
      </c>
      <c r="AB229" s="42">
        <v>0.0</v>
      </c>
      <c r="AC229" s="43"/>
      <c r="AD229" s="42">
        <v>0.0</v>
      </c>
      <c r="AF229" s="42">
        <v>0.0</v>
      </c>
      <c r="AH229" s="42">
        <v>50.0</v>
      </c>
      <c r="AJ229" s="41"/>
      <c r="AK229" s="43"/>
      <c r="AL229" s="106"/>
      <c r="AM229" s="43"/>
      <c r="AN229" s="41"/>
      <c r="AO229" s="43"/>
      <c r="AP229" s="41"/>
      <c r="AQ229" s="43"/>
      <c r="AR229" s="41"/>
      <c r="AS229" s="43"/>
      <c r="AT229" s="42"/>
      <c r="AV229" s="42"/>
      <c r="AW229" s="43"/>
      <c r="AX229" s="54">
        <f t="shared" si="1"/>
        <v>4352.9</v>
      </c>
      <c r="AY229" s="52">
        <f t="shared" si="2"/>
        <v>370</v>
      </c>
      <c r="AZ229" s="52">
        <v>0.0</v>
      </c>
      <c r="BA229" s="52">
        <f t="shared" si="3"/>
        <v>370</v>
      </c>
      <c r="BB229" s="49">
        <f t="shared" si="4"/>
        <v>11.76459459</v>
      </c>
    </row>
    <row r="230" ht="15.75" customHeight="1">
      <c r="A230" s="50" t="s">
        <v>50</v>
      </c>
      <c r="B230" s="51">
        <f t="shared" si="5"/>
        <v>45883</v>
      </c>
      <c r="C230" s="52">
        <v>9.0</v>
      </c>
      <c r="D230" s="52" t="s">
        <v>47</v>
      </c>
      <c r="E230" s="53"/>
      <c r="F230" s="41">
        <v>0.0</v>
      </c>
      <c r="H230" s="42">
        <v>0.0</v>
      </c>
      <c r="J230" s="42">
        <v>0.0</v>
      </c>
      <c r="L230" s="42">
        <v>0.0</v>
      </c>
      <c r="N230" s="42">
        <v>0.0</v>
      </c>
      <c r="P230" s="42">
        <v>0.0</v>
      </c>
      <c r="Q230" s="43"/>
      <c r="R230" s="41">
        <v>160.0</v>
      </c>
      <c r="T230" s="42">
        <v>160.0</v>
      </c>
      <c r="V230" s="42">
        <v>0.0</v>
      </c>
      <c r="X230" s="42">
        <v>0.0</v>
      </c>
      <c r="Z230" s="42">
        <v>0.0</v>
      </c>
      <c r="AB230" s="42">
        <v>0.0</v>
      </c>
      <c r="AC230" s="43"/>
      <c r="AD230" s="42">
        <v>0.0</v>
      </c>
      <c r="AF230" s="42">
        <v>0.0</v>
      </c>
      <c r="AH230" s="42">
        <v>50.0</v>
      </c>
      <c r="AJ230" s="41"/>
      <c r="AK230" s="43"/>
      <c r="AL230" s="46">
        <v>0.0</v>
      </c>
      <c r="AM230" s="43"/>
      <c r="AN230" s="41"/>
      <c r="AO230" s="43"/>
      <c r="AP230" s="41"/>
      <c r="AQ230" s="43"/>
      <c r="AR230" s="41"/>
      <c r="AS230" s="43"/>
      <c r="AT230" s="42"/>
      <c r="AV230" s="42"/>
      <c r="AW230" s="43"/>
      <c r="AX230" s="54">
        <f t="shared" si="1"/>
        <v>4352.9</v>
      </c>
      <c r="AY230" s="52">
        <f t="shared" si="2"/>
        <v>370</v>
      </c>
      <c r="AZ230" s="52">
        <v>0.0</v>
      </c>
      <c r="BA230" s="52">
        <f t="shared" si="3"/>
        <v>370</v>
      </c>
      <c r="BB230" s="49">
        <f t="shared" si="4"/>
        <v>11.76459459</v>
      </c>
    </row>
    <row r="231" ht="15.75" customHeight="1">
      <c r="A231" s="50" t="s">
        <v>53</v>
      </c>
      <c r="B231" s="51">
        <f t="shared" si="5"/>
        <v>45884</v>
      </c>
      <c r="C231" s="52">
        <v>9.0</v>
      </c>
      <c r="D231" s="52" t="s">
        <v>47</v>
      </c>
      <c r="E231" s="53"/>
      <c r="F231" s="41">
        <v>0.0</v>
      </c>
      <c r="H231" s="42">
        <v>0.0</v>
      </c>
      <c r="J231" s="42">
        <v>0.0</v>
      </c>
      <c r="L231" s="42">
        <v>0.0</v>
      </c>
      <c r="N231" s="42">
        <v>0.0</v>
      </c>
      <c r="P231" s="42">
        <v>0.0</v>
      </c>
      <c r="Q231" s="43"/>
      <c r="R231" s="41">
        <v>160.0</v>
      </c>
      <c r="T231" s="42">
        <v>160.0</v>
      </c>
      <c r="V231" s="42">
        <v>0.0</v>
      </c>
      <c r="X231" s="42">
        <v>0.0</v>
      </c>
      <c r="Z231" s="42">
        <v>0.0</v>
      </c>
      <c r="AB231" s="42">
        <v>0.0</v>
      </c>
      <c r="AC231" s="43"/>
      <c r="AD231" s="42">
        <v>0.0</v>
      </c>
      <c r="AF231" s="42">
        <v>0.0</v>
      </c>
      <c r="AH231" s="42">
        <v>50.0</v>
      </c>
      <c r="AJ231" s="41"/>
      <c r="AK231" s="43"/>
      <c r="AL231" s="46">
        <v>0.0</v>
      </c>
      <c r="AM231" s="43"/>
      <c r="AN231" s="41"/>
      <c r="AO231" s="43"/>
      <c r="AP231" s="41"/>
      <c r="AQ231" s="43"/>
      <c r="AR231" s="41"/>
      <c r="AS231" s="43"/>
      <c r="AT231" s="42"/>
      <c r="AV231" s="42"/>
      <c r="AW231" s="43"/>
      <c r="AX231" s="54">
        <f t="shared" si="1"/>
        <v>4352.9</v>
      </c>
      <c r="AY231" s="52">
        <f t="shared" si="2"/>
        <v>370</v>
      </c>
      <c r="AZ231" s="52">
        <v>0.0</v>
      </c>
      <c r="BA231" s="52">
        <f t="shared" si="3"/>
        <v>370</v>
      </c>
      <c r="BB231" s="49">
        <f t="shared" si="4"/>
        <v>11.76459459</v>
      </c>
    </row>
    <row r="232" ht="15.75" customHeight="1">
      <c r="A232" s="50" t="s">
        <v>54</v>
      </c>
      <c r="B232" s="51">
        <f t="shared" si="5"/>
        <v>45885</v>
      </c>
      <c r="C232" s="52">
        <v>9.0</v>
      </c>
      <c r="D232" s="52" t="s">
        <v>47</v>
      </c>
      <c r="E232" s="53"/>
      <c r="F232" s="41">
        <v>0.0</v>
      </c>
      <c r="H232" s="42">
        <v>0.0</v>
      </c>
      <c r="J232" s="42">
        <v>0.0</v>
      </c>
      <c r="L232" s="42">
        <v>0.0</v>
      </c>
      <c r="N232" s="42">
        <v>0.0</v>
      </c>
      <c r="P232" s="42">
        <v>0.0</v>
      </c>
      <c r="Q232" s="43"/>
      <c r="R232" s="41">
        <v>160.0</v>
      </c>
      <c r="T232" s="42">
        <v>160.0</v>
      </c>
      <c r="V232" s="42">
        <v>0.0</v>
      </c>
      <c r="X232" s="42">
        <v>0.0</v>
      </c>
      <c r="Z232" s="42">
        <v>0.0</v>
      </c>
      <c r="AB232" s="42">
        <v>0.0</v>
      </c>
      <c r="AC232" s="43"/>
      <c r="AD232" s="42">
        <v>0.0</v>
      </c>
      <c r="AF232" s="42">
        <v>0.0</v>
      </c>
      <c r="AH232" s="42">
        <v>50.0</v>
      </c>
      <c r="AJ232" s="41"/>
      <c r="AK232" s="43"/>
      <c r="AL232" s="46">
        <v>0.0</v>
      </c>
      <c r="AM232" s="43"/>
      <c r="AN232" s="41"/>
      <c r="AO232" s="43"/>
      <c r="AP232" s="41"/>
      <c r="AQ232" s="43"/>
      <c r="AR232" s="41"/>
      <c r="AS232" s="43"/>
      <c r="AT232" s="42"/>
      <c r="AV232" s="42"/>
      <c r="AW232" s="43"/>
      <c r="AX232" s="54">
        <f t="shared" si="1"/>
        <v>4352.9</v>
      </c>
      <c r="AY232" s="52">
        <f t="shared" si="2"/>
        <v>370</v>
      </c>
      <c r="AZ232" s="52">
        <v>0.0</v>
      </c>
      <c r="BA232" s="52">
        <f t="shared" si="3"/>
        <v>370</v>
      </c>
      <c r="BB232" s="49">
        <f t="shared" si="4"/>
        <v>11.76459459</v>
      </c>
    </row>
    <row r="233" ht="15.75" customHeight="1">
      <c r="A233" s="59" t="s">
        <v>61</v>
      </c>
      <c r="B233" s="61">
        <f t="shared" si="5"/>
        <v>45886</v>
      </c>
      <c r="C233" s="63">
        <v>9.0</v>
      </c>
      <c r="D233" s="63" t="s">
        <v>47</v>
      </c>
      <c r="E233" s="64"/>
      <c r="F233" s="65">
        <v>0.0</v>
      </c>
      <c r="G233" s="66"/>
      <c r="H233" s="67">
        <v>0.0</v>
      </c>
      <c r="I233" s="66"/>
      <c r="J233" s="67">
        <v>0.0</v>
      </c>
      <c r="K233" s="66"/>
      <c r="L233" s="67">
        <v>0.0</v>
      </c>
      <c r="M233" s="66"/>
      <c r="N233" s="67">
        <v>0.0</v>
      </c>
      <c r="O233" s="66"/>
      <c r="P233" s="67">
        <v>0.0</v>
      </c>
      <c r="Q233" s="68"/>
      <c r="R233" s="65">
        <v>0.0</v>
      </c>
      <c r="S233" s="66"/>
      <c r="T233" s="67">
        <v>0.0</v>
      </c>
      <c r="U233" s="66"/>
      <c r="V233" s="67">
        <v>0.0</v>
      </c>
      <c r="W233" s="66"/>
      <c r="X233" s="67">
        <v>0.0</v>
      </c>
      <c r="Y233" s="66"/>
      <c r="Z233" s="67">
        <v>0.0</v>
      </c>
      <c r="AA233" s="66"/>
      <c r="AB233" s="67">
        <v>0.0</v>
      </c>
      <c r="AC233" s="68"/>
      <c r="AD233" s="67">
        <v>0.0</v>
      </c>
      <c r="AE233" s="66"/>
      <c r="AF233" s="67">
        <v>0.0</v>
      </c>
      <c r="AG233" s="66"/>
      <c r="AH233" s="67">
        <v>0.0</v>
      </c>
      <c r="AI233" s="66"/>
      <c r="AJ233" s="65"/>
      <c r="AK233" s="68"/>
      <c r="AL233" s="71">
        <v>0.0</v>
      </c>
      <c r="AM233" s="68"/>
      <c r="AN233" s="65"/>
      <c r="AO233" s="68"/>
      <c r="AP233" s="65"/>
      <c r="AQ233" s="68"/>
      <c r="AR233" s="65"/>
      <c r="AS233" s="68"/>
      <c r="AT233" s="67"/>
      <c r="AU233" s="66"/>
      <c r="AV233" s="67"/>
      <c r="AW233" s="68"/>
      <c r="AX233" s="73">
        <f t="shared" si="1"/>
        <v>0</v>
      </c>
      <c r="AY233" s="63">
        <f t="shared" si="2"/>
        <v>0</v>
      </c>
      <c r="AZ233" s="63">
        <v>0.0</v>
      </c>
      <c r="BA233" s="63">
        <f t="shared" si="3"/>
        <v>0</v>
      </c>
      <c r="BB233" s="74" t="str">
        <f t="shared" si="4"/>
        <v/>
      </c>
    </row>
    <row r="234" ht="15.75" customHeight="1">
      <c r="A234" s="36" t="s">
        <v>46</v>
      </c>
      <c r="B234" s="75">
        <f t="shared" si="5"/>
        <v>45887</v>
      </c>
      <c r="C234" s="38">
        <v>9.0</v>
      </c>
      <c r="D234" s="38" t="s">
        <v>65</v>
      </c>
      <c r="E234" s="40"/>
      <c r="F234" s="41">
        <v>0.0</v>
      </c>
      <c r="H234" s="42">
        <v>0.0</v>
      </c>
      <c r="J234" s="42">
        <v>0.0</v>
      </c>
      <c r="L234" s="42">
        <v>0.0</v>
      </c>
      <c r="N234" s="42">
        <v>0.0</v>
      </c>
      <c r="P234" s="42">
        <v>0.0</v>
      </c>
      <c r="Q234" s="43"/>
      <c r="R234" s="41">
        <v>160.0</v>
      </c>
      <c r="T234" s="42">
        <v>160.0</v>
      </c>
      <c r="V234" s="42">
        <v>0.0</v>
      </c>
      <c r="X234" s="42">
        <v>0.0</v>
      </c>
      <c r="Z234" s="42">
        <v>0.0</v>
      </c>
      <c r="AB234" s="42">
        <v>0.0</v>
      </c>
      <c r="AC234" s="43"/>
      <c r="AD234" s="42">
        <v>0.0</v>
      </c>
      <c r="AF234" s="42">
        <v>0.0</v>
      </c>
      <c r="AH234" s="42">
        <v>0.0</v>
      </c>
      <c r="AJ234" s="41"/>
      <c r="AK234" s="43"/>
      <c r="AL234" s="46">
        <v>0.0</v>
      </c>
      <c r="AM234" s="43"/>
      <c r="AN234" s="41"/>
      <c r="AO234" s="43"/>
      <c r="AP234" s="41"/>
      <c r="AQ234" s="43"/>
      <c r="AR234" s="41"/>
      <c r="AS234" s="43"/>
      <c r="AT234" s="42"/>
      <c r="AV234" s="42"/>
      <c r="AW234" s="43"/>
      <c r="AX234" s="47">
        <f t="shared" si="1"/>
        <v>3558.4</v>
      </c>
      <c r="AY234" s="38">
        <f t="shared" si="2"/>
        <v>320</v>
      </c>
      <c r="AZ234" s="38">
        <v>0.0</v>
      </c>
      <c r="BA234" s="38">
        <f t="shared" si="3"/>
        <v>320</v>
      </c>
      <c r="BB234" s="76">
        <f t="shared" si="4"/>
        <v>11.12</v>
      </c>
    </row>
    <row r="235" ht="15.75" customHeight="1">
      <c r="A235" s="50" t="s">
        <v>48</v>
      </c>
      <c r="B235" s="51">
        <f t="shared" si="5"/>
        <v>45888</v>
      </c>
      <c r="C235" s="52">
        <v>9.0</v>
      </c>
      <c r="D235" s="52" t="s">
        <v>65</v>
      </c>
      <c r="E235" s="53"/>
      <c r="F235" s="41">
        <v>0.0</v>
      </c>
      <c r="H235" s="42">
        <v>0.0</v>
      </c>
      <c r="J235" s="42">
        <v>0.0</v>
      </c>
      <c r="L235" s="42">
        <v>0.0</v>
      </c>
      <c r="N235" s="42">
        <v>0.0</v>
      </c>
      <c r="P235" s="42">
        <v>0.0</v>
      </c>
      <c r="Q235" s="43"/>
      <c r="R235" s="41">
        <v>160.0</v>
      </c>
      <c r="T235" s="42">
        <v>160.0</v>
      </c>
      <c r="V235" s="42">
        <v>0.0</v>
      </c>
      <c r="X235" s="42">
        <v>0.0</v>
      </c>
      <c r="Z235" s="42">
        <v>0.0</v>
      </c>
      <c r="AB235" s="42">
        <v>0.0</v>
      </c>
      <c r="AC235" s="43"/>
      <c r="AD235" s="42">
        <v>0.0</v>
      </c>
      <c r="AF235" s="42">
        <v>50.0</v>
      </c>
      <c r="AH235" s="42">
        <v>50.0</v>
      </c>
      <c r="AJ235" s="41"/>
      <c r="AK235" s="43"/>
      <c r="AL235" s="46">
        <v>0.0</v>
      </c>
      <c r="AM235" s="43"/>
      <c r="AN235" s="41"/>
      <c r="AO235" s="43"/>
      <c r="AP235" s="41"/>
      <c r="AQ235" s="43"/>
      <c r="AR235" s="41"/>
      <c r="AS235" s="43"/>
      <c r="AT235" s="42"/>
      <c r="AV235" s="42"/>
      <c r="AW235" s="43"/>
      <c r="AX235" s="54">
        <f t="shared" si="1"/>
        <v>5147.4</v>
      </c>
      <c r="AY235" s="52">
        <f t="shared" si="2"/>
        <v>420</v>
      </c>
      <c r="AZ235" s="52">
        <v>0.0</v>
      </c>
      <c r="BA235" s="52">
        <f t="shared" si="3"/>
        <v>420</v>
      </c>
      <c r="BB235" s="49">
        <f t="shared" si="4"/>
        <v>12.25571429</v>
      </c>
    </row>
    <row r="236" ht="15.75" customHeight="1">
      <c r="A236" s="50" t="s">
        <v>49</v>
      </c>
      <c r="B236" s="51">
        <f t="shared" si="5"/>
        <v>45889</v>
      </c>
      <c r="C236" s="52">
        <v>9.0</v>
      </c>
      <c r="D236" s="52" t="s">
        <v>65</v>
      </c>
      <c r="E236" s="53"/>
      <c r="F236" s="41">
        <v>0.0</v>
      </c>
      <c r="H236" s="42">
        <v>0.0</v>
      </c>
      <c r="J236" s="42">
        <v>0.0</v>
      </c>
      <c r="L236" s="42">
        <v>0.0</v>
      </c>
      <c r="N236" s="42">
        <v>0.0</v>
      </c>
      <c r="P236" s="42">
        <v>0.0</v>
      </c>
      <c r="Q236" s="43"/>
      <c r="R236" s="41">
        <v>50.0</v>
      </c>
      <c r="T236" s="42">
        <v>50.0</v>
      </c>
      <c r="V236" s="42">
        <v>0.0</v>
      </c>
      <c r="X236" s="42">
        <v>0.0</v>
      </c>
      <c r="Z236" s="42">
        <v>0.0</v>
      </c>
      <c r="AB236" s="42">
        <v>0.0</v>
      </c>
      <c r="AC236" s="43"/>
      <c r="AD236" s="42">
        <v>0.0</v>
      </c>
      <c r="AF236" s="42">
        <v>50.0</v>
      </c>
      <c r="AH236" s="42">
        <v>50.0</v>
      </c>
      <c r="AJ236" s="41"/>
      <c r="AK236" s="43"/>
      <c r="AL236" s="46">
        <v>0.0</v>
      </c>
      <c r="AM236" s="43"/>
      <c r="AN236" s="41"/>
      <c r="AO236" s="43"/>
      <c r="AP236" s="41"/>
      <c r="AQ236" s="43"/>
      <c r="AR236" s="41"/>
      <c r="AS236" s="43"/>
      <c r="AT236" s="42"/>
      <c r="AV236" s="42"/>
      <c r="AW236" s="43"/>
      <c r="AX236" s="54">
        <f t="shared" si="1"/>
        <v>2701</v>
      </c>
      <c r="AY236" s="52">
        <f t="shared" si="2"/>
        <v>200</v>
      </c>
      <c r="AZ236" s="52">
        <v>0.0</v>
      </c>
      <c r="BA236" s="52">
        <f t="shared" si="3"/>
        <v>200</v>
      </c>
      <c r="BB236" s="49">
        <f t="shared" si="4"/>
        <v>13.505</v>
      </c>
    </row>
    <row r="237" ht="15.75" customHeight="1">
      <c r="A237" s="50" t="s">
        <v>50</v>
      </c>
      <c r="B237" s="51">
        <f t="shared" si="5"/>
        <v>45890</v>
      </c>
      <c r="C237" s="52">
        <v>9.0</v>
      </c>
      <c r="D237" s="52" t="s">
        <v>65</v>
      </c>
      <c r="E237" s="53"/>
      <c r="F237" s="41">
        <v>0.0</v>
      </c>
      <c r="H237" s="42">
        <v>0.0</v>
      </c>
      <c r="J237" s="42">
        <v>0.0</v>
      </c>
      <c r="L237" s="42">
        <v>0.0</v>
      </c>
      <c r="N237" s="42">
        <v>0.0</v>
      </c>
      <c r="P237" s="42">
        <v>0.0</v>
      </c>
      <c r="Q237" s="43"/>
      <c r="R237" s="41">
        <v>50.0</v>
      </c>
      <c r="T237" s="42">
        <v>50.0</v>
      </c>
      <c r="V237" s="42">
        <v>0.0</v>
      </c>
      <c r="X237" s="42">
        <v>0.0</v>
      </c>
      <c r="Z237" s="42">
        <v>0.0</v>
      </c>
      <c r="AB237" s="42">
        <v>0.0</v>
      </c>
      <c r="AC237" s="43"/>
      <c r="AD237" s="42">
        <v>0.0</v>
      </c>
      <c r="AF237" s="42">
        <v>0.0</v>
      </c>
      <c r="AH237" s="42">
        <v>50.0</v>
      </c>
      <c r="AJ237" s="41"/>
      <c r="AK237" s="43"/>
      <c r="AL237" s="46">
        <v>0.0</v>
      </c>
      <c r="AM237" s="43"/>
      <c r="AN237" s="41"/>
      <c r="AO237" s="43"/>
      <c r="AP237" s="41"/>
      <c r="AQ237" s="43"/>
      <c r="AR237" s="41"/>
      <c r="AS237" s="43"/>
      <c r="AT237" s="42"/>
      <c r="AV237" s="42"/>
      <c r="AW237" s="43"/>
      <c r="AX237" s="54">
        <f t="shared" si="1"/>
        <v>1906.5</v>
      </c>
      <c r="AY237" s="52">
        <f t="shared" si="2"/>
        <v>150</v>
      </c>
      <c r="AZ237" s="52">
        <v>0.0</v>
      </c>
      <c r="BA237" s="52">
        <f t="shared" si="3"/>
        <v>150</v>
      </c>
      <c r="BB237" s="49">
        <f t="shared" si="4"/>
        <v>12.71</v>
      </c>
    </row>
    <row r="238" ht="15.75" customHeight="1">
      <c r="A238" s="50" t="s">
        <v>53</v>
      </c>
      <c r="B238" s="51">
        <f t="shared" si="5"/>
        <v>45891</v>
      </c>
      <c r="C238" s="52">
        <v>9.0</v>
      </c>
      <c r="D238" s="52" t="s">
        <v>65</v>
      </c>
      <c r="E238" s="53"/>
      <c r="F238" s="41">
        <v>0.0</v>
      </c>
      <c r="H238" s="42">
        <v>0.0</v>
      </c>
      <c r="J238" s="42">
        <v>0.0</v>
      </c>
      <c r="L238" s="42">
        <v>0.0</v>
      </c>
      <c r="N238" s="42">
        <v>0.0</v>
      </c>
      <c r="P238" s="42">
        <v>0.0</v>
      </c>
      <c r="Q238" s="43"/>
      <c r="R238" s="41">
        <v>75.0</v>
      </c>
      <c r="T238" s="42">
        <v>75.0</v>
      </c>
      <c r="V238" s="42">
        <v>0.0</v>
      </c>
      <c r="X238" s="42">
        <v>0.0</v>
      </c>
      <c r="Z238" s="42">
        <v>0.0</v>
      </c>
      <c r="AB238" s="42">
        <v>0.0</v>
      </c>
      <c r="AC238" s="43"/>
      <c r="AD238" s="42">
        <v>0.0</v>
      </c>
      <c r="AF238" s="42">
        <v>50.0</v>
      </c>
      <c r="AH238" s="42">
        <v>50.0</v>
      </c>
      <c r="AJ238" s="41"/>
      <c r="AK238" s="43"/>
      <c r="AL238" s="46">
        <v>0.0</v>
      </c>
      <c r="AM238" s="43"/>
      <c r="AN238" s="41"/>
      <c r="AO238" s="43"/>
      <c r="AP238" s="41"/>
      <c r="AQ238" s="43"/>
      <c r="AR238" s="41"/>
      <c r="AS238" s="43"/>
      <c r="AT238" s="42"/>
      <c r="AV238" s="42"/>
      <c r="AW238" s="43"/>
      <c r="AX238" s="54">
        <f t="shared" si="1"/>
        <v>3257</v>
      </c>
      <c r="AY238" s="52">
        <f t="shared" si="2"/>
        <v>250</v>
      </c>
      <c r="AZ238" s="52">
        <v>0.0</v>
      </c>
      <c r="BA238" s="52">
        <f t="shared" si="3"/>
        <v>250</v>
      </c>
      <c r="BB238" s="49">
        <f t="shared" si="4"/>
        <v>13.028</v>
      </c>
    </row>
    <row r="239" ht="15.75" customHeight="1">
      <c r="A239" s="50" t="s">
        <v>54</v>
      </c>
      <c r="B239" s="51">
        <f t="shared" si="5"/>
        <v>45892</v>
      </c>
      <c r="C239" s="52">
        <v>9.0</v>
      </c>
      <c r="D239" s="52" t="s">
        <v>65</v>
      </c>
      <c r="E239" s="53"/>
      <c r="F239" s="41">
        <v>0.0</v>
      </c>
      <c r="H239" s="42">
        <v>0.0</v>
      </c>
      <c r="J239" s="42">
        <v>0.0</v>
      </c>
      <c r="L239" s="42">
        <v>0.0</v>
      </c>
      <c r="N239" s="42">
        <v>0.0</v>
      </c>
      <c r="P239" s="42">
        <v>0.0</v>
      </c>
      <c r="Q239" s="43"/>
      <c r="R239" s="41">
        <v>75.0</v>
      </c>
      <c r="T239" s="42">
        <v>75.0</v>
      </c>
      <c r="V239" s="42">
        <v>0.0</v>
      </c>
      <c r="X239" s="42">
        <v>0.0</v>
      </c>
      <c r="Z239" s="42">
        <v>0.0</v>
      </c>
      <c r="AB239" s="42">
        <v>0.0</v>
      </c>
      <c r="AC239" s="43"/>
      <c r="AD239" s="42">
        <v>0.0</v>
      </c>
      <c r="AF239" s="42">
        <v>50.0</v>
      </c>
      <c r="AH239" s="42">
        <v>0.0</v>
      </c>
      <c r="AJ239" s="41"/>
      <c r="AK239" s="43"/>
      <c r="AL239" s="46">
        <v>0.0</v>
      </c>
      <c r="AM239" s="43"/>
      <c r="AN239" s="41"/>
      <c r="AO239" s="43"/>
      <c r="AP239" s="41"/>
      <c r="AQ239" s="43"/>
      <c r="AR239" s="41"/>
      <c r="AS239" s="43"/>
      <c r="AT239" s="42"/>
      <c r="AV239" s="42"/>
      <c r="AW239" s="43"/>
      <c r="AX239" s="54">
        <f t="shared" si="1"/>
        <v>2462.5</v>
      </c>
      <c r="AY239" s="52">
        <f t="shared" si="2"/>
        <v>200</v>
      </c>
      <c r="AZ239" s="52">
        <v>0.0</v>
      </c>
      <c r="BA239" s="52">
        <f t="shared" si="3"/>
        <v>200</v>
      </c>
      <c r="BB239" s="49">
        <f t="shared" si="4"/>
        <v>12.3125</v>
      </c>
    </row>
    <row r="240" ht="15.75" customHeight="1">
      <c r="A240" s="59" t="s">
        <v>61</v>
      </c>
      <c r="B240" s="61">
        <f t="shared" si="5"/>
        <v>45893</v>
      </c>
      <c r="C240" s="63">
        <v>9.0</v>
      </c>
      <c r="D240" s="63" t="s">
        <v>65</v>
      </c>
      <c r="E240" s="64"/>
      <c r="F240" s="65">
        <v>0.0</v>
      </c>
      <c r="G240" s="66"/>
      <c r="H240" s="67">
        <v>0.0</v>
      </c>
      <c r="I240" s="66"/>
      <c r="J240" s="67">
        <v>0.0</v>
      </c>
      <c r="K240" s="66"/>
      <c r="L240" s="67">
        <v>0.0</v>
      </c>
      <c r="M240" s="66"/>
      <c r="N240" s="67">
        <v>0.0</v>
      </c>
      <c r="O240" s="66"/>
      <c r="P240" s="67">
        <v>0.0</v>
      </c>
      <c r="Q240" s="68"/>
      <c r="R240" s="65">
        <v>0.0</v>
      </c>
      <c r="S240" s="66"/>
      <c r="T240" s="67">
        <v>0.0</v>
      </c>
      <c r="U240" s="66"/>
      <c r="V240" s="67">
        <v>0.0</v>
      </c>
      <c r="W240" s="66"/>
      <c r="X240" s="67">
        <v>0.0</v>
      </c>
      <c r="Y240" s="66"/>
      <c r="Z240" s="67">
        <v>0.0</v>
      </c>
      <c r="AA240" s="66"/>
      <c r="AB240" s="67">
        <v>0.0</v>
      </c>
      <c r="AC240" s="68"/>
      <c r="AD240" s="67">
        <v>0.0</v>
      </c>
      <c r="AE240" s="66"/>
      <c r="AF240" s="67">
        <v>0.0</v>
      </c>
      <c r="AG240" s="66"/>
      <c r="AH240" s="67">
        <v>0.0</v>
      </c>
      <c r="AI240" s="66"/>
      <c r="AJ240" s="65"/>
      <c r="AK240" s="68"/>
      <c r="AL240" s="71">
        <v>0.0</v>
      </c>
      <c r="AM240" s="68"/>
      <c r="AN240" s="65"/>
      <c r="AO240" s="68"/>
      <c r="AP240" s="65"/>
      <c r="AQ240" s="68"/>
      <c r="AR240" s="65"/>
      <c r="AS240" s="68"/>
      <c r="AT240" s="67"/>
      <c r="AU240" s="66"/>
      <c r="AV240" s="67"/>
      <c r="AW240" s="68"/>
      <c r="AX240" s="73">
        <f t="shared" si="1"/>
        <v>0</v>
      </c>
      <c r="AY240" s="63">
        <f t="shared" si="2"/>
        <v>0</v>
      </c>
      <c r="AZ240" s="63">
        <v>0.0</v>
      </c>
      <c r="BA240" s="63">
        <f t="shared" si="3"/>
        <v>0</v>
      </c>
      <c r="BB240" s="74" t="str">
        <f t="shared" si="4"/>
        <v/>
      </c>
    </row>
    <row r="241" ht="15.75" customHeight="1">
      <c r="A241" s="36" t="s">
        <v>46</v>
      </c>
      <c r="B241" s="75">
        <f t="shared" si="5"/>
        <v>45894</v>
      </c>
      <c r="C241" s="38">
        <v>9.0</v>
      </c>
      <c r="D241" s="38" t="s">
        <v>69</v>
      </c>
      <c r="E241" s="40"/>
      <c r="F241" s="41">
        <v>0.0</v>
      </c>
      <c r="H241" s="42">
        <v>0.0</v>
      </c>
      <c r="J241" s="42">
        <v>0.0</v>
      </c>
      <c r="L241" s="42">
        <v>0.0</v>
      </c>
      <c r="N241" s="42">
        <v>0.0</v>
      </c>
      <c r="P241" s="42">
        <v>0.0</v>
      </c>
      <c r="Q241" s="43"/>
      <c r="R241" s="41">
        <v>75.0</v>
      </c>
      <c r="T241" s="42">
        <v>75.0</v>
      </c>
      <c r="V241" s="42">
        <v>0.0</v>
      </c>
      <c r="X241" s="42">
        <v>0.0</v>
      </c>
      <c r="Z241" s="42">
        <v>0.0</v>
      </c>
      <c r="AB241" s="42">
        <v>0.0</v>
      </c>
      <c r="AC241" s="43"/>
      <c r="AD241" s="42">
        <v>0.0</v>
      </c>
      <c r="AF241" s="42">
        <v>0.0</v>
      </c>
      <c r="AH241" s="42">
        <v>0.0</v>
      </c>
      <c r="AJ241" s="41"/>
      <c r="AK241" s="43"/>
      <c r="AL241" s="46">
        <v>0.0</v>
      </c>
      <c r="AM241" s="43"/>
      <c r="AN241" s="41"/>
      <c r="AO241" s="43"/>
      <c r="AP241" s="41"/>
      <c r="AQ241" s="43"/>
      <c r="AR241" s="41"/>
      <c r="AS241" s="43"/>
      <c r="AT241" s="42"/>
      <c r="AV241" s="42"/>
      <c r="AW241" s="43"/>
      <c r="AX241" s="47">
        <f t="shared" si="1"/>
        <v>1668</v>
      </c>
      <c r="AY241" s="38">
        <f t="shared" si="2"/>
        <v>150</v>
      </c>
      <c r="AZ241" s="38">
        <v>0.0</v>
      </c>
      <c r="BA241" s="38">
        <f t="shared" si="3"/>
        <v>150</v>
      </c>
      <c r="BB241" s="76">
        <f t="shared" si="4"/>
        <v>11.12</v>
      </c>
    </row>
    <row r="242" ht="15.75" customHeight="1">
      <c r="A242" s="50" t="s">
        <v>48</v>
      </c>
      <c r="B242" s="51">
        <f t="shared" si="5"/>
        <v>45895</v>
      </c>
      <c r="C242" s="52">
        <v>9.0</v>
      </c>
      <c r="D242" s="52" t="s">
        <v>69</v>
      </c>
      <c r="E242" s="53"/>
      <c r="F242" s="41">
        <v>0.0</v>
      </c>
      <c r="H242" s="42">
        <v>0.0</v>
      </c>
      <c r="J242" s="42">
        <v>0.0</v>
      </c>
      <c r="L242" s="42">
        <v>0.0</v>
      </c>
      <c r="N242" s="42">
        <v>0.0</v>
      </c>
      <c r="P242" s="42">
        <v>0.0</v>
      </c>
      <c r="Q242" s="43"/>
      <c r="R242" s="41">
        <v>55.0</v>
      </c>
      <c r="T242" s="42">
        <v>55.0</v>
      </c>
      <c r="V242" s="42">
        <v>0.0</v>
      </c>
      <c r="X242" s="42">
        <v>0.0</v>
      </c>
      <c r="Z242" s="42">
        <v>0.0</v>
      </c>
      <c r="AB242" s="42">
        <v>0.0</v>
      </c>
      <c r="AC242" s="43"/>
      <c r="AD242" s="42">
        <v>0.0</v>
      </c>
      <c r="AF242" s="42">
        <v>0.0</v>
      </c>
      <c r="AH242" s="42">
        <v>0.0</v>
      </c>
      <c r="AJ242" s="41"/>
      <c r="AK242" s="43"/>
      <c r="AL242" s="46">
        <v>0.0</v>
      </c>
      <c r="AM242" s="43"/>
      <c r="AN242" s="41"/>
      <c r="AO242" s="43"/>
      <c r="AP242" s="41"/>
      <c r="AQ242" s="43"/>
      <c r="AR242" s="41"/>
      <c r="AS242" s="43"/>
      <c r="AT242" s="42"/>
      <c r="AV242" s="42"/>
      <c r="AW242" s="43"/>
      <c r="AX242" s="54">
        <f t="shared" si="1"/>
        <v>1223.2</v>
      </c>
      <c r="AY242" s="52">
        <f t="shared" si="2"/>
        <v>110</v>
      </c>
      <c r="AZ242" s="52">
        <v>0.0</v>
      </c>
      <c r="BA242" s="52">
        <f t="shared" si="3"/>
        <v>110</v>
      </c>
      <c r="BB242" s="49">
        <f t="shared" si="4"/>
        <v>11.12</v>
      </c>
    </row>
    <row r="243" ht="15.75" customHeight="1">
      <c r="A243" s="50" t="s">
        <v>49</v>
      </c>
      <c r="B243" s="51">
        <f t="shared" si="5"/>
        <v>45896</v>
      </c>
      <c r="C243" s="52">
        <v>9.0</v>
      </c>
      <c r="D243" s="52" t="s">
        <v>69</v>
      </c>
      <c r="E243" s="53"/>
      <c r="F243" s="41">
        <v>0.0</v>
      </c>
      <c r="H243" s="42">
        <v>0.0</v>
      </c>
      <c r="J243" s="42">
        <v>0.0</v>
      </c>
      <c r="L243" s="42">
        <v>0.0</v>
      </c>
      <c r="N243" s="42">
        <v>0.0</v>
      </c>
      <c r="P243" s="42">
        <v>0.0</v>
      </c>
      <c r="Q243" s="43"/>
      <c r="R243" s="41">
        <v>55.0</v>
      </c>
      <c r="T243" s="42">
        <v>55.0</v>
      </c>
      <c r="V243" s="42">
        <v>0.0</v>
      </c>
      <c r="X243" s="42">
        <v>0.0</v>
      </c>
      <c r="Z243" s="42">
        <v>0.0</v>
      </c>
      <c r="AB243" s="42">
        <v>0.0</v>
      </c>
      <c r="AC243" s="43"/>
      <c r="AD243" s="42">
        <v>0.0</v>
      </c>
      <c r="AF243" s="42">
        <v>0.0</v>
      </c>
      <c r="AH243" s="42">
        <v>0.0</v>
      </c>
      <c r="AJ243" s="41"/>
      <c r="AK243" s="43"/>
      <c r="AL243" s="46">
        <v>0.0</v>
      </c>
      <c r="AM243" s="43"/>
      <c r="AN243" s="41"/>
      <c r="AO243" s="43"/>
      <c r="AP243" s="41"/>
      <c r="AQ243" s="43"/>
      <c r="AR243" s="41"/>
      <c r="AS243" s="43"/>
      <c r="AT243" s="42"/>
      <c r="AV243" s="42"/>
      <c r="AW243" s="43"/>
      <c r="AX243" s="54">
        <f t="shared" si="1"/>
        <v>1223.2</v>
      </c>
      <c r="AY243" s="52">
        <f t="shared" si="2"/>
        <v>110</v>
      </c>
      <c r="AZ243" s="52">
        <v>0.0</v>
      </c>
      <c r="BA243" s="52">
        <f t="shared" si="3"/>
        <v>110</v>
      </c>
      <c r="BB243" s="49">
        <f t="shared" si="4"/>
        <v>11.12</v>
      </c>
    </row>
    <row r="244" ht="15.75" customHeight="1">
      <c r="A244" s="50" t="s">
        <v>50</v>
      </c>
      <c r="B244" s="51">
        <f t="shared" si="5"/>
        <v>45897</v>
      </c>
      <c r="C244" s="52">
        <v>9.0</v>
      </c>
      <c r="D244" s="52" t="s">
        <v>69</v>
      </c>
      <c r="E244" s="53"/>
      <c r="F244" s="41">
        <v>0.0</v>
      </c>
      <c r="H244" s="42">
        <v>0.0</v>
      </c>
      <c r="J244" s="42">
        <v>0.0</v>
      </c>
      <c r="L244" s="42">
        <v>0.0</v>
      </c>
      <c r="N244" s="42">
        <v>0.0</v>
      </c>
      <c r="P244" s="42">
        <v>0.0</v>
      </c>
      <c r="Q244" s="43"/>
      <c r="R244" s="41">
        <v>75.0</v>
      </c>
      <c r="T244" s="42">
        <v>75.0</v>
      </c>
      <c r="V244" s="42">
        <v>0.0</v>
      </c>
      <c r="X244" s="42">
        <v>0.0</v>
      </c>
      <c r="Z244" s="42">
        <v>0.0</v>
      </c>
      <c r="AB244" s="42">
        <v>0.0</v>
      </c>
      <c r="AC244" s="43"/>
      <c r="AD244" s="42">
        <v>0.0</v>
      </c>
      <c r="AF244" s="42">
        <v>0.0</v>
      </c>
      <c r="AH244" s="42">
        <v>0.0</v>
      </c>
      <c r="AJ244" s="41"/>
      <c r="AK244" s="43"/>
      <c r="AL244" s="46">
        <v>0.0</v>
      </c>
      <c r="AM244" s="43"/>
      <c r="AN244" s="41"/>
      <c r="AO244" s="43"/>
      <c r="AP244" s="41"/>
      <c r="AQ244" s="43"/>
      <c r="AR244" s="41"/>
      <c r="AS244" s="43"/>
      <c r="AT244" s="42"/>
      <c r="AV244" s="42"/>
      <c r="AW244" s="43"/>
      <c r="AX244" s="54">
        <f t="shared" si="1"/>
        <v>1668</v>
      </c>
      <c r="AY244" s="52">
        <f t="shared" si="2"/>
        <v>150</v>
      </c>
      <c r="AZ244" s="52">
        <v>0.0</v>
      </c>
      <c r="BA244" s="52">
        <f t="shared" si="3"/>
        <v>150</v>
      </c>
      <c r="BB244" s="49">
        <f t="shared" si="4"/>
        <v>11.12</v>
      </c>
    </row>
    <row r="245" ht="15.75" customHeight="1">
      <c r="A245" s="50" t="s">
        <v>53</v>
      </c>
      <c r="B245" s="51">
        <f t="shared" si="5"/>
        <v>45898</v>
      </c>
      <c r="C245" s="52">
        <v>9.0</v>
      </c>
      <c r="D245" s="52" t="s">
        <v>69</v>
      </c>
      <c r="E245" s="53"/>
      <c r="F245" s="41">
        <v>0.0</v>
      </c>
      <c r="H245" s="42">
        <v>0.0</v>
      </c>
      <c r="J245" s="42">
        <v>0.0</v>
      </c>
      <c r="L245" s="42">
        <v>0.0</v>
      </c>
      <c r="N245" s="42">
        <v>0.0</v>
      </c>
      <c r="P245" s="42">
        <v>0.0</v>
      </c>
      <c r="Q245" s="43"/>
      <c r="R245" s="41">
        <v>75.0</v>
      </c>
      <c r="T245" s="42">
        <v>75.0</v>
      </c>
      <c r="V245" s="42">
        <v>0.0</v>
      </c>
      <c r="X245" s="42">
        <v>0.0</v>
      </c>
      <c r="Z245" s="42">
        <v>0.0</v>
      </c>
      <c r="AB245" s="42">
        <v>0.0</v>
      </c>
      <c r="AC245" s="43"/>
      <c r="AD245" s="42">
        <v>0.0</v>
      </c>
      <c r="AF245" s="42">
        <v>0.0</v>
      </c>
      <c r="AH245" s="42">
        <v>0.0</v>
      </c>
      <c r="AJ245" s="41"/>
      <c r="AK245" s="43"/>
      <c r="AL245" s="46">
        <v>0.0</v>
      </c>
      <c r="AM245" s="43"/>
      <c r="AN245" s="41"/>
      <c r="AO245" s="43"/>
      <c r="AP245" s="41"/>
      <c r="AQ245" s="43"/>
      <c r="AR245" s="41"/>
      <c r="AS245" s="43"/>
      <c r="AT245" s="42"/>
      <c r="AV245" s="42"/>
      <c r="AW245" s="43"/>
      <c r="AX245" s="54">
        <f t="shared" si="1"/>
        <v>1668</v>
      </c>
      <c r="AY245" s="52">
        <f t="shared" si="2"/>
        <v>150</v>
      </c>
      <c r="AZ245" s="52">
        <v>0.0</v>
      </c>
      <c r="BA245" s="52">
        <f t="shared" si="3"/>
        <v>150</v>
      </c>
      <c r="BB245" s="49">
        <f t="shared" si="4"/>
        <v>11.12</v>
      </c>
    </row>
    <row r="246" ht="15.75" customHeight="1">
      <c r="A246" s="50" t="s">
        <v>54</v>
      </c>
      <c r="B246" s="51">
        <f t="shared" si="5"/>
        <v>45899</v>
      </c>
      <c r="C246" s="52">
        <v>9.0</v>
      </c>
      <c r="D246" s="52" t="s">
        <v>69</v>
      </c>
      <c r="E246" s="53"/>
      <c r="F246" s="41">
        <v>0.0</v>
      </c>
      <c r="H246" s="42">
        <v>0.0</v>
      </c>
      <c r="J246" s="42">
        <v>0.0</v>
      </c>
      <c r="L246" s="42">
        <v>0.0</v>
      </c>
      <c r="N246" s="42">
        <v>0.0</v>
      </c>
      <c r="P246" s="42">
        <v>0.0</v>
      </c>
      <c r="Q246" s="43"/>
      <c r="R246" s="41">
        <v>75.0</v>
      </c>
      <c r="T246" s="42">
        <v>75.0</v>
      </c>
      <c r="V246" s="42">
        <v>0.0</v>
      </c>
      <c r="X246" s="42">
        <v>0.0</v>
      </c>
      <c r="Z246" s="42">
        <v>0.0</v>
      </c>
      <c r="AB246" s="42">
        <v>0.0</v>
      </c>
      <c r="AC246" s="43"/>
      <c r="AD246" s="42">
        <v>0.0</v>
      </c>
      <c r="AF246" s="42">
        <v>0.0</v>
      </c>
      <c r="AH246" s="42">
        <v>0.0</v>
      </c>
      <c r="AJ246" s="41"/>
      <c r="AK246" s="43"/>
      <c r="AL246" s="46">
        <v>0.0</v>
      </c>
      <c r="AM246" s="43"/>
      <c r="AN246" s="41"/>
      <c r="AO246" s="43"/>
      <c r="AP246" s="41"/>
      <c r="AQ246" s="43"/>
      <c r="AR246" s="41"/>
      <c r="AS246" s="43"/>
      <c r="AT246" s="42"/>
      <c r="AV246" s="42"/>
      <c r="AW246" s="43"/>
      <c r="AX246" s="54">
        <f t="shared" si="1"/>
        <v>1668</v>
      </c>
      <c r="AY246" s="52">
        <f t="shared" si="2"/>
        <v>150</v>
      </c>
      <c r="AZ246" s="52">
        <v>0.0</v>
      </c>
      <c r="BA246" s="52">
        <f t="shared" si="3"/>
        <v>150</v>
      </c>
      <c r="BB246" s="49">
        <f t="shared" si="4"/>
        <v>11.12</v>
      </c>
    </row>
    <row r="247" ht="15.75" customHeight="1">
      <c r="A247" s="59" t="s">
        <v>61</v>
      </c>
      <c r="B247" s="61">
        <f t="shared" si="5"/>
        <v>45900</v>
      </c>
      <c r="C247" s="63">
        <v>9.0</v>
      </c>
      <c r="D247" s="63" t="s">
        <v>69</v>
      </c>
      <c r="E247" s="64"/>
      <c r="F247" s="65">
        <v>0.0</v>
      </c>
      <c r="G247" s="66"/>
      <c r="H247" s="67">
        <v>0.0</v>
      </c>
      <c r="I247" s="66"/>
      <c r="J247" s="67">
        <v>0.0</v>
      </c>
      <c r="K247" s="66"/>
      <c r="L247" s="67">
        <v>0.0</v>
      </c>
      <c r="M247" s="66"/>
      <c r="N247" s="67">
        <v>0.0</v>
      </c>
      <c r="O247" s="66"/>
      <c r="P247" s="67">
        <v>0.0</v>
      </c>
      <c r="Q247" s="68"/>
      <c r="R247" s="65">
        <v>0.0</v>
      </c>
      <c r="S247" s="66"/>
      <c r="T247" s="67">
        <v>0.0</v>
      </c>
      <c r="U247" s="66"/>
      <c r="V247" s="67">
        <v>0.0</v>
      </c>
      <c r="W247" s="66"/>
      <c r="X247" s="67">
        <v>0.0</v>
      </c>
      <c r="Y247" s="66"/>
      <c r="Z247" s="67">
        <v>0.0</v>
      </c>
      <c r="AA247" s="66"/>
      <c r="AB247" s="67">
        <v>0.0</v>
      </c>
      <c r="AC247" s="68"/>
      <c r="AD247" s="67">
        <v>0.0</v>
      </c>
      <c r="AE247" s="66"/>
      <c r="AF247" s="67">
        <v>0.0</v>
      </c>
      <c r="AG247" s="66"/>
      <c r="AH247" s="67">
        <v>0.0</v>
      </c>
      <c r="AI247" s="66"/>
      <c r="AJ247" s="65"/>
      <c r="AK247" s="68"/>
      <c r="AL247" s="71">
        <v>0.0</v>
      </c>
      <c r="AM247" s="68"/>
      <c r="AN247" s="65"/>
      <c r="AO247" s="68"/>
      <c r="AP247" s="65"/>
      <c r="AQ247" s="68"/>
      <c r="AR247" s="65"/>
      <c r="AS247" s="68"/>
      <c r="AT247" s="67"/>
      <c r="AU247" s="66"/>
      <c r="AV247" s="67"/>
      <c r="AW247" s="68"/>
      <c r="AX247" s="73">
        <f t="shared" si="1"/>
        <v>0</v>
      </c>
      <c r="AY247" s="63">
        <f t="shared" si="2"/>
        <v>0</v>
      </c>
      <c r="AZ247" s="63">
        <v>0.0</v>
      </c>
      <c r="BA247" s="63">
        <f t="shared" si="3"/>
        <v>0</v>
      </c>
      <c r="BB247" s="74" t="str">
        <f t="shared" si="4"/>
        <v/>
      </c>
    </row>
    <row r="248" ht="15.75" customHeight="1">
      <c r="A248" s="36" t="s">
        <v>46</v>
      </c>
      <c r="B248" s="75">
        <f t="shared" si="5"/>
        <v>45901</v>
      </c>
      <c r="C248" s="38">
        <v>9.0</v>
      </c>
      <c r="D248" s="38" t="s">
        <v>72</v>
      </c>
      <c r="E248" s="40"/>
      <c r="F248" s="41">
        <v>0.0</v>
      </c>
      <c r="H248" s="42">
        <v>0.0</v>
      </c>
      <c r="J248" s="42">
        <v>0.0</v>
      </c>
      <c r="L248" s="42">
        <v>0.0</v>
      </c>
      <c r="N248" s="42">
        <v>0.0</v>
      </c>
      <c r="P248" s="42">
        <v>0.0</v>
      </c>
      <c r="Q248" s="43"/>
      <c r="R248" s="41">
        <v>75.0</v>
      </c>
      <c r="T248" s="42">
        <v>75.0</v>
      </c>
      <c r="V248" s="42">
        <v>0.0</v>
      </c>
      <c r="X248" s="42">
        <v>0.0</v>
      </c>
      <c r="Z248" s="42">
        <v>0.0</v>
      </c>
      <c r="AB248" s="42">
        <v>0.0</v>
      </c>
      <c r="AC248" s="43"/>
      <c r="AD248" s="42">
        <v>0.0</v>
      </c>
      <c r="AF248" s="42">
        <v>0.0</v>
      </c>
      <c r="AH248" s="42">
        <v>0.0</v>
      </c>
      <c r="AJ248" s="41"/>
      <c r="AK248" s="43"/>
      <c r="AL248" s="46">
        <v>0.0</v>
      </c>
      <c r="AM248" s="43"/>
      <c r="AN248" s="41"/>
      <c r="AO248" s="43"/>
      <c r="AP248" s="41"/>
      <c r="AQ248" s="43"/>
      <c r="AR248" s="41"/>
      <c r="AS248" s="43"/>
      <c r="AT248" s="42"/>
      <c r="AV248" s="42"/>
      <c r="AW248" s="43"/>
      <c r="AX248" s="47">
        <f t="shared" si="1"/>
        <v>1668</v>
      </c>
      <c r="AY248" s="38">
        <f t="shared" si="2"/>
        <v>150</v>
      </c>
      <c r="AZ248" s="38">
        <v>0.0</v>
      </c>
      <c r="BA248" s="38">
        <f t="shared" si="3"/>
        <v>150</v>
      </c>
      <c r="BB248" s="76">
        <f t="shared" si="4"/>
        <v>11.12</v>
      </c>
    </row>
    <row r="249" ht="15.75" customHeight="1">
      <c r="A249" s="50" t="s">
        <v>48</v>
      </c>
      <c r="B249" s="51">
        <f t="shared" si="5"/>
        <v>45902</v>
      </c>
      <c r="C249" s="52">
        <v>9.0</v>
      </c>
      <c r="D249" s="52" t="s">
        <v>72</v>
      </c>
      <c r="E249" s="53"/>
      <c r="F249" s="41">
        <v>0.0</v>
      </c>
      <c r="H249" s="42">
        <v>0.0</v>
      </c>
      <c r="J249" s="42">
        <v>0.0</v>
      </c>
      <c r="L249" s="42">
        <v>0.0</v>
      </c>
      <c r="N249" s="42">
        <v>0.0</v>
      </c>
      <c r="P249" s="42">
        <v>0.0</v>
      </c>
      <c r="Q249" s="43"/>
      <c r="R249" s="41">
        <v>75.0</v>
      </c>
      <c r="T249" s="42">
        <v>75.0</v>
      </c>
      <c r="V249" s="42">
        <v>0.0</v>
      </c>
      <c r="X249" s="42">
        <v>0.0</v>
      </c>
      <c r="Z249" s="42">
        <v>0.0</v>
      </c>
      <c r="AB249" s="42">
        <v>0.0</v>
      </c>
      <c r="AC249" s="43"/>
      <c r="AD249" s="42">
        <v>0.0</v>
      </c>
      <c r="AF249" s="42">
        <v>50.0</v>
      </c>
      <c r="AH249" s="42">
        <v>50.0</v>
      </c>
      <c r="AJ249" s="41"/>
      <c r="AK249" s="43"/>
      <c r="AL249" s="46">
        <v>0.0</v>
      </c>
      <c r="AM249" s="43"/>
      <c r="AN249" s="41"/>
      <c r="AO249" s="43"/>
      <c r="AP249" s="41"/>
      <c r="AQ249" s="43"/>
      <c r="AR249" s="41"/>
      <c r="AS249" s="43"/>
      <c r="AT249" s="42"/>
      <c r="AV249" s="42"/>
      <c r="AW249" s="43"/>
      <c r="AX249" s="54">
        <f t="shared" si="1"/>
        <v>3257</v>
      </c>
      <c r="AY249" s="52">
        <f t="shared" si="2"/>
        <v>250</v>
      </c>
      <c r="AZ249" s="52">
        <v>0.0</v>
      </c>
      <c r="BA249" s="52">
        <f t="shared" si="3"/>
        <v>250</v>
      </c>
      <c r="BB249" s="49">
        <f t="shared" si="4"/>
        <v>13.028</v>
      </c>
    </row>
    <row r="250" ht="15.75" customHeight="1">
      <c r="A250" s="50" t="s">
        <v>49</v>
      </c>
      <c r="B250" s="51">
        <f t="shared" si="5"/>
        <v>45903</v>
      </c>
      <c r="C250" s="52">
        <v>9.0</v>
      </c>
      <c r="D250" s="52" t="s">
        <v>72</v>
      </c>
      <c r="E250" s="53"/>
      <c r="F250" s="41">
        <v>0.0</v>
      </c>
      <c r="H250" s="42">
        <v>0.0</v>
      </c>
      <c r="J250" s="42">
        <v>0.0</v>
      </c>
      <c r="L250" s="42">
        <v>0.0</v>
      </c>
      <c r="N250" s="42">
        <v>0.0</v>
      </c>
      <c r="P250" s="42">
        <v>0.0</v>
      </c>
      <c r="Q250" s="43"/>
      <c r="R250" s="41">
        <v>75.0</v>
      </c>
      <c r="T250" s="42">
        <v>75.0</v>
      </c>
      <c r="V250" s="42">
        <v>0.0</v>
      </c>
      <c r="X250" s="42">
        <v>0.0</v>
      </c>
      <c r="Z250" s="42">
        <v>0.0</v>
      </c>
      <c r="AB250" s="42">
        <v>0.0</v>
      </c>
      <c r="AC250" s="43"/>
      <c r="AD250" s="42">
        <v>0.0</v>
      </c>
      <c r="AF250" s="42">
        <v>50.0</v>
      </c>
      <c r="AH250" s="42">
        <v>50.0</v>
      </c>
      <c r="AJ250" s="41"/>
      <c r="AK250" s="43"/>
      <c r="AL250" s="46">
        <v>0.0</v>
      </c>
      <c r="AM250" s="43"/>
      <c r="AN250" s="41"/>
      <c r="AO250" s="43"/>
      <c r="AP250" s="41"/>
      <c r="AQ250" s="43"/>
      <c r="AR250" s="41"/>
      <c r="AS250" s="43"/>
      <c r="AT250" s="42"/>
      <c r="AV250" s="42"/>
      <c r="AW250" s="43"/>
      <c r="AX250" s="54">
        <f t="shared" si="1"/>
        <v>3257</v>
      </c>
      <c r="AY250" s="52">
        <f t="shared" si="2"/>
        <v>250</v>
      </c>
      <c r="AZ250" s="52">
        <v>0.0</v>
      </c>
      <c r="BA250" s="52">
        <f t="shared" si="3"/>
        <v>250</v>
      </c>
      <c r="BB250" s="49">
        <f t="shared" si="4"/>
        <v>13.028</v>
      </c>
    </row>
    <row r="251" ht="15.75" customHeight="1">
      <c r="A251" s="50" t="s">
        <v>50</v>
      </c>
      <c r="B251" s="51">
        <f t="shared" si="5"/>
        <v>45904</v>
      </c>
      <c r="C251" s="52">
        <v>9.0</v>
      </c>
      <c r="D251" s="52" t="s">
        <v>72</v>
      </c>
      <c r="E251" s="53"/>
      <c r="F251" s="41">
        <v>0.0</v>
      </c>
      <c r="H251" s="42">
        <v>0.0</v>
      </c>
      <c r="J251" s="42">
        <v>0.0</v>
      </c>
      <c r="L251" s="42">
        <v>0.0</v>
      </c>
      <c r="N251" s="42">
        <v>0.0</v>
      </c>
      <c r="P251" s="42">
        <v>0.0</v>
      </c>
      <c r="Q251" s="43"/>
      <c r="R251" s="41">
        <v>75.0</v>
      </c>
      <c r="T251" s="42">
        <v>75.0</v>
      </c>
      <c r="V251" s="42">
        <v>0.0</v>
      </c>
      <c r="X251" s="42">
        <v>0.0</v>
      </c>
      <c r="Z251" s="42">
        <v>0.0</v>
      </c>
      <c r="AB251" s="42">
        <v>0.0</v>
      </c>
      <c r="AC251" s="43"/>
      <c r="AD251" s="42">
        <v>0.0</v>
      </c>
      <c r="AF251" s="42">
        <v>0.0</v>
      </c>
      <c r="AH251" s="42">
        <v>50.0</v>
      </c>
      <c r="AJ251" s="41"/>
      <c r="AK251" s="43"/>
      <c r="AL251" s="46">
        <v>0.0</v>
      </c>
      <c r="AM251" s="43"/>
      <c r="AN251" s="41"/>
      <c r="AO251" s="43"/>
      <c r="AP251" s="41"/>
      <c r="AQ251" s="43"/>
      <c r="AR251" s="41"/>
      <c r="AS251" s="43"/>
      <c r="AT251" s="42"/>
      <c r="AV251" s="42"/>
      <c r="AW251" s="43"/>
      <c r="AX251" s="54">
        <f t="shared" si="1"/>
        <v>2462.5</v>
      </c>
      <c r="AY251" s="52">
        <f t="shared" si="2"/>
        <v>200</v>
      </c>
      <c r="AZ251" s="52">
        <v>0.0</v>
      </c>
      <c r="BA251" s="52">
        <f t="shared" si="3"/>
        <v>200</v>
      </c>
      <c r="BB251" s="49">
        <f t="shared" si="4"/>
        <v>12.3125</v>
      </c>
    </row>
    <row r="252" ht="15.75" customHeight="1">
      <c r="A252" s="50" t="s">
        <v>53</v>
      </c>
      <c r="B252" s="51">
        <f t="shared" si="5"/>
        <v>45905</v>
      </c>
      <c r="C252" s="52">
        <v>9.0</v>
      </c>
      <c r="D252" s="52" t="s">
        <v>72</v>
      </c>
      <c r="E252" s="53"/>
      <c r="F252" s="41">
        <v>0.0</v>
      </c>
      <c r="H252" s="42">
        <v>0.0</v>
      </c>
      <c r="J252" s="42">
        <v>0.0</v>
      </c>
      <c r="L252" s="42">
        <v>0.0</v>
      </c>
      <c r="N252" s="42">
        <v>0.0</v>
      </c>
      <c r="P252" s="42">
        <v>0.0</v>
      </c>
      <c r="Q252" s="43"/>
      <c r="R252" s="41">
        <v>75.0</v>
      </c>
      <c r="T252" s="42">
        <v>75.0</v>
      </c>
      <c r="V252" s="42">
        <v>0.0</v>
      </c>
      <c r="X252" s="42">
        <v>0.0</v>
      </c>
      <c r="Z252" s="42">
        <v>0.0</v>
      </c>
      <c r="AB252" s="42">
        <v>0.0</v>
      </c>
      <c r="AC252" s="43"/>
      <c r="AD252" s="42">
        <v>0.0</v>
      </c>
      <c r="AF252" s="42">
        <v>50.0</v>
      </c>
      <c r="AH252" s="42">
        <v>50.0</v>
      </c>
      <c r="AJ252" s="41"/>
      <c r="AK252" s="43"/>
      <c r="AL252" s="46">
        <v>0.0</v>
      </c>
      <c r="AM252" s="43"/>
      <c r="AN252" s="41"/>
      <c r="AO252" s="43"/>
      <c r="AP252" s="41"/>
      <c r="AQ252" s="43"/>
      <c r="AR252" s="41"/>
      <c r="AS252" s="43"/>
      <c r="AT252" s="42"/>
      <c r="AV252" s="42"/>
      <c r="AW252" s="43"/>
      <c r="AX252" s="54">
        <f t="shared" si="1"/>
        <v>3257</v>
      </c>
      <c r="AY252" s="52">
        <f t="shared" si="2"/>
        <v>250</v>
      </c>
      <c r="AZ252" s="52">
        <v>0.0</v>
      </c>
      <c r="BA252" s="52">
        <f t="shared" si="3"/>
        <v>250</v>
      </c>
      <c r="BB252" s="49">
        <f t="shared" si="4"/>
        <v>13.028</v>
      </c>
    </row>
    <row r="253" ht="15.75" customHeight="1">
      <c r="A253" s="50" t="s">
        <v>54</v>
      </c>
      <c r="B253" s="51">
        <f t="shared" si="5"/>
        <v>45906</v>
      </c>
      <c r="C253" s="52">
        <v>9.0</v>
      </c>
      <c r="D253" s="52" t="s">
        <v>72</v>
      </c>
      <c r="E253" s="53"/>
      <c r="F253" s="41">
        <v>0.0</v>
      </c>
      <c r="H253" s="42">
        <v>0.0</v>
      </c>
      <c r="J253" s="42">
        <v>0.0</v>
      </c>
      <c r="L253" s="42">
        <v>0.0</v>
      </c>
      <c r="N253" s="42">
        <v>0.0</v>
      </c>
      <c r="P253" s="42">
        <v>0.0</v>
      </c>
      <c r="Q253" s="43"/>
      <c r="R253" s="41">
        <v>75.0</v>
      </c>
      <c r="T253" s="42">
        <v>75.0</v>
      </c>
      <c r="V253" s="42">
        <v>0.0</v>
      </c>
      <c r="X253" s="42">
        <v>0.0</v>
      </c>
      <c r="Z253" s="42">
        <v>0.0</v>
      </c>
      <c r="AB253" s="42">
        <v>0.0</v>
      </c>
      <c r="AC253" s="43"/>
      <c r="AD253" s="42">
        <v>0.0</v>
      </c>
      <c r="AF253" s="42">
        <v>50.0</v>
      </c>
      <c r="AH253" s="42">
        <v>0.0</v>
      </c>
      <c r="AJ253" s="41"/>
      <c r="AK253" s="43"/>
      <c r="AL253" s="46">
        <v>0.0</v>
      </c>
      <c r="AM253" s="43"/>
      <c r="AN253" s="41"/>
      <c r="AO253" s="43"/>
      <c r="AP253" s="41"/>
      <c r="AQ253" s="43"/>
      <c r="AR253" s="41"/>
      <c r="AS253" s="43"/>
      <c r="AT253" s="42"/>
      <c r="AV253" s="42"/>
      <c r="AW253" s="43"/>
      <c r="AX253" s="54">
        <f t="shared" si="1"/>
        <v>2462.5</v>
      </c>
      <c r="AY253" s="52">
        <f t="shared" si="2"/>
        <v>200</v>
      </c>
      <c r="AZ253" s="52">
        <v>0.0</v>
      </c>
      <c r="BA253" s="52">
        <f t="shared" si="3"/>
        <v>200</v>
      </c>
      <c r="BB253" s="49">
        <f t="shared" si="4"/>
        <v>12.3125</v>
      </c>
    </row>
    <row r="254" ht="15.75" customHeight="1">
      <c r="A254" s="59" t="s">
        <v>61</v>
      </c>
      <c r="B254" s="61">
        <f t="shared" si="5"/>
        <v>45907</v>
      </c>
      <c r="C254" s="63">
        <v>9.0</v>
      </c>
      <c r="D254" s="63" t="s">
        <v>72</v>
      </c>
      <c r="E254" s="64"/>
      <c r="F254" s="65">
        <v>0.0</v>
      </c>
      <c r="G254" s="66"/>
      <c r="H254" s="67">
        <v>0.0</v>
      </c>
      <c r="I254" s="66"/>
      <c r="J254" s="67">
        <v>0.0</v>
      </c>
      <c r="K254" s="66"/>
      <c r="L254" s="67">
        <v>0.0</v>
      </c>
      <c r="M254" s="66"/>
      <c r="N254" s="67">
        <v>0.0</v>
      </c>
      <c r="O254" s="66"/>
      <c r="P254" s="67">
        <v>0.0</v>
      </c>
      <c r="Q254" s="68"/>
      <c r="R254" s="65">
        <v>0.0</v>
      </c>
      <c r="S254" s="66"/>
      <c r="T254" s="67">
        <v>0.0</v>
      </c>
      <c r="U254" s="66"/>
      <c r="V254" s="67">
        <v>0.0</v>
      </c>
      <c r="W254" s="66"/>
      <c r="X254" s="67">
        <v>0.0</v>
      </c>
      <c r="Y254" s="66"/>
      <c r="Z254" s="67">
        <v>0.0</v>
      </c>
      <c r="AA254" s="66"/>
      <c r="AB254" s="67">
        <v>0.0</v>
      </c>
      <c r="AC254" s="68"/>
      <c r="AD254" s="67">
        <v>0.0</v>
      </c>
      <c r="AE254" s="66"/>
      <c r="AF254" s="67">
        <v>0.0</v>
      </c>
      <c r="AG254" s="66"/>
      <c r="AH254" s="67">
        <v>0.0</v>
      </c>
      <c r="AI254" s="66"/>
      <c r="AJ254" s="65"/>
      <c r="AK254" s="68"/>
      <c r="AL254" s="71">
        <v>0.0</v>
      </c>
      <c r="AM254" s="68"/>
      <c r="AN254" s="65"/>
      <c r="AO254" s="68"/>
      <c r="AP254" s="65"/>
      <c r="AQ254" s="68"/>
      <c r="AR254" s="65"/>
      <c r="AS254" s="68"/>
      <c r="AT254" s="67"/>
      <c r="AU254" s="66"/>
      <c r="AV254" s="67"/>
      <c r="AW254" s="68"/>
      <c r="AX254" s="73">
        <f t="shared" si="1"/>
        <v>0</v>
      </c>
      <c r="AY254" s="63">
        <f t="shared" si="2"/>
        <v>0</v>
      </c>
      <c r="AZ254" s="63">
        <v>0.0</v>
      </c>
      <c r="BA254" s="63">
        <f t="shared" si="3"/>
        <v>0</v>
      </c>
      <c r="BB254" s="74" t="str">
        <f t="shared" si="4"/>
        <v/>
      </c>
    </row>
    <row r="255" ht="15.75" customHeight="1">
      <c r="A255" s="36" t="s">
        <v>46</v>
      </c>
      <c r="B255" s="75">
        <f t="shared" si="5"/>
        <v>45908</v>
      </c>
      <c r="C255" s="38">
        <v>10.0</v>
      </c>
      <c r="D255" s="38" t="s">
        <v>47</v>
      </c>
      <c r="E255" s="40"/>
      <c r="F255" s="41">
        <v>0.0</v>
      </c>
      <c r="H255" s="42">
        <v>0.0</v>
      </c>
      <c r="J255" s="42">
        <v>0.0</v>
      </c>
      <c r="L255" s="42">
        <v>0.0</v>
      </c>
      <c r="N255" s="42">
        <v>0.0</v>
      </c>
      <c r="P255" s="42">
        <v>0.0</v>
      </c>
      <c r="Q255" s="43"/>
      <c r="R255" s="41">
        <v>120.0</v>
      </c>
      <c r="T255" s="42">
        <v>120.0</v>
      </c>
      <c r="V255" s="42">
        <v>0.0</v>
      </c>
      <c r="X255" s="42">
        <v>0.0</v>
      </c>
      <c r="Z255" s="42">
        <v>0.0</v>
      </c>
      <c r="AB255" s="42">
        <v>0.0</v>
      </c>
      <c r="AC255" s="43"/>
      <c r="AD255" s="42">
        <v>0.0</v>
      </c>
      <c r="AF255" s="42">
        <v>0.0</v>
      </c>
      <c r="AH255" s="42">
        <v>0.0</v>
      </c>
      <c r="AJ255" s="41"/>
      <c r="AK255" s="43"/>
      <c r="AL255" s="46">
        <v>0.0</v>
      </c>
      <c r="AM255" s="43"/>
      <c r="AN255" s="41"/>
      <c r="AO255" s="43"/>
      <c r="AP255" s="41"/>
      <c r="AQ255" s="43"/>
      <c r="AR255" s="41"/>
      <c r="AS255" s="43"/>
      <c r="AT255" s="42"/>
      <c r="AV255" s="42"/>
      <c r="AW255" s="43"/>
      <c r="AX255" s="47">
        <f t="shared" si="1"/>
        <v>2668.8</v>
      </c>
      <c r="AY255" s="38">
        <f t="shared" si="2"/>
        <v>240</v>
      </c>
      <c r="AZ255" s="38">
        <v>0.0</v>
      </c>
      <c r="BA255" s="38">
        <f t="shared" si="3"/>
        <v>240</v>
      </c>
      <c r="BB255" s="76">
        <f t="shared" si="4"/>
        <v>11.12</v>
      </c>
    </row>
    <row r="256" ht="15.75" customHeight="1">
      <c r="A256" s="50" t="s">
        <v>48</v>
      </c>
      <c r="B256" s="51">
        <f t="shared" si="5"/>
        <v>45909</v>
      </c>
      <c r="C256" s="52">
        <v>10.0</v>
      </c>
      <c r="D256" s="52" t="s">
        <v>47</v>
      </c>
      <c r="E256" s="53"/>
      <c r="F256" s="41">
        <v>0.0</v>
      </c>
      <c r="H256" s="42">
        <v>0.0</v>
      </c>
      <c r="J256" s="42">
        <v>0.0</v>
      </c>
      <c r="L256" s="42">
        <v>0.0</v>
      </c>
      <c r="N256" s="42">
        <v>0.0</v>
      </c>
      <c r="P256" s="42">
        <v>0.0</v>
      </c>
      <c r="Q256" s="43"/>
      <c r="R256" s="41">
        <v>120.0</v>
      </c>
      <c r="T256" s="42">
        <v>120.0</v>
      </c>
      <c r="V256" s="42">
        <v>0.0</v>
      </c>
      <c r="X256" s="42">
        <v>0.0</v>
      </c>
      <c r="Z256" s="42">
        <v>0.0</v>
      </c>
      <c r="AB256" s="42">
        <v>0.0</v>
      </c>
      <c r="AC256" s="43"/>
      <c r="AD256" s="42">
        <v>0.0</v>
      </c>
      <c r="AF256" s="42">
        <v>0.0</v>
      </c>
      <c r="AH256" s="42">
        <v>0.0</v>
      </c>
      <c r="AJ256" s="41"/>
      <c r="AK256" s="43"/>
      <c r="AL256" s="46">
        <v>0.0</v>
      </c>
      <c r="AM256" s="43"/>
      <c r="AN256" s="41"/>
      <c r="AO256" s="43"/>
      <c r="AP256" s="41"/>
      <c r="AQ256" s="43"/>
      <c r="AR256" s="41"/>
      <c r="AS256" s="43"/>
      <c r="AT256" s="42"/>
      <c r="AV256" s="42"/>
      <c r="AW256" s="43"/>
      <c r="AX256" s="54">
        <f t="shared" si="1"/>
        <v>2668.8</v>
      </c>
      <c r="AY256" s="52">
        <f t="shared" si="2"/>
        <v>240</v>
      </c>
      <c r="AZ256" s="52">
        <v>0.0</v>
      </c>
      <c r="BA256" s="52">
        <f t="shared" si="3"/>
        <v>240</v>
      </c>
      <c r="BB256" s="49">
        <f t="shared" si="4"/>
        <v>11.12</v>
      </c>
    </row>
    <row r="257" ht="15.75" customHeight="1">
      <c r="A257" s="50" t="s">
        <v>49</v>
      </c>
      <c r="B257" s="51">
        <f t="shared" si="5"/>
        <v>45910</v>
      </c>
      <c r="C257" s="52">
        <v>10.0</v>
      </c>
      <c r="D257" s="52" t="s">
        <v>47</v>
      </c>
      <c r="E257" s="53"/>
      <c r="F257" s="41">
        <v>0.0</v>
      </c>
      <c r="H257" s="42">
        <v>0.0</v>
      </c>
      <c r="J257" s="42">
        <v>0.0</v>
      </c>
      <c r="L257" s="42">
        <v>0.0</v>
      </c>
      <c r="N257" s="42">
        <v>0.0</v>
      </c>
      <c r="P257" s="42">
        <v>0.0</v>
      </c>
      <c r="Q257" s="43"/>
      <c r="R257" s="41">
        <v>120.0</v>
      </c>
      <c r="T257" s="42">
        <v>120.0</v>
      </c>
      <c r="V257" s="42">
        <v>0.0</v>
      </c>
      <c r="X257" s="42">
        <v>0.0</v>
      </c>
      <c r="Z257" s="42">
        <v>0.0</v>
      </c>
      <c r="AB257" s="42">
        <v>0.0</v>
      </c>
      <c r="AC257" s="43"/>
      <c r="AD257" s="42">
        <v>0.0</v>
      </c>
      <c r="AF257" s="42">
        <v>0.0</v>
      </c>
      <c r="AH257" s="42">
        <v>0.0</v>
      </c>
      <c r="AJ257" s="41"/>
      <c r="AK257" s="43"/>
      <c r="AL257" s="46">
        <v>0.0</v>
      </c>
      <c r="AM257" s="43"/>
      <c r="AN257" s="41"/>
      <c r="AO257" s="43"/>
      <c r="AP257" s="41"/>
      <c r="AQ257" s="43"/>
      <c r="AR257" s="41"/>
      <c r="AS257" s="43"/>
      <c r="AT257" s="42"/>
      <c r="AV257" s="42"/>
      <c r="AW257" s="43"/>
      <c r="AX257" s="54">
        <f t="shared" si="1"/>
        <v>2668.8</v>
      </c>
      <c r="AY257" s="52">
        <f t="shared" si="2"/>
        <v>240</v>
      </c>
      <c r="AZ257" s="52">
        <v>0.0</v>
      </c>
      <c r="BA257" s="52">
        <f t="shared" si="3"/>
        <v>240</v>
      </c>
      <c r="BB257" s="49">
        <f t="shared" si="4"/>
        <v>11.12</v>
      </c>
    </row>
    <row r="258" ht="15.75" customHeight="1">
      <c r="A258" s="50" t="s">
        <v>50</v>
      </c>
      <c r="B258" s="51">
        <f t="shared" si="5"/>
        <v>45911</v>
      </c>
      <c r="C258" s="52">
        <v>10.0</v>
      </c>
      <c r="D258" s="52" t="s">
        <v>47</v>
      </c>
      <c r="E258" s="53"/>
      <c r="F258" s="41">
        <v>0.0</v>
      </c>
      <c r="H258" s="42">
        <v>0.0</v>
      </c>
      <c r="J258" s="42">
        <v>0.0</v>
      </c>
      <c r="L258" s="42">
        <v>0.0</v>
      </c>
      <c r="N258" s="42">
        <v>0.0</v>
      </c>
      <c r="P258" s="42">
        <v>0.0</v>
      </c>
      <c r="Q258" s="43"/>
      <c r="R258" s="41">
        <v>120.0</v>
      </c>
      <c r="T258" s="42">
        <v>120.0</v>
      </c>
      <c r="V258" s="42">
        <v>0.0</v>
      </c>
      <c r="X258" s="42">
        <v>0.0</v>
      </c>
      <c r="Z258" s="42">
        <v>0.0</v>
      </c>
      <c r="AB258" s="42">
        <v>0.0</v>
      </c>
      <c r="AC258" s="43"/>
      <c r="AD258" s="42">
        <v>0.0</v>
      </c>
      <c r="AF258" s="42">
        <v>0.0</v>
      </c>
      <c r="AH258" s="42">
        <v>0.0</v>
      </c>
      <c r="AJ258" s="41"/>
      <c r="AK258" s="43"/>
      <c r="AL258" s="46">
        <v>0.0</v>
      </c>
      <c r="AM258" s="43"/>
      <c r="AN258" s="41"/>
      <c r="AO258" s="43"/>
      <c r="AP258" s="41"/>
      <c r="AQ258" s="43"/>
      <c r="AR258" s="41"/>
      <c r="AS258" s="43"/>
      <c r="AT258" s="42"/>
      <c r="AV258" s="42"/>
      <c r="AW258" s="43"/>
      <c r="AX258" s="54">
        <f t="shared" si="1"/>
        <v>2668.8</v>
      </c>
      <c r="AY258" s="52">
        <f t="shared" si="2"/>
        <v>240</v>
      </c>
      <c r="AZ258" s="52">
        <v>0.0</v>
      </c>
      <c r="BA258" s="52">
        <f t="shared" si="3"/>
        <v>240</v>
      </c>
      <c r="BB258" s="49">
        <f t="shared" si="4"/>
        <v>11.12</v>
      </c>
    </row>
    <row r="259" ht="15.75" customHeight="1">
      <c r="A259" s="50" t="s">
        <v>53</v>
      </c>
      <c r="B259" s="51">
        <f t="shared" si="5"/>
        <v>45912</v>
      </c>
      <c r="C259" s="52">
        <v>10.0</v>
      </c>
      <c r="D259" s="52" t="s">
        <v>47</v>
      </c>
      <c r="E259" s="53"/>
      <c r="F259" s="41">
        <v>0.0</v>
      </c>
      <c r="H259" s="42">
        <v>0.0</v>
      </c>
      <c r="J259" s="42">
        <v>0.0</v>
      </c>
      <c r="L259" s="42">
        <v>0.0</v>
      </c>
      <c r="N259" s="42">
        <v>0.0</v>
      </c>
      <c r="P259" s="42">
        <v>0.0</v>
      </c>
      <c r="Q259" s="43"/>
      <c r="R259" s="41">
        <v>128.0</v>
      </c>
      <c r="T259" s="42">
        <v>128.0</v>
      </c>
      <c r="V259" s="42">
        <v>0.0</v>
      </c>
      <c r="X259" s="42">
        <v>0.0</v>
      </c>
      <c r="Z259" s="42">
        <v>0.0</v>
      </c>
      <c r="AB259" s="42">
        <v>0.0</v>
      </c>
      <c r="AC259" s="43"/>
      <c r="AD259" s="42">
        <v>0.0</v>
      </c>
      <c r="AF259" s="42">
        <v>0.0</v>
      </c>
      <c r="AH259" s="42">
        <v>0.0</v>
      </c>
      <c r="AJ259" s="41"/>
      <c r="AK259" s="43"/>
      <c r="AL259" s="46">
        <v>0.0</v>
      </c>
      <c r="AM259" s="43"/>
      <c r="AN259" s="41"/>
      <c r="AO259" s="43"/>
      <c r="AP259" s="41"/>
      <c r="AQ259" s="43"/>
      <c r="AR259" s="41"/>
      <c r="AS259" s="43"/>
      <c r="AT259" s="42"/>
      <c r="AV259" s="42"/>
      <c r="AW259" s="43"/>
      <c r="AX259" s="54">
        <f t="shared" si="1"/>
        <v>2846.72</v>
      </c>
      <c r="AY259" s="52">
        <f t="shared" si="2"/>
        <v>256</v>
      </c>
      <c r="AZ259" s="52">
        <v>0.0</v>
      </c>
      <c r="BA259" s="52">
        <f t="shared" si="3"/>
        <v>256</v>
      </c>
      <c r="BB259" s="49">
        <f t="shared" si="4"/>
        <v>11.12</v>
      </c>
    </row>
    <row r="260" ht="15.75" customHeight="1">
      <c r="A260" s="50" t="s">
        <v>54</v>
      </c>
      <c r="B260" s="51">
        <f t="shared" si="5"/>
        <v>45913</v>
      </c>
      <c r="C260" s="52">
        <v>10.0</v>
      </c>
      <c r="D260" s="52" t="s">
        <v>47</v>
      </c>
      <c r="E260" s="53"/>
      <c r="F260" s="41">
        <v>0.0</v>
      </c>
      <c r="H260" s="42">
        <v>0.0</v>
      </c>
      <c r="J260" s="42">
        <v>0.0</v>
      </c>
      <c r="L260" s="42">
        <v>0.0</v>
      </c>
      <c r="N260" s="42">
        <v>0.0</v>
      </c>
      <c r="P260" s="42">
        <v>0.0</v>
      </c>
      <c r="Q260" s="43"/>
      <c r="R260" s="41">
        <v>140.0</v>
      </c>
      <c r="T260" s="42">
        <v>140.0</v>
      </c>
      <c r="V260" s="42">
        <v>0.0</v>
      </c>
      <c r="X260" s="42">
        <v>0.0</v>
      </c>
      <c r="Z260" s="42">
        <v>0.0</v>
      </c>
      <c r="AB260" s="42">
        <v>0.0</v>
      </c>
      <c r="AC260" s="43"/>
      <c r="AD260" s="42">
        <v>0.0</v>
      </c>
      <c r="AF260" s="42">
        <v>0.0</v>
      </c>
      <c r="AH260" s="42">
        <v>0.0</v>
      </c>
      <c r="AJ260" s="41"/>
      <c r="AK260" s="43"/>
      <c r="AL260" s="46">
        <v>0.0</v>
      </c>
      <c r="AM260" s="43"/>
      <c r="AN260" s="41"/>
      <c r="AO260" s="43"/>
      <c r="AP260" s="41"/>
      <c r="AQ260" s="43"/>
      <c r="AR260" s="41"/>
      <c r="AS260" s="43"/>
      <c r="AT260" s="42"/>
      <c r="AV260" s="42"/>
      <c r="AW260" s="43"/>
      <c r="AX260" s="54">
        <f t="shared" si="1"/>
        <v>3113.6</v>
      </c>
      <c r="AY260" s="52">
        <f t="shared" si="2"/>
        <v>280</v>
      </c>
      <c r="AZ260" s="52">
        <v>0.0</v>
      </c>
      <c r="BA260" s="52">
        <f t="shared" si="3"/>
        <v>280</v>
      </c>
      <c r="BB260" s="49">
        <f t="shared" si="4"/>
        <v>11.12</v>
      </c>
    </row>
    <row r="261" ht="15.75" customHeight="1">
      <c r="A261" s="59" t="s">
        <v>61</v>
      </c>
      <c r="B261" s="61">
        <f t="shared" si="5"/>
        <v>45914</v>
      </c>
      <c r="C261" s="63">
        <v>10.0</v>
      </c>
      <c r="D261" s="63" t="s">
        <v>47</v>
      </c>
      <c r="E261" s="64"/>
      <c r="F261" s="65">
        <v>0.0</v>
      </c>
      <c r="G261" s="66"/>
      <c r="H261" s="67">
        <v>0.0</v>
      </c>
      <c r="I261" s="66"/>
      <c r="J261" s="67">
        <v>0.0</v>
      </c>
      <c r="K261" s="66"/>
      <c r="L261" s="67">
        <v>0.0</v>
      </c>
      <c r="M261" s="66"/>
      <c r="N261" s="67">
        <v>0.0</v>
      </c>
      <c r="O261" s="66"/>
      <c r="P261" s="67">
        <v>0.0</v>
      </c>
      <c r="Q261" s="68"/>
      <c r="R261" s="65">
        <v>0.0</v>
      </c>
      <c r="S261" s="66"/>
      <c r="T261" s="67">
        <v>0.0</v>
      </c>
      <c r="U261" s="66"/>
      <c r="V261" s="67">
        <v>0.0</v>
      </c>
      <c r="W261" s="66"/>
      <c r="X261" s="67">
        <v>0.0</v>
      </c>
      <c r="Y261" s="66"/>
      <c r="Z261" s="67">
        <v>0.0</v>
      </c>
      <c r="AA261" s="66"/>
      <c r="AB261" s="67">
        <v>0.0</v>
      </c>
      <c r="AC261" s="68"/>
      <c r="AD261" s="67">
        <v>0.0</v>
      </c>
      <c r="AE261" s="66"/>
      <c r="AF261" s="67">
        <v>0.0</v>
      </c>
      <c r="AG261" s="66"/>
      <c r="AH261" s="67">
        <v>0.0</v>
      </c>
      <c r="AI261" s="66"/>
      <c r="AJ261" s="65"/>
      <c r="AK261" s="68"/>
      <c r="AL261" s="71">
        <v>0.0</v>
      </c>
      <c r="AM261" s="68"/>
      <c r="AN261" s="65"/>
      <c r="AO261" s="68"/>
      <c r="AP261" s="65"/>
      <c r="AQ261" s="68"/>
      <c r="AR261" s="65"/>
      <c r="AS261" s="68"/>
      <c r="AT261" s="67"/>
      <c r="AU261" s="66"/>
      <c r="AV261" s="67"/>
      <c r="AW261" s="68"/>
      <c r="AX261" s="73">
        <f t="shared" si="1"/>
        <v>0</v>
      </c>
      <c r="AY261" s="63">
        <f t="shared" si="2"/>
        <v>0</v>
      </c>
      <c r="AZ261" s="63">
        <v>0.0</v>
      </c>
      <c r="BA261" s="63">
        <f t="shared" si="3"/>
        <v>0</v>
      </c>
      <c r="BB261" s="74" t="str">
        <f t="shared" si="4"/>
        <v/>
      </c>
    </row>
    <row r="262" ht="15.75" customHeight="1">
      <c r="A262" s="36" t="s">
        <v>46</v>
      </c>
      <c r="B262" s="75">
        <f t="shared" si="5"/>
        <v>45915</v>
      </c>
      <c r="C262" s="38">
        <v>10.0</v>
      </c>
      <c r="D262" s="38" t="s">
        <v>65</v>
      </c>
      <c r="E262" s="40"/>
      <c r="F262" s="41">
        <v>0.0</v>
      </c>
      <c r="H262" s="42">
        <v>0.0</v>
      </c>
      <c r="J262" s="42">
        <v>0.0</v>
      </c>
      <c r="L262" s="42">
        <v>0.0</v>
      </c>
      <c r="N262" s="42">
        <v>0.0</v>
      </c>
      <c r="P262" s="42">
        <v>0.0</v>
      </c>
      <c r="Q262" s="43"/>
      <c r="R262" s="41">
        <v>140.0</v>
      </c>
      <c r="T262" s="42">
        <v>140.0</v>
      </c>
      <c r="V262" s="42">
        <v>0.0</v>
      </c>
      <c r="X262" s="42">
        <v>0.0</v>
      </c>
      <c r="Z262" s="42">
        <v>0.0</v>
      </c>
      <c r="AB262" s="42">
        <v>0.0</v>
      </c>
      <c r="AC262" s="43"/>
      <c r="AD262" s="42">
        <v>0.0</v>
      </c>
      <c r="AF262" s="42">
        <v>0.0</v>
      </c>
      <c r="AH262" s="42">
        <v>0.0</v>
      </c>
      <c r="AJ262" s="41"/>
      <c r="AK262" s="43"/>
      <c r="AL262" s="46">
        <v>0.0</v>
      </c>
      <c r="AM262" s="43"/>
      <c r="AN262" s="41"/>
      <c r="AO262" s="43"/>
      <c r="AP262" s="41"/>
      <c r="AQ262" s="43"/>
      <c r="AR262" s="41"/>
      <c r="AS262" s="43"/>
      <c r="AT262" s="42"/>
      <c r="AV262" s="42"/>
      <c r="AW262" s="43"/>
      <c r="AX262" s="47">
        <f t="shared" si="1"/>
        <v>3113.6</v>
      </c>
      <c r="AY262" s="38">
        <f t="shared" si="2"/>
        <v>280</v>
      </c>
      <c r="AZ262" s="38">
        <v>0.0</v>
      </c>
      <c r="BA262" s="38">
        <f t="shared" si="3"/>
        <v>280</v>
      </c>
      <c r="BB262" s="76">
        <f t="shared" si="4"/>
        <v>11.12</v>
      </c>
    </row>
    <row r="263" ht="15.75" customHeight="1">
      <c r="A263" s="50" t="s">
        <v>48</v>
      </c>
      <c r="B263" s="51">
        <f t="shared" si="5"/>
        <v>45916</v>
      </c>
      <c r="C263" s="52">
        <v>10.0</v>
      </c>
      <c r="D263" s="52" t="s">
        <v>65</v>
      </c>
      <c r="E263" s="53"/>
      <c r="F263" s="41">
        <v>0.0</v>
      </c>
      <c r="H263" s="42">
        <v>0.0</v>
      </c>
      <c r="J263" s="42">
        <v>0.0</v>
      </c>
      <c r="L263" s="42">
        <v>0.0</v>
      </c>
      <c r="N263" s="42">
        <v>0.0</v>
      </c>
      <c r="P263" s="42">
        <v>0.0</v>
      </c>
      <c r="Q263" s="43"/>
      <c r="R263" s="41">
        <v>140.0</v>
      </c>
      <c r="T263" s="42">
        <v>140.0</v>
      </c>
      <c r="V263" s="42">
        <v>0.0</v>
      </c>
      <c r="X263" s="42">
        <v>0.0</v>
      </c>
      <c r="Z263" s="42">
        <v>0.0</v>
      </c>
      <c r="AB263" s="42">
        <v>0.0</v>
      </c>
      <c r="AC263" s="43"/>
      <c r="AD263" s="42">
        <v>0.0</v>
      </c>
      <c r="AF263" s="42">
        <v>0.0</v>
      </c>
      <c r="AH263" s="42">
        <v>0.0</v>
      </c>
      <c r="AJ263" s="41"/>
      <c r="AK263" s="43"/>
      <c r="AL263" s="46">
        <v>0.0</v>
      </c>
      <c r="AM263" s="43"/>
      <c r="AN263" s="41"/>
      <c r="AO263" s="43"/>
      <c r="AP263" s="41"/>
      <c r="AQ263" s="43"/>
      <c r="AR263" s="41"/>
      <c r="AS263" s="43"/>
      <c r="AT263" s="42"/>
      <c r="AV263" s="42"/>
      <c r="AW263" s="43"/>
      <c r="AX263" s="54">
        <f t="shared" si="1"/>
        <v>3113.6</v>
      </c>
      <c r="AY263" s="52">
        <f t="shared" si="2"/>
        <v>280</v>
      </c>
      <c r="AZ263" s="52">
        <v>0.0</v>
      </c>
      <c r="BA263" s="52">
        <f t="shared" si="3"/>
        <v>280</v>
      </c>
      <c r="BB263" s="49">
        <f t="shared" si="4"/>
        <v>11.12</v>
      </c>
    </row>
    <row r="264" ht="15.75" customHeight="1">
      <c r="A264" s="50" t="s">
        <v>49</v>
      </c>
      <c r="B264" s="51">
        <f t="shared" si="5"/>
        <v>45917</v>
      </c>
      <c r="C264" s="52">
        <v>10.0</v>
      </c>
      <c r="D264" s="52" t="s">
        <v>65</v>
      </c>
      <c r="E264" s="53"/>
      <c r="F264" s="41">
        <v>0.0</v>
      </c>
      <c r="H264" s="42">
        <v>0.0</v>
      </c>
      <c r="J264" s="42">
        <v>0.0</v>
      </c>
      <c r="L264" s="42">
        <v>0.0</v>
      </c>
      <c r="N264" s="42">
        <v>0.0</v>
      </c>
      <c r="P264" s="42">
        <v>0.0</v>
      </c>
      <c r="Q264" s="43"/>
      <c r="R264" s="41">
        <v>140.0</v>
      </c>
      <c r="T264" s="42">
        <v>140.0</v>
      </c>
      <c r="V264" s="42">
        <v>0.0</v>
      </c>
      <c r="X264" s="42">
        <v>0.0</v>
      </c>
      <c r="Z264" s="42">
        <v>0.0</v>
      </c>
      <c r="AB264" s="42">
        <v>0.0</v>
      </c>
      <c r="AC264" s="43"/>
      <c r="AD264" s="42">
        <v>0.0</v>
      </c>
      <c r="AF264" s="42">
        <v>0.0</v>
      </c>
      <c r="AH264" s="42">
        <v>0.0</v>
      </c>
      <c r="AJ264" s="41"/>
      <c r="AK264" s="43"/>
      <c r="AL264" s="46">
        <v>0.0</v>
      </c>
      <c r="AM264" s="43"/>
      <c r="AN264" s="41"/>
      <c r="AO264" s="43"/>
      <c r="AP264" s="41"/>
      <c r="AQ264" s="43"/>
      <c r="AR264" s="41"/>
      <c r="AS264" s="43"/>
      <c r="AT264" s="42"/>
      <c r="AV264" s="42"/>
      <c r="AW264" s="43"/>
      <c r="AX264" s="54">
        <f t="shared" si="1"/>
        <v>3113.6</v>
      </c>
      <c r="AY264" s="52">
        <f t="shared" si="2"/>
        <v>280</v>
      </c>
      <c r="AZ264" s="52">
        <v>0.0</v>
      </c>
      <c r="BA264" s="52">
        <f t="shared" si="3"/>
        <v>280</v>
      </c>
      <c r="BB264" s="49">
        <f t="shared" si="4"/>
        <v>11.12</v>
      </c>
    </row>
    <row r="265" ht="15.75" customHeight="1">
      <c r="A265" s="50" t="s">
        <v>50</v>
      </c>
      <c r="B265" s="51">
        <f t="shared" si="5"/>
        <v>45918</v>
      </c>
      <c r="C265" s="52">
        <v>10.0</v>
      </c>
      <c r="D265" s="52" t="s">
        <v>65</v>
      </c>
      <c r="E265" s="53"/>
      <c r="F265" s="41">
        <v>0.0</v>
      </c>
      <c r="H265" s="42">
        <v>0.0</v>
      </c>
      <c r="J265" s="42">
        <v>0.0</v>
      </c>
      <c r="L265" s="42">
        <v>0.0</v>
      </c>
      <c r="N265" s="42">
        <v>0.0</v>
      </c>
      <c r="P265" s="42">
        <v>0.0</v>
      </c>
      <c r="Q265" s="43"/>
      <c r="R265" s="41">
        <v>140.0</v>
      </c>
      <c r="T265" s="42">
        <v>140.0</v>
      </c>
      <c r="V265" s="42">
        <v>0.0</v>
      </c>
      <c r="X265" s="42">
        <v>0.0</v>
      </c>
      <c r="Z265" s="42">
        <v>0.0</v>
      </c>
      <c r="AB265" s="42">
        <v>0.0</v>
      </c>
      <c r="AC265" s="43"/>
      <c r="AD265" s="42">
        <v>0.0</v>
      </c>
      <c r="AF265" s="42">
        <v>0.0</v>
      </c>
      <c r="AH265" s="42">
        <v>0.0</v>
      </c>
      <c r="AJ265" s="41"/>
      <c r="AK265" s="43"/>
      <c r="AL265" s="46">
        <v>0.0</v>
      </c>
      <c r="AM265" s="43"/>
      <c r="AN265" s="41"/>
      <c r="AO265" s="43"/>
      <c r="AP265" s="41"/>
      <c r="AQ265" s="43"/>
      <c r="AR265" s="41"/>
      <c r="AS265" s="43"/>
      <c r="AT265" s="42"/>
      <c r="AV265" s="42"/>
      <c r="AW265" s="43"/>
      <c r="AX265" s="54">
        <f t="shared" si="1"/>
        <v>3113.6</v>
      </c>
      <c r="AY265" s="52">
        <f t="shared" si="2"/>
        <v>280</v>
      </c>
      <c r="AZ265" s="52">
        <v>0.0</v>
      </c>
      <c r="BA265" s="52">
        <f t="shared" si="3"/>
        <v>280</v>
      </c>
      <c r="BB265" s="49">
        <f t="shared" si="4"/>
        <v>11.12</v>
      </c>
    </row>
    <row r="266" ht="15.75" customHeight="1">
      <c r="A266" s="50" t="s">
        <v>53</v>
      </c>
      <c r="B266" s="51">
        <f t="shared" si="5"/>
        <v>45919</v>
      </c>
      <c r="C266" s="52">
        <v>10.0</v>
      </c>
      <c r="D266" s="52" t="s">
        <v>65</v>
      </c>
      <c r="E266" s="53"/>
      <c r="F266" s="41">
        <v>0.0</v>
      </c>
      <c r="H266" s="42">
        <v>0.0</v>
      </c>
      <c r="J266" s="42">
        <v>0.0</v>
      </c>
      <c r="L266" s="42">
        <v>0.0</v>
      </c>
      <c r="N266" s="42">
        <v>0.0</v>
      </c>
      <c r="P266" s="42">
        <v>0.0</v>
      </c>
      <c r="Q266" s="43"/>
      <c r="R266" s="41">
        <v>140.0</v>
      </c>
      <c r="T266" s="42">
        <v>140.0</v>
      </c>
      <c r="V266" s="42">
        <v>0.0</v>
      </c>
      <c r="X266" s="42">
        <v>0.0</v>
      </c>
      <c r="Z266" s="42">
        <v>0.0</v>
      </c>
      <c r="AB266" s="42">
        <v>0.0</v>
      </c>
      <c r="AC266" s="43"/>
      <c r="AD266" s="42">
        <v>0.0</v>
      </c>
      <c r="AF266" s="42">
        <v>0.0</v>
      </c>
      <c r="AH266" s="42">
        <v>0.0</v>
      </c>
      <c r="AJ266" s="41"/>
      <c r="AK266" s="43"/>
      <c r="AL266" s="46">
        <v>0.0</v>
      </c>
      <c r="AM266" s="43"/>
      <c r="AN266" s="41"/>
      <c r="AO266" s="43"/>
      <c r="AP266" s="41"/>
      <c r="AQ266" s="43"/>
      <c r="AR266" s="41"/>
      <c r="AS266" s="43"/>
      <c r="AT266" s="42"/>
      <c r="AV266" s="42"/>
      <c r="AW266" s="43"/>
      <c r="AX266" s="54">
        <f t="shared" si="1"/>
        <v>3113.6</v>
      </c>
      <c r="AY266" s="52">
        <f t="shared" si="2"/>
        <v>280</v>
      </c>
      <c r="AZ266" s="52">
        <v>0.0</v>
      </c>
      <c r="BA266" s="52">
        <f t="shared" si="3"/>
        <v>280</v>
      </c>
      <c r="BB266" s="49">
        <f t="shared" si="4"/>
        <v>11.12</v>
      </c>
    </row>
    <row r="267" ht="15.75" customHeight="1">
      <c r="A267" s="50" t="s">
        <v>54</v>
      </c>
      <c r="B267" s="51">
        <f t="shared" si="5"/>
        <v>45920</v>
      </c>
      <c r="C267" s="52">
        <v>10.0</v>
      </c>
      <c r="D267" s="52" t="s">
        <v>65</v>
      </c>
      <c r="E267" s="53"/>
      <c r="F267" s="41">
        <v>0.0</v>
      </c>
      <c r="H267" s="42">
        <v>0.0</v>
      </c>
      <c r="J267" s="42">
        <v>0.0</v>
      </c>
      <c r="L267" s="42">
        <v>0.0</v>
      </c>
      <c r="N267" s="42">
        <v>0.0</v>
      </c>
      <c r="P267" s="42">
        <v>0.0</v>
      </c>
      <c r="Q267" s="43"/>
      <c r="R267" s="41">
        <v>160.0</v>
      </c>
      <c r="T267" s="42">
        <v>160.0</v>
      </c>
      <c r="V267" s="42">
        <v>0.0</v>
      </c>
      <c r="X267" s="42">
        <v>0.0</v>
      </c>
      <c r="Z267" s="42">
        <v>0.0</v>
      </c>
      <c r="AB267" s="42">
        <v>0.0</v>
      </c>
      <c r="AC267" s="43"/>
      <c r="AD267" s="42">
        <v>0.0</v>
      </c>
      <c r="AF267" s="42">
        <v>0.0</v>
      </c>
      <c r="AH267" s="42">
        <v>0.0</v>
      </c>
      <c r="AJ267" s="41"/>
      <c r="AK267" s="43"/>
      <c r="AL267" s="46">
        <v>0.0</v>
      </c>
      <c r="AM267" s="43"/>
      <c r="AN267" s="41"/>
      <c r="AO267" s="43"/>
      <c r="AP267" s="41"/>
      <c r="AQ267" s="43"/>
      <c r="AR267" s="41"/>
      <c r="AS267" s="43"/>
      <c r="AT267" s="42"/>
      <c r="AV267" s="42"/>
      <c r="AW267" s="43"/>
      <c r="AX267" s="54">
        <f t="shared" si="1"/>
        <v>3558.4</v>
      </c>
      <c r="AY267" s="52">
        <f t="shared" si="2"/>
        <v>320</v>
      </c>
      <c r="AZ267" s="52">
        <v>0.0</v>
      </c>
      <c r="BA267" s="52">
        <f t="shared" si="3"/>
        <v>320</v>
      </c>
      <c r="BB267" s="49">
        <f t="shared" si="4"/>
        <v>11.12</v>
      </c>
    </row>
    <row r="268" ht="15.75" customHeight="1">
      <c r="A268" s="59" t="s">
        <v>61</v>
      </c>
      <c r="B268" s="61">
        <f t="shared" si="5"/>
        <v>45921</v>
      </c>
      <c r="C268" s="63">
        <v>10.0</v>
      </c>
      <c r="D268" s="63" t="s">
        <v>65</v>
      </c>
      <c r="E268" s="64"/>
      <c r="F268" s="65">
        <v>0.0</v>
      </c>
      <c r="G268" s="66"/>
      <c r="H268" s="67">
        <v>0.0</v>
      </c>
      <c r="I268" s="66"/>
      <c r="J268" s="67">
        <v>0.0</v>
      </c>
      <c r="K268" s="66"/>
      <c r="L268" s="67">
        <v>0.0</v>
      </c>
      <c r="M268" s="66"/>
      <c r="N268" s="67">
        <v>0.0</v>
      </c>
      <c r="O268" s="66"/>
      <c r="P268" s="67">
        <v>0.0</v>
      </c>
      <c r="Q268" s="68"/>
      <c r="R268" s="65">
        <v>0.0</v>
      </c>
      <c r="S268" s="66"/>
      <c r="T268" s="67">
        <v>0.0</v>
      </c>
      <c r="U268" s="66"/>
      <c r="V268" s="67">
        <v>0.0</v>
      </c>
      <c r="W268" s="66"/>
      <c r="X268" s="67">
        <v>0.0</v>
      </c>
      <c r="Y268" s="66"/>
      <c r="Z268" s="67">
        <v>0.0</v>
      </c>
      <c r="AA268" s="66"/>
      <c r="AB268" s="67">
        <v>0.0</v>
      </c>
      <c r="AC268" s="68"/>
      <c r="AD268" s="67">
        <v>0.0</v>
      </c>
      <c r="AE268" s="66"/>
      <c r="AF268" s="67">
        <v>0.0</v>
      </c>
      <c r="AG268" s="66"/>
      <c r="AH268" s="67">
        <v>0.0</v>
      </c>
      <c r="AI268" s="66"/>
      <c r="AJ268" s="65"/>
      <c r="AK268" s="68"/>
      <c r="AL268" s="71">
        <v>0.0</v>
      </c>
      <c r="AM268" s="68"/>
      <c r="AN268" s="65"/>
      <c r="AO268" s="68"/>
      <c r="AP268" s="65"/>
      <c r="AQ268" s="68"/>
      <c r="AR268" s="65"/>
      <c r="AS268" s="68"/>
      <c r="AT268" s="67"/>
      <c r="AU268" s="66"/>
      <c r="AV268" s="67"/>
      <c r="AW268" s="68"/>
      <c r="AX268" s="73">
        <f t="shared" si="1"/>
        <v>0</v>
      </c>
      <c r="AY268" s="63">
        <f t="shared" si="2"/>
        <v>0</v>
      </c>
      <c r="AZ268" s="63">
        <v>0.0</v>
      </c>
      <c r="BA268" s="63">
        <f t="shared" si="3"/>
        <v>0</v>
      </c>
      <c r="BB268" s="74" t="str">
        <f t="shared" si="4"/>
        <v/>
      </c>
    </row>
    <row r="269" ht="15.75" customHeight="1">
      <c r="A269" s="36" t="s">
        <v>46</v>
      </c>
      <c r="B269" s="75">
        <f t="shared" si="5"/>
        <v>45922</v>
      </c>
      <c r="C269" s="38">
        <v>10.0</v>
      </c>
      <c r="D269" s="38" t="s">
        <v>69</v>
      </c>
      <c r="E269" s="40"/>
      <c r="F269" s="41">
        <v>0.0</v>
      </c>
      <c r="H269" s="42">
        <v>0.0</v>
      </c>
      <c r="J269" s="42">
        <v>0.0</v>
      </c>
      <c r="L269" s="42">
        <v>0.0</v>
      </c>
      <c r="N269" s="42">
        <v>0.0</v>
      </c>
      <c r="P269" s="42">
        <v>0.0</v>
      </c>
      <c r="Q269" s="43"/>
      <c r="R269" s="41">
        <v>150.0</v>
      </c>
      <c r="T269" s="42">
        <v>150.0</v>
      </c>
      <c r="V269" s="42">
        <v>0.0</v>
      </c>
      <c r="X269" s="42">
        <v>0.0</v>
      </c>
      <c r="Z269" s="42">
        <v>0.0</v>
      </c>
      <c r="AB269" s="42">
        <v>0.0</v>
      </c>
      <c r="AC269" s="43"/>
      <c r="AD269" s="42">
        <v>0.0</v>
      </c>
      <c r="AF269" s="42">
        <v>0.0</v>
      </c>
      <c r="AH269" s="42">
        <v>0.0</v>
      </c>
      <c r="AJ269" s="41"/>
      <c r="AK269" s="43"/>
      <c r="AL269" s="46">
        <v>0.0</v>
      </c>
      <c r="AM269" s="43"/>
      <c r="AN269" s="110"/>
      <c r="AO269" s="43"/>
      <c r="AP269" s="110"/>
      <c r="AQ269" s="43"/>
      <c r="AR269" s="110"/>
      <c r="AS269" s="43"/>
      <c r="AT269" s="91"/>
      <c r="AV269" s="91"/>
      <c r="AW269" s="43"/>
      <c r="AX269" s="47">
        <f t="shared" si="1"/>
        <v>3336</v>
      </c>
      <c r="AY269" s="38">
        <f t="shared" si="2"/>
        <v>300</v>
      </c>
      <c r="AZ269" s="38">
        <v>0.0</v>
      </c>
      <c r="BA269" s="38">
        <f t="shared" si="3"/>
        <v>300</v>
      </c>
      <c r="BB269" s="76">
        <f t="shared" si="4"/>
        <v>11.12</v>
      </c>
    </row>
    <row r="270" ht="15.75" customHeight="1">
      <c r="A270" s="50" t="s">
        <v>48</v>
      </c>
      <c r="B270" s="51">
        <f t="shared" si="5"/>
        <v>45923</v>
      </c>
      <c r="C270" s="52">
        <v>10.0</v>
      </c>
      <c r="D270" s="52" t="s">
        <v>69</v>
      </c>
      <c r="E270" s="53"/>
      <c r="F270" s="41">
        <v>0.0</v>
      </c>
      <c r="H270" s="42">
        <v>0.0</v>
      </c>
      <c r="J270" s="42">
        <v>0.0</v>
      </c>
      <c r="L270" s="42">
        <v>0.0</v>
      </c>
      <c r="N270" s="42">
        <v>0.0</v>
      </c>
      <c r="P270" s="42">
        <v>0.0</v>
      </c>
      <c r="Q270" s="43"/>
      <c r="R270" s="41">
        <v>150.0</v>
      </c>
      <c r="T270" s="42">
        <v>150.0</v>
      </c>
      <c r="V270" s="42">
        <v>0.0</v>
      </c>
      <c r="X270" s="42">
        <v>0.0</v>
      </c>
      <c r="Z270" s="42">
        <v>0.0</v>
      </c>
      <c r="AB270" s="42">
        <v>0.0</v>
      </c>
      <c r="AC270" s="43"/>
      <c r="AD270" s="42">
        <v>0.0</v>
      </c>
      <c r="AF270" s="42">
        <v>0.0</v>
      </c>
      <c r="AH270" s="42">
        <v>0.0</v>
      </c>
      <c r="AJ270" s="41"/>
      <c r="AK270" s="43"/>
      <c r="AL270" s="46">
        <v>0.0</v>
      </c>
      <c r="AM270" s="43"/>
      <c r="AN270" s="110"/>
      <c r="AO270" s="43"/>
      <c r="AP270" s="110"/>
      <c r="AQ270" s="43"/>
      <c r="AR270" s="110"/>
      <c r="AS270" s="43"/>
      <c r="AT270" s="91"/>
      <c r="AV270" s="91"/>
      <c r="AW270" s="43"/>
      <c r="AX270" s="54">
        <f t="shared" si="1"/>
        <v>3336</v>
      </c>
      <c r="AY270" s="52">
        <f t="shared" si="2"/>
        <v>300</v>
      </c>
      <c r="AZ270" s="52">
        <v>0.0</v>
      </c>
      <c r="BA270" s="52">
        <f t="shared" si="3"/>
        <v>300</v>
      </c>
      <c r="BB270" s="49">
        <f t="shared" si="4"/>
        <v>11.12</v>
      </c>
    </row>
    <row r="271" ht="15.75" customHeight="1">
      <c r="A271" s="50" t="s">
        <v>49</v>
      </c>
      <c r="B271" s="51">
        <f t="shared" si="5"/>
        <v>45924</v>
      </c>
      <c r="C271" s="52">
        <v>10.0</v>
      </c>
      <c r="D271" s="52" t="s">
        <v>69</v>
      </c>
      <c r="E271" s="53"/>
      <c r="F271" s="41">
        <v>0.0</v>
      </c>
      <c r="H271" s="42">
        <v>0.0</v>
      </c>
      <c r="J271" s="42">
        <v>0.0</v>
      </c>
      <c r="L271" s="42">
        <v>0.0</v>
      </c>
      <c r="N271" s="42">
        <v>0.0</v>
      </c>
      <c r="P271" s="42">
        <v>0.0</v>
      </c>
      <c r="Q271" s="43"/>
      <c r="R271" s="41">
        <v>150.0</v>
      </c>
      <c r="T271" s="42">
        <v>150.0</v>
      </c>
      <c r="V271" s="42">
        <v>0.0</v>
      </c>
      <c r="X271" s="42">
        <v>0.0</v>
      </c>
      <c r="Z271" s="42">
        <v>0.0</v>
      </c>
      <c r="AB271" s="42">
        <v>0.0</v>
      </c>
      <c r="AC271" s="43"/>
      <c r="AD271" s="42">
        <v>0.0</v>
      </c>
      <c r="AF271" s="42">
        <v>0.0</v>
      </c>
      <c r="AH271" s="42">
        <v>0.0</v>
      </c>
      <c r="AJ271" s="41"/>
      <c r="AK271" s="43"/>
      <c r="AL271" s="46">
        <v>0.0</v>
      </c>
      <c r="AM271" s="43"/>
      <c r="AN271" s="110"/>
      <c r="AO271" s="43"/>
      <c r="AP271" s="110"/>
      <c r="AQ271" s="43"/>
      <c r="AR271" s="110"/>
      <c r="AS271" s="43"/>
      <c r="AT271" s="91"/>
      <c r="AV271" s="91"/>
      <c r="AW271" s="43"/>
      <c r="AX271" s="54">
        <f t="shared" si="1"/>
        <v>3336</v>
      </c>
      <c r="AY271" s="52">
        <f t="shared" si="2"/>
        <v>300</v>
      </c>
      <c r="AZ271" s="52">
        <v>0.0</v>
      </c>
      <c r="BA271" s="52">
        <f t="shared" si="3"/>
        <v>300</v>
      </c>
      <c r="BB271" s="49">
        <f t="shared" si="4"/>
        <v>11.12</v>
      </c>
    </row>
    <row r="272" ht="15.75" customHeight="1">
      <c r="A272" s="50" t="s">
        <v>50</v>
      </c>
      <c r="B272" s="51">
        <f t="shared" si="5"/>
        <v>45925</v>
      </c>
      <c r="C272" s="52">
        <v>10.0</v>
      </c>
      <c r="D272" s="52" t="s">
        <v>69</v>
      </c>
      <c r="E272" s="53"/>
      <c r="F272" s="41">
        <v>0.0</v>
      </c>
      <c r="H272" s="42">
        <v>0.0</v>
      </c>
      <c r="J272" s="42">
        <v>0.0</v>
      </c>
      <c r="L272" s="42">
        <v>0.0</v>
      </c>
      <c r="N272" s="42">
        <v>0.0</v>
      </c>
      <c r="P272" s="42">
        <v>0.0</v>
      </c>
      <c r="Q272" s="43"/>
      <c r="R272" s="41">
        <v>150.0</v>
      </c>
      <c r="T272" s="42">
        <v>150.0</v>
      </c>
      <c r="V272" s="42">
        <v>0.0</v>
      </c>
      <c r="X272" s="42">
        <v>0.0</v>
      </c>
      <c r="Z272" s="42">
        <v>0.0</v>
      </c>
      <c r="AB272" s="42">
        <v>0.0</v>
      </c>
      <c r="AC272" s="43"/>
      <c r="AD272" s="42">
        <v>0.0</v>
      </c>
      <c r="AF272" s="42">
        <v>0.0</v>
      </c>
      <c r="AH272" s="42">
        <v>0.0</v>
      </c>
      <c r="AJ272" s="41"/>
      <c r="AK272" s="43"/>
      <c r="AL272" s="46">
        <v>0.0</v>
      </c>
      <c r="AM272" s="43"/>
      <c r="AN272" s="110"/>
      <c r="AO272" s="43"/>
      <c r="AP272" s="110"/>
      <c r="AQ272" s="43"/>
      <c r="AR272" s="110"/>
      <c r="AS272" s="43"/>
      <c r="AT272" s="91"/>
      <c r="AV272" s="91"/>
      <c r="AW272" s="43"/>
      <c r="AX272" s="54">
        <f t="shared" si="1"/>
        <v>3336</v>
      </c>
      <c r="AY272" s="52">
        <f t="shared" si="2"/>
        <v>300</v>
      </c>
      <c r="AZ272" s="52">
        <v>0.0</v>
      </c>
      <c r="BA272" s="52">
        <f t="shared" si="3"/>
        <v>300</v>
      </c>
      <c r="BB272" s="49">
        <f t="shared" si="4"/>
        <v>11.12</v>
      </c>
    </row>
    <row r="273" ht="15.75" customHeight="1">
      <c r="A273" s="50" t="s">
        <v>53</v>
      </c>
      <c r="B273" s="51">
        <f t="shared" si="5"/>
        <v>45926</v>
      </c>
      <c r="C273" s="52">
        <v>10.0</v>
      </c>
      <c r="D273" s="52" t="s">
        <v>69</v>
      </c>
      <c r="E273" s="53"/>
      <c r="F273" s="41">
        <v>0.0</v>
      </c>
      <c r="H273" s="42">
        <v>0.0</v>
      </c>
      <c r="J273" s="42">
        <v>0.0</v>
      </c>
      <c r="L273" s="42">
        <v>0.0</v>
      </c>
      <c r="N273" s="42">
        <v>0.0</v>
      </c>
      <c r="P273" s="42">
        <v>0.0</v>
      </c>
      <c r="Q273" s="43"/>
      <c r="R273" s="41">
        <v>150.0</v>
      </c>
      <c r="T273" s="42">
        <v>150.0</v>
      </c>
      <c r="V273" s="42">
        <v>0.0</v>
      </c>
      <c r="X273" s="42">
        <v>0.0</v>
      </c>
      <c r="Z273" s="42">
        <v>0.0</v>
      </c>
      <c r="AB273" s="42">
        <v>0.0</v>
      </c>
      <c r="AC273" s="43"/>
      <c r="AD273" s="42">
        <v>0.0</v>
      </c>
      <c r="AF273" s="42">
        <v>0.0</v>
      </c>
      <c r="AH273" s="42">
        <v>0.0</v>
      </c>
      <c r="AJ273" s="41"/>
      <c r="AK273" s="43"/>
      <c r="AL273" s="46">
        <v>0.0</v>
      </c>
      <c r="AM273" s="43"/>
      <c r="AN273" s="110"/>
      <c r="AO273" s="43"/>
      <c r="AP273" s="110"/>
      <c r="AQ273" s="43"/>
      <c r="AR273" s="110"/>
      <c r="AS273" s="43"/>
      <c r="AT273" s="91"/>
      <c r="AV273" s="91"/>
      <c r="AW273" s="43"/>
      <c r="AX273" s="54">
        <f t="shared" si="1"/>
        <v>3336</v>
      </c>
      <c r="AY273" s="52">
        <f t="shared" si="2"/>
        <v>300</v>
      </c>
      <c r="AZ273" s="52">
        <v>0.0</v>
      </c>
      <c r="BA273" s="52">
        <f t="shared" si="3"/>
        <v>300</v>
      </c>
      <c r="BB273" s="49">
        <f t="shared" si="4"/>
        <v>11.12</v>
      </c>
    </row>
    <row r="274" ht="15.75" customHeight="1">
      <c r="A274" s="50" t="s">
        <v>54</v>
      </c>
      <c r="B274" s="51">
        <f t="shared" si="5"/>
        <v>45927</v>
      </c>
      <c r="C274" s="52">
        <v>10.0</v>
      </c>
      <c r="D274" s="52" t="s">
        <v>69</v>
      </c>
      <c r="E274" s="53"/>
      <c r="F274" s="41">
        <v>0.0</v>
      </c>
      <c r="H274" s="42">
        <v>0.0</v>
      </c>
      <c r="J274" s="42">
        <v>0.0</v>
      </c>
      <c r="L274" s="42">
        <v>0.0</v>
      </c>
      <c r="N274" s="42">
        <v>0.0</v>
      </c>
      <c r="P274" s="42">
        <v>0.0</v>
      </c>
      <c r="Q274" s="43"/>
      <c r="R274" s="41">
        <v>150.0</v>
      </c>
      <c r="T274" s="42">
        <v>150.0</v>
      </c>
      <c r="V274" s="42">
        <v>0.0</v>
      </c>
      <c r="X274" s="42">
        <v>0.0</v>
      </c>
      <c r="Z274" s="42">
        <v>0.0</v>
      </c>
      <c r="AB274" s="42">
        <v>0.0</v>
      </c>
      <c r="AC274" s="43"/>
      <c r="AD274" s="42">
        <v>0.0</v>
      </c>
      <c r="AF274" s="42">
        <v>0.0</v>
      </c>
      <c r="AH274" s="42">
        <v>0.0</v>
      </c>
      <c r="AJ274" s="41"/>
      <c r="AK274" s="43"/>
      <c r="AL274" s="46">
        <v>0.0</v>
      </c>
      <c r="AM274" s="43"/>
      <c r="AN274" s="110"/>
      <c r="AO274" s="43"/>
      <c r="AP274" s="110"/>
      <c r="AQ274" s="43"/>
      <c r="AR274" s="110"/>
      <c r="AS274" s="43"/>
      <c r="AT274" s="91"/>
      <c r="AV274" s="91"/>
      <c r="AW274" s="43"/>
      <c r="AX274" s="54">
        <f t="shared" si="1"/>
        <v>3336</v>
      </c>
      <c r="AY274" s="52">
        <f t="shared" si="2"/>
        <v>300</v>
      </c>
      <c r="AZ274" s="52">
        <v>0.0</v>
      </c>
      <c r="BA274" s="52">
        <f t="shared" si="3"/>
        <v>300</v>
      </c>
      <c r="BB274" s="49">
        <f t="shared" si="4"/>
        <v>11.12</v>
      </c>
    </row>
    <row r="275" ht="15.75" customHeight="1">
      <c r="A275" s="59" t="s">
        <v>61</v>
      </c>
      <c r="B275" s="61">
        <f t="shared" si="5"/>
        <v>45928</v>
      </c>
      <c r="C275" s="63">
        <v>10.0</v>
      </c>
      <c r="D275" s="63" t="s">
        <v>69</v>
      </c>
      <c r="E275" s="64"/>
      <c r="F275" s="65">
        <v>0.0</v>
      </c>
      <c r="G275" s="66"/>
      <c r="H275" s="67">
        <v>0.0</v>
      </c>
      <c r="I275" s="66"/>
      <c r="J275" s="67">
        <v>0.0</v>
      </c>
      <c r="K275" s="66"/>
      <c r="L275" s="67">
        <v>0.0</v>
      </c>
      <c r="M275" s="66"/>
      <c r="N275" s="67">
        <v>0.0</v>
      </c>
      <c r="O275" s="66"/>
      <c r="P275" s="67">
        <v>0.0</v>
      </c>
      <c r="Q275" s="68"/>
      <c r="R275" s="65">
        <v>0.0</v>
      </c>
      <c r="S275" s="66"/>
      <c r="T275" s="67">
        <v>0.0</v>
      </c>
      <c r="U275" s="66"/>
      <c r="V275" s="67">
        <v>0.0</v>
      </c>
      <c r="W275" s="66"/>
      <c r="X275" s="67">
        <v>0.0</v>
      </c>
      <c r="Y275" s="66"/>
      <c r="Z275" s="67">
        <v>0.0</v>
      </c>
      <c r="AA275" s="66"/>
      <c r="AB275" s="67">
        <v>0.0</v>
      </c>
      <c r="AC275" s="68"/>
      <c r="AD275" s="67">
        <v>0.0</v>
      </c>
      <c r="AE275" s="66"/>
      <c r="AF275" s="67">
        <v>0.0</v>
      </c>
      <c r="AG275" s="66"/>
      <c r="AH275" s="67">
        <v>0.0</v>
      </c>
      <c r="AI275" s="66"/>
      <c r="AJ275" s="65"/>
      <c r="AK275" s="68"/>
      <c r="AL275" s="71">
        <v>0.0</v>
      </c>
      <c r="AM275" s="68"/>
      <c r="AN275" s="111"/>
      <c r="AO275" s="68"/>
      <c r="AP275" s="111"/>
      <c r="AQ275" s="68"/>
      <c r="AR275" s="111"/>
      <c r="AS275" s="68"/>
      <c r="AT275" s="112"/>
      <c r="AU275" s="66"/>
      <c r="AV275" s="112"/>
      <c r="AW275" s="68"/>
      <c r="AX275" s="73">
        <f t="shared" si="1"/>
        <v>0</v>
      </c>
      <c r="AY275" s="63">
        <f t="shared" si="2"/>
        <v>0</v>
      </c>
      <c r="AZ275" s="63">
        <v>0.0</v>
      </c>
      <c r="BA275" s="63">
        <f t="shared" si="3"/>
        <v>0</v>
      </c>
      <c r="BB275" s="74" t="str">
        <f t="shared" si="4"/>
        <v/>
      </c>
    </row>
    <row r="276" ht="15.75" customHeight="1">
      <c r="A276" s="36" t="s">
        <v>46</v>
      </c>
      <c r="B276" s="75">
        <f t="shared" si="5"/>
        <v>45929</v>
      </c>
      <c r="C276" s="38">
        <v>10.0</v>
      </c>
      <c r="D276" s="38" t="s">
        <v>72</v>
      </c>
      <c r="E276" s="40"/>
      <c r="F276" s="41">
        <v>0.0</v>
      </c>
      <c r="H276" s="42">
        <v>0.0</v>
      </c>
      <c r="J276" s="42">
        <v>0.0</v>
      </c>
      <c r="L276" s="42">
        <v>0.0</v>
      </c>
      <c r="N276" s="42">
        <v>0.0</v>
      </c>
      <c r="P276" s="42">
        <v>0.0</v>
      </c>
      <c r="Q276" s="43"/>
      <c r="R276" s="41">
        <v>120.0</v>
      </c>
      <c r="T276" s="42">
        <v>120.0</v>
      </c>
      <c r="V276" s="42">
        <v>0.0</v>
      </c>
      <c r="X276" s="42">
        <v>0.0</v>
      </c>
      <c r="Z276" s="42">
        <v>0.0</v>
      </c>
      <c r="AB276" s="42">
        <v>0.0</v>
      </c>
      <c r="AC276" s="43"/>
      <c r="AD276" s="42">
        <v>0.0</v>
      </c>
      <c r="AF276" s="42">
        <v>0.0</v>
      </c>
      <c r="AH276" s="42">
        <v>0.0</v>
      </c>
      <c r="AJ276" s="41"/>
      <c r="AK276" s="43"/>
      <c r="AL276" s="46">
        <v>0.0</v>
      </c>
      <c r="AM276" s="43"/>
      <c r="AN276" s="114"/>
      <c r="AO276" s="43"/>
      <c r="AP276" s="114"/>
      <c r="AQ276" s="43"/>
      <c r="AR276" s="114"/>
      <c r="AS276" s="43"/>
      <c r="AT276" s="115"/>
      <c r="AV276" s="115"/>
      <c r="AW276" s="43"/>
      <c r="AX276" s="47">
        <f t="shared" si="1"/>
        <v>2668.8</v>
      </c>
      <c r="AY276" s="38">
        <f t="shared" si="2"/>
        <v>240</v>
      </c>
      <c r="AZ276" s="38">
        <v>0.0</v>
      </c>
      <c r="BA276" s="38">
        <f t="shared" si="3"/>
        <v>240</v>
      </c>
      <c r="BB276" s="76">
        <f t="shared" si="4"/>
        <v>11.12</v>
      </c>
    </row>
    <row r="277" ht="15.75" customHeight="1">
      <c r="A277" s="50" t="s">
        <v>48</v>
      </c>
      <c r="B277" s="51">
        <f t="shared" si="5"/>
        <v>45930</v>
      </c>
      <c r="C277" s="52">
        <v>10.0</v>
      </c>
      <c r="D277" s="52" t="s">
        <v>72</v>
      </c>
      <c r="E277" s="53"/>
      <c r="F277" s="41">
        <v>0.0</v>
      </c>
      <c r="H277" s="42">
        <v>0.0</v>
      </c>
      <c r="J277" s="42">
        <v>0.0</v>
      </c>
      <c r="L277" s="42">
        <v>0.0</v>
      </c>
      <c r="N277" s="42">
        <v>0.0</v>
      </c>
      <c r="P277" s="42">
        <v>0.0</v>
      </c>
      <c r="Q277" s="43"/>
      <c r="R277" s="41">
        <v>120.0</v>
      </c>
      <c r="T277" s="42">
        <v>120.0</v>
      </c>
      <c r="V277" s="42">
        <v>0.0</v>
      </c>
      <c r="X277" s="42">
        <v>0.0</v>
      </c>
      <c r="Z277" s="42">
        <v>0.0</v>
      </c>
      <c r="AB277" s="42">
        <v>0.0</v>
      </c>
      <c r="AC277" s="43"/>
      <c r="AD277" s="42">
        <v>0.0</v>
      </c>
      <c r="AF277" s="42">
        <v>0.0</v>
      </c>
      <c r="AH277" s="42">
        <v>0.0</v>
      </c>
      <c r="AJ277" s="41"/>
      <c r="AK277" s="43"/>
      <c r="AL277" s="46">
        <v>0.0</v>
      </c>
      <c r="AM277" s="43"/>
      <c r="AN277" s="114"/>
      <c r="AO277" s="43"/>
      <c r="AP277" s="114"/>
      <c r="AQ277" s="43"/>
      <c r="AR277" s="114"/>
      <c r="AS277" s="43"/>
      <c r="AT277" s="115"/>
      <c r="AV277" s="115"/>
      <c r="AW277" s="43"/>
      <c r="AX277" s="54">
        <f t="shared" si="1"/>
        <v>2668.8</v>
      </c>
      <c r="AY277" s="52">
        <f t="shared" si="2"/>
        <v>240</v>
      </c>
      <c r="AZ277" s="52">
        <v>0.0</v>
      </c>
      <c r="BA277" s="52">
        <f t="shared" si="3"/>
        <v>240</v>
      </c>
      <c r="BB277" s="49">
        <f t="shared" si="4"/>
        <v>11.12</v>
      </c>
    </row>
    <row r="278" ht="15.75" customHeight="1">
      <c r="A278" s="50" t="s">
        <v>49</v>
      </c>
      <c r="B278" s="51">
        <f t="shared" si="5"/>
        <v>45931</v>
      </c>
      <c r="C278" s="52">
        <v>10.0</v>
      </c>
      <c r="D278" s="52" t="s">
        <v>72</v>
      </c>
      <c r="E278" s="53"/>
      <c r="F278" s="41">
        <v>0.0</v>
      </c>
      <c r="H278" s="42">
        <v>0.0</v>
      </c>
      <c r="J278" s="42">
        <v>0.0</v>
      </c>
      <c r="L278" s="42">
        <v>0.0</v>
      </c>
      <c r="N278" s="42">
        <v>0.0</v>
      </c>
      <c r="P278" s="42">
        <v>0.0</v>
      </c>
      <c r="Q278" s="43"/>
      <c r="R278" s="41">
        <v>120.0</v>
      </c>
      <c r="T278" s="42">
        <v>120.0</v>
      </c>
      <c r="V278" s="42">
        <v>0.0</v>
      </c>
      <c r="X278" s="42">
        <v>0.0</v>
      </c>
      <c r="Z278" s="42">
        <v>0.0</v>
      </c>
      <c r="AB278" s="42">
        <v>0.0</v>
      </c>
      <c r="AC278" s="43"/>
      <c r="AD278" s="42">
        <v>0.0</v>
      </c>
      <c r="AF278" s="42">
        <v>0.0</v>
      </c>
      <c r="AH278" s="42">
        <v>0.0</v>
      </c>
      <c r="AJ278" s="41"/>
      <c r="AK278" s="43"/>
      <c r="AL278" s="46">
        <v>0.0</v>
      </c>
      <c r="AM278" s="43"/>
      <c r="AN278" s="114"/>
      <c r="AO278" s="43"/>
      <c r="AP278" s="114"/>
      <c r="AQ278" s="43"/>
      <c r="AR278" s="114"/>
      <c r="AS278" s="43"/>
      <c r="AT278" s="115"/>
      <c r="AV278" s="115"/>
      <c r="AW278" s="43"/>
      <c r="AX278" s="54">
        <f t="shared" si="1"/>
        <v>2668.8</v>
      </c>
      <c r="AY278" s="52">
        <f t="shared" si="2"/>
        <v>240</v>
      </c>
      <c r="AZ278" s="52">
        <v>0.0</v>
      </c>
      <c r="BA278" s="52">
        <f t="shared" si="3"/>
        <v>240</v>
      </c>
      <c r="BB278" s="49">
        <f t="shared" si="4"/>
        <v>11.12</v>
      </c>
    </row>
    <row r="279" ht="15.75" customHeight="1">
      <c r="A279" s="50" t="s">
        <v>50</v>
      </c>
      <c r="B279" s="51">
        <f t="shared" si="5"/>
        <v>45932</v>
      </c>
      <c r="C279" s="52">
        <v>10.0</v>
      </c>
      <c r="D279" s="52" t="s">
        <v>72</v>
      </c>
      <c r="E279" s="53"/>
      <c r="F279" s="41">
        <v>0.0</v>
      </c>
      <c r="H279" s="42">
        <v>0.0</v>
      </c>
      <c r="J279" s="42">
        <v>0.0</v>
      </c>
      <c r="L279" s="42">
        <v>0.0</v>
      </c>
      <c r="N279" s="42">
        <v>0.0</v>
      </c>
      <c r="P279" s="42">
        <v>0.0</v>
      </c>
      <c r="Q279" s="43"/>
      <c r="R279" s="41">
        <v>120.0</v>
      </c>
      <c r="T279" s="42">
        <v>120.0</v>
      </c>
      <c r="V279" s="42">
        <v>0.0</v>
      </c>
      <c r="X279" s="42">
        <v>0.0</v>
      </c>
      <c r="Z279" s="42">
        <v>0.0</v>
      </c>
      <c r="AB279" s="42">
        <v>0.0</v>
      </c>
      <c r="AC279" s="43"/>
      <c r="AD279" s="42">
        <v>0.0</v>
      </c>
      <c r="AF279" s="42">
        <v>0.0</v>
      </c>
      <c r="AH279" s="42">
        <v>0.0</v>
      </c>
      <c r="AJ279" s="41"/>
      <c r="AK279" s="43"/>
      <c r="AL279" s="46">
        <v>0.0</v>
      </c>
      <c r="AM279" s="43"/>
      <c r="AN279" s="114"/>
      <c r="AO279" s="43"/>
      <c r="AP279" s="114"/>
      <c r="AQ279" s="43"/>
      <c r="AR279" s="114"/>
      <c r="AS279" s="43"/>
      <c r="AT279" s="115"/>
      <c r="AV279" s="115"/>
      <c r="AW279" s="43"/>
      <c r="AX279" s="54">
        <f t="shared" si="1"/>
        <v>2668.8</v>
      </c>
      <c r="AY279" s="52">
        <f t="shared" si="2"/>
        <v>240</v>
      </c>
      <c r="AZ279" s="52">
        <v>0.0</v>
      </c>
      <c r="BA279" s="52">
        <f t="shared" si="3"/>
        <v>240</v>
      </c>
      <c r="BB279" s="49">
        <f t="shared" si="4"/>
        <v>11.12</v>
      </c>
    </row>
    <row r="280" ht="15.75" customHeight="1">
      <c r="A280" s="50" t="s">
        <v>53</v>
      </c>
      <c r="B280" s="51">
        <f t="shared" si="5"/>
        <v>45933</v>
      </c>
      <c r="C280" s="52">
        <v>10.0</v>
      </c>
      <c r="D280" s="52" t="s">
        <v>72</v>
      </c>
      <c r="E280" s="53"/>
      <c r="F280" s="41">
        <v>0.0</v>
      </c>
      <c r="H280" s="42">
        <v>0.0</v>
      </c>
      <c r="J280" s="42">
        <v>0.0</v>
      </c>
      <c r="L280" s="42">
        <v>0.0</v>
      </c>
      <c r="N280" s="42">
        <v>0.0</v>
      </c>
      <c r="P280" s="42">
        <v>0.0</v>
      </c>
      <c r="Q280" s="43"/>
      <c r="R280" s="41">
        <v>120.0</v>
      </c>
      <c r="T280" s="42">
        <v>120.0</v>
      </c>
      <c r="V280" s="42">
        <v>0.0</v>
      </c>
      <c r="X280" s="42">
        <v>0.0</v>
      </c>
      <c r="Z280" s="42">
        <v>0.0</v>
      </c>
      <c r="AB280" s="42">
        <v>0.0</v>
      </c>
      <c r="AC280" s="43"/>
      <c r="AD280" s="42">
        <v>0.0</v>
      </c>
      <c r="AF280" s="42">
        <v>0.0</v>
      </c>
      <c r="AH280" s="42">
        <v>0.0</v>
      </c>
      <c r="AJ280" s="41"/>
      <c r="AK280" s="43"/>
      <c r="AL280" s="46">
        <v>0.0</v>
      </c>
      <c r="AM280" s="43"/>
      <c r="AN280" s="114"/>
      <c r="AO280" s="43"/>
      <c r="AP280" s="114"/>
      <c r="AQ280" s="43"/>
      <c r="AR280" s="114"/>
      <c r="AS280" s="43"/>
      <c r="AT280" s="115"/>
      <c r="AV280" s="115"/>
      <c r="AW280" s="43"/>
      <c r="AX280" s="54">
        <f t="shared" si="1"/>
        <v>2668.8</v>
      </c>
      <c r="AY280" s="52">
        <f t="shared" si="2"/>
        <v>240</v>
      </c>
      <c r="AZ280" s="52">
        <v>0.0</v>
      </c>
      <c r="BA280" s="52">
        <f t="shared" si="3"/>
        <v>240</v>
      </c>
      <c r="BB280" s="49">
        <f t="shared" si="4"/>
        <v>11.12</v>
      </c>
    </row>
    <row r="281" ht="15.75" customHeight="1">
      <c r="A281" s="50" t="s">
        <v>54</v>
      </c>
      <c r="B281" s="51">
        <f t="shared" si="5"/>
        <v>45934</v>
      </c>
      <c r="C281" s="52">
        <v>10.0</v>
      </c>
      <c r="D281" s="52" t="s">
        <v>72</v>
      </c>
      <c r="E281" s="53"/>
      <c r="F281" s="41">
        <v>0.0</v>
      </c>
      <c r="H281" s="42">
        <v>0.0</v>
      </c>
      <c r="J281" s="42">
        <v>0.0</v>
      </c>
      <c r="L281" s="42">
        <v>0.0</v>
      </c>
      <c r="N281" s="42">
        <v>0.0</v>
      </c>
      <c r="P281" s="42">
        <v>0.0</v>
      </c>
      <c r="Q281" s="43"/>
      <c r="R281" s="41">
        <v>120.0</v>
      </c>
      <c r="T281" s="42">
        <v>120.0</v>
      </c>
      <c r="V281" s="42">
        <v>0.0</v>
      </c>
      <c r="X281" s="42">
        <v>0.0</v>
      </c>
      <c r="Z281" s="42">
        <v>0.0</v>
      </c>
      <c r="AB281" s="42">
        <v>0.0</v>
      </c>
      <c r="AC281" s="43"/>
      <c r="AD281" s="42">
        <v>0.0</v>
      </c>
      <c r="AF281" s="42">
        <v>0.0</v>
      </c>
      <c r="AH281" s="42">
        <v>0.0</v>
      </c>
      <c r="AJ281" s="41"/>
      <c r="AK281" s="43"/>
      <c r="AL281" s="46">
        <v>0.0</v>
      </c>
      <c r="AM281" s="43"/>
      <c r="AN281" s="114"/>
      <c r="AO281" s="43"/>
      <c r="AP281" s="114"/>
      <c r="AQ281" s="43"/>
      <c r="AR281" s="114"/>
      <c r="AS281" s="43"/>
      <c r="AT281" s="115"/>
      <c r="AV281" s="115"/>
      <c r="AW281" s="43"/>
      <c r="AX281" s="54">
        <f t="shared" si="1"/>
        <v>2668.8</v>
      </c>
      <c r="AY281" s="52">
        <f t="shared" si="2"/>
        <v>240</v>
      </c>
      <c r="AZ281" s="52">
        <v>0.0</v>
      </c>
      <c r="BA281" s="52">
        <f t="shared" si="3"/>
        <v>240</v>
      </c>
      <c r="BB281" s="49">
        <f t="shared" si="4"/>
        <v>11.12</v>
      </c>
    </row>
    <row r="282" ht="15.75" customHeight="1">
      <c r="A282" s="59" t="s">
        <v>61</v>
      </c>
      <c r="B282" s="61">
        <f t="shared" si="5"/>
        <v>45935</v>
      </c>
      <c r="C282" s="63">
        <v>10.0</v>
      </c>
      <c r="D282" s="63" t="s">
        <v>72</v>
      </c>
      <c r="E282" s="64"/>
      <c r="F282" s="65">
        <v>0.0</v>
      </c>
      <c r="G282" s="66"/>
      <c r="H282" s="67">
        <v>0.0</v>
      </c>
      <c r="I282" s="66"/>
      <c r="J282" s="67">
        <v>0.0</v>
      </c>
      <c r="K282" s="66"/>
      <c r="L282" s="67">
        <v>0.0</v>
      </c>
      <c r="M282" s="66"/>
      <c r="N282" s="67">
        <v>0.0</v>
      </c>
      <c r="O282" s="66"/>
      <c r="P282" s="67">
        <v>0.0</v>
      </c>
      <c r="Q282" s="68"/>
      <c r="R282" s="65">
        <v>0.0</v>
      </c>
      <c r="S282" s="66"/>
      <c r="T282" s="67">
        <v>0.0</v>
      </c>
      <c r="U282" s="66"/>
      <c r="V282" s="67">
        <v>0.0</v>
      </c>
      <c r="W282" s="66"/>
      <c r="X282" s="67">
        <v>0.0</v>
      </c>
      <c r="Y282" s="66"/>
      <c r="Z282" s="67">
        <v>0.0</v>
      </c>
      <c r="AA282" s="66"/>
      <c r="AB282" s="67">
        <v>0.0</v>
      </c>
      <c r="AC282" s="68"/>
      <c r="AD282" s="67">
        <v>0.0</v>
      </c>
      <c r="AE282" s="66"/>
      <c r="AF282" s="67">
        <v>0.0</v>
      </c>
      <c r="AG282" s="66"/>
      <c r="AH282" s="67">
        <v>0.0</v>
      </c>
      <c r="AI282" s="66"/>
      <c r="AJ282" s="65"/>
      <c r="AK282" s="68"/>
      <c r="AL282" s="71">
        <v>0.0</v>
      </c>
      <c r="AM282" s="68"/>
      <c r="AN282" s="119"/>
      <c r="AO282" s="68"/>
      <c r="AP282" s="119"/>
      <c r="AQ282" s="68"/>
      <c r="AR282" s="119"/>
      <c r="AS282" s="68"/>
      <c r="AT282" s="120"/>
      <c r="AU282" s="66"/>
      <c r="AV282" s="120"/>
      <c r="AW282" s="68"/>
      <c r="AX282" s="73">
        <f t="shared" si="1"/>
        <v>0</v>
      </c>
      <c r="AY282" s="63">
        <f t="shared" si="2"/>
        <v>0</v>
      </c>
      <c r="AZ282" s="63">
        <v>0.0</v>
      </c>
      <c r="BA282" s="63">
        <f t="shared" si="3"/>
        <v>0</v>
      </c>
      <c r="BB282" s="74" t="str">
        <f t="shared" si="4"/>
        <v/>
      </c>
    </row>
    <row r="283" ht="15.75" customHeight="1">
      <c r="A283" s="36" t="s">
        <v>46</v>
      </c>
      <c r="B283" s="75">
        <f t="shared" si="5"/>
        <v>45936</v>
      </c>
      <c r="C283" s="38">
        <v>11.0</v>
      </c>
      <c r="D283" s="38" t="s">
        <v>47</v>
      </c>
      <c r="E283" s="40"/>
      <c r="F283" s="41">
        <v>0.0</v>
      </c>
      <c r="H283" s="42">
        <v>0.0</v>
      </c>
      <c r="J283" s="42">
        <v>0.0</v>
      </c>
      <c r="L283" s="42">
        <v>0.0</v>
      </c>
      <c r="N283" s="42">
        <v>0.0</v>
      </c>
      <c r="P283" s="42">
        <v>0.0</v>
      </c>
      <c r="Q283" s="43"/>
      <c r="R283" s="41">
        <v>100.0</v>
      </c>
      <c r="T283" s="42">
        <v>100.0</v>
      </c>
      <c r="V283" s="42">
        <v>0.0</v>
      </c>
      <c r="X283" s="42">
        <v>0.0</v>
      </c>
      <c r="Z283" s="42">
        <v>0.0</v>
      </c>
      <c r="AB283" s="42">
        <v>0.0</v>
      </c>
      <c r="AC283" s="43"/>
      <c r="AD283" s="42">
        <v>0.0</v>
      </c>
      <c r="AF283" s="42">
        <v>0.0</v>
      </c>
      <c r="AH283" s="42">
        <v>0.0</v>
      </c>
      <c r="AJ283" s="41"/>
      <c r="AK283" s="43"/>
      <c r="AL283" s="46">
        <v>0.0</v>
      </c>
      <c r="AM283" s="43"/>
      <c r="AN283" s="114"/>
      <c r="AO283" s="43"/>
      <c r="AP283" s="114"/>
      <c r="AQ283" s="43"/>
      <c r="AR283" s="114"/>
      <c r="AS283" s="43"/>
      <c r="AT283" s="115"/>
      <c r="AV283" s="115"/>
      <c r="AW283" s="43"/>
      <c r="AX283" s="47">
        <f t="shared" si="1"/>
        <v>2224</v>
      </c>
      <c r="AY283" s="38">
        <f t="shared" si="2"/>
        <v>200</v>
      </c>
      <c r="AZ283" s="38">
        <v>0.0</v>
      </c>
      <c r="BA283" s="38">
        <f t="shared" si="3"/>
        <v>200</v>
      </c>
      <c r="BB283" s="76">
        <f t="shared" si="4"/>
        <v>11.12</v>
      </c>
    </row>
    <row r="284" ht="15.75" customHeight="1">
      <c r="A284" s="50" t="s">
        <v>48</v>
      </c>
      <c r="B284" s="51">
        <f t="shared" si="5"/>
        <v>45937</v>
      </c>
      <c r="C284" s="52">
        <v>11.0</v>
      </c>
      <c r="D284" s="52" t="s">
        <v>47</v>
      </c>
      <c r="E284" s="53"/>
      <c r="F284" s="41">
        <v>0.0</v>
      </c>
      <c r="H284" s="42">
        <v>0.0</v>
      </c>
      <c r="J284" s="42">
        <v>0.0</v>
      </c>
      <c r="L284" s="42">
        <v>0.0</v>
      </c>
      <c r="N284" s="42">
        <v>0.0</v>
      </c>
      <c r="P284" s="42">
        <v>0.0</v>
      </c>
      <c r="Q284" s="43"/>
      <c r="R284" s="41">
        <v>100.0</v>
      </c>
      <c r="T284" s="42">
        <v>100.0</v>
      </c>
      <c r="V284" s="42">
        <v>0.0</v>
      </c>
      <c r="X284" s="42">
        <v>0.0</v>
      </c>
      <c r="Z284" s="42">
        <v>0.0</v>
      </c>
      <c r="AB284" s="42">
        <v>0.0</v>
      </c>
      <c r="AC284" s="43"/>
      <c r="AD284" s="42">
        <v>0.0</v>
      </c>
      <c r="AF284" s="42">
        <v>0.0</v>
      </c>
      <c r="AH284" s="42">
        <v>0.0</v>
      </c>
      <c r="AJ284" s="41"/>
      <c r="AK284" s="43"/>
      <c r="AL284" s="46">
        <v>0.0</v>
      </c>
      <c r="AM284" s="43"/>
      <c r="AN284" s="114"/>
      <c r="AO284" s="43"/>
      <c r="AP284" s="114"/>
      <c r="AQ284" s="43"/>
      <c r="AR284" s="114"/>
      <c r="AS284" s="43"/>
      <c r="AT284" s="115"/>
      <c r="AV284" s="115"/>
      <c r="AW284" s="43"/>
      <c r="AX284" s="54">
        <f t="shared" si="1"/>
        <v>2224</v>
      </c>
      <c r="AY284" s="52">
        <f t="shared" si="2"/>
        <v>200</v>
      </c>
      <c r="AZ284" s="52">
        <v>0.0</v>
      </c>
      <c r="BA284" s="52">
        <f t="shared" si="3"/>
        <v>200</v>
      </c>
      <c r="BB284" s="49">
        <f t="shared" si="4"/>
        <v>11.12</v>
      </c>
    </row>
    <row r="285" ht="15.75" customHeight="1">
      <c r="A285" s="50" t="s">
        <v>49</v>
      </c>
      <c r="B285" s="51">
        <f t="shared" si="5"/>
        <v>45938</v>
      </c>
      <c r="C285" s="52">
        <v>11.0</v>
      </c>
      <c r="D285" s="52" t="s">
        <v>47</v>
      </c>
      <c r="E285" s="53"/>
      <c r="F285" s="41">
        <v>0.0</v>
      </c>
      <c r="H285" s="42">
        <v>0.0</v>
      </c>
      <c r="J285" s="42">
        <v>0.0</v>
      </c>
      <c r="L285" s="42">
        <v>0.0</v>
      </c>
      <c r="N285" s="42">
        <v>0.0</v>
      </c>
      <c r="P285" s="42">
        <v>0.0</v>
      </c>
      <c r="Q285" s="43"/>
      <c r="R285" s="41">
        <v>100.0</v>
      </c>
      <c r="T285" s="42">
        <v>100.0</v>
      </c>
      <c r="V285" s="42">
        <v>0.0</v>
      </c>
      <c r="X285" s="42">
        <v>0.0</v>
      </c>
      <c r="Z285" s="42">
        <v>0.0</v>
      </c>
      <c r="AB285" s="42">
        <v>0.0</v>
      </c>
      <c r="AC285" s="43"/>
      <c r="AD285" s="42">
        <v>0.0</v>
      </c>
      <c r="AF285" s="42">
        <v>0.0</v>
      </c>
      <c r="AH285" s="42">
        <v>0.0</v>
      </c>
      <c r="AJ285" s="41"/>
      <c r="AK285" s="43"/>
      <c r="AL285" s="46">
        <v>0.0</v>
      </c>
      <c r="AM285" s="43"/>
      <c r="AN285" s="114"/>
      <c r="AO285" s="43"/>
      <c r="AP285" s="114"/>
      <c r="AQ285" s="43"/>
      <c r="AR285" s="114"/>
      <c r="AS285" s="43"/>
      <c r="AT285" s="115"/>
      <c r="AV285" s="115"/>
      <c r="AW285" s="43"/>
      <c r="AX285" s="54">
        <f t="shared" si="1"/>
        <v>2224</v>
      </c>
      <c r="AY285" s="52">
        <f t="shared" si="2"/>
        <v>200</v>
      </c>
      <c r="AZ285" s="52">
        <v>0.0</v>
      </c>
      <c r="BA285" s="52">
        <f t="shared" si="3"/>
        <v>200</v>
      </c>
      <c r="BB285" s="49">
        <f t="shared" si="4"/>
        <v>11.12</v>
      </c>
    </row>
    <row r="286" ht="15.75" customHeight="1">
      <c r="A286" s="50" t="s">
        <v>50</v>
      </c>
      <c r="B286" s="51">
        <f t="shared" si="5"/>
        <v>45939</v>
      </c>
      <c r="C286" s="52">
        <v>11.0</v>
      </c>
      <c r="D286" s="52" t="s">
        <v>47</v>
      </c>
      <c r="E286" s="53"/>
      <c r="F286" s="41">
        <v>0.0</v>
      </c>
      <c r="H286" s="42">
        <v>0.0</v>
      </c>
      <c r="J286" s="42">
        <v>0.0</v>
      </c>
      <c r="L286" s="42">
        <v>0.0</v>
      </c>
      <c r="N286" s="42">
        <v>0.0</v>
      </c>
      <c r="P286" s="42">
        <v>0.0</v>
      </c>
      <c r="Q286" s="43"/>
      <c r="R286" s="41">
        <v>100.0</v>
      </c>
      <c r="T286" s="42">
        <v>100.0</v>
      </c>
      <c r="V286" s="42">
        <v>0.0</v>
      </c>
      <c r="X286" s="42">
        <v>0.0</v>
      </c>
      <c r="Z286" s="42">
        <v>0.0</v>
      </c>
      <c r="AB286" s="42">
        <v>0.0</v>
      </c>
      <c r="AC286" s="43"/>
      <c r="AD286" s="42">
        <v>0.0</v>
      </c>
      <c r="AF286" s="42">
        <v>0.0</v>
      </c>
      <c r="AH286" s="42">
        <v>0.0</v>
      </c>
      <c r="AJ286" s="41"/>
      <c r="AK286" s="43"/>
      <c r="AL286" s="46">
        <v>0.0</v>
      </c>
      <c r="AM286" s="43"/>
      <c r="AN286" s="114"/>
      <c r="AO286" s="43"/>
      <c r="AP286" s="114"/>
      <c r="AQ286" s="43"/>
      <c r="AR286" s="114"/>
      <c r="AS286" s="43"/>
      <c r="AT286" s="115"/>
      <c r="AV286" s="115"/>
      <c r="AW286" s="43"/>
      <c r="AX286" s="54">
        <f t="shared" si="1"/>
        <v>2224</v>
      </c>
      <c r="AY286" s="52">
        <f t="shared" si="2"/>
        <v>200</v>
      </c>
      <c r="AZ286" s="52">
        <v>0.0</v>
      </c>
      <c r="BA286" s="52">
        <f t="shared" si="3"/>
        <v>200</v>
      </c>
      <c r="BB286" s="49">
        <f t="shared" si="4"/>
        <v>11.12</v>
      </c>
    </row>
    <row r="287" ht="15.75" customHeight="1">
      <c r="A287" s="50" t="s">
        <v>53</v>
      </c>
      <c r="B287" s="51">
        <f t="shared" si="5"/>
        <v>45940</v>
      </c>
      <c r="C287" s="52">
        <v>11.0</v>
      </c>
      <c r="D287" s="52" t="s">
        <v>47</v>
      </c>
      <c r="E287" s="53"/>
      <c r="F287" s="41">
        <v>0.0</v>
      </c>
      <c r="H287" s="42">
        <v>0.0</v>
      </c>
      <c r="J287" s="42">
        <v>0.0</v>
      </c>
      <c r="L287" s="42">
        <v>0.0</v>
      </c>
      <c r="N287" s="42">
        <v>0.0</v>
      </c>
      <c r="P287" s="42">
        <v>0.0</v>
      </c>
      <c r="Q287" s="43"/>
      <c r="R287" s="41">
        <v>100.0</v>
      </c>
      <c r="T287" s="42">
        <v>100.0</v>
      </c>
      <c r="V287" s="42">
        <v>0.0</v>
      </c>
      <c r="X287" s="42">
        <v>0.0</v>
      </c>
      <c r="Z287" s="42">
        <v>0.0</v>
      </c>
      <c r="AB287" s="42">
        <v>0.0</v>
      </c>
      <c r="AC287" s="43"/>
      <c r="AD287" s="42">
        <v>0.0</v>
      </c>
      <c r="AF287" s="42">
        <v>0.0</v>
      </c>
      <c r="AH287" s="42">
        <v>0.0</v>
      </c>
      <c r="AJ287" s="41"/>
      <c r="AK287" s="43"/>
      <c r="AL287" s="46">
        <v>0.0</v>
      </c>
      <c r="AM287" s="43"/>
      <c r="AN287" s="114"/>
      <c r="AO287" s="43"/>
      <c r="AP287" s="114"/>
      <c r="AQ287" s="43"/>
      <c r="AR287" s="114"/>
      <c r="AS287" s="43"/>
      <c r="AT287" s="115"/>
      <c r="AV287" s="115"/>
      <c r="AW287" s="43"/>
      <c r="AX287" s="54">
        <f t="shared" si="1"/>
        <v>2224</v>
      </c>
      <c r="AY287" s="52">
        <f t="shared" si="2"/>
        <v>200</v>
      </c>
      <c r="AZ287" s="52">
        <v>0.0</v>
      </c>
      <c r="BA287" s="52">
        <f t="shared" si="3"/>
        <v>200</v>
      </c>
      <c r="BB287" s="49">
        <f t="shared" si="4"/>
        <v>11.12</v>
      </c>
    </row>
    <row r="288" ht="15.75" customHeight="1">
      <c r="A288" s="50" t="s">
        <v>54</v>
      </c>
      <c r="B288" s="51">
        <f t="shared" si="5"/>
        <v>45941</v>
      </c>
      <c r="C288" s="52">
        <v>11.0</v>
      </c>
      <c r="D288" s="52" t="s">
        <v>47</v>
      </c>
      <c r="E288" s="53"/>
      <c r="F288" s="41">
        <v>0.0</v>
      </c>
      <c r="H288" s="42">
        <v>0.0</v>
      </c>
      <c r="J288" s="42">
        <v>0.0</v>
      </c>
      <c r="L288" s="42">
        <v>0.0</v>
      </c>
      <c r="N288" s="42">
        <v>0.0</v>
      </c>
      <c r="P288" s="42">
        <v>0.0</v>
      </c>
      <c r="Q288" s="43"/>
      <c r="R288" s="41">
        <v>100.0</v>
      </c>
      <c r="T288" s="42">
        <v>100.0</v>
      </c>
      <c r="V288" s="42">
        <v>0.0</v>
      </c>
      <c r="X288" s="42">
        <v>0.0</v>
      </c>
      <c r="Z288" s="42">
        <v>0.0</v>
      </c>
      <c r="AB288" s="42">
        <v>0.0</v>
      </c>
      <c r="AC288" s="43"/>
      <c r="AD288" s="42">
        <v>0.0</v>
      </c>
      <c r="AF288" s="42">
        <v>0.0</v>
      </c>
      <c r="AH288" s="42">
        <v>0.0</v>
      </c>
      <c r="AJ288" s="41"/>
      <c r="AK288" s="43"/>
      <c r="AL288" s="46">
        <v>0.0</v>
      </c>
      <c r="AM288" s="43"/>
      <c r="AN288" s="114"/>
      <c r="AO288" s="43"/>
      <c r="AP288" s="114"/>
      <c r="AQ288" s="43"/>
      <c r="AR288" s="114"/>
      <c r="AS288" s="43"/>
      <c r="AT288" s="115"/>
      <c r="AV288" s="115"/>
      <c r="AW288" s="43"/>
      <c r="AX288" s="54">
        <f t="shared" si="1"/>
        <v>2224</v>
      </c>
      <c r="AY288" s="52">
        <f t="shared" si="2"/>
        <v>200</v>
      </c>
      <c r="AZ288" s="52">
        <v>0.0</v>
      </c>
      <c r="BA288" s="52">
        <f t="shared" si="3"/>
        <v>200</v>
      </c>
      <c r="BB288" s="49">
        <f t="shared" si="4"/>
        <v>11.12</v>
      </c>
    </row>
    <row r="289" ht="15.75" customHeight="1">
      <c r="A289" s="59" t="s">
        <v>61</v>
      </c>
      <c r="B289" s="61">
        <f t="shared" si="5"/>
        <v>45942</v>
      </c>
      <c r="C289" s="63">
        <v>11.0</v>
      </c>
      <c r="D289" s="63" t="s">
        <v>47</v>
      </c>
      <c r="E289" s="64"/>
      <c r="F289" s="65">
        <v>0.0</v>
      </c>
      <c r="G289" s="66"/>
      <c r="H289" s="67">
        <v>0.0</v>
      </c>
      <c r="I289" s="66"/>
      <c r="J289" s="67">
        <v>0.0</v>
      </c>
      <c r="K289" s="66"/>
      <c r="L289" s="67">
        <v>0.0</v>
      </c>
      <c r="M289" s="66"/>
      <c r="N289" s="67">
        <v>0.0</v>
      </c>
      <c r="O289" s="66"/>
      <c r="P289" s="67">
        <v>0.0</v>
      </c>
      <c r="Q289" s="68"/>
      <c r="R289" s="65">
        <v>0.0</v>
      </c>
      <c r="S289" s="66"/>
      <c r="T289" s="67">
        <v>0.0</v>
      </c>
      <c r="U289" s="66"/>
      <c r="V289" s="67">
        <v>0.0</v>
      </c>
      <c r="W289" s="66"/>
      <c r="X289" s="67">
        <v>0.0</v>
      </c>
      <c r="Y289" s="66"/>
      <c r="Z289" s="67">
        <v>0.0</v>
      </c>
      <c r="AA289" s="66"/>
      <c r="AB289" s="67">
        <v>0.0</v>
      </c>
      <c r="AC289" s="68"/>
      <c r="AD289" s="67">
        <v>0.0</v>
      </c>
      <c r="AE289" s="66"/>
      <c r="AF289" s="67">
        <v>0.0</v>
      </c>
      <c r="AG289" s="66"/>
      <c r="AH289" s="67">
        <v>0.0</v>
      </c>
      <c r="AI289" s="66"/>
      <c r="AJ289" s="65"/>
      <c r="AK289" s="68"/>
      <c r="AL289" s="71">
        <v>0.0</v>
      </c>
      <c r="AM289" s="68"/>
      <c r="AN289" s="119"/>
      <c r="AO289" s="68"/>
      <c r="AP289" s="119"/>
      <c r="AQ289" s="68"/>
      <c r="AR289" s="119"/>
      <c r="AS289" s="68"/>
      <c r="AT289" s="120"/>
      <c r="AU289" s="66"/>
      <c r="AV289" s="120"/>
      <c r="AW289" s="68"/>
      <c r="AX289" s="73">
        <f t="shared" si="1"/>
        <v>0</v>
      </c>
      <c r="AY289" s="63">
        <f t="shared" si="2"/>
        <v>0</v>
      </c>
      <c r="AZ289" s="63">
        <v>0.0</v>
      </c>
      <c r="BA289" s="63">
        <f t="shared" si="3"/>
        <v>0</v>
      </c>
      <c r="BB289" s="74" t="str">
        <f t="shared" si="4"/>
        <v/>
      </c>
    </row>
    <row r="290" ht="15.75" customHeight="1">
      <c r="A290" s="36" t="s">
        <v>46</v>
      </c>
      <c r="B290" s="75">
        <f t="shared" si="5"/>
        <v>45943</v>
      </c>
      <c r="C290" s="38">
        <v>11.0</v>
      </c>
      <c r="D290" s="38" t="s">
        <v>65</v>
      </c>
      <c r="E290" s="40"/>
      <c r="F290" s="41">
        <v>0.0</v>
      </c>
      <c r="H290" s="42">
        <v>0.0</v>
      </c>
      <c r="J290" s="42">
        <v>0.0</v>
      </c>
      <c r="L290" s="42">
        <v>0.0</v>
      </c>
      <c r="N290" s="42">
        <v>0.0</v>
      </c>
      <c r="P290" s="42">
        <v>0.0</v>
      </c>
      <c r="Q290" s="43"/>
      <c r="R290" s="41">
        <v>100.0</v>
      </c>
      <c r="T290" s="42">
        <v>100.0</v>
      </c>
      <c r="V290" s="42">
        <v>0.0</v>
      </c>
      <c r="X290" s="42">
        <v>0.0</v>
      </c>
      <c r="Z290" s="42">
        <v>0.0</v>
      </c>
      <c r="AB290" s="42">
        <v>0.0</v>
      </c>
      <c r="AC290" s="43"/>
      <c r="AD290" s="42">
        <v>0.0</v>
      </c>
      <c r="AF290" s="42">
        <v>0.0</v>
      </c>
      <c r="AH290" s="42">
        <v>0.0</v>
      </c>
      <c r="AJ290" s="41"/>
      <c r="AK290" s="43"/>
      <c r="AL290" s="46">
        <v>0.0</v>
      </c>
      <c r="AM290" s="43"/>
      <c r="AN290" s="114"/>
      <c r="AO290" s="43"/>
      <c r="AP290" s="114"/>
      <c r="AQ290" s="43"/>
      <c r="AR290" s="114"/>
      <c r="AS290" s="43"/>
      <c r="AT290" s="115"/>
      <c r="AV290" s="115"/>
      <c r="AW290" s="43"/>
      <c r="AX290" s="47">
        <f t="shared" si="1"/>
        <v>2224</v>
      </c>
      <c r="AY290" s="38">
        <f t="shared" si="2"/>
        <v>200</v>
      </c>
      <c r="AZ290" s="38">
        <v>0.0</v>
      </c>
      <c r="BA290" s="38">
        <f t="shared" si="3"/>
        <v>200</v>
      </c>
      <c r="BB290" s="76">
        <f t="shared" si="4"/>
        <v>11.12</v>
      </c>
    </row>
    <row r="291" ht="15.75" customHeight="1">
      <c r="A291" s="50" t="s">
        <v>48</v>
      </c>
      <c r="B291" s="51">
        <f t="shared" si="5"/>
        <v>45944</v>
      </c>
      <c r="C291" s="52">
        <v>11.0</v>
      </c>
      <c r="D291" s="52" t="s">
        <v>65</v>
      </c>
      <c r="E291" s="53"/>
      <c r="F291" s="41">
        <v>0.0</v>
      </c>
      <c r="H291" s="42">
        <v>0.0</v>
      </c>
      <c r="J291" s="42">
        <v>0.0</v>
      </c>
      <c r="L291" s="42">
        <v>0.0</v>
      </c>
      <c r="N291" s="42">
        <v>0.0</v>
      </c>
      <c r="P291" s="42">
        <v>0.0</v>
      </c>
      <c r="Q291" s="43"/>
      <c r="R291" s="41">
        <v>100.0</v>
      </c>
      <c r="T291" s="42">
        <v>100.0</v>
      </c>
      <c r="V291" s="42">
        <v>0.0</v>
      </c>
      <c r="X291" s="42">
        <v>0.0</v>
      </c>
      <c r="Z291" s="42">
        <v>0.0</v>
      </c>
      <c r="AB291" s="42">
        <v>0.0</v>
      </c>
      <c r="AC291" s="43"/>
      <c r="AD291" s="42">
        <v>0.0</v>
      </c>
      <c r="AF291" s="42">
        <v>0.0</v>
      </c>
      <c r="AH291" s="42">
        <v>0.0</v>
      </c>
      <c r="AJ291" s="41"/>
      <c r="AK291" s="43"/>
      <c r="AL291" s="46">
        <v>0.0</v>
      </c>
      <c r="AM291" s="43"/>
      <c r="AN291" s="114"/>
      <c r="AO291" s="43"/>
      <c r="AP291" s="114"/>
      <c r="AQ291" s="43"/>
      <c r="AR291" s="114"/>
      <c r="AS291" s="43"/>
      <c r="AT291" s="115"/>
      <c r="AV291" s="115"/>
      <c r="AW291" s="43"/>
      <c r="AX291" s="54">
        <f t="shared" si="1"/>
        <v>2224</v>
      </c>
      <c r="AY291" s="52">
        <f t="shared" si="2"/>
        <v>200</v>
      </c>
      <c r="AZ291" s="52">
        <v>0.0</v>
      </c>
      <c r="BA291" s="52">
        <f t="shared" si="3"/>
        <v>200</v>
      </c>
      <c r="BB291" s="49">
        <f t="shared" si="4"/>
        <v>11.12</v>
      </c>
    </row>
    <row r="292" ht="15.75" customHeight="1">
      <c r="A292" s="50" t="s">
        <v>49</v>
      </c>
      <c r="B292" s="51">
        <f t="shared" si="5"/>
        <v>45945</v>
      </c>
      <c r="C292" s="52">
        <v>11.0</v>
      </c>
      <c r="D292" s="52" t="s">
        <v>65</v>
      </c>
      <c r="E292" s="53"/>
      <c r="F292" s="41">
        <v>0.0</v>
      </c>
      <c r="H292" s="42">
        <v>0.0</v>
      </c>
      <c r="J292" s="42">
        <v>0.0</v>
      </c>
      <c r="L292" s="42">
        <v>0.0</v>
      </c>
      <c r="N292" s="42">
        <v>0.0</v>
      </c>
      <c r="P292" s="42">
        <v>0.0</v>
      </c>
      <c r="Q292" s="43"/>
      <c r="R292" s="41">
        <v>100.0</v>
      </c>
      <c r="T292" s="42">
        <v>100.0</v>
      </c>
      <c r="V292" s="42">
        <v>0.0</v>
      </c>
      <c r="X292" s="42">
        <v>0.0</v>
      </c>
      <c r="Z292" s="42">
        <v>0.0</v>
      </c>
      <c r="AB292" s="42">
        <v>0.0</v>
      </c>
      <c r="AC292" s="43"/>
      <c r="AD292" s="42">
        <v>0.0</v>
      </c>
      <c r="AF292" s="42">
        <v>0.0</v>
      </c>
      <c r="AH292" s="42">
        <v>0.0</v>
      </c>
      <c r="AJ292" s="41"/>
      <c r="AK292" s="43"/>
      <c r="AL292" s="46">
        <v>0.0</v>
      </c>
      <c r="AM292" s="43"/>
      <c r="AN292" s="114"/>
      <c r="AO292" s="43"/>
      <c r="AP292" s="114"/>
      <c r="AQ292" s="43"/>
      <c r="AR292" s="114"/>
      <c r="AS292" s="43"/>
      <c r="AT292" s="115"/>
      <c r="AV292" s="115"/>
      <c r="AW292" s="43"/>
      <c r="AX292" s="54">
        <f t="shared" si="1"/>
        <v>2224</v>
      </c>
      <c r="AY292" s="52">
        <f t="shared" si="2"/>
        <v>200</v>
      </c>
      <c r="AZ292" s="52">
        <v>0.0</v>
      </c>
      <c r="BA292" s="52">
        <f t="shared" si="3"/>
        <v>200</v>
      </c>
      <c r="BB292" s="49">
        <f t="shared" si="4"/>
        <v>11.12</v>
      </c>
    </row>
    <row r="293" ht="15.75" customHeight="1">
      <c r="A293" s="50" t="s">
        <v>50</v>
      </c>
      <c r="B293" s="51">
        <f t="shared" si="5"/>
        <v>45946</v>
      </c>
      <c r="C293" s="52">
        <v>11.0</v>
      </c>
      <c r="D293" s="52" t="s">
        <v>65</v>
      </c>
      <c r="E293" s="53"/>
      <c r="F293" s="41">
        <v>0.0</v>
      </c>
      <c r="H293" s="42">
        <v>0.0</v>
      </c>
      <c r="J293" s="42">
        <v>0.0</v>
      </c>
      <c r="L293" s="42">
        <v>0.0</v>
      </c>
      <c r="N293" s="42">
        <v>0.0</v>
      </c>
      <c r="P293" s="42">
        <v>0.0</v>
      </c>
      <c r="Q293" s="43"/>
      <c r="R293" s="41">
        <v>100.0</v>
      </c>
      <c r="T293" s="42">
        <v>100.0</v>
      </c>
      <c r="V293" s="42">
        <v>0.0</v>
      </c>
      <c r="X293" s="42">
        <v>0.0</v>
      </c>
      <c r="Z293" s="42">
        <v>0.0</v>
      </c>
      <c r="AB293" s="42">
        <v>0.0</v>
      </c>
      <c r="AC293" s="43"/>
      <c r="AD293" s="42">
        <v>0.0</v>
      </c>
      <c r="AF293" s="42">
        <v>0.0</v>
      </c>
      <c r="AH293" s="42">
        <v>0.0</v>
      </c>
      <c r="AJ293" s="41"/>
      <c r="AK293" s="43"/>
      <c r="AL293" s="46">
        <v>0.0</v>
      </c>
      <c r="AM293" s="43"/>
      <c r="AN293" s="114"/>
      <c r="AO293" s="43"/>
      <c r="AP293" s="114"/>
      <c r="AQ293" s="43"/>
      <c r="AR293" s="114"/>
      <c r="AS293" s="43"/>
      <c r="AT293" s="115"/>
      <c r="AV293" s="115"/>
      <c r="AW293" s="43"/>
      <c r="AX293" s="54">
        <f t="shared" si="1"/>
        <v>2224</v>
      </c>
      <c r="AY293" s="52">
        <f t="shared" si="2"/>
        <v>200</v>
      </c>
      <c r="AZ293" s="52">
        <v>0.0</v>
      </c>
      <c r="BA293" s="52">
        <f t="shared" si="3"/>
        <v>200</v>
      </c>
      <c r="BB293" s="49">
        <f t="shared" si="4"/>
        <v>11.12</v>
      </c>
    </row>
    <row r="294" ht="15.75" customHeight="1">
      <c r="A294" s="50" t="s">
        <v>53</v>
      </c>
      <c r="B294" s="51">
        <f t="shared" si="5"/>
        <v>45947</v>
      </c>
      <c r="C294" s="52">
        <v>11.0</v>
      </c>
      <c r="D294" s="52" t="s">
        <v>65</v>
      </c>
      <c r="E294" s="53"/>
      <c r="F294" s="41">
        <v>0.0</v>
      </c>
      <c r="H294" s="42">
        <v>0.0</v>
      </c>
      <c r="J294" s="42">
        <v>0.0</v>
      </c>
      <c r="L294" s="42">
        <v>0.0</v>
      </c>
      <c r="N294" s="42">
        <v>0.0</v>
      </c>
      <c r="P294" s="42">
        <v>0.0</v>
      </c>
      <c r="Q294" s="43"/>
      <c r="R294" s="41">
        <v>100.0</v>
      </c>
      <c r="T294" s="42">
        <v>100.0</v>
      </c>
      <c r="V294" s="42">
        <v>0.0</v>
      </c>
      <c r="X294" s="42">
        <v>0.0</v>
      </c>
      <c r="Z294" s="42">
        <v>0.0</v>
      </c>
      <c r="AB294" s="42">
        <v>0.0</v>
      </c>
      <c r="AC294" s="43"/>
      <c r="AD294" s="42">
        <v>0.0</v>
      </c>
      <c r="AF294" s="42">
        <v>0.0</v>
      </c>
      <c r="AH294" s="42">
        <v>0.0</v>
      </c>
      <c r="AJ294" s="41"/>
      <c r="AK294" s="43"/>
      <c r="AL294" s="46">
        <v>0.0</v>
      </c>
      <c r="AM294" s="43"/>
      <c r="AN294" s="114"/>
      <c r="AO294" s="43"/>
      <c r="AP294" s="114"/>
      <c r="AQ294" s="43"/>
      <c r="AR294" s="114"/>
      <c r="AS294" s="43"/>
      <c r="AT294" s="115"/>
      <c r="AV294" s="115"/>
      <c r="AW294" s="43"/>
      <c r="AX294" s="54">
        <f t="shared" si="1"/>
        <v>2224</v>
      </c>
      <c r="AY294" s="52">
        <f t="shared" si="2"/>
        <v>200</v>
      </c>
      <c r="AZ294" s="52">
        <v>0.0</v>
      </c>
      <c r="BA294" s="52">
        <f t="shared" si="3"/>
        <v>200</v>
      </c>
      <c r="BB294" s="49">
        <f t="shared" si="4"/>
        <v>11.12</v>
      </c>
    </row>
    <row r="295" ht="15.75" customHeight="1">
      <c r="A295" s="50" t="s">
        <v>54</v>
      </c>
      <c r="B295" s="51">
        <f t="shared" si="5"/>
        <v>45948</v>
      </c>
      <c r="C295" s="52">
        <v>11.0</v>
      </c>
      <c r="D295" s="52" t="s">
        <v>65</v>
      </c>
      <c r="E295" s="53"/>
      <c r="F295" s="41">
        <v>0.0</v>
      </c>
      <c r="H295" s="42">
        <v>0.0</v>
      </c>
      <c r="J295" s="42">
        <v>0.0</v>
      </c>
      <c r="L295" s="42">
        <v>0.0</v>
      </c>
      <c r="N295" s="42">
        <v>0.0</v>
      </c>
      <c r="P295" s="42">
        <v>0.0</v>
      </c>
      <c r="Q295" s="43"/>
      <c r="R295" s="41">
        <v>100.0</v>
      </c>
      <c r="T295" s="42">
        <v>100.0</v>
      </c>
      <c r="V295" s="42">
        <v>0.0</v>
      </c>
      <c r="X295" s="42">
        <v>0.0</v>
      </c>
      <c r="Z295" s="42">
        <v>0.0</v>
      </c>
      <c r="AB295" s="42">
        <v>0.0</v>
      </c>
      <c r="AC295" s="43"/>
      <c r="AD295" s="42">
        <v>0.0</v>
      </c>
      <c r="AF295" s="42">
        <v>0.0</v>
      </c>
      <c r="AH295" s="42">
        <v>0.0</v>
      </c>
      <c r="AJ295" s="41"/>
      <c r="AK295" s="43"/>
      <c r="AL295" s="46">
        <v>0.0</v>
      </c>
      <c r="AM295" s="43"/>
      <c r="AN295" s="114"/>
      <c r="AO295" s="43"/>
      <c r="AP295" s="114"/>
      <c r="AQ295" s="43"/>
      <c r="AR295" s="114"/>
      <c r="AS295" s="43"/>
      <c r="AT295" s="115"/>
      <c r="AV295" s="115"/>
      <c r="AW295" s="43"/>
      <c r="AX295" s="54">
        <f t="shared" si="1"/>
        <v>2224</v>
      </c>
      <c r="AY295" s="52">
        <f t="shared" si="2"/>
        <v>200</v>
      </c>
      <c r="AZ295" s="52">
        <v>0.0</v>
      </c>
      <c r="BA295" s="52">
        <f t="shared" si="3"/>
        <v>200</v>
      </c>
      <c r="BB295" s="49">
        <f t="shared" si="4"/>
        <v>11.12</v>
      </c>
    </row>
    <row r="296" ht="15.75" customHeight="1">
      <c r="A296" s="59" t="s">
        <v>61</v>
      </c>
      <c r="B296" s="61">
        <f t="shared" si="5"/>
        <v>45949</v>
      </c>
      <c r="C296" s="63">
        <v>11.0</v>
      </c>
      <c r="D296" s="63" t="s">
        <v>65</v>
      </c>
      <c r="E296" s="64"/>
      <c r="F296" s="65">
        <v>0.0</v>
      </c>
      <c r="G296" s="66"/>
      <c r="H296" s="67">
        <v>0.0</v>
      </c>
      <c r="I296" s="66"/>
      <c r="J296" s="67">
        <v>0.0</v>
      </c>
      <c r="K296" s="66"/>
      <c r="L296" s="67">
        <v>0.0</v>
      </c>
      <c r="M296" s="66"/>
      <c r="N296" s="67">
        <v>0.0</v>
      </c>
      <c r="O296" s="66"/>
      <c r="P296" s="67">
        <v>0.0</v>
      </c>
      <c r="Q296" s="68"/>
      <c r="R296" s="65">
        <v>0.0</v>
      </c>
      <c r="S296" s="66"/>
      <c r="T296" s="67">
        <v>0.0</v>
      </c>
      <c r="U296" s="66"/>
      <c r="V296" s="67">
        <v>0.0</v>
      </c>
      <c r="W296" s="66"/>
      <c r="X296" s="67">
        <v>0.0</v>
      </c>
      <c r="Y296" s="66"/>
      <c r="Z296" s="67">
        <v>0.0</v>
      </c>
      <c r="AA296" s="66"/>
      <c r="AB296" s="67">
        <v>0.0</v>
      </c>
      <c r="AC296" s="68"/>
      <c r="AD296" s="67">
        <v>0.0</v>
      </c>
      <c r="AE296" s="66"/>
      <c r="AF296" s="67">
        <v>0.0</v>
      </c>
      <c r="AG296" s="66"/>
      <c r="AH296" s="67">
        <v>0.0</v>
      </c>
      <c r="AI296" s="66"/>
      <c r="AJ296" s="65"/>
      <c r="AK296" s="68"/>
      <c r="AL296" s="71">
        <v>0.0</v>
      </c>
      <c r="AM296" s="68"/>
      <c r="AN296" s="119"/>
      <c r="AO296" s="68"/>
      <c r="AP296" s="119"/>
      <c r="AQ296" s="68"/>
      <c r="AR296" s="119"/>
      <c r="AS296" s="68"/>
      <c r="AT296" s="120"/>
      <c r="AU296" s="66"/>
      <c r="AV296" s="120"/>
      <c r="AW296" s="68"/>
      <c r="AX296" s="73">
        <f t="shared" si="1"/>
        <v>0</v>
      </c>
      <c r="AY296" s="63">
        <f t="shared" si="2"/>
        <v>0</v>
      </c>
      <c r="AZ296" s="63">
        <v>0.0</v>
      </c>
      <c r="BA296" s="63">
        <f t="shared" si="3"/>
        <v>0</v>
      </c>
      <c r="BB296" s="74" t="str">
        <f t="shared" si="4"/>
        <v/>
      </c>
    </row>
    <row r="297" ht="15.75" customHeight="1">
      <c r="A297" s="36" t="s">
        <v>46</v>
      </c>
      <c r="B297" s="75">
        <f t="shared" si="5"/>
        <v>45950</v>
      </c>
      <c r="C297" s="38">
        <v>11.0</v>
      </c>
      <c r="D297" s="38" t="s">
        <v>69</v>
      </c>
      <c r="E297" s="40"/>
      <c r="F297" s="41">
        <v>0.0</v>
      </c>
      <c r="H297" s="42">
        <v>0.0</v>
      </c>
      <c r="J297" s="42">
        <v>0.0</v>
      </c>
      <c r="L297" s="42">
        <v>0.0</v>
      </c>
      <c r="N297" s="42">
        <v>0.0</v>
      </c>
      <c r="P297" s="42">
        <v>0.0</v>
      </c>
      <c r="Q297" s="43"/>
      <c r="R297" s="41">
        <v>75.0</v>
      </c>
      <c r="T297" s="42">
        <v>75.0</v>
      </c>
      <c r="V297" s="42">
        <v>0.0</v>
      </c>
      <c r="X297" s="42">
        <v>0.0</v>
      </c>
      <c r="Z297" s="42">
        <v>0.0</v>
      </c>
      <c r="AB297" s="42">
        <v>0.0</v>
      </c>
      <c r="AC297" s="43"/>
      <c r="AD297" s="42">
        <v>0.0</v>
      </c>
      <c r="AF297" s="42">
        <v>0.0</v>
      </c>
      <c r="AH297" s="42">
        <v>0.0</v>
      </c>
      <c r="AJ297" s="41"/>
      <c r="AK297" s="43"/>
      <c r="AL297" s="46">
        <v>0.0</v>
      </c>
      <c r="AM297" s="43"/>
      <c r="AN297" s="114"/>
      <c r="AO297" s="43"/>
      <c r="AP297" s="114"/>
      <c r="AQ297" s="43"/>
      <c r="AR297" s="114"/>
      <c r="AS297" s="43"/>
      <c r="AT297" s="115"/>
      <c r="AV297" s="115"/>
      <c r="AW297" s="43"/>
      <c r="AX297" s="47">
        <f t="shared" si="1"/>
        <v>1668</v>
      </c>
      <c r="AY297" s="38">
        <f t="shared" si="2"/>
        <v>150</v>
      </c>
      <c r="AZ297" s="38">
        <v>0.0</v>
      </c>
      <c r="BA297" s="38">
        <f t="shared" si="3"/>
        <v>150</v>
      </c>
      <c r="BB297" s="76">
        <f t="shared" si="4"/>
        <v>11.12</v>
      </c>
    </row>
    <row r="298" ht="15.75" customHeight="1">
      <c r="A298" s="50" t="s">
        <v>48</v>
      </c>
      <c r="B298" s="51">
        <f t="shared" si="5"/>
        <v>45951</v>
      </c>
      <c r="C298" s="52">
        <v>11.0</v>
      </c>
      <c r="D298" s="52" t="s">
        <v>69</v>
      </c>
      <c r="E298" s="53"/>
      <c r="F298" s="41">
        <v>0.0</v>
      </c>
      <c r="H298" s="42">
        <v>0.0</v>
      </c>
      <c r="J298" s="42">
        <v>0.0</v>
      </c>
      <c r="L298" s="42">
        <v>0.0</v>
      </c>
      <c r="N298" s="42">
        <v>0.0</v>
      </c>
      <c r="P298" s="42">
        <v>0.0</v>
      </c>
      <c r="Q298" s="43"/>
      <c r="R298" s="41">
        <v>75.0</v>
      </c>
      <c r="T298" s="42">
        <v>75.0</v>
      </c>
      <c r="V298" s="42">
        <v>0.0</v>
      </c>
      <c r="X298" s="42">
        <v>0.0</v>
      </c>
      <c r="Z298" s="42">
        <v>0.0</v>
      </c>
      <c r="AB298" s="42">
        <v>0.0</v>
      </c>
      <c r="AC298" s="43"/>
      <c r="AD298" s="42">
        <v>0.0</v>
      </c>
      <c r="AF298" s="42">
        <v>0.0</v>
      </c>
      <c r="AH298" s="42">
        <v>0.0</v>
      </c>
      <c r="AJ298" s="41"/>
      <c r="AK298" s="43"/>
      <c r="AL298" s="46">
        <v>0.0</v>
      </c>
      <c r="AM298" s="43"/>
      <c r="AN298" s="114"/>
      <c r="AO298" s="43"/>
      <c r="AP298" s="114"/>
      <c r="AQ298" s="43"/>
      <c r="AR298" s="114"/>
      <c r="AS298" s="43"/>
      <c r="AT298" s="115"/>
      <c r="AV298" s="115"/>
      <c r="AW298" s="43"/>
      <c r="AX298" s="54">
        <f t="shared" si="1"/>
        <v>1668</v>
      </c>
      <c r="AY298" s="52">
        <f t="shared" si="2"/>
        <v>150</v>
      </c>
      <c r="AZ298" s="52">
        <v>0.0</v>
      </c>
      <c r="BA298" s="52">
        <f t="shared" si="3"/>
        <v>150</v>
      </c>
      <c r="BB298" s="49">
        <f t="shared" si="4"/>
        <v>11.12</v>
      </c>
    </row>
    <row r="299" ht="15.75" customHeight="1">
      <c r="A299" s="50" t="s">
        <v>49</v>
      </c>
      <c r="B299" s="51">
        <f t="shared" si="5"/>
        <v>45952</v>
      </c>
      <c r="C299" s="52">
        <v>11.0</v>
      </c>
      <c r="D299" s="52" t="s">
        <v>69</v>
      </c>
      <c r="E299" s="53"/>
      <c r="F299" s="41">
        <v>0.0</v>
      </c>
      <c r="H299" s="42">
        <v>0.0</v>
      </c>
      <c r="J299" s="42">
        <v>0.0</v>
      </c>
      <c r="L299" s="42">
        <v>0.0</v>
      </c>
      <c r="N299" s="42">
        <v>0.0</v>
      </c>
      <c r="P299" s="42">
        <v>0.0</v>
      </c>
      <c r="Q299" s="43"/>
      <c r="R299" s="41">
        <v>75.0</v>
      </c>
      <c r="T299" s="42">
        <v>75.0</v>
      </c>
      <c r="V299" s="42">
        <v>0.0</v>
      </c>
      <c r="X299" s="42">
        <v>0.0</v>
      </c>
      <c r="Z299" s="42">
        <v>0.0</v>
      </c>
      <c r="AB299" s="42">
        <v>0.0</v>
      </c>
      <c r="AC299" s="43"/>
      <c r="AD299" s="42">
        <v>0.0</v>
      </c>
      <c r="AF299" s="42">
        <v>0.0</v>
      </c>
      <c r="AH299" s="42">
        <v>0.0</v>
      </c>
      <c r="AJ299" s="41"/>
      <c r="AK299" s="43"/>
      <c r="AL299" s="46">
        <v>0.0</v>
      </c>
      <c r="AM299" s="43"/>
      <c r="AN299" s="114"/>
      <c r="AO299" s="43"/>
      <c r="AP299" s="114"/>
      <c r="AQ299" s="43"/>
      <c r="AR299" s="114"/>
      <c r="AS299" s="43"/>
      <c r="AT299" s="115"/>
      <c r="AV299" s="115"/>
      <c r="AW299" s="43"/>
      <c r="AX299" s="54">
        <f t="shared" si="1"/>
        <v>1668</v>
      </c>
      <c r="AY299" s="52">
        <f t="shared" si="2"/>
        <v>150</v>
      </c>
      <c r="AZ299" s="52">
        <v>0.0</v>
      </c>
      <c r="BA299" s="52">
        <f t="shared" si="3"/>
        <v>150</v>
      </c>
      <c r="BB299" s="49">
        <f t="shared" si="4"/>
        <v>11.12</v>
      </c>
    </row>
    <row r="300" ht="15.75" customHeight="1">
      <c r="A300" s="50" t="s">
        <v>50</v>
      </c>
      <c r="B300" s="51">
        <f t="shared" si="5"/>
        <v>45953</v>
      </c>
      <c r="C300" s="52">
        <v>11.0</v>
      </c>
      <c r="D300" s="52" t="s">
        <v>69</v>
      </c>
      <c r="E300" s="53"/>
      <c r="F300" s="41">
        <v>0.0</v>
      </c>
      <c r="H300" s="42">
        <v>0.0</v>
      </c>
      <c r="J300" s="42">
        <v>0.0</v>
      </c>
      <c r="L300" s="42">
        <v>0.0</v>
      </c>
      <c r="N300" s="42">
        <v>0.0</v>
      </c>
      <c r="P300" s="42">
        <v>0.0</v>
      </c>
      <c r="Q300" s="43"/>
      <c r="R300" s="41">
        <v>75.0</v>
      </c>
      <c r="T300" s="42">
        <v>75.0</v>
      </c>
      <c r="V300" s="42">
        <v>0.0</v>
      </c>
      <c r="X300" s="42">
        <v>0.0</v>
      </c>
      <c r="Z300" s="42">
        <v>0.0</v>
      </c>
      <c r="AB300" s="42">
        <v>0.0</v>
      </c>
      <c r="AC300" s="43"/>
      <c r="AD300" s="42">
        <v>0.0</v>
      </c>
      <c r="AF300" s="42">
        <v>0.0</v>
      </c>
      <c r="AH300" s="42">
        <v>0.0</v>
      </c>
      <c r="AJ300" s="41"/>
      <c r="AK300" s="43"/>
      <c r="AL300" s="46">
        <v>0.0</v>
      </c>
      <c r="AM300" s="43"/>
      <c r="AN300" s="114"/>
      <c r="AO300" s="43"/>
      <c r="AP300" s="114"/>
      <c r="AQ300" s="43"/>
      <c r="AR300" s="114"/>
      <c r="AS300" s="43"/>
      <c r="AT300" s="115"/>
      <c r="AV300" s="115"/>
      <c r="AW300" s="43"/>
      <c r="AX300" s="54">
        <f t="shared" si="1"/>
        <v>1668</v>
      </c>
      <c r="AY300" s="52">
        <f t="shared" si="2"/>
        <v>150</v>
      </c>
      <c r="AZ300" s="52">
        <v>0.0</v>
      </c>
      <c r="BA300" s="52">
        <f t="shared" si="3"/>
        <v>150</v>
      </c>
      <c r="BB300" s="49">
        <f t="shared" si="4"/>
        <v>11.12</v>
      </c>
    </row>
    <row r="301" ht="15.75" customHeight="1">
      <c r="A301" s="50" t="s">
        <v>53</v>
      </c>
      <c r="B301" s="51">
        <f t="shared" si="5"/>
        <v>45954</v>
      </c>
      <c r="C301" s="52">
        <v>11.0</v>
      </c>
      <c r="D301" s="52" t="s">
        <v>69</v>
      </c>
      <c r="E301" s="53"/>
      <c r="F301" s="41">
        <v>0.0</v>
      </c>
      <c r="H301" s="42">
        <v>0.0</v>
      </c>
      <c r="J301" s="42">
        <v>0.0</v>
      </c>
      <c r="L301" s="42">
        <v>0.0</v>
      </c>
      <c r="N301" s="42">
        <v>0.0</v>
      </c>
      <c r="P301" s="42">
        <v>0.0</v>
      </c>
      <c r="Q301" s="43"/>
      <c r="R301" s="41">
        <v>75.0</v>
      </c>
      <c r="T301" s="42">
        <v>75.0</v>
      </c>
      <c r="V301" s="42">
        <v>0.0</v>
      </c>
      <c r="X301" s="42">
        <v>0.0</v>
      </c>
      <c r="Z301" s="42">
        <v>0.0</v>
      </c>
      <c r="AB301" s="42">
        <v>0.0</v>
      </c>
      <c r="AC301" s="43"/>
      <c r="AD301" s="42">
        <v>0.0</v>
      </c>
      <c r="AF301" s="42">
        <v>0.0</v>
      </c>
      <c r="AH301" s="42">
        <v>0.0</v>
      </c>
      <c r="AJ301" s="41"/>
      <c r="AK301" s="43"/>
      <c r="AL301" s="46">
        <v>0.0</v>
      </c>
      <c r="AM301" s="43"/>
      <c r="AN301" s="114"/>
      <c r="AO301" s="43"/>
      <c r="AP301" s="114"/>
      <c r="AQ301" s="43"/>
      <c r="AR301" s="114"/>
      <c r="AS301" s="43"/>
      <c r="AT301" s="115"/>
      <c r="AV301" s="115"/>
      <c r="AW301" s="43"/>
      <c r="AX301" s="54">
        <f t="shared" si="1"/>
        <v>1668</v>
      </c>
      <c r="AY301" s="52">
        <f t="shared" si="2"/>
        <v>150</v>
      </c>
      <c r="AZ301" s="52">
        <v>0.0</v>
      </c>
      <c r="BA301" s="52">
        <f t="shared" si="3"/>
        <v>150</v>
      </c>
      <c r="BB301" s="49">
        <f t="shared" si="4"/>
        <v>11.12</v>
      </c>
    </row>
    <row r="302" ht="15.75" customHeight="1">
      <c r="A302" s="50" t="s">
        <v>54</v>
      </c>
      <c r="B302" s="51">
        <f t="shared" si="5"/>
        <v>45955</v>
      </c>
      <c r="C302" s="52">
        <v>11.0</v>
      </c>
      <c r="D302" s="52" t="s">
        <v>69</v>
      </c>
      <c r="E302" s="53"/>
      <c r="F302" s="41">
        <v>0.0</v>
      </c>
      <c r="H302" s="42">
        <v>0.0</v>
      </c>
      <c r="J302" s="42">
        <v>0.0</v>
      </c>
      <c r="L302" s="42">
        <v>0.0</v>
      </c>
      <c r="N302" s="42">
        <v>0.0</v>
      </c>
      <c r="P302" s="42">
        <v>0.0</v>
      </c>
      <c r="Q302" s="43"/>
      <c r="R302" s="41">
        <v>75.0</v>
      </c>
      <c r="T302" s="42">
        <v>75.0</v>
      </c>
      <c r="V302" s="42">
        <v>0.0</v>
      </c>
      <c r="X302" s="42">
        <v>0.0</v>
      </c>
      <c r="Z302" s="42">
        <v>0.0</v>
      </c>
      <c r="AB302" s="42">
        <v>0.0</v>
      </c>
      <c r="AC302" s="43"/>
      <c r="AD302" s="42">
        <v>0.0</v>
      </c>
      <c r="AF302" s="42">
        <v>0.0</v>
      </c>
      <c r="AH302" s="42">
        <v>0.0</v>
      </c>
      <c r="AJ302" s="41"/>
      <c r="AK302" s="43"/>
      <c r="AL302" s="46">
        <v>0.0</v>
      </c>
      <c r="AM302" s="43"/>
      <c r="AN302" s="114"/>
      <c r="AO302" s="43"/>
      <c r="AP302" s="114"/>
      <c r="AQ302" s="43"/>
      <c r="AR302" s="114"/>
      <c r="AS302" s="43"/>
      <c r="AT302" s="115"/>
      <c r="AV302" s="115"/>
      <c r="AW302" s="43"/>
      <c r="AX302" s="54">
        <f t="shared" si="1"/>
        <v>1668</v>
      </c>
      <c r="AY302" s="52">
        <f t="shared" si="2"/>
        <v>150</v>
      </c>
      <c r="AZ302" s="52">
        <v>0.0</v>
      </c>
      <c r="BA302" s="52">
        <f t="shared" si="3"/>
        <v>150</v>
      </c>
      <c r="BB302" s="49">
        <f t="shared" si="4"/>
        <v>11.12</v>
      </c>
    </row>
    <row r="303" ht="15.75" customHeight="1">
      <c r="A303" s="59" t="s">
        <v>61</v>
      </c>
      <c r="B303" s="61">
        <f t="shared" si="5"/>
        <v>45956</v>
      </c>
      <c r="C303" s="63">
        <v>11.0</v>
      </c>
      <c r="D303" s="63" t="s">
        <v>69</v>
      </c>
      <c r="E303" s="64"/>
      <c r="F303" s="65">
        <v>0.0</v>
      </c>
      <c r="G303" s="66"/>
      <c r="H303" s="67">
        <v>0.0</v>
      </c>
      <c r="I303" s="66"/>
      <c r="J303" s="67">
        <v>0.0</v>
      </c>
      <c r="K303" s="66"/>
      <c r="L303" s="67">
        <v>0.0</v>
      </c>
      <c r="M303" s="66"/>
      <c r="N303" s="67">
        <v>0.0</v>
      </c>
      <c r="O303" s="66"/>
      <c r="P303" s="67">
        <v>0.0</v>
      </c>
      <c r="Q303" s="68"/>
      <c r="R303" s="65">
        <v>0.0</v>
      </c>
      <c r="S303" s="66"/>
      <c r="T303" s="67">
        <v>0.0</v>
      </c>
      <c r="U303" s="66"/>
      <c r="V303" s="67">
        <v>0.0</v>
      </c>
      <c r="W303" s="66"/>
      <c r="X303" s="67">
        <v>0.0</v>
      </c>
      <c r="Y303" s="66"/>
      <c r="Z303" s="67">
        <v>0.0</v>
      </c>
      <c r="AA303" s="66"/>
      <c r="AB303" s="67">
        <v>0.0</v>
      </c>
      <c r="AC303" s="68"/>
      <c r="AD303" s="67">
        <v>0.0</v>
      </c>
      <c r="AE303" s="66"/>
      <c r="AF303" s="67">
        <v>0.0</v>
      </c>
      <c r="AG303" s="66"/>
      <c r="AH303" s="67">
        <v>0.0</v>
      </c>
      <c r="AI303" s="66"/>
      <c r="AJ303" s="65"/>
      <c r="AK303" s="68"/>
      <c r="AL303" s="71">
        <v>0.0</v>
      </c>
      <c r="AM303" s="68"/>
      <c r="AN303" s="119"/>
      <c r="AO303" s="68"/>
      <c r="AP303" s="119"/>
      <c r="AQ303" s="68"/>
      <c r="AR303" s="119"/>
      <c r="AS303" s="68"/>
      <c r="AT303" s="120"/>
      <c r="AU303" s="66"/>
      <c r="AV303" s="120"/>
      <c r="AW303" s="68"/>
      <c r="AX303" s="73">
        <f t="shared" si="1"/>
        <v>0</v>
      </c>
      <c r="AY303" s="63">
        <f t="shared" si="2"/>
        <v>0</v>
      </c>
      <c r="AZ303" s="63">
        <v>0.0</v>
      </c>
      <c r="BA303" s="63">
        <f t="shared" si="3"/>
        <v>0</v>
      </c>
      <c r="BB303" s="74" t="str">
        <f t="shared" si="4"/>
        <v/>
      </c>
    </row>
    <row r="304" ht="15.75" customHeight="1">
      <c r="A304" s="36" t="s">
        <v>46</v>
      </c>
      <c r="B304" s="75">
        <f t="shared" si="5"/>
        <v>45957</v>
      </c>
      <c r="C304" s="38">
        <v>11.0</v>
      </c>
      <c r="D304" s="38" t="s">
        <v>72</v>
      </c>
      <c r="E304" s="40"/>
      <c r="F304" s="41">
        <v>0.0</v>
      </c>
      <c r="H304" s="42">
        <v>0.0</v>
      </c>
      <c r="J304" s="42">
        <v>0.0</v>
      </c>
      <c r="L304" s="42">
        <v>0.0</v>
      </c>
      <c r="N304" s="42">
        <v>0.0</v>
      </c>
      <c r="P304" s="42">
        <v>0.0</v>
      </c>
      <c r="Q304" s="43"/>
      <c r="R304" s="41">
        <v>75.0</v>
      </c>
      <c r="T304" s="42">
        <v>75.0</v>
      </c>
      <c r="V304" s="42">
        <v>0.0</v>
      </c>
      <c r="X304" s="42">
        <v>0.0</v>
      </c>
      <c r="Z304" s="42">
        <v>0.0</v>
      </c>
      <c r="AB304" s="42">
        <v>0.0</v>
      </c>
      <c r="AC304" s="43"/>
      <c r="AD304" s="42">
        <v>0.0</v>
      </c>
      <c r="AF304" s="42">
        <v>0.0</v>
      </c>
      <c r="AH304" s="42">
        <v>0.0</v>
      </c>
      <c r="AJ304" s="41"/>
      <c r="AK304" s="43"/>
      <c r="AL304" s="46">
        <v>0.0</v>
      </c>
      <c r="AM304" s="43"/>
      <c r="AN304" s="114"/>
      <c r="AO304" s="43"/>
      <c r="AP304" s="114"/>
      <c r="AQ304" s="43"/>
      <c r="AR304" s="114"/>
      <c r="AS304" s="43"/>
      <c r="AT304" s="115"/>
      <c r="AV304" s="115"/>
      <c r="AW304" s="43"/>
      <c r="AX304" s="47">
        <f t="shared" si="1"/>
        <v>1668</v>
      </c>
      <c r="AY304" s="38">
        <f t="shared" si="2"/>
        <v>150</v>
      </c>
      <c r="AZ304" s="38">
        <v>0.0</v>
      </c>
      <c r="BA304" s="38">
        <f t="shared" si="3"/>
        <v>150</v>
      </c>
      <c r="BB304" s="76">
        <f t="shared" si="4"/>
        <v>11.12</v>
      </c>
    </row>
    <row r="305" ht="15.75" customHeight="1">
      <c r="A305" s="50" t="s">
        <v>48</v>
      </c>
      <c r="B305" s="51">
        <f t="shared" si="5"/>
        <v>45958</v>
      </c>
      <c r="C305" s="52">
        <v>11.0</v>
      </c>
      <c r="D305" s="52" t="s">
        <v>72</v>
      </c>
      <c r="E305" s="53"/>
      <c r="F305" s="41">
        <v>0.0</v>
      </c>
      <c r="H305" s="42">
        <v>0.0</v>
      </c>
      <c r="J305" s="42">
        <v>0.0</v>
      </c>
      <c r="L305" s="42">
        <v>0.0</v>
      </c>
      <c r="N305" s="42">
        <v>0.0</v>
      </c>
      <c r="P305" s="42">
        <v>0.0</v>
      </c>
      <c r="Q305" s="43"/>
      <c r="R305" s="41">
        <v>75.0</v>
      </c>
      <c r="T305" s="42">
        <v>75.0</v>
      </c>
      <c r="V305" s="42">
        <v>0.0</v>
      </c>
      <c r="X305" s="42">
        <v>0.0</v>
      </c>
      <c r="Z305" s="42">
        <v>0.0</v>
      </c>
      <c r="AB305" s="42">
        <v>0.0</v>
      </c>
      <c r="AC305" s="43"/>
      <c r="AD305" s="42">
        <v>0.0</v>
      </c>
      <c r="AF305" s="42">
        <v>0.0</v>
      </c>
      <c r="AH305" s="42">
        <v>0.0</v>
      </c>
      <c r="AJ305" s="41"/>
      <c r="AK305" s="43"/>
      <c r="AL305" s="46">
        <v>0.0</v>
      </c>
      <c r="AM305" s="43"/>
      <c r="AN305" s="114"/>
      <c r="AO305" s="43"/>
      <c r="AP305" s="114"/>
      <c r="AQ305" s="43"/>
      <c r="AR305" s="114"/>
      <c r="AS305" s="43"/>
      <c r="AT305" s="115"/>
      <c r="AV305" s="115"/>
      <c r="AW305" s="43"/>
      <c r="AX305" s="54">
        <f t="shared" si="1"/>
        <v>1668</v>
      </c>
      <c r="AY305" s="52">
        <f t="shared" si="2"/>
        <v>150</v>
      </c>
      <c r="AZ305" s="52">
        <v>0.0</v>
      </c>
      <c r="BA305" s="52">
        <f t="shared" si="3"/>
        <v>150</v>
      </c>
      <c r="BB305" s="49">
        <f t="shared" si="4"/>
        <v>11.12</v>
      </c>
    </row>
    <row r="306" ht="15.75" customHeight="1">
      <c r="A306" s="50" t="s">
        <v>49</v>
      </c>
      <c r="B306" s="51">
        <f t="shared" si="5"/>
        <v>45959</v>
      </c>
      <c r="C306" s="52">
        <v>11.0</v>
      </c>
      <c r="D306" s="52" t="s">
        <v>72</v>
      </c>
      <c r="E306" s="53"/>
      <c r="F306" s="41">
        <v>0.0</v>
      </c>
      <c r="H306" s="42">
        <v>0.0</v>
      </c>
      <c r="J306" s="42">
        <v>0.0</v>
      </c>
      <c r="L306" s="42">
        <v>0.0</v>
      </c>
      <c r="N306" s="42">
        <v>0.0</v>
      </c>
      <c r="P306" s="42">
        <v>0.0</v>
      </c>
      <c r="Q306" s="43"/>
      <c r="R306" s="41">
        <v>75.0</v>
      </c>
      <c r="T306" s="42">
        <v>75.0</v>
      </c>
      <c r="V306" s="42">
        <v>0.0</v>
      </c>
      <c r="X306" s="42">
        <v>0.0</v>
      </c>
      <c r="Z306" s="42">
        <v>0.0</v>
      </c>
      <c r="AB306" s="42">
        <v>0.0</v>
      </c>
      <c r="AC306" s="43"/>
      <c r="AD306" s="42">
        <v>0.0</v>
      </c>
      <c r="AF306" s="42">
        <v>0.0</v>
      </c>
      <c r="AH306" s="42">
        <v>0.0</v>
      </c>
      <c r="AJ306" s="41"/>
      <c r="AK306" s="43"/>
      <c r="AL306" s="46">
        <v>0.0</v>
      </c>
      <c r="AM306" s="43"/>
      <c r="AN306" s="114"/>
      <c r="AO306" s="43"/>
      <c r="AP306" s="114"/>
      <c r="AQ306" s="43"/>
      <c r="AR306" s="114"/>
      <c r="AS306" s="43"/>
      <c r="AT306" s="115"/>
      <c r="AV306" s="115"/>
      <c r="AW306" s="43"/>
      <c r="AX306" s="54">
        <f t="shared" si="1"/>
        <v>1668</v>
      </c>
      <c r="AY306" s="52">
        <f t="shared" si="2"/>
        <v>150</v>
      </c>
      <c r="AZ306" s="52">
        <v>0.0</v>
      </c>
      <c r="BA306" s="52">
        <f t="shared" si="3"/>
        <v>150</v>
      </c>
      <c r="BB306" s="49">
        <f t="shared" si="4"/>
        <v>11.12</v>
      </c>
    </row>
    <row r="307" ht="15.75" customHeight="1">
      <c r="A307" s="50" t="s">
        <v>50</v>
      </c>
      <c r="B307" s="51">
        <f t="shared" si="5"/>
        <v>45960</v>
      </c>
      <c r="C307" s="52">
        <v>11.0</v>
      </c>
      <c r="D307" s="52" t="s">
        <v>72</v>
      </c>
      <c r="E307" s="53"/>
      <c r="F307" s="41">
        <v>0.0</v>
      </c>
      <c r="H307" s="42">
        <v>0.0</v>
      </c>
      <c r="J307" s="42">
        <v>0.0</v>
      </c>
      <c r="L307" s="42">
        <v>0.0</v>
      </c>
      <c r="N307" s="42">
        <v>0.0</v>
      </c>
      <c r="P307" s="42">
        <v>0.0</v>
      </c>
      <c r="Q307" s="43"/>
      <c r="R307" s="41">
        <v>75.0</v>
      </c>
      <c r="T307" s="42">
        <v>75.0</v>
      </c>
      <c r="V307" s="42">
        <v>0.0</v>
      </c>
      <c r="X307" s="42">
        <v>0.0</v>
      </c>
      <c r="Z307" s="42">
        <v>0.0</v>
      </c>
      <c r="AB307" s="42">
        <v>0.0</v>
      </c>
      <c r="AC307" s="43"/>
      <c r="AD307" s="42">
        <v>0.0</v>
      </c>
      <c r="AF307" s="42">
        <v>0.0</v>
      </c>
      <c r="AH307" s="42">
        <v>0.0</v>
      </c>
      <c r="AJ307" s="41"/>
      <c r="AK307" s="43"/>
      <c r="AL307" s="46">
        <v>0.0</v>
      </c>
      <c r="AM307" s="43"/>
      <c r="AN307" s="114"/>
      <c r="AO307" s="43"/>
      <c r="AP307" s="114"/>
      <c r="AQ307" s="43"/>
      <c r="AR307" s="114"/>
      <c r="AS307" s="43"/>
      <c r="AT307" s="115"/>
      <c r="AV307" s="115"/>
      <c r="AW307" s="43"/>
      <c r="AX307" s="54">
        <f t="shared" si="1"/>
        <v>1668</v>
      </c>
      <c r="AY307" s="52">
        <f t="shared" si="2"/>
        <v>150</v>
      </c>
      <c r="AZ307" s="52">
        <v>0.0</v>
      </c>
      <c r="BA307" s="52">
        <f t="shared" si="3"/>
        <v>150</v>
      </c>
      <c r="BB307" s="49">
        <f t="shared" si="4"/>
        <v>11.12</v>
      </c>
    </row>
    <row r="308" ht="15.75" customHeight="1">
      <c r="A308" s="50" t="s">
        <v>53</v>
      </c>
      <c r="B308" s="51">
        <f t="shared" si="5"/>
        <v>45961</v>
      </c>
      <c r="C308" s="52">
        <v>11.0</v>
      </c>
      <c r="D308" s="52" t="s">
        <v>72</v>
      </c>
      <c r="E308" s="53"/>
      <c r="F308" s="41">
        <v>0.0</v>
      </c>
      <c r="H308" s="42">
        <v>0.0</v>
      </c>
      <c r="J308" s="42">
        <v>0.0</v>
      </c>
      <c r="L308" s="42">
        <v>0.0</v>
      </c>
      <c r="N308" s="42">
        <v>0.0</v>
      </c>
      <c r="P308" s="42">
        <v>0.0</v>
      </c>
      <c r="Q308" s="43"/>
      <c r="R308" s="41">
        <v>75.0</v>
      </c>
      <c r="T308" s="42">
        <v>75.0</v>
      </c>
      <c r="V308" s="42">
        <v>0.0</v>
      </c>
      <c r="X308" s="42">
        <v>0.0</v>
      </c>
      <c r="Z308" s="42">
        <v>0.0</v>
      </c>
      <c r="AB308" s="42">
        <v>0.0</v>
      </c>
      <c r="AC308" s="43"/>
      <c r="AD308" s="42">
        <v>0.0</v>
      </c>
      <c r="AF308" s="42">
        <v>0.0</v>
      </c>
      <c r="AH308" s="42">
        <v>0.0</v>
      </c>
      <c r="AJ308" s="41"/>
      <c r="AK308" s="43"/>
      <c r="AL308" s="46">
        <v>0.0</v>
      </c>
      <c r="AM308" s="43"/>
      <c r="AN308" s="114"/>
      <c r="AO308" s="43"/>
      <c r="AP308" s="114"/>
      <c r="AQ308" s="43"/>
      <c r="AR308" s="114"/>
      <c r="AS308" s="43"/>
      <c r="AT308" s="115"/>
      <c r="AV308" s="115"/>
      <c r="AW308" s="43"/>
      <c r="AX308" s="54">
        <f t="shared" si="1"/>
        <v>1668</v>
      </c>
      <c r="AY308" s="52">
        <f t="shared" si="2"/>
        <v>150</v>
      </c>
      <c r="AZ308" s="52">
        <v>0.0</v>
      </c>
      <c r="BA308" s="52">
        <f t="shared" si="3"/>
        <v>150</v>
      </c>
      <c r="BB308" s="49">
        <f t="shared" si="4"/>
        <v>11.12</v>
      </c>
    </row>
    <row r="309" ht="15.75" customHeight="1">
      <c r="A309" s="50" t="s">
        <v>54</v>
      </c>
      <c r="B309" s="51">
        <f t="shared" si="5"/>
        <v>45962</v>
      </c>
      <c r="C309" s="52">
        <v>11.0</v>
      </c>
      <c r="D309" s="52" t="s">
        <v>72</v>
      </c>
      <c r="E309" s="53"/>
      <c r="F309" s="41">
        <v>0.0</v>
      </c>
      <c r="H309" s="42">
        <v>0.0</v>
      </c>
      <c r="J309" s="42">
        <v>0.0</v>
      </c>
      <c r="L309" s="42">
        <v>0.0</v>
      </c>
      <c r="N309" s="42">
        <v>0.0</v>
      </c>
      <c r="P309" s="42">
        <v>0.0</v>
      </c>
      <c r="Q309" s="43"/>
      <c r="R309" s="41">
        <v>75.0</v>
      </c>
      <c r="T309" s="42">
        <v>75.0</v>
      </c>
      <c r="V309" s="42">
        <v>0.0</v>
      </c>
      <c r="X309" s="42">
        <v>0.0</v>
      </c>
      <c r="Z309" s="42">
        <v>0.0</v>
      </c>
      <c r="AB309" s="42">
        <v>0.0</v>
      </c>
      <c r="AC309" s="43"/>
      <c r="AD309" s="42">
        <v>0.0</v>
      </c>
      <c r="AF309" s="42">
        <v>0.0</v>
      </c>
      <c r="AH309" s="42">
        <v>0.0</v>
      </c>
      <c r="AJ309" s="41"/>
      <c r="AK309" s="43"/>
      <c r="AL309" s="46">
        <v>0.0</v>
      </c>
      <c r="AM309" s="43"/>
      <c r="AN309" s="114"/>
      <c r="AO309" s="43"/>
      <c r="AP309" s="114"/>
      <c r="AQ309" s="43"/>
      <c r="AR309" s="114"/>
      <c r="AS309" s="43"/>
      <c r="AT309" s="115"/>
      <c r="AV309" s="115"/>
      <c r="AW309" s="43"/>
      <c r="AX309" s="54">
        <f t="shared" si="1"/>
        <v>1668</v>
      </c>
      <c r="AY309" s="52">
        <f t="shared" si="2"/>
        <v>150</v>
      </c>
      <c r="AZ309" s="52">
        <v>0.0</v>
      </c>
      <c r="BA309" s="52">
        <f t="shared" si="3"/>
        <v>150</v>
      </c>
      <c r="BB309" s="49">
        <f t="shared" si="4"/>
        <v>11.12</v>
      </c>
    </row>
    <row r="310" ht="15.75" customHeight="1">
      <c r="A310" s="59" t="s">
        <v>61</v>
      </c>
      <c r="B310" s="61">
        <f t="shared" si="5"/>
        <v>45963</v>
      </c>
      <c r="C310" s="63">
        <v>11.0</v>
      </c>
      <c r="D310" s="63" t="s">
        <v>72</v>
      </c>
      <c r="E310" s="64"/>
      <c r="F310" s="65">
        <v>0.0</v>
      </c>
      <c r="G310" s="66"/>
      <c r="H310" s="67">
        <v>0.0</v>
      </c>
      <c r="I310" s="66"/>
      <c r="J310" s="67">
        <v>0.0</v>
      </c>
      <c r="K310" s="66"/>
      <c r="L310" s="67">
        <v>0.0</v>
      </c>
      <c r="M310" s="66"/>
      <c r="N310" s="67">
        <v>0.0</v>
      </c>
      <c r="O310" s="66"/>
      <c r="P310" s="67">
        <v>0.0</v>
      </c>
      <c r="Q310" s="68"/>
      <c r="R310" s="65">
        <v>0.0</v>
      </c>
      <c r="S310" s="66"/>
      <c r="T310" s="67">
        <v>0.0</v>
      </c>
      <c r="U310" s="66"/>
      <c r="V310" s="67">
        <v>0.0</v>
      </c>
      <c r="W310" s="66"/>
      <c r="X310" s="67">
        <v>0.0</v>
      </c>
      <c r="Y310" s="66"/>
      <c r="Z310" s="67">
        <v>0.0</v>
      </c>
      <c r="AA310" s="66"/>
      <c r="AB310" s="67">
        <v>0.0</v>
      </c>
      <c r="AC310" s="68"/>
      <c r="AD310" s="67">
        <v>0.0</v>
      </c>
      <c r="AE310" s="66"/>
      <c r="AF310" s="67">
        <v>0.0</v>
      </c>
      <c r="AG310" s="66"/>
      <c r="AH310" s="67">
        <v>0.0</v>
      </c>
      <c r="AI310" s="66"/>
      <c r="AJ310" s="65"/>
      <c r="AK310" s="68"/>
      <c r="AL310" s="71">
        <v>0.0</v>
      </c>
      <c r="AM310" s="68"/>
      <c r="AN310" s="119"/>
      <c r="AO310" s="68"/>
      <c r="AP310" s="119"/>
      <c r="AQ310" s="68"/>
      <c r="AR310" s="119"/>
      <c r="AS310" s="68"/>
      <c r="AT310" s="120"/>
      <c r="AU310" s="66"/>
      <c r="AV310" s="120"/>
      <c r="AW310" s="68"/>
      <c r="AX310" s="73">
        <f t="shared" si="1"/>
        <v>0</v>
      </c>
      <c r="AY310" s="63">
        <f t="shared" si="2"/>
        <v>0</v>
      </c>
      <c r="AZ310" s="63">
        <v>0.0</v>
      </c>
      <c r="BA310" s="63">
        <f t="shared" si="3"/>
        <v>0</v>
      </c>
      <c r="BB310" s="74" t="str">
        <f t="shared" si="4"/>
        <v/>
      </c>
    </row>
    <row r="311" ht="15.75" customHeight="1">
      <c r="A311" s="36" t="s">
        <v>46</v>
      </c>
      <c r="B311" s="75">
        <f t="shared" si="5"/>
        <v>45964</v>
      </c>
      <c r="C311" s="38">
        <v>12.0</v>
      </c>
      <c r="D311" s="38" t="s">
        <v>47</v>
      </c>
      <c r="E311" s="40"/>
      <c r="F311" s="41">
        <v>0.0</v>
      </c>
      <c r="H311" s="42">
        <v>0.0</v>
      </c>
      <c r="J311" s="42">
        <v>0.0</v>
      </c>
      <c r="L311" s="42">
        <v>0.0</v>
      </c>
      <c r="N311" s="42">
        <v>0.0</v>
      </c>
      <c r="P311" s="42">
        <v>0.0</v>
      </c>
      <c r="Q311" s="43"/>
      <c r="R311" s="41">
        <v>75.0</v>
      </c>
      <c r="T311" s="42">
        <v>75.0</v>
      </c>
      <c r="V311" s="42">
        <v>0.0</v>
      </c>
      <c r="X311" s="42">
        <v>0.0</v>
      </c>
      <c r="Z311" s="42">
        <v>0.0</v>
      </c>
      <c r="AB311" s="42">
        <v>0.0</v>
      </c>
      <c r="AC311" s="43"/>
      <c r="AD311" s="42">
        <v>0.0</v>
      </c>
      <c r="AF311" s="42">
        <v>0.0</v>
      </c>
      <c r="AH311" s="42">
        <v>0.0</v>
      </c>
      <c r="AJ311" s="41"/>
      <c r="AK311" s="43"/>
      <c r="AL311" s="46">
        <v>0.0</v>
      </c>
      <c r="AM311" s="43"/>
      <c r="AN311" s="114"/>
      <c r="AO311" s="43"/>
      <c r="AP311" s="114"/>
      <c r="AQ311" s="43"/>
      <c r="AR311" s="114"/>
      <c r="AS311" s="43"/>
      <c r="AT311" s="115"/>
      <c r="AV311" s="115"/>
      <c r="AW311" s="43"/>
      <c r="AX311" s="47">
        <f t="shared" si="1"/>
        <v>1668</v>
      </c>
      <c r="AY311" s="38">
        <f t="shared" si="2"/>
        <v>150</v>
      </c>
      <c r="AZ311" s="38">
        <v>0.0</v>
      </c>
      <c r="BA311" s="38">
        <f t="shared" si="3"/>
        <v>150</v>
      </c>
      <c r="BB311" s="76">
        <f t="shared" si="4"/>
        <v>11.12</v>
      </c>
    </row>
    <row r="312" ht="15.75" customHeight="1">
      <c r="A312" s="50" t="s">
        <v>48</v>
      </c>
      <c r="B312" s="51">
        <f t="shared" si="5"/>
        <v>45965</v>
      </c>
      <c r="C312" s="52">
        <v>12.0</v>
      </c>
      <c r="D312" s="52" t="s">
        <v>47</v>
      </c>
      <c r="E312" s="53"/>
      <c r="F312" s="41">
        <v>0.0</v>
      </c>
      <c r="H312" s="42">
        <v>0.0</v>
      </c>
      <c r="J312" s="42">
        <v>0.0</v>
      </c>
      <c r="L312" s="42">
        <v>0.0</v>
      </c>
      <c r="N312" s="42">
        <v>0.0</v>
      </c>
      <c r="P312" s="42">
        <v>0.0</v>
      </c>
      <c r="Q312" s="43"/>
      <c r="R312" s="41">
        <v>75.0</v>
      </c>
      <c r="T312" s="42">
        <v>75.0</v>
      </c>
      <c r="V312" s="42">
        <v>0.0</v>
      </c>
      <c r="X312" s="42">
        <v>0.0</v>
      </c>
      <c r="Z312" s="42">
        <v>0.0</v>
      </c>
      <c r="AB312" s="42">
        <v>0.0</v>
      </c>
      <c r="AC312" s="43"/>
      <c r="AD312" s="42">
        <v>0.0</v>
      </c>
      <c r="AF312" s="42">
        <v>0.0</v>
      </c>
      <c r="AH312" s="42">
        <v>0.0</v>
      </c>
      <c r="AJ312" s="41"/>
      <c r="AK312" s="43"/>
      <c r="AL312" s="46">
        <v>0.0</v>
      </c>
      <c r="AM312" s="43"/>
      <c r="AN312" s="114"/>
      <c r="AO312" s="43"/>
      <c r="AP312" s="114"/>
      <c r="AQ312" s="43"/>
      <c r="AR312" s="114"/>
      <c r="AS312" s="43"/>
      <c r="AT312" s="115"/>
      <c r="AV312" s="115"/>
      <c r="AW312" s="43"/>
      <c r="AX312" s="54">
        <f t="shared" si="1"/>
        <v>1668</v>
      </c>
      <c r="AY312" s="52">
        <f t="shared" si="2"/>
        <v>150</v>
      </c>
      <c r="AZ312" s="52">
        <v>0.0</v>
      </c>
      <c r="BA312" s="52">
        <f t="shared" si="3"/>
        <v>150</v>
      </c>
      <c r="BB312" s="49">
        <f t="shared" si="4"/>
        <v>11.12</v>
      </c>
    </row>
    <row r="313" ht="15.75" customHeight="1">
      <c r="A313" s="50" t="s">
        <v>49</v>
      </c>
      <c r="B313" s="51">
        <f t="shared" si="5"/>
        <v>45966</v>
      </c>
      <c r="C313" s="52">
        <v>12.0</v>
      </c>
      <c r="D313" s="52" t="s">
        <v>47</v>
      </c>
      <c r="E313" s="53"/>
      <c r="F313" s="41">
        <v>0.0</v>
      </c>
      <c r="H313" s="42">
        <v>0.0</v>
      </c>
      <c r="J313" s="42">
        <v>0.0</v>
      </c>
      <c r="L313" s="42">
        <v>0.0</v>
      </c>
      <c r="N313" s="42">
        <v>0.0</v>
      </c>
      <c r="P313" s="42">
        <v>0.0</v>
      </c>
      <c r="Q313" s="43"/>
      <c r="R313" s="41">
        <v>75.0</v>
      </c>
      <c r="T313" s="42">
        <v>75.0</v>
      </c>
      <c r="V313" s="42">
        <v>0.0</v>
      </c>
      <c r="X313" s="42">
        <v>0.0</v>
      </c>
      <c r="Z313" s="42">
        <v>0.0</v>
      </c>
      <c r="AB313" s="42">
        <v>0.0</v>
      </c>
      <c r="AC313" s="43"/>
      <c r="AD313" s="42">
        <v>0.0</v>
      </c>
      <c r="AF313" s="42">
        <v>0.0</v>
      </c>
      <c r="AH313" s="42">
        <v>0.0</v>
      </c>
      <c r="AJ313" s="41"/>
      <c r="AK313" s="43"/>
      <c r="AL313" s="46">
        <v>0.0</v>
      </c>
      <c r="AM313" s="43"/>
      <c r="AN313" s="114"/>
      <c r="AO313" s="43"/>
      <c r="AP313" s="114"/>
      <c r="AQ313" s="43"/>
      <c r="AR313" s="114"/>
      <c r="AS313" s="43"/>
      <c r="AT313" s="115"/>
      <c r="AV313" s="115"/>
      <c r="AW313" s="43"/>
      <c r="AX313" s="54">
        <f t="shared" si="1"/>
        <v>1668</v>
      </c>
      <c r="AY313" s="52">
        <f t="shared" si="2"/>
        <v>150</v>
      </c>
      <c r="AZ313" s="52">
        <v>0.0</v>
      </c>
      <c r="BA313" s="52">
        <f t="shared" si="3"/>
        <v>150</v>
      </c>
      <c r="BB313" s="49">
        <f t="shared" si="4"/>
        <v>11.12</v>
      </c>
    </row>
    <row r="314" ht="15.75" customHeight="1">
      <c r="A314" s="50" t="s">
        <v>50</v>
      </c>
      <c r="B314" s="51">
        <f t="shared" si="5"/>
        <v>45967</v>
      </c>
      <c r="C314" s="52">
        <v>12.0</v>
      </c>
      <c r="D314" s="52" t="s">
        <v>47</v>
      </c>
      <c r="E314" s="53"/>
      <c r="F314" s="41">
        <v>0.0</v>
      </c>
      <c r="H314" s="42">
        <v>0.0</v>
      </c>
      <c r="J314" s="42">
        <v>0.0</v>
      </c>
      <c r="L314" s="42">
        <v>0.0</v>
      </c>
      <c r="N314" s="42">
        <v>0.0</v>
      </c>
      <c r="P314" s="42">
        <v>0.0</v>
      </c>
      <c r="Q314" s="43"/>
      <c r="R314" s="41">
        <v>75.0</v>
      </c>
      <c r="T314" s="42">
        <v>75.0</v>
      </c>
      <c r="V314" s="42">
        <v>0.0</v>
      </c>
      <c r="X314" s="42">
        <v>0.0</v>
      </c>
      <c r="Z314" s="42">
        <v>0.0</v>
      </c>
      <c r="AB314" s="42">
        <v>0.0</v>
      </c>
      <c r="AC314" s="43"/>
      <c r="AD314" s="42">
        <v>0.0</v>
      </c>
      <c r="AF314" s="42">
        <v>0.0</v>
      </c>
      <c r="AH314" s="42">
        <v>0.0</v>
      </c>
      <c r="AJ314" s="41"/>
      <c r="AK314" s="43"/>
      <c r="AL314" s="46">
        <v>0.0</v>
      </c>
      <c r="AM314" s="43"/>
      <c r="AN314" s="114"/>
      <c r="AO314" s="43"/>
      <c r="AP314" s="114"/>
      <c r="AQ314" s="43"/>
      <c r="AR314" s="114"/>
      <c r="AS314" s="43"/>
      <c r="AT314" s="115"/>
      <c r="AV314" s="115"/>
      <c r="AW314" s="43"/>
      <c r="AX314" s="54">
        <f t="shared" si="1"/>
        <v>1668</v>
      </c>
      <c r="AY314" s="52">
        <f t="shared" si="2"/>
        <v>150</v>
      </c>
      <c r="AZ314" s="52">
        <v>0.0</v>
      </c>
      <c r="BA314" s="52">
        <f t="shared" si="3"/>
        <v>150</v>
      </c>
      <c r="BB314" s="49">
        <f t="shared" si="4"/>
        <v>11.12</v>
      </c>
    </row>
    <row r="315" ht="15.75" customHeight="1">
      <c r="A315" s="50" t="s">
        <v>53</v>
      </c>
      <c r="B315" s="51">
        <f t="shared" si="5"/>
        <v>45968</v>
      </c>
      <c r="C315" s="52">
        <v>12.0</v>
      </c>
      <c r="D315" s="52" t="s">
        <v>47</v>
      </c>
      <c r="E315" s="53"/>
      <c r="F315" s="41">
        <v>0.0</v>
      </c>
      <c r="H315" s="42">
        <v>0.0</v>
      </c>
      <c r="J315" s="42">
        <v>0.0</v>
      </c>
      <c r="L315" s="42">
        <v>0.0</v>
      </c>
      <c r="N315" s="42">
        <v>0.0</v>
      </c>
      <c r="P315" s="42">
        <v>0.0</v>
      </c>
      <c r="Q315" s="43"/>
      <c r="R315" s="41">
        <v>75.0</v>
      </c>
      <c r="T315" s="42">
        <v>75.0</v>
      </c>
      <c r="V315" s="42">
        <v>0.0</v>
      </c>
      <c r="X315" s="42">
        <v>0.0</v>
      </c>
      <c r="Z315" s="42">
        <v>0.0</v>
      </c>
      <c r="AB315" s="42">
        <v>0.0</v>
      </c>
      <c r="AC315" s="43"/>
      <c r="AD315" s="42">
        <v>0.0</v>
      </c>
      <c r="AF315" s="42">
        <v>0.0</v>
      </c>
      <c r="AH315" s="42">
        <v>0.0</v>
      </c>
      <c r="AJ315" s="41"/>
      <c r="AK315" s="43"/>
      <c r="AL315" s="46">
        <v>0.0</v>
      </c>
      <c r="AM315" s="43"/>
      <c r="AN315" s="114"/>
      <c r="AO315" s="43"/>
      <c r="AP315" s="114"/>
      <c r="AQ315" s="43"/>
      <c r="AR315" s="114"/>
      <c r="AS315" s="43"/>
      <c r="AT315" s="115"/>
      <c r="AV315" s="115"/>
      <c r="AW315" s="43"/>
      <c r="AX315" s="54">
        <f t="shared" si="1"/>
        <v>1668</v>
      </c>
      <c r="AY315" s="52">
        <f t="shared" si="2"/>
        <v>150</v>
      </c>
      <c r="AZ315" s="52">
        <v>0.0</v>
      </c>
      <c r="BA315" s="52">
        <f t="shared" si="3"/>
        <v>150</v>
      </c>
      <c r="BB315" s="49">
        <f t="shared" si="4"/>
        <v>11.12</v>
      </c>
    </row>
    <row r="316" ht="15.75" customHeight="1">
      <c r="A316" s="50" t="s">
        <v>54</v>
      </c>
      <c r="B316" s="51">
        <f t="shared" si="5"/>
        <v>45969</v>
      </c>
      <c r="C316" s="52">
        <v>12.0</v>
      </c>
      <c r="D316" s="52" t="s">
        <v>47</v>
      </c>
      <c r="E316" s="53"/>
      <c r="F316" s="41">
        <v>0.0</v>
      </c>
      <c r="H316" s="42">
        <v>0.0</v>
      </c>
      <c r="J316" s="42">
        <v>0.0</v>
      </c>
      <c r="L316" s="42">
        <v>0.0</v>
      </c>
      <c r="N316" s="42">
        <v>0.0</v>
      </c>
      <c r="P316" s="42">
        <v>0.0</v>
      </c>
      <c r="Q316" s="43"/>
      <c r="R316" s="41">
        <v>75.0</v>
      </c>
      <c r="T316" s="42">
        <v>75.0</v>
      </c>
      <c r="V316" s="42">
        <v>0.0</v>
      </c>
      <c r="X316" s="42">
        <v>0.0</v>
      </c>
      <c r="Z316" s="42">
        <v>0.0</v>
      </c>
      <c r="AB316" s="42">
        <v>0.0</v>
      </c>
      <c r="AC316" s="43"/>
      <c r="AD316" s="42">
        <v>0.0</v>
      </c>
      <c r="AF316" s="42">
        <v>0.0</v>
      </c>
      <c r="AH316" s="42">
        <v>0.0</v>
      </c>
      <c r="AJ316" s="41"/>
      <c r="AK316" s="43"/>
      <c r="AL316" s="46">
        <v>0.0</v>
      </c>
      <c r="AM316" s="43"/>
      <c r="AN316" s="114"/>
      <c r="AO316" s="43"/>
      <c r="AP316" s="114"/>
      <c r="AQ316" s="43"/>
      <c r="AR316" s="114"/>
      <c r="AS316" s="43"/>
      <c r="AT316" s="115"/>
      <c r="AV316" s="115"/>
      <c r="AW316" s="43"/>
      <c r="AX316" s="54">
        <f t="shared" si="1"/>
        <v>1668</v>
      </c>
      <c r="AY316" s="52">
        <f t="shared" si="2"/>
        <v>150</v>
      </c>
      <c r="AZ316" s="52">
        <v>0.0</v>
      </c>
      <c r="BA316" s="52">
        <f t="shared" si="3"/>
        <v>150</v>
      </c>
      <c r="BB316" s="49">
        <f t="shared" si="4"/>
        <v>11.12</v>
      </c>
    </row>
    <row r="317" ht="15.75" customHeight="1">
      <c r="A317" s="59" t="s">
        <v>61</v>
      </c>
      <c r="B317" s="61">
        <f t="shared" si="5"/>
        <v>45970</v>
      </c>
      <c r="C317" s="63">
        <v>12.0</v>
      </c>
      <c r="D317" s="63" t="s">
        <v>47</v>
      </c>
      <c r="E317" s="64"/>
      <c r="F317" s="65">
        <v>0.0</v>
      </c>
      <c r="G317" s="66"/>
      <c r="H317" s="67">
        <v>0.0</v>
      </c>
      <c r="I317" s="66"/>
      <c r="J317" s="67">
        <v>0.0</v>
      </c>
      <c r="K317" s="66"/>
      <c r="L317" s="67">
        <v>0.0</v>
      </c>
      <c r="M317" s="66"/>
      <c r="N317" s="67">
        <v>0.0</v>
      </c>
      <c r="O317" s="66"/>
      <c r="P317" s="67">
        <v>0.0</v>
      </c>
      <c r="Q317" s="68"/>
      <c r="R317" s="65">
        <v>0.0</v>
      </c>
      <c r="S317" s="66"/>
      <c r="T317" s="67">
        <v>0.0</v>
      </c>
      <c r="U317" s="66"/>
      <c r="V317" s="67">
        <v>0.0</v>
      </c>
      <c r="W317" s="66"/>
      <c r="X317" s="67">
        <v>0.0</v>
      </c>
      <c r="Y317" s="66"/>
      <c r="Z317" s="67">
        <v>0.0</v>
      </c>
      <c r="AA317" s="66"/>
      <c r="AB317" s="67">
        <v>0.0</v>
      </c>
      <c r="AC317" s="68"/>
      <c r="AD317" s="67">
        <v>0.0</v>
      </c>
      <c r="AE317" s="66"/>
      <c r="AF317" s="67">
        <v>0.0</v>
      </c>
      <c r="AG317" s="66"/>
      <c r="AH317" s="67">
        <v>0.0</v>
      </c>
      <c r="AI317" s="66"/>
      <c r="AJ317" s="65"/>
      <c r="AK317" s="68"/>
      <c r="AL317" s="71">
        <v>0.0</v>
      </c>
      <c r="AM317" s="68"/>
      <c r="AN317" s="119"/>
      <c r="AO317" s="68"/>
      <c r="AP317" s="119"/>
      <c r="AQ317" s="68"/>
      <c r="AR317" s="119"/>
      <c r="AS317" s="68"/>
      <c r="AT317" s="120"/>
      <c r="AU317" s="66"/>
      <c r="AV317" s="120"/>
      <c r="AW317" s="68"/>
      <c r="AX317" s="73">
        <f t="shared" si="1"/>
        <v>0</v>
      </c>
      <c r="AY317" s="63">
        <f t="shared" si="2"/>
        <v>0</v>
      </c>
      <c r="AZ317" s="63">
        <v>0.0</v>
      </c>
      <c r="BA317" s="63">
        <f t="shared" si="3"/>
        <v>0</v>
      </c>
      <c r="BB317" s="74" t="str">
        <f t="shared" si="4"/>
        <v/>
      </c>
    </row>
    <row r="318" ht="15.75" customHeight="1">
      <c r="A318" s="36" t="s">
        <v>46</v>
      </c>
      <c r="B318" s="75">
        <f t="shared" si="5"/>
        <v>45971</v>
      </c>
      <c r="C318" s="38">
        <v>12.0</v>
      </c>
      <c r="D318" s="38" t="s">
        <v>65</v>
      </c>
      <c r="E318" s="40"/>
      <c r="F318" s="41">
        <v>0.0</v>
      </c>
      <c r="H318" s="42">
        <v>0.0</v>
      </c>
      <c r="J318" s="42">
        <v>0.0</v>
      </c>
      <c r="L318" s="42">
        <v>0.0</v>
      </c>
      <c r="N318" s="42">
        <v>0.0</v>
      </c>
      <c r="P318" s="42">
        <v>0.0</v>
      </c>
      <c r="Q318" s="43"/>
      <c r="R318" s="41">
        <v>75.0</v>
      </c>
      <c r="T318" s="42">
        <v>75.0</v>
      </c>
      <c r="V318" s="42">
        <v>0.0</v>
      </c>
      <c r="X318" s="42">
        <v>0.0</v>
      </c>
      <c r="Z318" s="42">
        <v>0.0</v>
      </c>
      <c r="AB318" s="42">
        <v>0.0</v>
      </c>
      <c r="AC318" s="43"/>
      <c r="AD318" s="42">
        <v>0.0</v>
      </c>
      <c r="AF318" s="42">
        <v>0.0</v>
      </c>
      <c r="AH318" s="42">
        <v>0.0</v>
      </c>
      <c r="AJ318" s="41"/>
      <c r="AK318" s="43"/>
      <c r="AL318" s="46">
        <v>0.0</v>
      </c>
      <c r="AM318" s="43"/>
      <c r="AN318" s="114"/>
      <c r="AO318" s="43"/>
      <c r="AP318" s="114"/>
      <c r="AQ318" s="43"/>
      <c r="AR318" s="114"/>
      <c r="AS318" s="43"/>
      <c r="AT318" s="115"/>
      <c r="AV318" s="115"/>
      <c r="AW318" s="43"/>
      <c r="AX318" s="47">
        <f t="shared" si="1"/>
        <v>1668</v>
      </c>
      <c r="AY318" s="38">
        <f t="shared" si="2"/>
        <v>150</v>
      </c>
      <c r="AZ318" s="38">
        <v>0.0</v>
      </c>
      <c r="BA318" s="38">
        <f t="shared" si="3"/>
        <v>150</v>
      </c>
      <c r="BB318" s="76">
        <f t="shared" si="4"/>
        <v>11.12</v>
      </c>
    </row>
    <row r="319" ht="15.75" customHeight="1">
      <c r="A319" s="50" t="s">
        <v>48</v>
      </c>
      <c r="B319" s="51">
        <f t="shared" si="5"/>
        <v>45972</v>
      </c>
      <c r="C319" s="52">
        <v>12.0</v>
      </c>
      <c r="D319" s="52" t="s">
        <v>65</v>
      </c>
      <c r="E319" s="53"/>
      <c r="F319" s="41">
        <v>0.0</v>
      </c>
      <c r="H319" s="42">
        <v>0.0</v>
      </c>
      <c r="J319" s="42">
        <v>0.0</v>
      </c>
      <c r="L319" s="42">
        <v>0.0</v>
      </c>
      <c r="N319" s="42">
        <v>0.0</v>
      </c>
      <c r="P319" s="42">
        <v>0.0</v>
      </c>
      <c r="Q319" s="43"/>
      <c r="R319" s="41">
        <v>75.0</v>
      </c>
      <c r="T319" s="42">
        <v>75.0</v>
      </c>
      <c r="V319" s="42">
        <v>0.0</v>
      </c>
      <c r="X319" s="42">
        <v>0.0</v>
      </c>
      <c r="Z319" s="42">
        <v>0.0</v>
      </c>
      <c r="AB319" s="42">
        <v>0.0</v>
      </c>
      <c r="AC319" s="43"/>
      <c r="AD319" s="42">
        <v>0.0</v>
      </c>
      <c r="AF319" s="42">
        <v>0.0</v>
      </c>
      <c r="AH319" s="42">
        <v>0.0</v>
      </c>
      <c r="AJ319" s="41"/>
      <c r="AK319" s="43"/>
      <c r="AL319" s="46">
        <v>0.0</v>
      </c>
      <c r="AM319" s="43"/>
      <c r="AN319" s="114"/>
      <c r="AO319" s="43"/>
      <c r="AP319" s="114"/>
      <c r="AQ319" s="43"/>
      <c r="AR319" s="114"/>
      <c r="AS319" s="43"/>
      <c r="AT319" s="115"/>
      <c r="AV319" s="115"/>
      <c r="AW319" s="43"/>
      <c r="AX319" s="54">
        <f t="shared" si="1"/>
        <v>1668</v>
      </c>
      <c r="AY319" s="52">
        <f t="shared" si="2"/>
        <v>150</v>
      </c>
      <c r="AZ319" s="52">
        <v>0.0</v>
      </c>
      <c r="BA319" s="52">
        <f t="shared" si="3"/>
        <v>150</v>
      </c>
      <c r="BB319" s="49">
        <f t="shared" si="4"/>
        <v>11.12</v>
      </c>
    </row>
    <row r="320" ht="15.75" customHeight="1">
      <c r="A320" s="50" t="s">
        <v>49</v>
      </c>
      <c r="B320" s="51">
        <f t="shared" si="5"/>
        <v>45973</v>
      </c>
      <c r="C320" s="52">
        <v>12.0</v>
      </c>
      <c r="D320" s="52" t="s">
        <v>65</v>
      </c>
      <c r="E320" s="53"/>
      <c r="F320" s="41">
        <v>0.0</v>
      </c>
      <c r="H320" s="42">
        <v>0.0</v>
      </c>
      <c r="J320" s="42">
        <v>0.0</v>
      </c>
      <c r="L320" s="42">
        <v>0.0</v>
      </c>
      <c r="N320" s="42">
        <v>0.0</v>
      </c>
      <c r="P320" s="42">
        <v>0.0</v>
      </c>
      <c r="Q320" s="43"/>
      <c r="R320" s="41">
        <v>75.0</v>
      </c>
      <c r="T320" s="42">
        <v>75.0</v>
      </c>
      <c r="V320" s="42">
        <v>0.0</v>
      </c>
      <c r="X320" s="42">
        <v>0.0</v>
      </c>
      <c r="Z320" s="42">
        <v>0.0</v>
      </c>
      <c r="AB320" s="42">
        <v>0.0</v>
      </c>
      <c r="AC320" s="43"/>
      <c r="AD320" s="42">
        <v>0.0</v>
      </c>
      <c r="AF320" s="42">
        <v>0.0</v>
      </c>
      <c r="AH320" s="42">
        <v>0.0</v>
      </c>
      <c r="AJ320" s="41"/>
      <c r="AK320" s="43"/>
      <c r="AL320" s="46">
        <v>0.0</v>
      </c>
      <c r="AM320" s="43"/>
      <c r="AN320" s="114"/>
      <c r="AO320" s="43"/>
      <c r="AP320" s="114"/>
      <c r="AQ320" s="43"/>
      <c r="AR320" s="114"/>
      <c r="AS320" s="43"/>
      <c r="AT320" s="115"/>
      <c r="AV320" s="115"/>
      <c r="AW320" s="43"/>
      <c r="AX320" s="54">
        <f t="shared" si="1"/>
        <v>1668</v>
      </c>
      <c r="AY320" s="52">
        <f t="shared" si="2"/>
        <v>150</v>
      </c>
      <c r="AZ320" s="52">
        <v>0.0</v>
      </c>
      <c r="BA320" s="52">
        <f t="shared" si="3"/>
        <v>150</v>
      </c>
      <c r="BB320" s="49">
        <f t="shared" si="4"/>
        <v>11.12</v>
      </c>
    </row>
    <row r="321" ht="15.75" customHeight="1">
      <c r="A321" s="50" t="s">
        <v>50</v>
      </c>
      <c r="B321" s="51">
        <f t="shared" si="5"/>
        <v>45974</v>
      </c>
      <c r="C321" s="52">
        <v>12.0</v>
      </c>
      <c r="D321" s="52" t="s">
        <v>65</v>
      </c>
      <c r="E321" s="53"/>
      <c r="F321" s="41">
        <v>0.0</v>
      </c>
      <c r="H321" s="42">
        <v>0.0</v>
      </c>
      <c r="J321" s="42">
        <v>0.0</v>
      </c>
      <c r="L321" s="42">
        <v>0.0</v>
      </c>
      <c r="N321" s="42">
        <v>0.0</v>
      </c>
      <c r="P321" s="42">
        <v>0.0</v>
      </c>
      <c r="Q321" s="43"/>
      <c r="R321" s="41">
        <v>75.0</v>
      </c>
      <c r="T321" s="42">
        <v>75.0</v>
      </c>
      <c r="V321" s="42">
        <v>0.0</v>
      </c>
      <c r="X321" s="42">
        <v>0.0</v>
      </c>
      <c r="Z321" s="42">
        <v>0.0</v>
      </c>
      <c r="AB321" s="42">
        <v>0.0</v>
      </c>
      <c r="AC321" s="43"/>
      <c r="AD321" s="42">
        <v>0.0</v>
      </c>
      <c r="AF321" s="42">
        <v>0.0</v>
      </c>
      <c r="AH321" s="42">
        <v>0.0</v>
      </c>
      <c r="AJ321" s="41"/>
      <c r="AK321" s="43"/>
      <c r="AL321" s="46">
        <v>0.0</v>
      </c>
      <c r="AM321" s="43"/>
      <c r="AN321" s="114"/>
      <c r="AO321" s="43"/>
      <c r="AP321" s="114"/>
      <c r="AQ321" s="43"/>
      <c r="AR321" s="114"/>
      <c r="AS321" s="43"/>
      <c r="AT321" s="115"/>
      <c r="AV321" s="115"/>
      <c r="AW321" s="43"/>
      <c r="AX321" s="54">
        <f t="shared" si="1"/>
        <v>1668</v>
      </c>
      <c r="AY321" s="52">
        <f t="shared" si="2"/>
        <v>150</v>
      </c>
      <c r="AZ321" s="52">
        <v>0.0</v>
      </c>
      <c r="BA321" s="52">
        <f t="shared" si="3"/>
        <v>150</v>
      </c>
      <c r="BB321" s="49">
        <f t="shared" si="4"/>
        <v>11.12</v>
      </c>
    </row>
    <row r="322" ht="15.75" customHeight="1">
      <c r="A322" s="50" t="s">
        <v>53</v>
      </c>
      <c r="B322" s="51">
        <f t="shared" si="5"/>
        <v>45975</v>
      </c>
      <c r="C322" s="52">
        <v>12.0</v>
      </c>
      <c r="D322" s="52" t="s">
        <v>65</v>
      </c>
      <c r="E322" s="53"/>
      <c r="F322" s="41">
        <v>0.0</v>
      </c>
      <c r="H322" s="42">
        <v>0.0</v>
      </c>
      <c r="J322" s="42">
        <v>0.0</v>
      </c>
      <c r="L322" s="42">
        <v>0.0</v>
      </c>
      <c r="N322" s="42">
        <v>0.0</v>
      </c>
      <c r="P322" s="42">
        <v>0.0</v>
      </c>
      <c r="Q322" s="43"/>
      <c r="R322" s="41">
        <v>75.0</v>
      </c>
      <c r="T322" s="42">
        <v>75.0</v>
      </c>
      <c r="V322" s="42">
        <v>0.0</v>
      </c>
      <c r="X322" s="42">
        <v>0.0</v>
      </c>
      <c r="Z322" s="42">
        <v>0.0</v>
      </c>
      <c r="AB322" s="42">
        <v>0.0</v>
      </c>
      <c r="AC322" s="43"/>
      <c r="AD322" s="42">
        <v>0.0</v>
      </c>
      <c r="AF322" s="42">
        <v>0.0</v>
      </c>
      <c r="AH322" s="42">
        <v>0.0</v>
      </c>
      <c r="AJ322" s="41"/>
      <c r="AK322" s="43"/>
      <c r="AL322" s="46">
        <v>0.0</v>
      </c>
      <c r="AM322" s="43"/>
      <c r="AN322" s="114"/>
      <c r="AO322" s="43"/>
      <c r="AP322" s="114"/>
      <c r="AQ322" s="43"/>
      <c r="AR322" s="114"/>
      <c r="AS322" s="43"/>
      <c r="AT322" s="115"/>
      <c r="AV322" s="115"/>
      <c r="AW322" s="43"/>
      <c r="AX322" s="54">
        <f t="shared" si="1"/>
        <v>1668</v>
      </c>
      <c r="AY322" s="52">
        <f t="shared" si="2"/>
        <v>150</v>
      </c>
      <c r="AZ322" s="52">
        <v>0.0</v>
      </c>
      <c r="BA322" s="52">
        <f t="shared" si="3"/>
        <v>150</v>
      </c>
      <c r="BB322" s="49">
        <f t="shared" si="4"/>
        <v>11.12</v>
      </c>
    </row>
    <row r="323" ht="15.75" customHeight="1">
      <c r="A323" s="50" t="s">
        <v>54</v>
      </c>
      <c r="B323" s="51">
        <f t="shared" si="5"/>
        <v>45976</v>
      </c>
      <c r="C323" s="52">
        <v>12.0</v>
      </c>
      <c r="D323" s="52" t="s">
        <v>65</v>
      </c>
      <c r="E323" s="53"/>
      <c r="F323" s="41">
        <v>0.0</v>
      </c>
      <c r="H323" s="42">
        <v>0.0</v>
      </c>
      <c r="J323" s="42">
        <v>0.0</v>
      </c>
      <c r="L323" s="42">
        <v>0.0</v>
      </c>
      <c r="N323" s="42">
        <v>0.0</v>
      </c>
      <c r="P323" s="42">
        <v>0.0</v>
      </c>
      <c r="Q323" s="43"/>
      <c r="R323" s="41">
        <v>75.0</v>
      </c>
      <c r="T323" s="42">
        <v>75.0</v>
      </c>
      <c r="V323" s="42">
        <v>0.0</v>
      </c>
      <c r="X323" s="42">
        <v>0.0</v>
      </c>
      <c r="Z323" s="42">
        <v>0.0</v>
      </c>
      <c r="AB323" s="42">
        <v>0.0</v>
      </c>
      <c r="AC323" s="43"/>
      <c r="AD323" s="42">
        <v>0.0</v>
      </c>
      <c r="AF323" s="42">
        <v>0.0</v>
      </c>
      <c r="AH323" s="42">
        <v>0.0</v>
      </c>
      <c r="AJ323" s="41"/>
      <c r="AK323" s="43"/>
      <c r="AL323" s="46">
        <v>0.0</v>
      </c>
      <c r="AM323" s="43"/>
      <c r="AN323" s="114"/>
      <c r="AO323" s="43"/>
      <c r="AP323" s="114"/>
      <c r="AQ323" s="43"/>
      <c r="AR323" s="114"/>
      <c r="AS323" s="43"/>
      <c r="AT323" s="115"/>
      <c r="AV323" s="115"/>
      <c r="AW323" s="43"/>
      <c r="AX323" s="54">
        <f t="shared" si="1"/>
        <v>1668</v>
      </c>
      <c r="AY323" s="52">
        <f t="shared" si="2"/>
        <v>150</v>
      </c>
      <c r="AZ323" s="52">
        <v>0.0</v>
      </c>
      <c r="BA323" s="52">
        <f t="shared" si="3"/>
        <v>150</v>
      </c>
      <c r="BB323" s="49">
        <f t="shared" si="4"/>
        <v>11.12</v>
      </c>
    </row>
    <row r="324" ht="15.75" customHeight="1">
      <c r="A324" s="59" t="s">
        <v>61</v>
      </c>
      <c r="B324" s="61">
        <f t="shared" si="5"/>
        <v>45977</v>
      </c>
      <c r="C324" s="63">
        <v>12.0</v>
      </c>
      <c r="D324" s="63" t="s">
        <v>65</v>
      </c>
      <c r="E324" s="64"/>
      <c r="F324" s="65">
        <v>0.0</v>
      </c>
      <c r="G324" s="66"/>
      <c r="H324" s="67">
        <v>0.0</v>
      </c>
      <c r="I324" s="66"/>
      <c r="J324" s="67">
        <v>0.0</v>
      </c>
      <c r="K324" s="66"/>
      <c r="L324" s="67">
        <v>0.0</v>
      </c>
      <c r="M324" s="66"/>
      <c r="N324" s="67">
        <v>0.0</v>
      </c>
      <c r="O324" s="66"/>
      <c r="P324" s="67">
        <v>0.0</v>
      </c>
      <c r="Q324" s="68"/>
      <c r="R324" s="65">
        <v>0.0</v>
      </c>
      <c r="S324" s="66"/>
      <c r="T324" s="67">
        <v>0.0</v>
      </c>
      <c r="U324" s="66"/>
      <c r="V324" s="67">
        <v>0.0</v>
      </c>
      <c r="W324" s="66"/>
      <c r="X324" s="67">
        <v>0.0</v>
      </c>
      <c r="Y324" s="66"/>
      <c r="Z324" s="67">
        <v>0.0</v>
      </c>
      <c r="AA324" s="66"/>
      <c r="AB324" s="67">
        <v>0.0</v>
      </c>
      <c r="AC324" s="68"/>
      <c r="AD324" s="67">
        <v>0.0</v>
      </c>
      <c r="AE324" s="66"/>
      <c r="AF324" s="67">
        <v>0.0</v>
      </c>
      <c r="AG324" s="66"/>
      <c r="AH324" s="67">
        <v>0.0</v>
      </c>
      <c r="AI324" s="66"/>
      <c r="AJ324" s="65"/>
      <c r="AK324" s="68"/>
      <c r="AL324" s="71">
        <v>0.0</v>
      </c>
      <c r="AM324" s="68"/>
      <c r="AN324" s="119"/>
      <c r="AO324" s="68"/>
      <c r="AP324" s="119"/>
      <c r="AQ324" s="68"/>
      <c r="AR324" s="119"/>
      <c r="AS324" s="68"/>
      <c r="AT324" s="120"/>
      <c r="AU324" s="66"/>
      <c r="AV324" s="120"/>
      <c r="AW324" s="68"/>
      <c r="AX324" s="73">
        <f t="shared" si="1"/>
        <v>0</v>
      </c>
      <c r="AY324" s="63">
        <f t="shared" si="2"/>
        <v>0</v>
      </c>
      <c r="AZ324" s="63">
        <v>0.0</v>
      </c>
      <c r="BA324" s="63">
        <f t="shared" si="3"/>
        <v>0</v>
      </c>
      <c r="BB324" s="74" t="str">
        <f t="shared" si="4"/>
        <v/>
      </c>
    </row>
    <row r="325" ht="15.75" customHeight="1">
      <c r="A325" s="36" t="s">
        <v>46</v>
      </c>
      <c r="B325" s="75">
        <f t="shared" si="5"/>
        <v>45978</v>
      </c>
      <c r="C325" s="38">
        <v>12.0</v>
      </c>
      <c r="D325" s="38" t="s">
        <v>69</v>
      </c>
      <c r="E325" s="40"/>
      <c r="F325" s="41">
        <v>0.0</v>
      </c>
      <c r="H325" s="42">
        <v>0.0</v>
      </c>
      <c r="J325" s="42">
        <v>0.0</v>
      </c>
      <c r="L325" s="42">
        <v>0.0</v>
      </c>
      <c r="N325" s="42">
        <v>0.0</v>
      </c>
      <c r="P325" s="42">
        <v>0.0</v>
      </c>
      <c r="Q325" s="43"/>
      <c r="R325" s="41">
        <v>75.0</v>
      </c>
      <c r="T325" s="42">
        <v>75.0</v>
      </c>
      <c r="V325" s="42">
        <v>0.0</v>
      </c>
      <c r="X325" s="42">
        <v>0.0</v>
      </c>
      <c r="Z325" s="42">
        <v>0.0</v>
      </c>
      <c r="AB325" s="42">
        <v>0.0</v>
      </c>
      <c r="AC325" s="43"/>
      <c r="AD325" s="42">
        <v>0.0</v>
      </c>
      <c r="AF325" s="42">
        <v>0.0</v>
      </c>
      <c r="AH325" s="42">
        <v>0.0</v>
      </c>
      <c r="AJ325" s="41"/>
      <c r="AK325" s="43"/>
      <c r="AL325" s="46">
        <v>0.0</v>
      </c>
      <c r="AM325" s="43"/>
      <c r="AN325" s="114"/>
      <c r="AO325" s="43"/>
      <c r="AP325" s="114"/>
      <c r="AQ325" s="43"/>
      <c r="AR325" s="114"/>
      <c r="AS325" s="43"/>
      <c r="AT325" s="115"/>
      <c r="AV325" s="115"/>
      <c r="AW325" s="43"/>
      <c r="AX325" s="47">
        <f t="shared" si="1"/>
        <v>1668</v>
      </c>
      <c r="AY325" s="38">
        <f t="shared" si="2"/>
        <v>150</v>
      </c>
      <c r="AZ325" s="38">
        <v>0.0</v>
      </c>
      <c r="BA325" s="38">
        <f t="shared" si="3"/>
        <v>150</v>
      </c>
      <c r="BB325" s="76">
        <f t="shared" si="4"/>
        <v>11.12</v>
      </c>
    </row>
    <row r="326" ht="15.75" customHeight="1">
      <c r="A326" s="50" t="s">
        <v>48</v>
      </c>
      <c r="B326" s="51">
        <f t="shared" si="5"/>
        <v>45979</v>
      </c>
      <c r="C326" s="52">
        <v>12.0</v>
      </c>
      <c r="D326" s="52" t="s">
        <v>69</v>
      </c>
      <c r="E326" s="53"/>
      <c r="F326" s="41">
        <v>0.0</v>
      </c>
      <c r="H326" s="42">
        <v>0.0</v>
      </c>
      <c r="J326" s="42">
        <v>0.0</v>
      </c>
      <c r="L326" s="42">
        <v>0.0</v>
      </c>
      <c r="N326" s="42">
        <v>0.0</v>
      </c>
      <c r="P326" s="42">
        <v>0.0</v>
      </c>
      <c r="Q326" s="43"/>
      <c r="R326" s="41">
        <v>75.0</v>
      </c>
      <c r="T326" s="42">
        <v>75.0</v>
      </c>
      <c r="V326" s="42">
        <v>0.0</v>
      </c>
      <c r="X326" s="42">
        <v>0.0</v>
      </c>
      <c r="Z326" s="42">
        <v>0.0</v>
      </c>
      <c r="AB326" s="42">
        <v>0.0</v>
      </c>
      <c r="AC326" s="43"/>
      <c r="AD326" s="42">
        <v>0.0</v>
      </c>
      <c r="AF326" s="42">
        <v>0.0</v>
      </c>
      <c r="AH326" s="42">
        <v>0.0</v>
      </c>
      <c r="AJ326" s="41"/>
      <c r="AK326" s="43"/>
      <c r="AL326" s="46">
        <v>0.0</v>
      </c>
      <c r="AM326" s="43"/>
      <c r="AN326" s="114"/>
      <c r="AO326" s="43"/>
      <c r="AP326" s="114"/>
      <c r="AQ326" s="43"/>
      <c r="AR326" s="114"/>
      <c r="AS326" s="43"/>
      <c r="AT326" s="115"/>
      <c r="AV326" s="115"/>
      <c r="AW326" s="43"/>
      <c r="AX326" s="54">
        <f t="shared" si="1"/>
        <v>1668</v>
      </c>
      <c r="AY326" s="52">
        <f t="shared" si="2"/>
        <v>150</v>
      </c>
      <c r="AZ326" s="52">
        <v>0.0</v>
      </c>
      <c r="BA326" s="52">
        <f t="shared" si="3"/>
        <v>150</v>
      </c>
      <c r="BB326" s="49">
        <f t="shared" si="4"/>
        <v>11.12</v>
      </c>
    </row>
    <row r="327" ht="15.75" customHeight="1">
      <c r="A327" s="50" t="s">
        <v>49</v>
      </c>
      <c r="B327" s="51">
        <f t="shared" si="5"/>
        <v>45980</v>
      </c>
      <c r="C327" s="52">
        <v>12.0</v>
      </c>
      <c r="D327" s="52" t="s">
        <v>69</v>
      </c>
      <c r="E327" s="53"/>
      <c r="F327" s="41">
        <v>0.0</v>
      </c>
      <c r="H327" s="42">
        <v>0.0</v>
      </c>
      <c r="J327" s="42">
        <v>0.0</v>
      </c>
      <c r="L327" s="42">
        <v>0.0</v>
      </c>
      <c r="N327" s="42">
        <v>0.0</v>
      </c>
      <c r="P327" s="42">
        <v>0.0</v>
      </c>
      <c r="Q327" s="43"/>
      <c r="R327" s="41">
        <v>75.0</v>
      </c>
      <c r="T327" s="42">
        <v>75.0</v>
      </c>
      <c r="V327" s="42">
        <v>0.0</v>
      </c>
      <c r="X327" s="42">
        <v>0.0</v>
      </c>
      <c r="Z327" s="42">
        <v>0.0</v>
      </c>
      <c r="AB327" s="42">
        <v>0.0</v>
      </c>
      <c r="AC327" s="43"/>
      <c r="AD327" s="42">
        <v>0.0</v>
      </c>
      <c r="AF327" s="42">
        <v>0.0</v>
      </c>
      <c r="AH327" s="42">
        <v>0.0</v>
      </c>
      <c r="AJ327" s="41"/>
      <c r="AK327" s="43"/>
      <c r="AL327" s="46">
        <v>0.0</v>
      </c>
      <c r="AM327" s="43"/>
      <c r="AN327" s="114"/>
      <c r="AO327" s="43"/>
      <c r="AP327" s="114"/>
      <c r="AQ327" s="43"/>
      <c r="AR327" s="114"/>
      <c r="AS327" s="43"/>
      <c r="AT327" s="115"/>
      <c r="AV327" s="115"/>
      <c r="AW327" s="43"/>
      <c r="AX327" s="54">
        <f t="shared" si="1"/>
        <v>1668</v>
      </c>
      <c r="AY327" s="52">
        <f t="shared" si="2"/>
        <v>150</v>
      </c>
      <c r="AZ327" s="52">
        <v>0.0</v>
      </c>
      <c r="BA327" s="52">
        <f t="shared" si="3"/>
        <v>150</v>
      </c>
      <c r="BB327" s="49">
        <f t="shared" si="4"/>
        <v>11.12</v>
      </c>
    </row>
    <row r="328" ht="15.75" customHeight="1">
      <c r="A328" s="50" t="s">
        <v>50</v>
      </c>
      <c r="B328" s="51">
        <f t="shared" si="5"/>
        <v>45981</v>
      </c>
      <c r="C328" s="52">
        <v>12.0</v>
      </c>
      <c r="D328" s="52" t="s">
        <v>69</v>
      </c>
      <c r="E328" s="53"/>
      <c r="F328" s="41">
        <v>0.0</v>
      </c>
      <c r="H328" s="42">
        <v>0.0</v>
      </c>
      <c r="J328" s="42">
        <v>0.0</v>
      </c>
      <c r="L328" s="42">
        <v>0.0</v>
      </c>
      <c r="N328" s="42">
        <v>0.0</v>
      </c>
      <c r="P328" s="42">
        <v>0.0</v>
      </c>
      <c r="Q328" s="43"/>
      <c r="R328" s="41">
        <v>75.0</v>
      </c>
      <c r="T328" s="42">
        <v>75.0</v>
      </c>
      <c r="V328" s="42">
        <v>0.0</v>
      </c>
      <c r="X328" s="42">
        <v>0.0</v>
      </c>
      <c r="Z328" s="42">
        <v>0.0</v>
      </c>
      <c r="AB328" s="42">
        <v>0.0</v>
      </c>
      <c r="AC328" s="43"/>
      <c r="AD328" s="42">
        <v>0.0</v>
      </c>
      <c r="AF328" s="42">
        <v>0.0</v>
      </c>
      <c r="AH328" s="42">
        <v>0.0</v>
      </c>
      <c r="AJ328" s="41"/>
      <c r="AK328" s="43"/>
      <c r="AL328" s="46">
        <v>0.0</v>
      </c>
      <c r="AM328" s="43"/>
      <c r="AN328" s="114"/>
      <c r="AO328" s="43"/>
      <c r="AP328" s="114"/>
      <c r="AQ328" s="43"/>
      <c r="AR328" s="114"/>
      <c r="AS328" s="43"/>
      <c r="AT328" s="115"/>
      <c r="AV328" s="115"/>
      <c r="AW328" s="43"/>
      <c r="AX328" s="54">
        <f t="shared" si="1"/>
        <v>1668</v>
      </c>
      <c r="AY328" s="52">
        <f t="shared" si="2"/>
        <v>150</v>
      </c>
      <c r="AZ328" s="52">
        <v>0.0</v>
      </c>
      <c r="BA328" s="52">
        <f t="shared" si="3"/>
        <v>150</v>
      </c>
      <c r="BB328" s="49">
        <f t="shared" si="4"/>
        <v>11.12</v>
      </c>
    </row>
    <row r="329" ht="15.75" customHeight="1">
      <c r="A329" s="50" t="s">
        <v>53</v>
      </c>
      <c r="B329" s="51">
        <f t="shared" si="5"/>
        <v>45982</v>
      </c>
      <c r="C329" s="52">
        <v>12.0</v>
      </c>
      <c r="D329" s="52" t="s">
        <v>69</v>
      </c>
      <c r="E329" s="53"/>
      <c r="F329" s="41">
        <v>0.0</v>
      </c>
      <c r="H329" s="42">
        <v>0.0</v>
      </c>
      <c r="J329" s="42">
        <v>0.0</v>
      </c>
      <c r="L329" s="42">
        <v>0.0</v>
      </c>
      <c r="N329" s="42">
        <v>0.0</v>
      </c>
      <c r="P329" s="42">
        <v>0.0</v>
      </c>
      <c r="Q329" s="43"/>
      <c r="R329" s="41">
        <v>75.0</v>
      </c>
      <c r="T329" s="42">
        <v>75.0</v>
      </c>
      <c r="V329" s="42">
        <v>0.0</v>
      </c>
      <c r="X329" s="42">
        <v>0.0</v>
      </c>
      <c r="Z329" s="42">
        <v>0.0</v>
      </c>
      <c r="AB329" s="42">
        <v>0.0</v>
      </c>
      <c r="AC329" s="43"/>
      <c r="AD329" s="42">
        <v>0.0</v>
      </c>
      <c r="AF329" s="42">
        <v>0.0</v>
      </c>
      <c r="AH329" s="42">
        <v>0.0</v>
      </c>
      <c r="AJ329" s="41"/>
      <c r="AK329" s="43"/>
      <c r="AL329" s="46">
        <v>0.0</v>
      </c>
      <c r="AM329" s="43"/>
      <c r="AN329" s="114"/>
      <c r="AO329" s="43"/>
      <c r="AP329" s="114"/>
      <c r="AQ329" s="43"/>
      <c r="AR329" s="114"/>
      <c r="AS329" s="43"/>
      <c r="AT329" s="115"/>
      <c r="AV329" s="115"/>
      <c r="AW329" s="43"/>
      <c r="AX329" s="54">
        <f t="shared" si="1"/>
        <v>1668</v>
      </c>
      <c r="AY329" s="52">
        <f t="shared" si="2"/>
        <v>150</v>
      </c>
      <c r="AZ329" s="52">
        <v>0.0</v>
      </c>
      <c r="BA329" s="52">
        <f t="shared" si="3"/>
        <v>150</v>
      </c>
      <c r="BB329" s="49">
        <f t="shared" si="4"/>
        <v>11.12</v>
      </c>
    </row>
    <row r="330" ht="15.75" customHeight="1">
      <c r="A330" s="50" t="s">
        <v>54</v>
      </c>
      <c r="B330" s="51">
        <f t="shared" si="5"/>
        <v>45983</v>
      </c>
      <c r="C330" s="52">
        <v>12.0</v>
      </c>
      <c r="D330" s="52" t="s">
        <v>69</v>
      </c>
      <c r="E330" s="53"/>
      <c r="F330" s="41">
        <v>0.0</v>
      </c>
      <c r="H330" s="42">
        <v>0.0</v>
      </c>
      <c r="J330" s="42">
        <v>0.0</v>
      </c>
      <c r="L330" s="42">
        <v>0.0</v>
      </c>
      <c r="N330" s="42">
        <v>0.0</v>
      </c>
      <c r="P330" s="42">
        <v>0.0</v>
      </c>
      <c r="Q330" s="43"/>
      <c r="R330" s="41">
        <v>75.0</v>
      </c>
      <c r="T330" s="42">
        <v>75.0</v>
      </c>
      <c r="V330" s="42">
        <v>0.0</v>
      </c>
      <c r="X330" s="42">
        <v>0.0</v>
      </c>
      <c r="Z330" s="42">
        <v>0.0</v>
      </c>
      <c r="AB330" s="42">
        <v>0.0</v>
      </c>
      <c r="AC330" s="43"/>
      <c r="AD330" s="42">
        <v>0.0</v>
      </c>
      <c r="AF330" s="42">
        <v>0.0</v>
      </c>
      <c r="AH330" s="42">
        <v>0.0</v>
      </c>
      <c r="AJ330" s="41"/>
      <c r="AK330" s="43"/>
      <c r="AL330" s="46">
        <v>0.0</v>
      </c>
      <c r="AM330" s="43"/>
      <c r="AN330" s="114"/>
      <c r="AO330" s="43"/>
      <c r="AP330" s="114"/>
      <c r="AQ330" s="43"/>
      <c r="AR330" s="114"/>
      <c r="AS330" s="43"/>
      <c r="AT330" s="115"/>
      <c r="AV330" s="115"/>
      <c r="AW330" s="43"/>
      <c r="AX330" s="54">
        <f t="shared" si="1"/>
        <v>1668</v>
      </c>
      <c r="AY330" s="52">
        <f t="shared" si="2"/>
        <v>150</v>
      </c>
      <c r="AZ330" s="52">
        <v>0.0</v>
      </c>
      <c r="BA330" s="52">
        <f t="shared" si="3"/>
        <v>150</v>
      </c>
      <c r="BB330" s="49">
        <f t="shared" si="4"/>
        <v>11.12</v>
      </c>
    </row>
    <row r="331" ht="15.75" customHeight="1">
      <c r="A331" s="59" t="s">
        <v>61</v>
      </c>
      <c r="B331" s="61">
        <f t="shared" si="5"/>
        <v>45984</v>
      </c>
      <c r="C331" s="63">
        <v>12.0</v>
      </c>
      <c r="D331" s="63" t="s">
        <v>69</v>
      </c>
      <c r="E331" s="64"/>
      <c r="F331" s="65">
        <v>0.0</v>
      </c>
      <c r="G331" s="66"/>
      <c r="H331" s="67">
        <v>0.0</v>
      </c>
      <c r="I331" s="66"/>
      <c r="J331" s="67">
        <v>0.0</v>
      </c>
      <c r="K331" s="66"/>
      <c r="L331" s="67">
        <v>0.0</v>
      </c>
      <c r="M331" s="66"/>
      <c r="N331" s="67">
        <v>0.0</v>
      </c>
      <c r="O331" s="66"/>
      <c r="P331" s="67">
        <v>0.0</v>
      </c>
      <c r="Q331" s="68"/>
      <c r="R331" s="65">
        <v>0.0</v>
      </c>
      <c r="S331" s="66"/>
      <c r="T331" s="67">
        <v>0.0</v>
      </c>
      <c r="U331" s="66"/>
      <c r="V331" s="67">
        <v>0.0</v>
      </c>
      <c r="W331" s="66"/>
      <c r="X331" s="67">
        <v>0.0</v>
      </c>
      <c r="Y331" s="66"/>
      <c r="Z331" s="67">
        <v>0.0</v>
      </c>
      <c r="AA331" s="66"/>
      <c r="AB331" s="67">
        <v>0.0</v>
      </c>
      <c r="AC331" s="68"/>
      <c r="AD331" s="67">
        <v>0.0</v>
      </c>
      <c r="AE331" s="66"/>
      <c r="AF331" s="67">
        <v>0.0</v>
      </c>
      <c r="AG331" s="66"/>
      <c r="AH331" s="67">
        <v>0.0</v>
      </c>
      <c r="AI331" s="66"/>
      <c r="AJ331" s="65"/>
      <c r="AK331" s="68"/>
      <c r="AL331" s="71">
        <v>0.0</v>
      </c>
      <c r="AM331" s="68"/>
      <c r="AN331" s="119"/>
      <c r="AO331" s="68"/>
      <c r="AP331" s="119"/>
      <c r="AQ331" s="68"/>
      <c r="AR331" s="119"/>
      <c r="AS331" s="68"/>
      <c r="AT331" s="120"/>
      <c r="AU331" s="66"/>
      <c r="AV331" s="120"/>
      <c r="AW331" s="68"/>
      <c r="AX331" s="73">
        <f t="shared" si="1"/>
        <v>0</v>
      </c>
      <c r="AY331" s="63">
        <f t="shared" si="2"/>
        <v>0</v>
      </c>
      <c r="AZ331" s="63">
        <v>0.0</v>
      </c>
      <c r="BA331" s="63">
        <f t="shared" si="3"/>
        <v>0</v>
      </c>
      <c r="BB331" s="74" t="str">
        <f t="shared" si="4"/>
        <v/>
      </c>
    </row>
    <row r="332" ht="15.75" customHeight="1">
      <c r="A332" s="36" t="s">
        <v>46</v>
      </c>
      <c r="B332" s="75">
        <f t="shared" si="5"/>
        <v>45985</v>
      </c>
      <c r="C332" s="38">
        <v>12.0</v>
      </c>
      <c r="D332" s="38" t="s">
        <v>72</v>
      </c>
      <c r="E332" s="82" t="s">
        <v>79</v>
      </c>
      <c r="F332" s="41">
        <v>0.0</v>
      </c>
      <c r="H332" s="42">
        <v>0.0</v>
      </c>
      <c r="J332" s="42">
        <v>0.0</v>
      </c>
      <c r="L332" s="42">
        <v>0.0</v>
      </c>
      <c r="N332" s="42">
        <v>0.0</v>
      </c>
      <c r="P332" s="42">
        <v>0.0</v>
      </c>
      <c r="Q332" s="43"/>
      <c r="R332" s="41">
        <v>0.0</v>
      </c>
      <c r="T332" s="42">
        <v>0.0</v>
      </c>
      <c r="V332" s="42">
        <v>0.0</v>
      </c>
      <c r="X332" s="42">
        <v>0.0</v>
      </c>
      <c r="Z332" s="42">
        <v>0.0</v>
      </c>
      <c r="AB332" s="42">
        <v>0.0</v>
      </c>
      <c r="AC332" s="43"/>
      <c r="AD332" s="42">
        <v>0.0</v>
      </c>
      <c r="AF332" s="42">
        <v>0.0</v>
      </c>
      <c r="AH332" s="42">
        <v>0.0</v>
      </c>
      <c r="AJ332" s="41"/>
      <c r="AK332" s="43"/>
      <c r="AL332" s="46">
        <v>0.0</v>
      </c>
      <c r="AM332" s="43"/>
      <c r="AN332" s="114"/>
      <c r="AO332" s="43"/>
      <c r="AP332" s="114"/>
      <c r="AQ332" s="43"/>
      <c r="AR332" s="114"/>
      <c r="AS332" s="43"/>
      <c r="AT332" s="115"/>
      <c r="AV332" s="115"/>
      <c r="AW332" s="43"/>
      <c r="AX332" s="47">
        <f t="shared" si="1"/>
        <v>0</v>
      </c>
      <c r="AY332" s="38">
        <f t="shared" si="2"/>
        <v>0</v>
      </c>
      <c r="AZ332" s="38">
        <v>0.0</v>
      </c>
      <c r="BA332" s="38">
        <f t="shared" si="3"/>
        <v>0</v>
      </c>
      <c r="BB332" s="76" t="str">
        <f t="shared" si="4"/>
        <v/>
      </c>
    </row>
    <row r="333" ht="15.75" customHeight="1">
      <c r="A333" s="50" t="s">
        <v>48</v>
      </c>
      <c r="B333" s="51">
        <f t="shared" si="5"/>
        <v>45986</v>
      </c>
      <c r="C333" s="52">
        <v>12.0</v>
      </c>
      <c r="D333" s="52" t="s">
        <v>72</v>
      </c>
      <c r="E333" s="92" t="s">
        <v>80</v>
      </c>
      <c r="F333" s="41">
        <v>0.0</v>
      </c>
      <c r="H333" s="42">
        <v>0.0</v>
      </c>
      <c r="J333" s="42">
        <v>0.0</v>
      </c>
      <c r="L333" s="42">
        <v>0.0</v>
      </c>
      <c r="N333" s="42">
        <v>0.0</v>
      </c>
      <c r="P333" s="42">
        <v>0.0</v>
      </c>
      <c r="Q333" s="43"/>
      <c r="R333" s="41">
        <v>0.0</v>
      </c>
      <c r="T333" s="42">
        <v>0.0</v>
      </c>
      <c r="V333" s="42">
        <v>0.0</v>
      </c>
      <c r="X333" s="42">
        <v>0.0</v>
      </c>
      <c r="Z333" s="42">
        <v>0.0</v>
      </c>
      <c r="AB333" s="42">
        <v>0.0</v>
      </c>
      <c r="AC333" s="43"/>
      <c r="AD333" s="42">
        <v>0.0</v>
      </c>
      <c r="AF333" s="42">
        <v>0.0</v>
      </c>
      <c r="AH333" s="42">
        <v>0.0</v>
      </c>
      <c r="AJ333" s="41"/>
      <c r="AK333" s="43"/>
      <c r="AL333" s="46">
        <v>0.0</v>
      </c>
      <c r="AM333" s="43"/>
      <c r="AN333" s="114"/>
      <c r="AO333" s="43"/>
      <c r="AP333" s="114"/>
      <c r="AQ333" s="43"/>
      <c r="AR333" s="114"/>
      <c r="AS333" s="43"/>
      <c r="AT333" s="115"/>
      <c r="AV333" s="115"/>
      <c r="AW333" s="43"/>
      <c r="AX333" s="54">
        <f t="shared" si="1"/>
        <v>0</v>
      </c>
      <c r="AY333" s="52">
        <f t="shared" si="2"/>
        <v>0</v>
      </c>
      <c r="AZ333" s="52">
        <v>0.0</v>
      </c>
      <c r="BA333" s="52">
        <f t="shared" si="3"/>
        <v>0</v>
      </c>
      <c r="BB333" s="49" t="str">
        <f t="shared" si="4"/>
        <v/>
      </c>
    </row>
    <row r="334" ht="15.75" customHeight="1">
      <c r="A334" s="50" t="s">
        <v>49</v>
      </c>
      <c r="B334" s="51">
        <f t="shared" si="5"/>
        <v>45987</v>
      </c>
      <c r="C334" s="52">
        <v>12.0</v>
      </c>
      <c r="D334" s="52" t="s">
        <v>72</v>
      </c>
      <c r="E334" s="92" t="s">
        <v>81</v>
      </c>
      <c r="F334" s="41">
        <v>0.0</v>
      </c>
      <c r="H334" s="42">
        <v>0.0</v>
      </c>
      <c r="J334" s="42">
        <v>0.0</v>
      </c>
      <c r="L334" s="42">
        <v>0.0</v>
      </c>
      <c r="N334" s="42">
        <v>0.0</v>
      </c>
      <c r="P334" s="42">
        <v>0.0</v>
      </c>
      <c r="Q334" s="43"/>
      <c r="R334" s="41">
        <v>0.0</v>
      </c>
      <c r="T334" s="42">
        <v>0.0</v>
      </c>
      <c r="V334" s="42">
        <v>0.0</v>
      </c>
      <c r="X334" s="42">
        <v>0.0</v>
      </c>
      <c r="Z334" s="42">
        <v>0.0</v>
      </c>
      <c r="AB334" s="42">
        <v>0.0</v>
      </c>
      <c r="AC334" s="43"/>
      <c r="AD334" s="42">
        <v>0.0</v>
      </c>
      <c r="AF334" s="42">
        <v>0.0</v>
      </c>
      <c r="AH334" s="42">
        <v>0.0</v>
      </c>
      <c r="AJ334" s="41"/>
      <c r="AK334" s="43"/>
      <c r="AL334" s="46">
        <v>0.0</v>
      </c>
      <c r="AM334" s="43"/>
      <c r="AN334" s="114"/>
      <c r="AO334" s="43"/>
      <c r="AP334" s="114"/>
      <c r="AQ334" s="43"/>
      <c r="AR334" s="114"/>
      <c r="AS334" s="43"/>
      <c r="AT334" s="115"/>
      <c r="AV334" s="115"/>
      <c r="AW334" s="43"/>
      <c r="AX334" s="54">
        <f t="shared" si="1"/>
        <v>0</v>
      </c>
      <c r="AY334" s="52">
        <f t="shared" si="2"/>
        <v>0</v>
      </c>
      <c r="AZ334" s="52">
        <v>0.0</v>
      </c>
      <c r="BA334" s="52">
        <f t="shared" si="3"/>
        <v>0</v>
      </c>
      <c r="BB334" s="49" t="str">
        <f t="shared" si="4"/>
        <v/>
      </c>
    </row>
    <row r="335" ht="15.75" customHeight="1">
      <c r="A335" s="50" t="s">
        <v>50</v>
      </c>
      <c r="B335" s="51">
        <f t="shared" si="5"/>
        <v>45988</v>
      </c>
      <c r="C335" s="52">
        <v>12.0</v>
      </c>
      <c r="D335" s="52" t="s">
        <v>72</v>
      </c>
      <c r="E335" s="53"/>
      <c r="F335" s="41">
        <v>0.0</v>
      </c>
      <c r="H335" s="42">
        <v>0.0</v>
      </c>
      <c r="J335" s="42">
        <v>0.0</v>
      </c>
      <c r="L335" s="42">
        <v>0.0</v>
      </c>
      <c r="N335" s="42">
        <v>0.0</v>
      </c>
      <c r="P335" s="42">
        <v>0.0</v>
      </c>
      <c r="Q335" s="43"/>
      <c r="R335" s="41">
        <v>0.0</v>
      </c>
      <c r="T335" s="42">
        <v>0.0</v>
      </c>
      <c r="V335" s="42">
        <v>0.0</v>
      </c>
      <c r="X335" s="42">
        <v>0.0</v>
      </c>
      <c r="Z335" s="42">
        <v>0.0</v>
      </c>
      <c r="AB335" s="42">
        <v>0.0</v>
      </c>
      <c r="AC335" s="43"/>
      <c r="AD335" s="42">
        <v>0.0</v>
      </c>
      <c r="AF335" s="42">
        <v>0.0</v>
      </c>
      <c r="AH335" s="42">
        <v>0.0</v>
      </c>
      <c r="AJ335" s="41"/>
      <c r="AK335" s="43"/>
      <c r="AL335" s="46">
        <v>0.0</v>
      </c>
      <c r="AM335" s="43"/>
      <c r="AN335" s="114"/>
      <c r="AO335" s="43"/>
      <c r="AP335" s="114"/>
      <c r="AQ335" s="43"/>
      <c r="AR335" s="114"/>
      <c r="AS335" s="43"/>
      <c r="AT335" s="115"/>
      <c r="AV335" s="115"/>
      <c r="AW335" s="43"/>
      <c r="AX335" s="54">
        <f t="shared" si="1"/>
        <v>0</v>
      </c>
      <c r="AY335" s="52">
        <f t="shared" si="2"/>
        <v>0</v>
      </c>
      <c r="AZ335" s="52">
        <v>0.0</v>
      </c>
      <c r="BA335" s="52">
        <f t="shared" si="3"/>
        <v>0</v>
      </c>
      <c r="BB335" s="49" t="str">
        <f t="shared" si="4"/>
        <v/>
      </c>
    </row>
    <row r="336" ht="15.75" customHeight="1">
      <c r="A336" s="50" t="s">
        <v>53</v>
      </c>
      <c r="B336" s="51">
        <f t="shared" si="5"/>
        <v>45989</v>
      </c>
      <c r="C336" s="52">
        <v>12.0</v>
      </c>
      <c r="D336" s="52" t="s">
        <v>72</v>
      </c>
      <c r="E336" s="53"/>
      <c r="F336" s="41">
        <v>0.0</v>
      </c>
      <c r="H336" s="42">
        <v>0.0</v>
      </c>
      <c r="J336" s="42">
        <v>0.0</v>
      </c>
      <c r="L336" s="42">
        <v>0.0</v>
      </c>
      <c r="N336" s="42">
        <v>0.0</v>
      </c>
      <c r="P336" s="42">
        <v>0.0</v>
      </c>
      <c r="Q336" s="43"/>
      <c r="R336" s="41">
        <v>0.0</v>
      </c>
      <c r="T336" s="42">
        <v>0.0</v>
      </c>
      <c r="V336" s="42">
        <v>0.0</v>
      </c>
      <c r="X336" s="42">
        <v>0.0</v>
      </c>
      <c r="Z336" s="42">
        <v>0.0</v>
      </c>
      <c r="AB336" s="42">
        <v>0.0</v>
      </c>
      <c r="AC336" s="43"/>
      <c r="AD336" s="42">
        <v>0.0</v>
      </c>
      <c r="AF336" s="42">
        <v>0.0</v>
      </c>
      <c r="AH336" s="42">
        <v>0.0</v>
      </c>
      <c r="AJ336" s="41"/>
      <c r="AK336" s="43"/>
      <c r="AL336" s="46">
        <v>0.0</v>
      </c>
      <c r="AM336" s="43"/>
      <c r="AN336" s="114"/>
      <c r="AO336" s="43"/>
      <c r="AP336" s="114"/>
      <c r="AQ336" s="43"/>
      <c r="AR336" s="114"/>
      <c r="AS336" s="43"/>
      <c r="AT336" s="115"/>
      <c r="AV336" s="115"/>
      <c r="AW336" s="43"/>
      <c r="AX336" s="54">
        <f t="shared" si="1"/>
        <v>0</v>
      </c>
      <c r="AY336" s="52">
        <f t="shared" si="2"/>
        <v>0</v>
      </c>
      <c r="AZ336" s="52">
        <v>0.0</v>
      </c>
      <c r="BA336" s="52">
        <f t="shared" si="3"/>
        <v>0</v>
      </c>
      <c r="BB336" s="49" t="str">
        <f t="shared" si="4"/>
        <v/>
      </c>
    </row>
    <row r="337" ht="15.75" customHeight="1">
      <c r="A337" s="50" t="s">
        <v>54</v>
      </c>
      <c r="B337" s="51">
        <f t="shared" si="5"/>
        <v>45990</v>
      </c>
      <c r="C337" s="52">
        <v>12.0</v>
      </c>
      <c r="D337" s="52" t="s">
        <v>72</v>
      </c>
      <c r="E337" s="53"/>
      <c r="F337" s="41">
        <v>0.0</v>
      </c>
      <c r="H337" s="42">
        <v>0.0</v>
      </c>
      <c r="J337" s="42">
        <v>0.0</v>
      </c>
      <c r="L337" s="42">
        <v>0.0</v>
      </c>
      <c r="N337" s="42">
        <v>0.0</v>
      </c>
      <c r="P337" s="42">
        <v>0.0</v>
      </c>
      <c r="Q337" s="43"/>
      <c r="R337" s="41">
        <v>0.0</v>
      </c>
      <c r="T337" s="42">
        <v>0.0</v>
      </c>
      <c r="V337" s="42">
        <v>0.0</v>
      </c>
      <c r="X337" s="42">
        <v>0.0</v>
      </c>
      <c r="Z337" s="42">
        <v>0.0</v>
      </c>
      <c r="AB337" s="42">
        <v>0.0</v>
      </c>
      <c r="AC337" s="43"/>
      <c r="AD337" s="42">
        <v>0.0</v>
      </c>
      <c r="AF337" s="42">
        <v>0.0</v>
      </c>
      <c r="AH337" s="42">
        <v>0.0</v>
      </c>
      <c r="AJ337" s="41"/>
      <c r="AK337" s="43"/>
      <c r="AL337" s="46">
        <v>0.0</v>
      </c>
      <c r="AM337" s="43"/>
      <c r="AN337" s="114"/>
      <c r="AO337" s="43"/>
      <c r="AP337" s="114"/>
      <c r="AQ337" s="43"/>
      <c r="AR337" s="114"/>
      <c r="AS337" s="43"/>
      <c r="AT337" s="115"/>
      <c r="AV337" s="115"/>
      <c r="AW337" s="43"/>
      <c r="AX337" s="54">
        <f t="shared" si="1"/>
        <v>0</v>
      </c>
      <c r="AY337" s="52">
        <f t="shared" si="2"/>
        <v>0</v>
      </c>
      <c r="AZ337" s="52">
        <v>0.0</v>
      </c>
      <c r="BA337" s="52">
        <f t="shared" si="3"/>
        <v>0</v>
      </c>
      <c r="BB337" s="49" t="str">
        <f t="shared" si="4"/>
        <v/>
      </c>
    </row>
    <row r="338" ht="15.75" customHeight="1">
      <c r="A338" s="59" t="s">
        <v>61</v>
      </c>
      <c r="B338" s="61">
        <f t="shared" si="5"/>
        <v>45991</v>
      </c>
      <c r="C338" s="63">
        <v>12.0</v>
      </c>
      <c r="D338" s="63" t="s">
        <v>72</v>
      </c>
      <c r="E338" s="64"/>
      <c r="F338" s="65">
        <v>0.0</v>
      </c>
      <c r="G338" s="66"/>
      <c r="H338" s="67">
        <v>0.0</v>
      </c>
      <c r="I338" s="66"/>
      <c r="J338" s="67">
        <v>0.0</v>
      </c>
      <c r="K338" s="66"/>
      <c r="L338" s="67">
        <v>0.0</v>
      </c>
      <c r="M338" s="66"/>
      <c r="N338" s="67">
        <v>0.0</v>
      </c>
      <c r="O338" s="66"/>
      <c r="P338" s="67">
        <v>0.0</v>
      </c>
      <c r="Q338" s="68"/>
      <c r="R338" s="65">
        <v>0.0</v>
      </c>
      <c r="S338" s="66"/>
      <c r="T338" s="67">
        <v>0.0</v>
      </c>
      <c r="U338" s="66"/>
      <c r="V338" s="67">
        <v>0.0</v>
      </c>
      <c r="W338" s="66"/>
      <c r="X338" s="67">
        <v>0.0</v>
      </c>
      <c r="Y338" s="66"/>
      <c r="Z338" s="67">
        <v>0.0</v>
      </c>
      <c r="AA338" s="66"/>
      <c r="AB338" s="67">
        <v>0.0</v>
      </c>
      <c r="AC338" s="68"/>
      <c r="AD338" s="67">
        <v>0.0</v>
      </c>
      <c r="AE338" s="66"/>
      <c r="AF338" s="67">
        <v>0.0</v>
      </c>
      <c r="AG338" s="66"/>
      <c r="AH338" s="67">
        <v>0.0</v>
      </c>
      <c r="AI338" s="66"/>
      <c r="AJ338" s="65"/>
      <c r="AK338" s="68"/>
      <c r="AL338" s="71">
        <v>0.0</v>
      </c>
      <c r="AM338" s="68"/>
      <c r="AN338" s="119"/>
      <c r="AO338" s="68"/>
      <c r="AP338" s="119"/>
      <c r="AQ338" s="68"/>
      <c r="AR338" s="119"/>
      <c r="AS338" s="68"/>
      <c r="AT338" s="120"/>
      <c r="AU338" s="66"/>
      <c r="AV338" s="120"/>
      <c r="AW338" s="68"/>
      <c r="AX338" s="73">
        <f t="shared" si="1"/>
        <v>0</v>
      </c>
      <c r="AY338" s="63">
        <f t="shared" si="2"/>
        <v>0</v>
      </c>
      <c r="AZ338" s="63">
        <v>0.0</v>
      </c>
      <c r="BA338" s="63">
        <f t="shared" si="3"/>
        <v>0</v>
      </c>
      <c r="BB338" s="74" t="str">
        <f t="shared" si="4"/>
        <v/>
      </c>
    </row>
    <row r="339" ht="15.75" customHeight="1">
      <c r="A339" s="36" t="s">
        <v>46</v>
      </c>
      <c r="B339" s="75">
        <f t="shared" si="5"/>
        <v>45992</v>
      </c>
      <c r="C339" s="38">
        <v>13.0</v>
      </c>
      <c r="D339" s="38" t="s">
        <v>65</v>
      </c>
      <c r="E339" s="40"/>
      <c r="F339" s="41">
        <v>0.0</v>
      </c>
      <c r="H339" s="42">
        <v>0.0</v>
      </c>
      <c r="J339" s="42">
        <v>0.0</v>
      </c>
      <c r="L339" s="42">
        <v>0.0</v>
      </c>
      <c r="N339" s="42">
        <v>0.0</v>
      </c>
      <c r="P339" s="42">
        <v>0.0</v>
      </c>
      <c r="Q339" s="43"/>
      <c r="R339" s="41">
        <v>50.0</v>
      </c>
      <c r="T339" s="42">
        <v>50.0</v>
      </c>
      <c r="V339" s="42">
        <v>0.0</v>
      </c>
      <c r="X339" s="42">
        <v>0.0</v>
      </c>
      <c r="Z339" s="42">
        <v>0.0</v>
      </c>
      <c r="AB339" s="42">
        <v>0.0</v>
      </c>
      <c r="AC339" s="43"/>
      <c r="AD339" s="42">
        <v>0.0</v>
      </c>
      <c r="AF339" s="42">
        <v>0.0</v>
      </c>
      <c r="AH339" s="42">
        <v>0.0</v>
      </c>
      <c r="AJ339" s="41"/>
      <c r="AK339" s="43"/>
      <c r="AL339" s="46">
        <v>0.0</v>
      </c>
      <c r="AM339" s="43"/>
      <c r="AN339" s="114"/>
      <c r="AO339" s="43"/>
      <c r="AP339" s="114"/>
      <c r="AQ339" s="43"/>
      <c r="AR339" s="114"/>
      <c r="AS339" s="43"/>
      <c r="AT339" s="115"/>
      <c r="AV339" s="115"/>
      <c r="AW339" s="43"/>
      <c r="AX339" s="47">
        <f t="shared" si="1"/>
        <v>1112</v>
      </c>
      <c r="AY339" s="38">
        <f t="shared" si="2"/>
        <v>100</v>
      </c>
      <c r="AZ339" s="38">
        <v>0.0</v>
      </c>
      <c r="BA339" s="38">
        <f t="shared" si="3"/>
        <v>100</v>
      </c>
      <c r="BB339" s="76">
        <f t="shared" si="4"/>
        <v>11.12</v>
      </c>
    </row>
    <row r="340" ht="15.75" customHeight="1">
      <c r="A340" s="50" t="s">
        <v>48</v>
      </c>
      <c r="B340" s="51">
        <f t="shared" si="5"/>
        <v>45993</v>
      </c>
      <c r="C340" s="52">
        <v>13.0</v>
      </c>
      <c r="D340" s="52" t="s">
        <v>65</v>
      </c>
      <c r="E340" s="53"/>
      <c r="F340" s="41">
        <v>0.0</v>
      </c>
      <c r="H340" s="42">
        <v>0.0</v>
      </c>
      <c r="J340" s="42">
        <v>0.0</v>
      </c>
      <c r="L340" s="42">
        <v>0.0</v>
      </c>
      <c r="N340" s="42">
        <v>0.0</v>
      </c>
      <c r="P340" s="42">
        <v>0.0</v>
      </c>
      <c r="Q340" s="43"/>
      <c r="R340" s="41">
        <v>50.0</v>
      </c>
      <c r="T340" s="42">
        <v>50.0</v>
      </c>
      <c r="V340" s="42">
        <v>0.0</v>
      </c>
      <c r="X340" s="42">
        <v>0.0</v>
      </c>
      <c r="Z340" s="42">
        <v>0.0</v>
      </c>
      <c r="AB340" s="42">
        <v>0.0</v>
      </c>
      <c r="AC340" s="43"/>
      <c r="AD340" s="42">
        <v>0.0</v>
      </c>
      <c r="AF340" s="42">
        <v>0.0</v>
      </c>
      <c r="AH340" s="42">
        <v>0.0</v>
      </c>
      <c r="AJ340" s="41"/>
      <c r="AK340" s="43"/>
      <c r="AL340" s="46">
        <v>0.0</v>
      </c>
      <c r="AM340" s="43"/>
      <c r="AN340" s="114"/>
      <c r="AO340" s="43"/>
      <c r="AP340" s="114"/>
      <c r="AQ340" s="43"/>
      <c r="AR340" s="114"/>
      <c r="AS340" s="43"/>
      <c r="AT340" s="115"/>
      <c r="AV340" s="115"/>
      <c r="AW340" s="43"/>
      <c r="AX340" s="54">
        <f t="shared" si="1"/>
        <v>1112</v>
      </c>
      <c r="AY340" s="52">
        <f t="shared" si="2"/>
        <v>100</v>
      </c>
      <c r="AZ340" s="52">
        <v>0.0</v>
      </c>
      <c r="BA340" s="52">
        <f t="shared" si="3"/>
        <v>100</v>
      </c>
      <c r="BB340" s="49">
        <f t="shared" si="4"/>
        <v>11.12</v>
      </c>
    </row>
    <row r="341" ht="15.75" customHeight="1">
      <c r="A341" s="50" t="s">
        <v>49</v>
      </c>
      <c r="B341" s="51">
        <f t="shared" si="5"/>
        <v>45994</v>
      </c>
      <c r="C341" s="52">
        <v>13.0</v>
      </c>
      <c r="D341" s="52" t="s">
        <v>65</v>
      </c>
      <c r="E341" s="53"/>
      <c r="F341" s="41">
        <v>0.0</v>
      </c>
      <c r="H341" s="42">
        <v>0.0</v>
      </c>
      <c r="J341" s="42">
        <v>0.0</v>
      </c>
      <c r="L341" s="42">
        <v>0.0</v>
      </c>
      <c r="N341" s="42">
        <v>0.0</v>
      </c>
      <c r="P341" s="42">
        <v>0.0</v>
      </c>
      <c r="Q341" s="43"/>
      <c r="R341" s="41">
        <v>50.0</v>
      </c>
      <c r="T341" s="42">
        <v>50.0</v>
      </c>
      <c r="V341" s="42">
        <v>0.0</v>
      </c>
      <c r="X341" s="42">
        <v>0.0</v>
      </c>
      <c r="Z341" s="42">
        <v>0.0</v>
      </c>
      <c r="AB341" s="42">
        <v>0.0</v>
      </c>
      <c r="AC341" s="43"/>
      <c r="AD341" s="42">
        <v>0.0</v>
      </c>
      <c r="AF341" s="42">
        <v>0.0</v>
      </c>
      <c r="AH341" s="42">
        <v>0.0</v>
      </c>
      <c r="AJ341" s="41"/>
      <c r="AK341" s="43"/>
      <c r="AL341" s="46">
        <v>0.0</v>
      </c>
      <c r="AM341" s="43"/>
      <c r="AN341" s="114"/>
      <c r="AO341" s="43"/>
      <c r="AP341" s="114"/>
      <c r="AQ341" s="43"/>
      <c r="AR341" s="114"/>
      <c r="AS341" s="43"/>
      <c r="AT341" s="115"/>
      <c r="AV341" s="115"/>
      <c r="AW341" s="43"/>
      <c r="AX341" s="54">
        <f t="shared" si="1"/>
        <v>1112</v>
      </c>
      <c r="AY341" s="52">
        <f t="shared" si="2"/>
        <v>100</v>
      </c>
      <c r="AZ341" s="52">
        <v>0.0</v>
      </c>
      <c r="BA341" s="52">
        <f t="shared" si="3"/>
        <v>100</v>
      </c>
      <c r="BB341" s="49">
        <f t="shared" si="4"/>
        <v>11.12</v>
      </c>
    </row>
    <row r="342" ht="15.75" customHeight="1">
      <c r="A342" s="50" t="s">
        <v>50</v>
      </c>
      <c r="B342" s="51">
        <f t="shared" si="5"/>
        <v>45995</v>
      </c>
      <c r="C342" s="52">
        <v>13.0</v>
      </c>
      <c r="D342" s="52" t="s">
        <v>65</v>
      </c>
      <c r="E342" s="53"/>
      <c r="F342" s="41">
        <v>0.0</v>
      </c>
      <c r="H342" s="42">
        <v>0.0</v>
      </c>
      <c r="J342" s="42">
        <v>0.0</v>
      </c>
      <c r="L342" s="42">
        <v>0.0</v>
      </c>
      <c r="N342" s="42">
        <v>0.0</v>
      </c>
      <c r="P342" s="42">
        <v>0.0</v>
      </c>
      <c r="Q342" s="43"/>
      <c r="R342" s="41">
        <v>50.0</v>
      </c>
      <c r="T342" s="42">
        <v>50.0</v>
      </c>
      <c r="V342" s="42">
        <v>0.0</v>
      </c>
      <c r="X342" s="42">
        <v>0.0</v>
      </c>
      <c r="Z342" s="42">
        <v>0.0</v>
      </c>
      <c r="AB342" s="42">
        <v>0.0</v>
      </c>
      <c r="AC342" s="43"/>
      <c r="AD342" s="42">
        <v>0.0</v>
      </c>
      <c r="AF342" s="42">
        <v>0.0</v>
      </c>
      <c r="AH342" s="42">
        <v>0.0</v>
      </c>
      <c r="AJ342" s="41"/>
      <c r="AK342" s="43"/>
      <c r="AL342" s="46">
        <v>0.0</v>
      </c>
      <c r="AM342" s="43"/>
      <c r="AN342" s="114"/>
      <c r="AO342" s="43"/>
      <c r="AP342" s="114"/>
      <c r="AQ342" s="43"/>
      <c r="AR342" s="114"/>
      <c r="AS342" s="43"/>
      <c r="AT342" s="115"/>
      <c r="AV342" s="115"/>
      <c r="AW342" s="43"/>
      <c r="AX342" s="54">
        <f t="shared" si="1"/>
        <v>1112</v>
      </c>
      <c r="AY342" s="52">
        <f t="shared" si="2"/>
        <v>100</v>
      </c>
      <c r="AZ342" s="52">
        <v>0.0</v>
      </c>
      <c r="BA342" s="52">
        <f t="shared" si="3"/>
        <v>100</v>
      </c>
      <c r="BB342" s="49">
        <f t="shared" si="4"/>
        <v>11.12</v>
      </c>
    </row>
    <row r="343" ht="15.75" customHeight="1">
      <c r="A343" s="50" t="s">
        <v>53</v>
      </c>
      <c r="B343" s="51">
        <f t="shared" si="5"/>
        <v>45996</v>
      </c>
      <c r="C343" s="52">
        <v>13.0</v>
      </c>
      <c r="D343" s="52" t="s">
        <v>65</v>
      </c>
      <c r="E343" s="53"/>
      <c r="F343" s="41">
        <v>0.0</v>
      </c>
      <c r="H343" s="42">
        <v>0.0</v>
      </c>
      <c r="J343" s="42">
        <v>0.0</v>
      </c>
      <c r="L343" s="42">
        <v>0.0</v>
      </c>
      <c r="N343" s="42">
        <v>0.0</v>
      </c>
      <c r="P343" s="42">
        <v>0.0</v>
      </c>
      <c r="Q343" s="43"/>
      <c r="R343" s="41">
        <v>50.0</v>
      </c>
      <c r="T343" s="42">
        <v>50.0</v>
      </c>
      <c r="V343" s="42">
        <v>0.0</v>
      </c>
      <c r="X343" s="42">
        <v>0.0</v>
      </c>
      <c r="Z343" s="42">
        <v>0.0</v>
      </c>
      <c r="AB343" s="42">
        <v>0.0</v>
      </c>
      <c r="AC343" s="43"/>
      <c r="AD343" s="42">
        <v>0.0</v>
      </c>
      <c r="AF343" s="42">
        <v>0.0</v>
      </c>
      <c r="AH343" s="42">
        <v>0.0</v>
      </c>
      <c r="AJ343" s="41"/>
      <c r="AK343" s="43"/>
      <c r="AL343" s="46">
        <v>0.0</v>
      </c>
      <c r="AM343" s="43"/>
      <c r="AN343" s="114"/>
      <c r="AO343" s="43"/>
      <c r="AP343" s="114"/>
      <c r="AQ343" s="43"/>
      <c r="AR343" s="114"/>
      <c r="AS343" s="43"/>
      <c r="AT343" s="115"/>
      <c r="AV343" s="115"/>
      <c r="AW343" s="43"/>
      <c r="AX343" s="54">
        <f t="shared" si="1"/>
        <v>1112</v>
      </c>
      <c r="AY343" s="52">
        <f t="shared" si="2"/>
        <v>100</v>
      </c>
      <c r="AZ343" s="52">
        <v>0.0</v>
      </c>
      <c r="BA343" s="52">
        <f t="shared" si="3"/>
        <v>100</v>
      </c>
      <c r="BB343" s="49">
        <f t="shared" si="4"/>
        <v>11.12</v>
      </c>
    </row>
    <row r="344" ht="15.75" customHeight="1">
      <c r="A344" s="50" t="s">
        <v>54</v>
      </c>
      <c r="B344" s="51">
        <f t="shared" si="5"/>
        <v>45997</v>
      </c>
      <c r="C344" s="52">
        <v>13.0</v>
      </c>
      <c r="D344" s="52" t="s">
        <v>65</v>
      </c>
      <c r="E344" s="53"/>
      <c r="F344" s="41">
        <v>0.0</v>
      </c>
      <c r="H344" s="42">
        <v>0.0</v>
      </c>
      <c r="J344" s="42">
        <v>0.0</v>
      </c>
      <c r="L344" s="42">
        <v>0.0</v>
      </c>
      <c r="N344" s="42">
        <v>0.0</v>
      </c>
      <c r="P344" s="42">
        <v>0.0</v>
      </c>
      <c r="Q344" s="43"/>
      <c r="R344" s="41">
        <v>0.0</v>
      </c>
      <c r="T344" s="42">
        <v>0.0</v>
      </c>
      <c r="V344" s="42">
        <v>0.0</v>
      </c>
      <c r="X344" s="42">
        <v>0.0</v>
      </c>
      <c r="Z344" s="42">
        <v>0.0</v>
      </c>
      <c r="AB344" s="42">
        <v>0.0</v>
      </c>
      <c r="AC344" s="43"/>
      <c r="AD344" s="42">
        <v>0.0</v>
      </c>
      <c r="AF344" s="42">
        <v>0.0</v>
      </c>
      <c r="AH344" s="42">
        <v>0.0</v>
      </c>
      <c r="AJ344" s="41"/>
      <c r="AK344" s="43"/>
      <c r="AL344" s="46">
        <v>0.0</v>
      </c>
      <c r="AM344" s="43"/>
      <c r="AN344" s="114"/>
      <c r="AO344" s="43"/>
      <c r="AP344" s="114"/>
      <c r="AQ344" s="43"/>
      <c r="AR344" s="114"/>
      <c r="AS344" s="43"/>
      <c r="AT344" s="115"/>
      <c r="AV344" s="115"/>
      <c r="AW344" s="43"/>
      <c r="AX344" s="54">
        <f t="shared" si="1"/>
        <v>0</v>
      </c>
      <c r="AY344" s="52">
        <f t="shared" si="2"/>
        <v>0</v>
      </c>
      <c r="AZ344" s="52">
        <v>0.0</v>
      </c>
      <c r="BA344" s="52">
        <f t="shared" si="3"/>
        <v>0</v>
      </c>
      <c r="BB344" s="49" t="str">
        <f t="shared" si="4"/>
        <v/>
      </c>
    </row>
    <row r="345" ht="15.75" customHeight="1">
      <c r="A345" s="59" t="s">
        <v>61</v>
      </c>
      <c r="B345" s="61">
        <f t="shared" si="5"/>
        <v>45998</v>
      </c>
      <c r="C345" s="63">
        <v>13.0</v>
      </c>
      <c r="D345" s="63" t="s">
        <v>65</v>
      </c>
      <c r="E345" s="64"/>
      <c r="F345" s="65">
        <v>0.0</v>
      </c>
      <c r="G345" s="66"/>
      <c r="H345" s="67">
        <v>0.0</v>
      </c>
      <c r="I345" s="66"/>
      <c r="J345" s="67">
        <v>0.0</v>
      </c>
      <c r="K345" s="66"/>
      <c r="L345" s="67">
        <v>0.0</v>
      </c>
      <c r="M345" s="66"/>
      <c r="N345" s="67">
        <v>0.0</v>
      </c>
      <c r="O345" s="66"/>
      <c r="P345" s="67">
        <v>0.0</v>
      </c>
      <c r="Q345" s="68"/>
      <c r="R345" s="65">
        <v>0.0</v>
      </c>
      <c r="S345" s="66"/>
      <c r="T345" s="67">
        <v>0.0</v>
      </c>
      <c r="U345" s="66"/>
      <c r="V345" s="67">
        <v>0.0</v>
      </c>
      <c r="W345" s="66"/>
      <c r="X345" s="67">
        <v>0.0</v>
      </c>
      <c r="Y345" s="66"/>
      <c r="Z345" s="67">
        <v>0.0</v>
      </c>
      <c r="AA345" s="66"/>
      <c r="AB345" s="67">
        <v>0.0</v>
      </c>
      <c r="AC345" s="68"/>
      <c r="AD345" s="67">
        <v>0.0</v>
      </c>
      <c r="AE345" s="66"/>
      <c r="AF345" s="67">
        <v>0.0</v>
      </c>
      <c r="AG345" s="66"/>
      <c r="AH345" s="67">
        <v>0.0</v>
      </c>
      <c r="AI345" s="66"/>
      <c r="AJ345" s="65"/>
      <c r="AK345" s="68"/>
      <c r="AL345" s="71">
        <v>0.0</v>
      </c>
      <c r="AM345" s="68"/>
      <c r="AN345" s="119"/>
      <c r="AO345" s="68"/>
      <c r="AP345" s="119"/>
      <c r="AQ345" s="68"/>
      <c r="AR345" s="119"/>
      <c r="AS345" s="68"/>
      <c r="AT345" s="120"/>
      <c r="AU345" s="66"/>
      <c r="AV345" s="120"/>
      <c r="AW345" s="68"/>
      <c r="AX345" s="73">
        <f t="shared" si="1"/>
        <v>0</v>
      </c>
      <c r="AY345" s="63">
        <f t="shared" si="2"/>
        <v>0</v>
      </c>
      <c r="AZ345" s="63">
        <v>0.0</v>
      </c>
      <c r="BA345" s="63">
        <f t="shared" si="3"/>
        <v>0</v>
      </c>
      <c r="BB345" s="74" t="str">
        <f t="shared" si="4"/>
        <v/>
      </c>
    </row>
    <row r="346" ht="15.75" customHeight="1">
      <c r="A346" s="36" t="s">
        <v>46</v>
      </c>
      <c r="B346" s="75">
        <f t="shared" si="5"/>
        <v>45999</v>
      </c>
      <c r="C346" s="38">
        <v>13.0</v>
      </c>
      <c r="D346" s="38" t="s">
        <v>69</v>
      </c>
      <c r="E346" s="40"/>
      <c r="F346" s="41">
        <v>0.0</v>
      </c>
      <c r="H346" s="42">
        <v>0.0</v>
      </c>
      <c r="J346" s="42">
        <v>0.0</v>
      </c>
      <c r="L346" s="42">
        <v>0.0</v>
      </c>
      <c r="N346" s="42">
        <v>0.0</v>
      </c>
      <c r="P346" s="42">
        <v>0.0</v>
      </c>
      <c r="Q346" s="43"/>
      <c r="R346" s="41">
        <v>50.0</v>
      </c>
      <c r="T346" s="42">
        <v>50.0</v>
      </c>
      <c r="V346" s="42">
        <v>0.0</v>
      </c>
      <c r="X346" s="42">
        <v>0.0</v>
      </c>
      <c r="Z346" s="42">
        <v>0.0</v>
      </c>
      <c r="AB346" s="42">
        <v>0.0</v>
      </c>
      <c r="AC346" s="43"/>
      <c r="AD346" s="42">
        <v>0.0</v>
      </c>
      <c r="AF346" s="42">
        <v>0.0</v>
      </c>
      <c r="AH346" s="42">
        <v>0.0</v>
      </c>
      <c r="AJ346" s="41"/>
      <c r="AK346" s="43"/>
      <c r="AL346" s="46">
        <v>0.0</v>
      </c>
      <c r="AM346" s="43"/>
      <c r="AN346" s="114"/>
      <c r="AO346" s="43"/>
      <c r="AP346" s="114"/>
      <c r="AQ346" s="43"/>
      <c r="AR346" s="114"/>
      <c r="AS346" s="43"/>
      <c r="AT346" s="115"/>
      <c r="AV346" s="115"/>
      <c r="AW346" s="43"/>
      <c r="AX346" s="47">
        <f t="shared" si="1"/>
        <v>1112</v>
      </c>
      <c r="AY346" s="38">
        <f t="shared" si="2"/>
        <v>100</v>
      </c>
      <c r="AZ346" s="38">
        <v>0.0</v>
      </c>
      <c r="BA346" s="38">
        <f t="shared" si="3"/>
        <v>100</v>
      </c>
      <c r="BB346" s="76">
        <f t="shared" si="4"/>
        <v>11.12</v>
      </c>
    </row>
    <row r="347" ht="15.75" customHeight="1">
      <c r="A347" s="50" t="s">
        <v>48</v>
      </c>
      <c r="B347" s="51">
        <f t="shared" si="5"/>
        <v>46000</v>
      </c>
      <c r="C347" s="52">
        <v>13.0</v>
      </c>
      <c r="D347" s="52" t="s">
        <v>69</v>
      </c>
      <c r="E347" s="53"/>
      <c r="F347" s="41">
        <v>0.0</v>
      </c>
      <c r="H347" s="42">
        <v>0.0</v>
      </c>
      <c r="J347" s="42">
        <v>0.0</v>
      </c>
      <c r="L347" s="42">
        <v>0.0</v>
      </c>
      <c r="N347" s="42">
        <v>0.0</v>
      </c>
      <c r="P347" s="42">
        <v>0.0</v>
      </c>
      <c r="Q347" s="43"/>
      <c r="R347" s="41">
        <v>50.0</v>
      </c>
      <c r="T347" s="42">
        <v>50.0</v>
      </c>
      <c r="V347" s="42">
        <v>0.0</v>
      </c>
      <c r="X347" s="42">
        <v>0.0</v>
      </c>
      <c r="Z347" s="42">
        <v>0.0</v>
      </c>
      <c r="AB347" s="42">
        <v>0.0</v>
      </c>
      <c r="AC347" s="43"/>
      <c r="AD347" s="42">
        <v>0.0</v>
      </c>
      <c r="AF347" s="42">
        <v>0.0</v>
      </c>
      <c r="AH347" s="42">
        <v>0.0</v>
      </c>
      <c r="AJ347" s="41"/>
      <c r="AK347" s="43"/>
      <c r="AL347" s="46">
        <v>0.0</v>
      </c>
      <c r="AM347" s="43"/>
      <c r="AN347" s="114"/>
      <c r="AO347" s="43"/>
      <c r="AP347" s="114"/>
      <c r="AQ347" s="43"/>
      <c r="AR347" s="114"/>
      <c r="AS347" s="43"/>
      <c r="AT347" s="115"/>
      <c r="AV347" s="115"/>
      <c r="AW347" s="43"/>
      <c r="AX347" s="54">
        <f t="shared" si="1"/>
        <v>1112</v>
      </c>
      <c r="AY347" s="52">
        <f t="shared" si="2"/>
        <v>100</v>
      </c>
      <c r="AZ347" s="52">
        <v>0.0</v>
      </c>
      <c r="BA347" s="52">
        <f t="shared" si="3"/>
        <v>100</v>
      </c>
      <c r="BB347" s="49">
        <f t="shared" si="4"/>
        <v>11.12</v>
      </c>
    </row>
    <row r="348" ht="15.75" customHeight="1">
      <c r="A348" s="50" t="s">
        <v>49</v>
      </c>
      <c r="B348" s="51">
        <f t="shared" si="5"/>
        <v>46001</v>
      </c>
      <c r="C348" s="52">
        <v>13.0</v>
      </c>
      <c r="D348" s="52" t="s">
        <v>69</v>
      </c>
      <c r="E348" s="53"/>
      <c r="F348" s="41">
        <v>0.0</v>
      </c>
      <c r="H348" s="42">
        <v>0.0</v>
      </c>
      <c r="J348" s="42">
        <v>0.0</v>
      </c>
      <c r="L348" s="42">
        <v>0.0</v>
      </c>
      <c r="N348" s="42">
        <v>0.0</v>
      </c>
      <c r="P348" s="42">
        <v>0.0</v>
      </c>
      <c r="Q348" s="43"/>
      <c r="R348" s="41">
        <v>50.0</v>
      </c>
      <c r="T348" s="42">
        <v>50.0</v>
      </c>
      <c r="V348" s="42">
        <v>0.0</v>
      </c>
      <c r="X348" s="42">
        <v>0.0</v>
      </c>
      <c r="Z348" s="42">
        <v>0.0</v>
      </c>
      <c r="AB348" s="42">
        <v>0.0</v>
      </c>
      <c r="AC348" s="43"/>
      <c r="AD348" s="42">
        <v>0.0</v>
      </c>
      <c r="AF348" s="42">
        <v>0.0</v>
      </c>
      <c r="AH348" s="42">
        <v>0.0</v>
      </c>
      <c r="AJ348" s="41"/>
      <c r="AK348" s="43"/>
      <c r="AL348" s="46">
        <v>0.0</v>
      </c>
      <c r="AM348" s="43"/>
      <c r="AN348" s="114"/>
      <c r="AO348" s="43"/>
      <c r="AP348" s="114"/>
      <c r="AQ348" s="43"/>
      <c r="AR348" s="114"/>
      <c r="AS348" s="43"/>
      <c r="AT348" s="115"/>
      <c r="AV348" s="115"/>
      <c r="AW348" s="43"/>
      <c r="AX348" s="54">
        <f t="shared" si="1"/>
        <v>1112</v>
      </c>
      <c r="AY348" s="52">
        <f t="shared" si="2"/>
        <v>100</v>
      </c>
      <c r="AZ348" s="52">
        <v>0.0</v>
      </c>
      <c r="BA348" s="52">
        <f t="shared" si="3"/>
        <v>100</v>
      </c>
      <c r="BB348" s="49">
        <f t="shared" si="4"/>
        <v>11.12</v>
      </c>
    </row>
    <row r="349" ht="15.75" customHeight="1">
      <c r="A349" s="50" t="s">
        <v>50</v>
      </c>
      <c r="B349" s="51">
        <f t="shared" si="5"/>
        <v>46002</v>
      </c>
      <c r="C349" s="52">
        <v>13.0</v>
      </c>
      <c r="D349" s="52" t="s">
        <v>69</v>
      </c>
      <c r="E349" s="53"/>
      <c r="F349" s="41">
        <v>0.0</v>
      </c>
      <c r="H349" s="42">
        <v>0.0</v>
      </c>
      <c r="J349" s="42">
        <v>0.0</v>
      </c>
      <c r="L349" s="42">
        <v>0.0</v>
      </c>
      <c r="N349" s="42">
        <v>0.0</v>
      </c>
      <c r="P349" s="42">
        <v>0.0</v>
      </c>
      <c r="Q349" s="43"/>
      <c r="R349" s="41">
        <v>50.0</v>
      </c>
      <c r="T349" s="42">
        <v>50.0</v>
      </c>
      <c r="V349" s="42">
        <v>0.0</v>
      </c>
      <c r="X349" s="42">
        <v>0.0</v>
      </c>
      <c r="Z349" s="42">
        <v>0.0</v>
      </c>
      <c r="AB349" s="42">
        <v>0.0</v>
      </c>
      <c r="AC349" s="43"/>
      <c r="AD349" s="42">
        <v>0.0</v>
      </c>
      <c r="AF349" s="42">
        <v>0.0</v>
      </c>
      <c r="AH349" s="42">
        <v>0.0</v>
      </c>
      <c r="AJ349" s="41"/>
      <c r="AK349" s="43"/>
      <c r="AL349" s="46">
        <v>0.0</v>
      </c>
      <c r="AM349" s="43"/>
      <c r="AN349" s="114"/>
      <c r="AO349" s="43"/>
      <c r="AP349" s="114"/>
      <c r="AQ349" s="43"/>
      <c r="AR349" s="114"/>
      <c r="AS349" s="43"/>
      <c r="AT349" s="115"/>
      <c r="AV349" s="115"/>
      <c r="AW349" s="43"/>
      <c r="AX349" s="54">
        <f t="shared" si="1"/>
        <v>1112</v>
      </c>
      <c r="AY349" s="52">
        <f t="shared" si="2"/>
        <v>100</v>
      </c>
      <c r="AZ349" s="52">
        <v>0.0</v>
      </c>
      <c r="BA349" s="52">
        <f t="shared" si="3"/>
        <v>100</v>
      </c>
      <c r="BB349" s="49">
        <f t="shared" si="4"/>
        <v>11.12</v>
      </c>
    </row>
    <row r="350" ht="15.75" customHeight="1">
      <c r="A350" s="50" t="s">
        <v>53</v>
      </c>
      <c r="B350" s="51">
        <f t="shared" si="5"/>
        <v>46003</v>
      </c>
      <c r="C350" s="52">
        <v>13.0</v>
      </c>
      <c r="D350" s="52" t="s">
        <v>69</v>
      </c>
      <c r="E350" s="53"/>
      <c r="F350" s="41">
        <v>0.0</v>
      </c>
      <c r="H350" s="42">
        <v>0.0</v>
      </c>
      <c r="J350" s="42">
        <v>0.0</v>
      </c>
      <c r="L350" s="42">
        <v>0.0</v>
      </c>
      <c r="N350" s="42">
        <v>0.0</v>
      </c>
      <c r="P350" s="42">
        <v>0.0</v>
      </c>
      <c r="Q350" s="43"/>
      <c r="R350" s="41">
        <v>50.0</v>
      </c>
      <c r="T350" s="42">
        <v>50.0</v>
      </c>
      <c r="V350" s="42">
        <v>0.0</v>
      </c>
      <c r="X350" s="42">
        <v>0.0</v>
      </c>
      <c r="Z350" s="42">
        <v>0.0</v>
      </c>
      <c r="AB350" s="42">
        <v>0.0</v>
      </c>
      <c r="AC350" s="43"/>
      <c r="AD350" s="42">
        <v>0.0</v>
      </c>
      <c r="AF350" s="42">
        <v>0.0</v>
      </c>
      <c r="AH350" s="42">
        <v>0.0</v>
      </c>
      <c r="AJ350" s="41"/>
      <c r="AK350" s="43"/>
      <c r="AL350" s="46">
        <v>0.0</v>
      </c>
      <c r="AM350" s="43"/>
      <c r="AN350" s="114"/>
      <c r="AO350" s="43"/>
      <c r="AP350" s="114"/>
      <c r="AQ350" s="43"/>
      <c r="AR350" s="114"/>
      <c r="AS350" s="43"/>
      <c r="AT350" s="115"/>
      <c r="AV350" s="115"/>
      <c r="AW350" s="43"/>
      <c r="AX350" s="54">
        <f t="shared" si="1"/>
        <v>1112</v>
      </c>
      <c r="AY350" s="52">
        <f t="shared" si="2"/>
        <v>100</v>
      </c>
      <c r="AZ350" s="52">
        <v>0.0</v>
      </c>
      <c r="BA350" s="52">
        <f t="shared" si="3"/>
        <v>100</v>
      </c>
      <c r="BB350" s="49">
        <f t="shared" si="4"/>
        <v>11.12</v>
      </c>
    </row>
    <row r="351" ht="15.75" customHeight="1">
      <c r="A351" s="50" t="s">
        <v>54</v>
      </c>
      <c r="B351" s="51">
        <f t="shared" si="5"/>
        <v>46004</v>
      </c>
      <c r="C351" s="52">
        <v>13.0</v>
      </c>
      <c r="D351" s="52" t="s">
        <v>69</v>
      </c>
      <c r="E351" s="53"/>
      <c r="F351" s="41">
        <v>0.0</v>
      </c>
      <c r="H351" s="42">
        <v>0.0</v>
      </c>
      <c r="J351" s="42">
        <v>0.0</v>
      </c>
      <c r="L351" s="42">
        <v>0.0</v>
      </c>
      <c r="N351" s="42">
        <v>0.0</v>
      </c>
      <c r="P351" s="42">
        <v>0.0</v>
      </c>
      <c r="Q351" s="43"/>
      <c r="R351" s="41">
        <v>0.0</v>
      </c>
      <c r="T351" s="42">
        <v>0.0</v>
      </c>
      <c r="V351" s="42">
        <v>0.0</v>
      </c>
      <c r="X351" s="42">
        <v>0.0</v>
      </c>
      <c r="Z351" s="42">
        <v>0.0</v>
      </c>
      <c r="AB351" s="42">
        <v>0.0</v>
      </c>
      <c r="AC351" s="43"/>
      <c r="AD351" s="42">
        <v>0.0</v>
      </c>
      <c r="AF351" s="42">
        <v>0.0</v>
      </c>
      <c r="AH351" s="42">
        <v>0.0</v>
      </c>
      <c r="AJ351" s="41"/>
      <c r="AK351" s="43"/>
      <c r="AL351" s="46">
        <v>0.0</v>
      </c>
      <c r="AM351" s="43"/>
      <c r="AN351" s="114"/>
      <c r="AO351" s="43"/>
      <c r="AP351" s="114"/>
      <c r="AQ351" s="43"/>
      <c r="AR351" s="114"/>
      <c r="AS351" s="43"/>
      <c r="AT351" s="115"/>
      <c r="AV351" s="115"/>
      <c r="AW351" s="43"/>
      <c r="AX351" s="54">
        <f t="shared" si="1"/>
        <v>0</v>
      </c>
      <c r="AY351" s="52">
        <f t="shared" si="2"/>
        <v>0</v>
      </c>
      <c r="AZ351" s="52">
        <v>0.0</v>
      </c>
      <c r="BA351" s="52">
        <f t="shared" si="3"/>
        <v>0</v>
      </c>
      <c r="BB351" s="49" t="str">
        <f t="shared" si="4"/>
        <v/>
      </c>
    </row>
    <row r="352" ht="15.75" customHeight="1">
      <c r="A352" s="59" t="s">
        <v>61</v>
      </c>
      <c r="B352" s="61">
        <f t="shared" si="5"/>
        <v>46005</v>
      </c>
      <c r="C352" s="63">
        <v>13.0</v>
      </c>
      <c r="D352" s="63" t="s">
        <v>69</v>
      </c>
      <c r="E352" s="64"/>
      <c r="F352" s="65">
        <v>0.0</v>
      </c>
      <c r="G352" s="66"/>
      <c r="H352" s="67">
        <v>0.0</v>
      </c>
      <c r="I352" s="66"/>
      <c r="J352" s="67">
        <v>0.0</v>
      </c>
      <c r="K352" s="66"/>
      <c r="L352" s="67">
        <v>0.0</v>
      </c>
      <c r="M352" s="66"/>
      <c r="N352" s="67">
        <v>0.0</v>
      </c>
      <c r="O352" s="66"/>
      <c r="P352" s="67">
        <v>0.0</v>
      </c>
      <c r="Q352" s="68"/>
      <c r="R352" s="65">
        <v>0.0</v>
      </c>
      <c r="S352" s="66"/>
      <c r="T352" s="67">
        <v>0.0</v>
      </c>
      <c r="U352" s="66"/>
      <c r="V352" s="67">
        <v>0.0</v>
      </c>
      <c r="W352" s="66"/>
      <c r="X352" s="67">
        <v>0.0</v>
      </c>
      <c r="Y352" s="66"/>
      <c r="Z352" s="67">
        <v>0.0</v>
      </c>
      <c r="AA352" s="66"/>
      <c r="AB352" s="67">
        <v>0.0</v>
      </c>
      <c r="AC352" s="68"/>
      <c r="AD352" s="67">
        <v>0.0</v>
      </c>
      <c r="AE352" s="66"/>
      <c r="AF352" s="67">
        <v>0.0</v>
      </c>
      <c r="AG352" s="66"/>
      <c r="AH352" s="67">
        <v>0.0</v>
      </c>
      <c r="AI352" s="66"/>
      <c r="AJ352" s="65"/>
      <c r="AK352" s="68"/>
      <c r="AL352" s="71">
        <v>0.0</v>
      </c>
      <c r="AM352" s="68"/>
      <c r="AN352" s="119"/>
      <c r="AO352" s="68"/>
      <c r="AP352" s="119"/>
      <c r="AQ352" s="68"/>
      <c r="AR352" s="119"/>
      <c r="AS352" s="68"/>
      <c r="AT352" s="120"/>
      <c r="AU352" s="66"/>
      <c r="AV352" s="120"/>
      <c r="AW352" s="68"/>
      <c r="AX352" s="73">
        <f t="shared" si="1"/>
        <v>0</v>
      </c>
      <c r="AY352" s="63">
        <f t="shared" si="2"/>
        <v>0</v>
      </c>
      <c r="AZ352" s="63">
        <v>0.0</v>
      </c>
      <c r="BA352" s="63">
        <f t="shared" si="3"/>
        <v>0</v>
      </c>
      <c r="BB352" s="74" t="str">
        <f t="shared" si="4"/>
        <v/>
      </c>
    </row>
    <row r="353" ht="15.75" customHeight="1">
      <c r="A353" s="36" t="s">
        <v>46</v>
      </c>
      <c r="B353" s="75">
        <f t="shared" si="5"/>
        <v>46006</v>
      </c>
      <c r="C353" s="38">
        <v>13.0</v>
      </c>
      <c r="D353" s="38" t="s">
        <v>72</v>
      </c>
      <c r="E353" s="40"/>
      <c r="F353" s="41">
        <v>0.0</v>
      </c>
      <c r="H353" s="42">
        <v>0.0</v>
      </c>
      <c r="J353" s="42">
        <v>0.0</v>
      </c>
      <c r="L353" s="42">
        <v>0.0</v>
      </c>
      <c r="N353" s="42">
        <v>0.0</v>
      </c>
      <c r="P353" s="42">
        <v>0.0</v>
      </c>
      <c r="Q353" s="43"/>
      <c r="R353" s="41">
        <v>0.0</v>
      </c>
      <c r="T353" s="42">
        <v>0.0</v>
      </c>
      <c r="V353" s="42">
        <v>0.0</v>
      </c>
      <c r="X353" s="42">
        <v>0.0</v>
      </c>
      <c r="Z353" s="42">
        <v>0.0</v>
      </c>
      <c r="AB353" s="42">
        <v>0.0</v>
      </c>
      <c r="AC353" s="43"/>
      <c r="AD353" s="42">
        <v>0.0</v>
      </c>
      <c r="AF353" s="42">
        <v>0.0</v>
      </c>
      <c r="AH353" s="42">
        <v>0.0</v>
      </c>
      <c r="AJ353" s="41"/>
      <c r="AK353" s="43"/>
      <c r="AL353" s="46">
        <v>0.0</v>
      </c>
      <c r="AM353" s="43"/>
      <c r="AN353" s="114"/>
      <c r="AO353" s="43"/>
      <c r="AP353" s="114"/>
      <c r="AQ353" s="43"/>
      <c r="AR353" s="114"/>
      <c r="AS353" s="43"/>
      <c r="AT353" s="115"/>
      <c r="AV353" s="115"/>
      <c r="AW353" s="43"/>
      <c r="AX353" s="47">
        <f t="shared" si="1"/>
        <v>0</v>
      </c>
      <c r="AY353" s="38">
        <f t="shared" si="2"/>
        <v>0</v>
      </c>
      <c r="AZ353" s="38">
        <v>0.0</v>
      </c>
      <c r="BA353" s="38">
        <f t="shared" si="3"/>
        <v>0</v>
      </c>
      <c r="BB353" s="76" t="str">
        <f t="shared" si="4"/>
        <v/>
      </c>
    </row>
    <row r="354" ht="15.75" customHeight="1">
      <c r="A354" s="50" t="s">
        <v>48</v>
      </c>
      <c r="B354" s="51">
        <f t="shared" si="5"/>
        <v>46007</v>
      </c>
      <c r="C354" s="52">
        <v>13.0</v>
      </c>
      <c r="D354" s="52" t="s">
        <v>72</v>
      </c>
      <c r="E354" s="126" t="s">
        <v>79</v>
      </c>
      <c r="F354" s="41">
        <v>0.0</v>
      </c>
      <c r="H354" s="42">
        <v>0.0</v>
      </c>
      <c r="J354" s="42">
        <v>0.0</v>
      </c>
      <c r="L354" s="42">
        <v>0.0</v>
      </c>
      <c r="N354" s="42">
        <v>0.0</v>
      </c>
      <c r="P354" s="42">
        <v>0.0</v>
      </c>
      <c r="Q354" s="43"/>
      <c r="R354" s="41">
        <v>0.0</v>
      </c>
      <c r="T354" s="42">
        <v>0.0</v>
      </c>
      <c r="V354" s="42">
        <v>0.0</v>
      </c>
      <c r="X354" s="42">
        <v>0.0</v>
      </c>
      <c r="Z354" s="42">
        <v>0.0</v>
      </c>
      <c r="AB354" s="42">
        <v>0.0</v>
      </c>
      <c r="AC354" s="43"/>
      <c r="AD354" s="42">
        <v>0.0</v>
      </c>
      <c r="AF354" s="42">
        <v>0.0</v>
      </c>
      <c r="AH354" s="42">
        <v>0.0</v>
      </c>
      <c r="AJ354" s="41"/>
      <c r="AK354" s="43"/>
      <c r="AL354" s="46">
        <v>0.0</v>
      </c>
      <c r="AM354" s="43"/>
      <c r="AN354" s="114"/>
      <c r="AO354" s="43"/>
      <c r="AP354" s="114"/>
      <c r="AQ354" s="43"/>
      <c r="AR354" s="114"/>
      <c r="AS354" s="43"/>
      <c r="AT354" s="115"/>
      <c r="AV354" s="115"/>
      <c r="AW354" s="43"/>
      <c r="AX354" s="54">
        <f t="shared" si="1"/>
        <v>0</v>
      </c>
      <c r="AY354" s="52">
        <f t="shared" si="2"/>
        <v>0</v>
      </c>
      <c r="AZ354" s="52">
        <v>0.0</v>
      </c>
      <c r="BA354" s="52">
        <f t="shared" si="3"/>
        <v>0</v>
      </c>
      <c r="BB354" s="49" t="str">
        <f t="shared" si="4"/>
        <v/>
      </c>
    </row>
    <row r="355" ht="15.75" customHeight="1">
      <c r="A355" s="50" t="s">
        <v>49</v>
      </c>
      <c r="B355" s="51">
        <f t="shared" si="5"/>
        <v>46008</v>
      </c>
      <c r="C355" s="52">
        <v>13.0</v>
      </c>
      <c r="D355" s="52" t="s">
        <v>72</v>
      </c>
      <c r="E355" s="126" t="s">
        <v>82</v>
      </c>
      <c r="F355" s="41">
        <v>0.0</v>
      </c>
      <c r="H355" s="42">
        <v>0.0</v>
      </c>
      <c r="J355" s="42">
        <v>0.0</v>
      </c>
      <c r="L355" s="42">
        <v>0.0</v>
      </c>
      <c r="N355" s="42">
        <v>0.0</v>
      </c>
      <c r="P355" s="42">
        <v>0.0</v>
      </c>
      <c r="Q355" s="43"/>
      <c r="R355" s="41">
        <v>0.0</v>
      </c>
      <c r="T355" s="42">
        <v>0.0</v>
      </c>
      <c r="V355" s="42">
        <v>0.0</v>
      </c>
      <c r="X355" s="42">
        <v>0.0</v>
      </c>
      <c r="Z355" s="42">
        <v>0.0</v>
      </c>
      <c r="AB355" s="42">
        <v>0.0</v>
      </c>
      <c r="AC355" s="43"/>
      <c r="AD355" s="42">
        <v>0.0</v>
      </c>
      <c r="AF355" s="42">
        <v>0.0</v>
      </c>
      <c r="AH355" s="42">
        <v>0.0</v>
      </c>
      <c r="AJ355" s="41"/>
      <c r="AK355" s="43"/>
      <c r="AL355" s="46">
        <v>0.0</v>
      </c>
      <c r="AM355" s="43"/>
      <c r="AN355" s="114"/>
      <c r="AO355" s="43"/>
      <c r="AP355" s="114"/>
      <c r="AQ355" s="43"/>
      <c r="AR355" s="114"/>
      <c r="AS355" s="43"/>
      <c r="AT355" s="115"/>
      <c r="AV355" s="115"/>
      <c r="AW355" s="43"/>
      <c r="AX355" s="54">
        <f t="shared" si="1"/>
        <v>0</v>
      </c>
      <c r="AY355" s="52">
        <f t="shared" si="2"/>
        <v>0</v>
      </c>
      <c r="AZ355" s="52">
        <v>0.0</v>
      </c>
      <c r="BA355" s="52">
        <f t="shared" si="3"/>
        <v>0</v>
      </c>
      <c r="BB355" s="49" t="str">
        <f t="shared" si="4"/>
        <v/>
      </c>
    </row>
    <row r="356" ht="15.75" customHeight="1">
      <c r="A356" s="50" t="s">
        <v>50</v>
      </c>
      <c r="B356" s="51">
        <f t="shared" si="5"/>
        <v>46009</v>
      </c>
      <c r="C356" s="52">
        <v>13.0</v>
      </c>
      <c r="D356" s="52" t="s">
        <v>72</v>
      </c>
      <c r="E356" s="126" t="s">
        <v>83</v>
      </c>
      <c r="F356" s="41">
        <v>0.0</v>
      </c>
      <c r="H356" s="42">
        <v>0.0</v>
      </c>
      <c r="J356" s="42">
        <v>0.0</v>
      </c>
      <c r="L356" s="42">
        <v>0.0</v>
      </c>
      <c r="N356" s="42">
        <v>0.0</v>
      </c>
      <c r="P356" s="42">
        <v>0.0</v>
      </c>
      <c r="Q356" s="43"/>
      <c r="R356" s="41">
        <v>0.0</v>
      </c>
      <c r="T356" s="42">
        <v>0.0</v>
      </c>
      <c r="V356" s="42">
        <v>0.0</v>
      </c>
      <c r="X356" s="42">
        <v>0.0</v>
      </c>
      <c r="Z356" s="42">
        <v>0.0</v>
      </c>
      <c r="AB356" s="42">
        <v>0.0</v>
      </c>
      <c r="AC356" s="43"/>
      <c r="AD356" s="42">
        <v>0.0</v>
      </c>
      <c r="AF356" s="42">
        <v>0.0</v>
      </c>
      <c r="AH356" s="42">
        <v>0.0</v>
      </c>
      <c r="AJ356" s="41"/>
      <c r="AK356" s="43"/>
      <c r="AL356" s="46">
        <v>0.0</v>
      </c>
      <c r="AM356" s="43"/>
      <c r="AN356" s="114"/>
      <c r="AO356" s="43"/>
      <c r="AP356" s="114"/>
      <c r="AQ356" s="43"/>
      <c r="AR356" s="114"/>
      <c r="AS356" s="43"/>
      <c r="AT356" s="115"/>
      <c r="AV356" s="115"/>
      <c r="AW356" s="43"/>
      <c r="AX356" s="54">
        <f t="shared" si="1"/>
        <v>0</v>
      </c>
      <c r="AY356" s="52">
        <f t="shared" si="2"/>
        <v>0</v>
      </c>
      <c r="AZ356" s="52">
        <v>0.0</v>
      </c>
      <c r="BA356" s="52">
        <f t="shared" si="3"/>
        <v>0</v>
      </c>
      <c r="BB356" s="49" t="str">
        <f t="shared" si="4"/>
        <v/>
      </c>
    </row>
    <row r="357" ht="15.75" customHeight="1">
      <c r="A357" s="50" t="s">
        <v>53</v>
      </c>
      <c r="B357" s="51">
        <f t="shared" si="5"/>
        <v>46010</v>
      </c>
      <c r="C357" s="52">
        <v>13.0</v>
      </c>
      <c r="D357" s="52" t="s">
        <v>72</v>
      </c>
      <c r="E357" s="53"/>
      <c r="F357" s="41">
        <v>0.0</v>
      </c>
      <c r="H357" s="42">
        <v>0.0</v>
      </c>
      <c r="J357" s="42">
        <v>0.0</v>
      </c>
      <c r="L357" s="42">
        <v>0.0</v>
      </c>
      <c r="N357" s="42">
        <v>0.0</v>
      </c>
      <c r="P357" s="42">
        <v>0.0</v>
      </c>
      <c r="Q357" s="43"/>
      <c r="R357" s="41">
        <v>0.0</v>
      </c>
      <c r="T357" s="42">
        <v>0.0</v>
      </c>
      <c r="V357" s="42">
        <v>0.0</v>
      </c>
      <c r="X357" s="42">
        <v>0.0</v>
      </c>
      <c r="Z357" s="42">
        <v>0.0</v>
      </c>
      <c r="AB357" s="42">
        <v>0.0</v>
      </c>
      <c r="AC357" s="43"/>
      <c r="AD357" s="42">
        <v>0.0</v>
      </c>
      <c r="AF357" s="42">
        <v>0.0</v>
      </c>
      <c r="AH357" s="42">
        <v>0.0</v>
      </c>
      <c r="AJ357" s="41"/>
      <c r="AK357" s="43"/>
      <c r="AL357" s="46">
        <v>0.0</v>
      </c>
      <c r="AM357" s="43"/>
      <c r="AN357" s="114"/>
      <c r="AO357" s="43"/>
      <c r="AP357" s="114"/>
      <c r="AQ357" s="43"/>
      <c r="AR357" s="114"/>
      <c r="AS357" s="43"/>
      <c r="AT357" s="115"/>
      <c r="AV357" s="115"/>
      <c r="AW357" s="43"/>
      <c r="AX357" s="54">
        <f t="shared" si="1"/>
        <v>0</v>
      </c>
      <c r="AY357" s="52">
        <f t="shared" si="2"/>
        <v>0</v>
      </c>
      <c r="AZ357" s="52">
        <v>0.0</v>
      </c>
      <c r="BA357" s="52">
        <f t="shared" si="3"/>
        <v>0</v>
      </c>
      <c r="BB357" s="49" t="str">
        <f t="shared" si="4"/>
        <v/>
      </c>
    </row>
    <row r="358" ht="15.75" customHeight="1">
      <c r="A358" s="50" t="s">
        <v>54</v>
      </c>
      <c r="B358" s="51">
        <f t="shared" si="5"/>
        <v>46011</v>
      </c>
      <c r="C358" s="52">
        <v>13.0</v>
      </c>
      <c r="D358" s="52" t="s">
        <v>72</v>
      </c>
      <c r="E358" s="53"/>
      <c r="F358" s="41">
        <v>0.0</v>
      </c>
      <c r="H358" s="42">
        <v>0.0</v>
      </c>
      <c r="J358" s="42">
        <v>0.0</v>
      </c>
      <c r="L358" s="42">
        <v>0.0</v>
      </c>
      <c r="N358" s="42">
        <v>0.0</v>
      </c>
      <c r="P358" s="42">
        <v>0.0</v>
      </c>
      <c r="Q358" s="43"/>
      <c r="R358" s="41">
        <v>0.0</v>
      </c>
      <c r="T358" s="42">
        <v>0.0</v>
      </c>
      <c r="V358" s="42">
        <v>0.0</v>
      </c>
      <c r="X358" s="42">
        <v>0.0</v>
      </c>
      <c r="Z358" s="42">
        <v>0.0</v>
      </c>
      <c r="AB358" s="42">
        <v>0.0</v>
      </c>
      <c r="AC358" s="43"/>
      <c r="AD358" s="42">
        <v>0.0</v>
      </c>
      <c r="AF358" s="42">
        <v>0.0</v>
      </c>
      <c r="AH358" s="42">
        <v>0.0</v>
      </c>
      <c r="AJ358" s="41"/>
      <c r="AK358" s="43"/>
      <c r="AL358" s="46">
        <v>0.0</v>
      </c>
      <c r="AM358" s="43"/>
      <c r="AN358" s="114"/>
      <c r="AO358" s="43"/>
      <c r="AP358" s="114"/>
      <c r="AQ358" s="43"/>
      <c r="AR358" s="114"/>
      <c r="AS358" s="43"/>
      <c r="AT358" s="115"/>
      <c r="AV358" s="115"/>
      <c r="AW358" s="43"/>
      <c r="AX358" s="54">
        <f t="shared" si="1"/>
        <v>0</v>
      </c>
      <c r="AY358" s="52">
        <f t="shared" si="2"/>
        <v>0</v>
      </c>
      <c r="AZ358" s="52">
        <v>0.0</v>
      </c>
      <c r="BA358" s="52">
        <f t="shared" si="3"/>
        <v>0</v>
      </c>
      <c r="BB358" s="49" t="str">
        <f t="shared" si="4"/>
        <v/>
      </c>
    </row>
    <row r="359" ht="15.75" customHeight="1">
      <c r="A359" s="59" t="s">
        <v>61</v>
      </c>
      <c r="B359" s="61">
        <f t="shared" si="5"/>
        <v>46012</v>
      </c>
      <c r="C359" s="63">
        <v>13.0</v>
      </c>
      <c r="D359" s="63" t="s">
        <v>72</v>
      </c>
      <c r="E359" s="64"/>
      <c r="F359" s="65">
        <v>0.0</v>
      </c>
      <c r="G359" s="66"/>
      <c r="H359" s="67">
        <v>0.0</v>
      </c>
      <c r="I359" s="66"/>
      <c r="J359" s="67">
        <v>0.0</v>
      </c>
      <c r="K359" s="66"/>
      <c r="L359" s="67">
        <v>0.0</v>
      </c>
      <c r="M359" s="66"/>
      <c r="N359" s="67">
        <v>0.0</v>
      </c>
      <c r="O359" s="66"/>
      <c r="P359" s="67">
        <v>0.0</v>
      </c>
      <c r="Q359" s="68"/>
      <c r="R359" s="65">
        <v>0.0</v>
      </c>
      <c r="S359" s="66"/>
      <c r="T359" s="67">
        <v>0.0</v>
      </c>
      <c r="U359" s="66"/>
      <c r="V359" s="67">
        <v>0.0</v>
      </c>
      <c r="W359" s="66"/>
      <c r="X359" s="67">
        <v>0.0</v>
      </c>
      <c r="Y359" s="66"/>
      <c r="Z359" s="67">
        <v>0.0</v>
      </c>
      <c r="AA359" s="66"/>
      <c r="AB359" s="67">
        <v>0.0</v>
      </c>
      <c r="AC359" s="68"/>
      <c r="AD359" s="67">
        <v>0.0</v>
      </c>
      <c r="AE359" s="66"/>
      <c r="AF359" s="67">
        <v>0.0</v>
      </c>
      <c r="AG359" s="66"/>
      <c r="AH359" s="67">
        <v>0.0</v>
      </c>
      <c r="AI359" s="66"/>
      <c r="AJ359" s="65"/>
      <c r="AK359" s="68"/>
      <c r="AL359" s="71">
        <v>0.0</v>
      </c>
      <c r="AM359" s="68"/>
      <c r="AN359" s="119"/>
      <c r="AO359" s="68"/>
      <c r="AP359" s="119"/>
      <c r="AQ359" s="68"/>
      <c r="AR359" s="119"/>
      <c r="AS359" s="68"/>
      <c r="AT359" s="120"/>
      <c r="AU359" s="66"/>
      <c r="AV359" s="120"/>
      <c r="AW359" s="68"/>
      <c r="AX359" s="73">
        <f t="shared" si="1"/>
        <v>0</v>
      </c>
      <c r="AY359" s="63">
        <f t="shared" si="2"/>
        <v>0</v>
      </c>
      <c r="AZ359" s="63">
        <v>0.0</v>
      </c>
      <c r="BA359" s="63">
        <f t="shared" si="3"/>
        <v>0</v>
      </c>
      <c r="BB359" s="74" t="str">
        <f t="shared" si="4"/>
        <v/>
      </c>
    </row>
    <row r="360" ht="15.75" customHeight="1">
      <c r="A360" s="127"/>
      <c r="B360" s="128"/>
      <c r="C360" s="129"/>
      <c r="D360" s="129"/>
      <c r="E360" s="129"/>
      <c r="F360" s="129">
        <f>sum(F3:G359)</f>
        <v>6285</v>
      </c>
      <c r="H360" s="129">
        <f>sum(H3:I359)</f>
        <v>5095</v>
      </c>
      <c r="J360" s="129">
        <f>sum(J3:K359)</f>
        <v>0</v>
      </c>
      <c r="L360" s="129">
        <f>sum(L3:M359)</f>
        <v>0</v>
      </c>
      <c r="N360" s="129">
        <f>sum(N3:O359)</f>
        <v>1055</v>
      </c>
      <c r="P360" s="129">
        <f>sum(P3:Q359)</f>
        <v>0</v>
      </c>
      <c r="R360" s="129">
        <f>sum(R3:S359)</f>
        <v>42530</v>
      </c>
      <c r="T360" s="129">
        <f>sum(T3:U359)</f>
        <v>42452</v>
      </c>
      <c r="V360" s="129">
        <f>sum(V3:W359)</f>
        <v>280</v>
      </c>
      <c r="X360" s="129">
        <f>sum(X3:Y359)</f>
        <v>0</v>
      </c>
      <c r="Z360" s="129">
        <f>sum(Z3:AA359)</f>
        <v>0</v>
      </c>
      <c r="AB360" s="129">
        <f>sum(AB3:AC359)</f>
        <v>0</v>
      </c>
      <c r="AD360" s="129">
        <f>sum(AD3:AE359)</f>
        <v>400</v>
      </c>
      <c r="AF360" s="129">
        <f>sum(AF3:AG359)</f>
        <v>2190</v>
      </c>
      <c r="AH360" s="129">
        <f>sum(AH3:AI359)</f>
        <v>2240</v>
      </c>
      <c r="AJ360" s="129"/>
      <c r="AK360" s="129"/>
      <c r="AL360" s="130"/>
      <c r="AM360" s="130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</row>
    <row r="361" ht="15.75" customHeight="1">
      <c r="A361" s="127"/>
      <c r="B361" s="128"/>
      <c r="C361" s="129"/>
      <c r="D361" s="131"/>
      <c r="E361" s="132"/>
      <c r="F361" s="129"/>
      <c r="G361" s="129"/>
      <c r="H361" s="129"/>
      <c r="I361" s="129"/>
      <c r="J361" s="129"/>
      <c r="K361" s="129"/>
      <c r="L361" s="129"/>
      <c r="M361" s="129"/>
      <c r="N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30"/>
      <c r="AM361" s="130"/>
      <c r="AN361" s="129"/>
      <c r="AO361" s="129"/>
      <c r="AP361" s="129"/>
      <c r="AQ361" s="129"/>
      <c r="AR361" s="129"/>
      <c r="AS361" s="133"/>
      <c r="AT361" s="133"/>
      <c r="AU361" s="133"/>
      <c r="AV361" s="133"/>
      <c r="AW361" s="133"/>
      <c r="AX361" s="134">
        <f>SUM(AX3:AX359)</f>
        <v>1301540.89</v>
      </c>
      <c r="AY361" s="135" t="s">
        <v>84</v>
      </c>
      <c r="AZ361" s="133"/>
      <c r="BA361" s="136">
        <f>SUM(BA3:BA359)</f>
        <v>102527</v>
      </c>
      <c r="BB361" s="129"/>
    </row>
    <row r="362" ht="15.75" customHeight="1">
      <c r="A362" s="127"/>
      <c r="B362" s="128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30"/>
      <c r="AM362" s="130"/>
      <c r="AN362" s="129"/>
      <c r="AO362" s="129"/>
      <c r="AP362" s="129"/>
      <c r="AQ362" s="129"/>
      <c r="AR362" s="129"/>
      <c r="AS362" s="133"/>
      <c r="AT362" s="133"/>
      <c r="AU362" s="133"/>
      <c r="AV362" s="133"/>
      <c r="AW362" s="133"/>
      <c r="AX362" s="137">
        <v>496354.4</v>
      </c>
      <c r="AY362" s="135" t="s">
        <v>85</v>
      </c>
      <c r="AZ362" s="133"/>
      <c r="BA362" s="135">
        <v>1256451.0</v>
      </c>
      <c r="BB362" s="129"/>
    </row>
    <row r="363" ht="15.75" customHeight="1">
      <c r="A363" s="127"/>
      <c r="B363" s="128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30"/>
      <c r="AM363" s="130"/>
      <c r="AN363" s="129"/>
      <c r="AO363" s="129"/>
      <c r="AP363" s="129"/>
      <c r="AQ363" s="129"/>
      <c r="AR363" s="129"/>
      <c r="AS363" s="133"/>
      <c r="AT363" s="133"/>
      <c r="AU363" s="133"/>
      <c r="AV363" s="133"/>
      <c r="AW363" s="133"/>
      <c r="AX363" s="134">
        <f>sum(AX361:AX362)</f>
        <v>1797895.29</v>
      </c>
      <c r="AY363" s="135" t="s">
        <v>86</v>
      </c>
      <c r="AZ363" s="133"/>
      <c r="BA363" s="133"/>
      <c r="BB363" s="129"/>
    </row>
    <row r="364" ht="15.75" customHeight="1">
      <c r="A364" s="127"/>
      <c r="B364" s="128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30"/>
      <c r="AM364" s="130"/>
      <c r="AN364" s="129"/>
      <c r="AO364" s="129"/>
      <c r="AP364" s="129"/>
      <c r="AQ364" s="129"/>
      <c r="AR364" s="129"/>
      <c r="AS364" s="133"/>
      <c r="AT364" s="133"/>
      <c r="AU364" s="133"/>
      <c r="AV364" s="133"/>
      <c r="AW364" s="133"/>
      <c r="AX364" s="135">
        <v>1734715.0</v>
      </c>
      <c r="AY364" s="133">
        <f>AX363/AX364</f>
        <v>1.036421135</v>
      </c>
      <c r="AZ364" s="133"/>
      <c r="BA364" s="133"/>
      <c r="BB364" s="129"/>
    </row>
    <row r="365" ht="15.75" customHeight="1">
      <c r="A365" s="127"/>
      <c r="B365" s="128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30"/>
      <c r="AM365" s="130"/>
      <c r="AN365" s="129"/>
      <c r="AO365" s="129"/>
      <c r="AP365" s="129"/>
      <c r="AQ365" s="129"/>
      <c r="AR365" s="129"/>
      <c r="AS365" s="133"/>
      <c r="AT365" s="133"/>
      <c r="AU365" s="133"/>
      <c r="AV365" s="133"/>
      <c r="AW365" s="138" t="s">
        <v>87</v>
      </c>
      <c r="AX365" s="139" t="s">
        <v>88</v>
      </c>
      <c r="AY365" s="139" t="s">
        <v>89</v>
      </c>
      <c r="AZ365" s="139" t="s">
        <v>90</v>
      </c>
      <c r="BA365" s="135" t="s">
        <v>91</v>
      </c>
      <c r="BB365" s="129"/>
    </row>
    <row r="366" ht="15.75" customHeight="1">
      <c r="A366" s="127"/>
      <c r="B366" s="128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30"/>
      <c r="AM366" s="130"/>
      <c r="AN366" s="129"/>
      <c r="AO366" s="129"/>
      <c r="AP366" s="129"/>
      <c r="AQ366" s="129"/>
      <c r="AR366" s="129"/>
      <c r="AS366" s="133"/>
      <c r="AT366" s="133"/>
      <c r="AU366" s="133"/>
      <c r="AV366" s="133"/>
      <c r="AW366" s="138">
        <v>1.0</v>
      </c>
      <c r="AX366" s="140">
        <f t="shared" ref="AX366:AX378" si="6">SUMIF($C$3:$C$359, AW366, $AX$3:$AX$359)</f>
        <v>39476</v>
      </c>
      <c r="AY366" s="138">
        <f>sum(R3:AC30)</f>
        <v>3550</v>
      </c>
      <c r="AZ366" s="139">
        <v>0.0</v>
      </c>
      <c r="BA366" s="135">
        <v>0.0</v>
      </c>
      <c r="BB366" s="129"/>
    </row>
    <row r="367" ht="15.75" customHeight="1">
      <c r="A367" s="127"/>
      <c r="B367" s="128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30"/>
      <c r="AM367" s="130"/>
      <c r="AN367" s="129"/>
      <c r="AO367" s="129"/>
      <c r="AP367" s="129"/>
      <c r="AQ367" s="129"/>
      <c r="AR367" s="129"/>
      <c r="AS367" s="133"/>
      <c r="AT367" s="133"/>
      <c r="AU367" s="133"/>
      <c r="AV367" s="133"/>
      <c r="AW367" s="138">
        <v>2.0</v>
      </c>
      <c r="AX367" s="140">
        <f t="shared" si="6"/>
        <v>206121.04</v>
      </c>
      <c r="AY367" s="138">
        <f>sum(R31:AC58)</f>
        <v>9492</v>
      </c>
      <c r="AZ367" s="138">
        <f>sum(F31:Q58)</f>
        <v>4520</v>
      </c>
      <c r="BA367" s="135">
        <v>0.0</v>
      </c>
      <c r="BB367" s="129"/>
    </row>
    <row r="368" ht="15.75" customHeight="1">
      <c r="A368" s="141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30"/>
      <c r="AM368" s="130"/>
      <c r="AN368" s="129"/>
      <c r="AO368" s="129"/>
      <c r="AP368" s="129"/>
      <c r="AQ368" s="129"/>
      <c r="AR368" s="129"/>
      <c r="AS368" s="133"/>
      <c r="AT368" s="133"/>
      <c r="AU368" s="133"/>
      <c r="AV368" s="133"/>
      <c r="AW368" s="138">
        <v>3.0</v>
      </c>
      <c r="AX368" s="140">
        <f t="shared" si="6"/>
        <v>335400.7</v>
      </c>
      <c r="AY368" s="138">
        <f>sum(R59:AC86)</f>
        <v>14735</v>
      </c>
      <c r="AZ368" s="138">
        <f>sum(F59:Q86)</f>
        <v>7710</v>
      </c>
      <c r="BA368" s="135">
        <v>0.0</v>
      </c>
      <c r="BB368" s="129"/>
    </row>
    <row r="369" ht="15.75" customHeight="1">
      <c r="A369" s="141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30"/>
      <c r="AM369" s="130"/>
      <c r="AN369" s="129"/>
      <c r="AO369" s="129"/>
      <c r="AP369" s="129"/>
      <c r="AQ369" s="129"/>
      <c r="AR369" s="129"/>
      <c r="AS369" s="133"/>
      <c r="AT369" s="133"/>
      <c r="AU369" s="133"/>
      <c r="AV369" s="133"/>
      <c r="AW369" s="138">
        <v>4.0</v>
      </c>
      <c r="AX369" s="140">
        <f t="shared" si="6"/>
        <v>104169.57</v>
      </c>
      <c r="AY369" s="138">
        <f>sum(R87:AC114)</f>
        <v>8386</v>
      </c>
      <c r="AZ369" s="138">
        <v>0.0</v>
      </c>
      <c r="BA369" s="133">
        <f>sum(AD87:AI114)</f>
        <v>400</v>
      </c>
      <c r="BB369" s="129"/>
    </row>
    <row r="370" ht="15.75" customHeight="1">
      <c r="A370" s="141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30"/>
      <c r="AM370" s="130"/>
      <c r="AN370" s="129"/>
      <c r="AO370" s="129"/>
      <c r="AP370" s="129"/>
      <c r="AQ370" s="129"/>
      <c r="AR370" s="129"/>
      <c r="AS370" s="133"/>
      <c r="AT370" s="133"/>
      <c r="AU370" s="133"/>
      <c r="AV370" s="133"/>
      <c r="AW370" s="138">
        <v>5.0</v>
      </c>
      <c r="AX370" s="140">
        <f t="shared" si="6"/>
        <v>94650.3</v>
      </c>
      <c r="AY370" s="138">
        <f>sum(R115:AC142)</f>
        <v>7440</v>
      </c>
      <c r="AZ370" s="138">
        <v>0.0</v>
      </c>
      <c r="BA370" s="133">
        <f>sum(AD115:AI142)</f>
        <v>750</v>
      </c>
      <c r="BB370" s="129"/>
    </row>
    <row r="371" ht="15.75" customHeight="1">
      <c r="A371" s="141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30"/>
      <c r="AM371" s="130"/>
      <c r="AN371" s="129"/>
      <c r="AO371" s="129"/>
      <c r="AP371" s="129"/>
      <c r="AQ371" s="129"/>
      <c r="AR371" s="129"/>
      <c r="AS371" s="133"/>
      <c r="AT371" s="133"/>
      <c r="AU371" s="133"/>
      <c r="AV371" s="133"/>
      <c r="AW371" s="138">
        <v>6.0</v>
      </c>
      <c r="AX371" s="140">
        <f t="shared" si="6"/>
        <v>98597.34</v>
      </c>
      <c r="AY371" s="138">
        <f>sum(R143:AC170)</f>
        <v>7452</v>
      </c>
      <c r="AZ371" s="138">
        <v>0.0</v>
      </c>
      <c r="BA371" s="133">
        <f>sum(AD143:AI170)</f>
        <v>990</v>
      </c>
      <c r="BB371" s="129"/>
    </row>
    <row r="372" ht="15.75" customHeight="1">
      <c r="A372" s="141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30"/>
      <c r="AM372" s="130"/>
      <c r="AN372" s="129"/>
      <c r="AO372" s="129"/>
      <c r="AP372" s="129"/>
      <c r="AQ372" s="129"/>
      <c r="AR372" s="129"/>
      <c r="AS372" s="133"/>
      <c r="AT372" s="133"/>
      <c r="AU372" s="133"/>
      <c r="AV372" s="133"/>
      <c r="AW372" s="138">
        <v>7.0</v>
      </c>
      <c r="AX372" s="140">
        <f t="shared" si="6"/>
        <v>87796</v>
      </c>
      <c r="AY372" s="138">
        <f>sum(R171:AC198)</f>
        <v>6695</v>
      </c>
      <c r="AZ372" s="138">
        <v>0.0</v>
      </c>
      <c r="BA372" s="133">
        <f>sum(AD171:AI198)</f>
        <v>840</v>
      </c>
      <c r="BB372" s="129"/>
    </row>
    <row r="373" ht="15.75" customHeight="1">
      <c r="A373" s="141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30"/>
      <c r="AM373" s="130"/>
      <c r="AN373" s="129"/>
      <c r="AO373" s="129"/>
      <c r="AP373" s="129"/>
      <c r="AQ373" s="129"/>
      <c r="AR373" s="129"/>
      <c r="AS373" s="133"/>
      <c r="AT373" s="133"/>
      <c r="AU373" s="133"/>
      <c r="AV373" s="133"/>
      <c r="AW373" s="138">
        <v>8.0</v>
      </c>
      <c r="AX373" s="140">
        <f t="shared" si="6"/>
        <v>105853.12</v>
      </c>
      <c r="AY373" s="138">
        <f>sum(R199:AC226)</f>
        <v>8376</v>
      </c>
      <c r="AZ373" s="138">
        <v>0.0</v>
      </c>
      <c r="BA373" s="133">
        <f>sum(AD199:AI226)</f>
        <v>800</v>
      </c>
      <c r="BB373" s="129"/>
    </row>
    <row r="374" ht="15.75" customHeight="1">
      <c r="A374" s="141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30"/>
      <c r="AM374" s="130"/>
      <c r="AN374" s="129"/>
      <c r="AO374" s="129"/>
      <c r="AP374" s="129"/>
      <c r="AQ374" s="129"/>
      <c r="AR374" s="129"/>
      <c r="AS374" s="133"/>
      <c r="AT374" s="133"/>
      <c r="AU374" s="133"/>
      <c r="AV374" s="133"/>
      <c r="AW374" s="138">
        <v>9.0</v>
      </c>
      <c r="AX374" s="140">
        <f t="shared" si="6"/>
        <v>69838.1</v>
      </c>
      <c r="AY374" s="138">
        <f>sum(R227:AC254)</f>
        <v>4780</v>
      </c>
      <c r="AZ374" s="138">
        <v>0.0</v>
      </c>
      <c r="BA374" s="133">
        <f>sum(AD227:AI254)</f>
        <v>1050</v>
      </c>
      <c r="BB374" s="129"/>
    </row>
    <row r="375" ht="15.75" customHeight="1">
      <c r="A375" s="141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30"/>
      <c r="AM375" s="130"/>
      <c r="AN375" s="129"/>
      <c r="AO375" s="129"/>
      <c r="AP375" s="129"/>
      <c r="AQ375" s="129"/>
      <c r="AR375" s="129"/>
      <c r="AS375" s="133"/>
      <c r="AT375" s="133"/>
      <c r="AU375" s="133"/>
      <c r="AV375" s="133"/>
      <c r="AW375" s="138">
        <v>10.0</v>
      </c>
      <c r="AX375" s="140">
        <f t="shared" si="6"/>
        <v>71790.72</v>
      </c>
      <c r="AY375" s="138">
        <f>sum(R255:AC282)</f>
        <v>6456</v>
      </c>
      <c r="AZ375" s="138">
        <v>0.0</v>
      </c>
      <c r="BA375" s="133">
        <f>sum(AD255:AI282)</f>
        <v>0</v>
      </c>
      <c r="BB375" s="129"/>
    </row>
    <row r="376" ht="15.75" customHeight="1">
      <c r="A376" s="141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30"/>
      <c r="AM376" s="130"/>
      <c r="AN376" s="129"/>
      <c r="AO376" s="129"/>
      <c r="AP376" s="129"/>
      <c r="AQ376" s="129"/>
      <c r="AR376" s="129"/>
      <c r="AS376" s="133"/>
      <c r="AT376" s="133"/>
      <c r="AU376" s="133"/>
      <c r="AV376" s="133"/>
      <c r="AW376" s="138">
        <v>11.0</v>
      </c>
      <c r="AX376" s="140">
        <f t="shared" si="6"/>
        <v>46704</v>
      </c>
      <c r="AY376" s="138">
        <f>sum(R283:AC310)</f>
        <v>4200</v>
      </c>
      <c r="AZ376" s="138">
        <v>0.0</v>
      </c>
      <c r="BA376" s="135">
        <v>0.0</v>
      </c>
      <c r="BB376" s="129"/>
    </row>
    <row r="377" ht="15.75" customHeight="1">
      <c r="A377" s="141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30"/>
      <c r="AM377" s="130"/>
      <c r="AN377" s="129"/>
      <c r="AO377" s="129"/>
      <c r="AP377" s="129"/>
      <c r="AQ377" s="129"/>
      <c r="AR377" s="129"/>
      <c r="AS377" s="133"/>
      <c r="AT377" s="133"/>
      <c r="AU377" s="133"/>
      <c r="AV377" s="133"/>
      <c r="AW377" s="138">
        <v>12.0</v>
      </c>
      <c r="AX377" s="140">
        <f t="shared" si="6"/>
        <v>30024</v>
      </c>
      <c r="AY377" s="138">
        <f>sum(R311:AC338)</f>
        <v>2700</v>
      </c>
      <c r="AZ377" s="138">
        <v>0.0</v>
      </c>
      <c r="BA377" s="135">
        <v>0.0</v>
      </c>
      <c r="BB377" s="129"/>
    </row>
    <row r="378" ht="15.75" customHeight="1">
      <c r="A378" s="141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30"/>
      <c r="AM378" s="130"/>
      <c r="AN378" s="129"/>
      <c r="AO378" s="129"/>
      <c r="AP378" s="129"/>
      <c r="AQ378" s="129"/>
      <c r="AR378" s="129"/>
      <c r="AS378" s="133"/>
      <c r="AT378" s="133"/>
      <c r="AU378" s="133"/>
      <c r="AV378" s="133"/>
      <c r="AW378" s="138">
        <v>13.0</v>
      </c>
      <c r="AX378" s="140">
        <f t="shared" si="6"/>
        <v>11120</v>
      </c>
      <c r="AY378" s="138">
        <f>sum(R339:AC359)</f>
        <v>1000</v>
      </c>
      <c r="AZ378" s="138">
        <v>0.0</v>
      </c>
      <c r="BA378" s="135">
        <v>0.0</v>
      </c>
      <c r="BB378" s="129"/>
    </row>
    <row r="379" ht="15.75" customHeight="1">
      <c r="A379" s="141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30"/>
      <c r="AM379" s="130"/>
      <c r="AN379" s="129"/>
      <c r="AO379" s="129"/>
      <c r="AP379" s="129"/>
      <c r="AQ379" s="129"/>
      <c r="AR379" s="129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29"/>
    </row>
    <row r="380" ht="15.75" customHeight="1">
      <c r="A380" s="141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30"/>
      <c r="AM380" s="130"/>
      <c r="AN380" s="129"/>
      <c r="AO380" s="129"/>
      <c r="AP380" s="129"/>
      <c r="AQ380" s="129"/>
      <c r="AR380" s="129"/>
      <c r="AS380" s="129"/>
      <c r="AT380" s="129"/>
      <c r="AU380" s="129"/>
      <c r="AV380" s="129"/>
      <c r="AW380" s="129"/>
      <c r="AX380" s="129"/>
      <c r="AY380" s="129"/>
      <c r="AZ380" s="129"/>
      <c r="BA380" s="129"/>
      <c r="BB380" s="129"/>
    </row>
    <row r="381" ht="15.75" customHeight="1">
      <c r="A381" s="141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30"/>
      <c r="AM381" s="130"/>
      <c r="AN381" s="129"/>
      <c r="AO381" s="129"/>
      <c r="AP381" s="129"/>
      <c r="AQ381" s="129"/>
      <c r="AR381" s="129"/>
      <c r="AS381" s="129"/>
      <c r="AT381" s="129"/>
      <c r="AU381" s="129"/>
      <c r="AV381" s="129"/>
      <c r="AW381" s="129"/>
      <c r="AX381" s="129"/>
      <c r="AY381" s="129">
        <f>sum(AY366:AY378)*U2</f>
        <v>948113.44</v>
      </c>
      <c r="AZ381" s="129">
        <f>sum(AZ366:AZ378)*I2</f>
        <v>272117.5</v>
      </c>
      <c r="BA381" s="129">
        <f>sum(BA366:BA378)*AG2</f>
        <v>76748.7</v>
      </c>
      <c r="BB381" s="129"/>
    </row>
    <row r="382" ht="15.75" customHeight="1">
      <c r="A382" s="141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30"/>
      <c r="AM382" s="130"/>
      <c r="AN382" s="129"/>
      <c r="AO382" s="129"/>
      <c r="AP382" s="129"/>
      <c r="AQ382" s="129"/>
      <c r="AR382" s="129"/>
      <c r="AS382" s="129"/>
      <c r="AT382" s="129"/>
      <c r="AU382" s="129"/>
      <c r="AV382" s="129"/>
      <c r="AW382" s="129"/>
      <c r="AX382" s="129"/>
      <c r="AY382" s="129"/>
      <c r="AZ382" s="129"/>
      <c r="BA382" s="129"/>
      <c r="BB382" s="129"/>
    </row>
    <row r="383" ht="15.75" customHeight="1">
      <c r="A383" s="141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30"/>
      <c r="AM383" s="130"/>
      <c r="AN383" s="129"/>
      <c r="AO383" s="129"/>
      <c r="AP383" s="129"/>
      <c r="AQ383" s="129"/>
      <c r="AR383" s="129"/>
      <c r="AS383" s="129"/>
      <c r="AT383" s="129"/>
      <c r="AU383" s="129"/>
      <c r="AV383" s="129"/>
      <c r="AW383" s="129"/>
      <c r="AX383" s="129"/>
      <c r="AY383" s="129"/>
      <c r="AZ383" s="129"/>
      <c r="BA383" s="129"/>
      <c r="BB383" s="129"/>
    </row>
    <row r="384" ht="15.75" customHeight="1">
      <c r="A384" s="141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30"/>
      <c r="AM384" s="130"/>
      <c r="AN384" s="129"/>
      <c r="AO384" s="129"/>
      <c r="AP384" s="129"/>
      <c r="AQ384" s="129"/>
      <c r="AR384" s="129"/>
      <c r="AS384" s="129"/>
      <c r="AT384" s="129"/>
      <c r="AU384" s="129"/>
      <c r="AV384" s="129"/>
      <c r="AW384" s="129"/>
      <c r="AX384" s="129"/>
      <c r="AY384" s="129"/>
      <c r="AZ384" s="129"/>
      <c r="BA384" s="129"/>
      <c r="BB384" s="129"/>
    </row>
    <row r="385" ht="15.75" customHeight="1">
      <c r="A385" s="141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30"/>
      <c r="AM385" s="130"/>
      <c r="AN385" s="129"/>
      <c r="AO385" s="129"/>
      <c r="AP385" s="129"/>
      <c r="AQ385" s="129"/>
      <c r="AR385" s="129"/>
      <c r="AS385" s="129"/>
      <c r="AT385" s="129"/>
      <c r="AU385" s="129"/>
      <c r="AV385" s="129"/>
      <c r="AW385" s="129"/>
      <c r="AX385" s="129"/>
      <c r="AY385" s="129"/>
      <c r="AZ385" s="129"/>
      <c r="BA385" s="129"/>
      <c r="BB385" s="129"/>
    </row>
    <row r="386" ht="15.75" customHeight="1">
      <c r="A386" s="141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30"/>
      <c r="AM386" s="130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/>
      <c r="AX386" s="129"/>
      <c r="AY386" s="129"/>
      <c r="AZ386" s="129"/>
      <c r="BA386" s="129"/>
      <c r="BB386" s="129"/>
    </row>
    <row r="387" ht="15.75" customHeight="1">
      <c r="A387" s="141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30"/>
      <c r="AM387" s="130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</row>
    <row r="388" ht="15.75" customHeight="1">
      <c r="A388" s="141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30"/>
      <c r="AM388" s="130"/>
      <c r="AN388" s="129"/>
      <c r="AO388" s="129"/>
      <c r="AP388" s="129"/>
      <c r="AQ388" s="129"/>
      <c r="AR388" s="129"/>
      <c r="AS388" s="129"/>
      <c r="AT388" s="129"/>
      <c r="AU388" s="129"/>
      <c r="AV388" s="129"/>
      <c r="AW388" s="129"/>
      <c r="AX388" s="129"/>
      <c r="AY388" s="129"/>
      <c r="AZ388" s="129"/>
      <c r="BA388" s="129"/>
      <c r="BB388" s="129"/>
    </row>
    <row r="389" ht="15.75" customHeight="1">
      <c r="A389" s="141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30"/>
      <c r="AM389" s="130"/>
      <c r="AN389" s="129"/>
      <c r="AO389" s="129"/>
      <c r="AP389" s="129"/>
      <c r="AQ389" s="129"/>
      <c r="AR389" s="129"/>
      <c r="AS389" s="129"/>
      <c r="AT389" s="129"/>
      <c r="AU389" s="129"/>
      <c r="AV389" s="129"/>
      <c r="AW389" s="129"/>
      <c r="AX389" s="129"/>
      <c r="AY389" s="129"/>
      <c r="AZ389" s="129"/>
      <c r="BA389" s="129"/>
      <c r="BB389" s="129"/>
    </row>
    <row r="390" ht="15.75" customHeight="1">
      <c r="A390" s="141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30"/>
      <c r="AM390" s="130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</row>
    <row r="391" ht="15.75" customHeight="1">
      <c r="A391" s="141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30"/>
      <c r="AM391" s="130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</row>
    <row r="392" ht="15.75" customHeight="1">
      <c r="A392" s="141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30"/>
      <c r="AM392" s="130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</row>
    <row r="393" ht="15.75" customHeight="1">
      <c r="A393" s="141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30"/>
      <c r="AM393" s="130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</row>
    <row r="394" ht="15.75" customHeight="1">
      <c r="A394" s="141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30"/>
      <c r="AM394" s="130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</row>
    <row r="395" ht="15.75" customHeight="1">
      <c r="A395" s="141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30"/>
      <c r="AM395" s="130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</row>
    <row r="396" ht="15.75" customHeight="1">
      <c r="A396" s="141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30"/>
      <c r="AM396" s="130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</row>
    <row r="397" ht="15.75" customHeight="1">
      <c r="A397" s="141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30"/>
      <c r="AM397" s="130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</row>
    <row r="398" ht="15.75" customHeight="1">
      <c r="A398" s="141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30"/>
      <c r="AM398" s="130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</row>
    <row r="399" ht="15.75" customHeight="1">
      <c r="A399" s="141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30"/>
      <c r="AM399" s="130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</row>
    <row r="400" ht="15.75" customHeight="1">
      <c r="A400" s="141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30"/>
      <c r="AM400" s="130"/>
      <c r="AN400" s="129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  <c r="BB400" s="129"/>
    </row>
    <row r="401" ht="15.75" customHeight="1">
      <c r="A401" s="141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30"/>
      <c r="AM401" s="130"/>
      <c r="AN401" s="129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  <c r="BB401" s="129"/>
    </row>
    <row r="402" ht="15.75" customHeight="1">
      <c r="A402" s="141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30"/>
      <c r="AM402" s="130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</row>
    <row r="403" ht="15.75" customHeight="1">
      <c r="A403" s="141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30"/>
      <c r="AM403" s="130"/>
      <c r="AN403" s="129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  <c r="BB403" s="129"/>
    </row>
    <row r="404" ht="15.75" customHeight="1">
      <c r="A404" s="141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30"/>
      <c r="AM404" s="130"/>
      <c r="AN404" s="129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  <c r="BB404" s="129"/>
    </row>
    <row r="405" ht="15.75" customHeight="1">
      <c r="A405" s="141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30"/>
      <c r="AM405" s="130"/>
      <c r="AN405" s="129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  <c r="BB405" s="129"/>
    </row>
    <row r="406" ht="15.75" customHeight="1">
      <c r="A406" s="141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30"/>
      <c r="AM406" s="130"/>
      <c r="AN406" s="129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  <c r="BB406" s="129"/>
    </row>
    <row r="407" ht="15.75" customHeight="1">
      <c r="A407" s="141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30"/>
      <c r="AM407" s="130"/>
      <c r="AN407" s="129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  <c r="BB407" s="129"/>
    </row>
    <row r="408" ht="15.75" customHeight="1">
      <c r="A408" s="141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30"/>
      <c r="AM408" s="130"/>
      <c r="AN408" s="129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  <c r="BB408" s="129"/>
    </row>
    <row r="409" ht="15.75" customHeight="1">
      <c r="A409" s="141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30"/>
      <c r="AM409" s="130"/>
      <c r="AN409" s="129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  <c r="BB409" s="129"/>
    </row>
    <row r="410" ht="15.75" customHeight="1">
      <c r="A410" s="141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30"/>
      <c r="AM410" s="130"/>
      <c r="AN410" s="129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  <c r="BB410" s="129"/>
    </row>
    <row r="411" ht="15.75" customHeight="1">
      <c r="A411" s="141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30"/>
      <c r="AM411" s="130"/>
      <c r="AN411" s="129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  <c r="BB411" s="129"/>
    </row>
    <row r="412" ht="15.75" customHeight="1">
      <c r="A412" s="141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30"/>
      <c r="AM412" s="130"/>
      <c r="AN412" s="129"/>
      <c r="AO412" s="129"/>
      <c r="AP412" s="129"/>
      <c r="AQ412" s="129"/>
      <c r="AR412" s="129"/>
      <c r="AS412" s="129"/>
      <c r="AT412" s="129"/>
      <c r="AU412" s="129"/>
      <c r="AV412" s="129"/>
      <c r="AW412" s="129"/>
      <c r="AX412" s="129"/>
      <c r="AY412" s="129"/>
      <c r="AZ412" s="129"/>
      <c r="BA412" s="129"/>
      <c r="BB412" s="129"/>
    </row>
    <row r="413" ht="15.75" customHeight="1">
      <c r="A413" s="141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30"/>
      <c r="AM413" s="130"/>
      <c r="AN413" s="129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  <c r="BB413" s="129"/>
    </row>
    <row r="414" ht="15.75" customHeight="1">
      <c r="A414" s="141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30"/>
      <c r="AM414" s="130"/>
      <c r="AN414" s="129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  <c r="BB414" s="129"/>
    </row>
    <row r="415" ht="15.75" customHeight="1">
      <c r="A415" s="141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30"/>
      <c r="AM415" s="130"/>
      <c r="AN415" s="129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  <c r="BB415" s="129"/>
    </row>
    <row r="416" ht="15.75" customHeight="1">
      <c r="A416" s="141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30"/>
      <c r="AM416" s="130"/>
      <c r="AN416" s="129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  <c r="BB416" s="129"/>
    </row>
    <row r="417" ht="15.75" customHeight="1">
      <c r="A417" s="141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30"/>
      <c r="AM417" s="130"/>
      <c r="AN417" s="129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  <c r="BB417" s="129"/>
    </row>
    <row r="418" ht="15.75" customHeight="1">
      <c r="A418" s="141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30"/>
      <c r="AM418" s="130"/>
      <c r="AN418" s="129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  <c r="BB418" s="129"/>
    </row>
    <row r="419" ht="15.75" customHeight="1">
      <c r="A419" s="141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30"/>
      <c r="AM419" s="130"/>
      <c r="AN419" s="129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  <c r="BB419" s="129"/>
    </row>
    <row r="420" ht="15.75" customHeight="1">
      <c r="A420" s="141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30"/>
      <c r="AM420" s="130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</row>
    <row r="421" ht="15.75" customHeight="1">
      <c r="A421" s="141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30"/>
      <c r="AM421" s="130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</row>
    <row r="422" ht="15.75" customHeight="1">
      <c r="A422" s="141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30"/>
      <c r="AM422" s="130"/>
      <c r="AN422" s="129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  <c r="BB422" s="129"/>
    </row>
    <row r="423" ht="15.75" customHeight="1">
      <c r="A423" s="141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30"/>
      <c r="AM423" s="130"/>
      <c r="AN423" s="129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  <c r="BB423" s="129"/>
    </row>
    <row r="424" ht="15.75" customHeight="1">
      <c r="A424" s="141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30"/>
      <c r="AM424" s="130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  <c r="BB424" s="129"/>
    </row>
    <row r="425" ht="15.75" customHeight="1">
      <c r="A425" s="141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30"/>
      <c r="AM425" s="130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</row>
    <row r="426" ht="15.75" customHeight="1">
      <c r="A426" s="141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30"/>
      <c r="AM426" s="130"/>
      <c r="AN426" s="129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  <c r="BB426" s="129"/>
    </row>
    <row r="427" ht="15.75" customHeight="1">
      <c r="A427" s="141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30"/>
      <c r="AM427" s="130"/>
      <c r="AN427" s="129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  <c r="BB427" s="129"/>
    </row>
    <row r="428" ht="15.75" customHeight="1">
      <c r="A428" s="141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30"/>
      <c r="AM428" s="130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</row>
    <row r="429" ht="15.75" customHeight="1">
      <c r="A429" s="141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30"/>
      <c r="AM429" s="130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</row>
    <row r="430" ht="15.75" customHeight="1">
      <c r="A430" s="141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30"/>
      <c r="AM430" s="130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</row>
    <row r="431" ht="15.75" customHeight="1">
      <c r="A431" s="141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30"/>
      <c r="AM431" s="130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</row>
    <row r="432" ht="15.75" customHeight="1">
      <c r="A432" s="141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30"/>
      <c r="AM432" s="130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</row>
    <row r="433" ht="15.75" customHeight="1">
      <c r="A433" s="141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30"/>
      <c r="AM433" s="130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</row>
    <row r="434" ht="15.75" customHeight="1">
      <c r="A434" s="141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30"/>
      <c r="AM434" s="130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</row>
    <row r="435" ht="15.75" customHeight="1">
      <c r="A435" s="141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30"/>
      <c r="AM435" s="130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</row>
    <row r="436" ht="15.75" customHeight="1">
      <c r="A436" s="141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30"/>
      <c r="AM436" s="130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</row>
    <row r="437" ht="15.75" customHeight="1">
      <c r="A437" s="141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30"/>
      <c r="AM437" s="130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</row>
    <row r="438" ht="15.75" customHeight="1">
      <c r="A438" s="141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30"/>
      <c r="AM438" s="130"/>
      <c r="AN438" s="129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  <c r="BB438" s="129"/>
    </row>
    <row r="439" ht="15.75" customHeight="1">
      <c r="A439" s="141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30"/>
      <c r="AM439" s="130"/>
      <c r="AN439" s="129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  <c r="BB439" s="129"/>
    </row>
    <row r="440" ht="15.75" customHeight="1">
      <c r="A440" s="141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30"/>
      <c r="AM440" s="130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</row>
    <row r="441" ht="15.75" customHeight="1">
      <c r="A441" s="141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30"/>
      <c r="AM441" s="130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</row>
    <row r="442" ht="15.75" customHeight="1">
      <c r="A442" s="141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30"/>
      <c r="AM442" s="130"/>
      <c r="AN442" s="129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  <c r="BB442" s="129"/>
    </row>
    <row r="443" ht="15.75" customHeight="1">
      <c r="A443" s="141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30"/>
      <c r="AM443" s="130"/>
      <c r="AN443" s="129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  <c r="BB443" s="129"/>
    </row>
    <row r="444" ht="15.75" customHeight="1">
      <c r="A444" s="141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30"/>
      <c r="AM444" s="130"/>
      <c r="AN444" s="129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  <c r="BB444" s="129"/>
    </row>
    <row r="445" ht="15.75" customHeight="1">
      <c r="A445" s="141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30"/>
      <c r="AM445" s="130"/>
      <c r="AN445" s="129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  <c r="BB445" s="129"/>
    </row>
    <row r="446" ht="15.75" customHeight="1">
      <c r="A446" s="141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30"/>
      <c r="AM446" s="130"/>
      <c r="AN446" s="129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  <c r="BB446" s="129"/>
    </row>
    <row r="447" ht="15.75" customHeight="1">
      <c r="A447" s="141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30"/>
      <c r="AM447" s="130"/>
      <c r="AN447" s="129"/>
      <c r="AO447" s="129"/>
      <c r="AP447" s="129"/>
      <c r="AQ447" s="129"/>
      <c r="AR447" s="129"/>
      <c r="AS447" s="129"/>
      <c r="AT447" s="129"/>
      <c r="AU447" s="129"/>
      <c r="AV447" s="129"/>
      <c r="AW447" s="129"/>
      <c r="AX447" s="129"/>
      <c r="AY447" s="129"/>
      <c r="AZ447" s="129"/>
      <c r="BA447" s="129"/>
      <c r="BB447" s="129"/>
    </row>
    <row r="448" ht="15.75" customHeight="1">
      <c r="A448" s="141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30"/>
      <c r="AM448" s="130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</row>
    <row r="449" ht="15.75" customHeight="1">
      <c r="A449" s="141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30"/>
      <c r="AM449" s="130"/>
      <c r="AN449" s="129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  <c r="BB449" s="129"/>
    </row>
    <row r="450" ht="15.75" customHeight="1">
      <c r="A450" s="141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30"/>
      <c r="AM450" s="130"/>
      <c r="AN450" s="129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  <c r="BB450" s="129"/>
    </row>
    <row r="451" ht="15.75" customHeight="1">
      <c r="A451" s="141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30"/>
      <c r="AM451" s="130"/>
      <c r="AN451" s="129"/>
      <c r="AO451" s="129"/>
      <c r="AP451" s="129"/>
      <c r="AQ451" s="129"/>
      <c r="AR451" s="129"/>
      <c r="AS451" s="129"/>
      <c r="AT451" s="129"/>
      <c r="AU451" s="129"/>
      <c r="AV451" s="129"/>
      <c r="AW451" s="129"/>
      <c r="AX451" s="129"/>
      <c r="AY451" s="129"/>
      <c r="AZ451" s="129"/>
      <c r="BA451" s="129"/>
      <c r="BB451" s="129"/>
    </row>
    <row r="452" ht="15.75" customHeight="1">
      <c r="A452" s="141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30"/>
      <c r="AM452" s="130"/>
      <c r="AN452" s="129"/>
      <c r="AO452" s="129"/>
      <c r="AP452" s="129"/>
      <c r="AQ452" s="129"/>
      <c r="AR452" s="129"/>
      <c r="AS452" s="129"/>
      <c r="AT452" s="129"/>
      <c r="AU452" s="129"/>
      <c r="AV452" s="129"/>
      <c r="AW452" s="129"/>
      <c r="AX452" s="129"/>
      <c r="AY452" s="129"/>
      <c r="AZ452" s="129"/>
      <c r="BA452" s="129"/>
      <c r="BB452" s="129"/>
    </row>
    <row r="453" ht="15.75" customHeight="1">
      <c r="A453" s="141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30"/>
      <c r="AM453" s="130"/>
      <c r="AN453" s="129"/>
      <c r="AO453" s="129"/>
      <c r="AP453" s="129"/>
      <c r="AQ453" s="129"/>
      <c r="AR453" s="129"/>
      <c r="AS453" s="129"/>
      <c r="AT453" s="129"/>
      <c r="AU453" s="129"/>
      <c r="AV453" s="129"/>
      <c r="AW453" s="129"/>
      <c r="AX453" s="129"/>
      <c r="AY453" s="129"/>
      <c r="AZ453" s="129"/>
      <c r="BA453" s="129"/>
      <c r="BB453" s="129"/>
    </row>
    <row r="454" ht="15.75" customHeight="1">
      <c r="A454" s="141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30"/>
      <c r="AM454" s="130"/>
      <c r="AN454" s="129"/>
      <c r="AO454" s="129"/>
      <c r="AP454" s="129"/>
      <c r="AQ454" s="129"/>
      <c r="AR454" s="129"/>
      <c r="AS454" s="129"/>
      <c r="AT454" s="129"/>
      <c r="AU454" s="129"/>
      <c r="AV454" s="129"/>
      <c r="AW454" s="129"/>
      <c r="AX454" s="129"/>
      <c r="AY454" s="129"/>
      <c r="AZ454" s="129"/>
      <c r="BA454" s="129"/>
      <c r="BB454" s="129"/>
    </row>
    <row r="455" ht="15.75" customHeight="1">
      <c r="A455" s="141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30"/>
      <c r="AM455" s="130"/>
      <c r="AN455" s="129"/>
      <c r="AO455" s="129"/>
      <c r="AP455" s="129"/>
      <c r="AQ455" s="129"/>
      <c r="AR455" s="129"/>
      <c r="AS455" s="129"/>
      <c r="AT455" s="129"/>
      <c r="AU455" s="129"/>
      <c r="AV455" s="129"/>
      <c r="AW455" s="129"/>
      <c r="AX455" s="129"/>
      <c r="AY455" s="129"/>
      <c r="AZ455" s="129"/>
      <c r="BA455" s="129"/>
      <c r="BB455" s="129"/>
    </row>
    <row r="456" ht="15.75" customHeight="1">
      <c r="A456" s="141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30"/>
      <c r="AM456" s="130"/>
      <c r="AN456" s="129"/>
      <c r="AO456" s="129"/>
      <c r="AP456" s="129"/>
      <c r="AQ456" s="129"/>
      <c r="AR456" s="129"/>
      <c r="AS456" s="129"/>
      <c r="AT456" s="129"/>
      <c r="AU456" s="129"/>
      <c r="AV456" s="129"/>
      <c r="AW456" s="129"/>
      <c r="AX456" s="129"/>
      <c r="AY456" s="129"/>
      <c r="AZ456" s="129"/>
      <c r="BA456" s="129"/>
      <c r="BB456" s="129"/>
    </row>
    <row r="457" ht="15.75" customHeight="1">
      <c r="A457" s="141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30"/>
      <c r="AM457" s="130"/>
      <c r="AN457" s="129"/>
      <c r="AO457" s="129"/>
      <c r="AP457" s="129"/>
      <c r="AQ457" s="129"/>
      <c r="AR457" s="129"/>
      <c r="AS457" s="129"/>
      <c r="AT457" s="129"/>
      <c r="AU457" s="129"/>
      <c r="AV457" s="129"/>
      <c r="AW457" s="129"/>
      <c r="AX457" s="129"/>
      <c r="AY457" s="129"/>
      <c r="AZ457" s="129"/>
      <c r="BA457" s="129"/>
      <c r="BB457" s="129"/>
    </row>
    <row r="458" ht="15.75" customHeight="1">
      <c r="A458" s="141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30"/>
      <c r="AM458" s="130"/>
      <c r="AN458" s="129"/>
      <c r="AO458" s="129"/>
      <c r="AP458" s="129"/>
      <c r="AQ458" s="129"/>
      <c r="AR458" s="129"/>
      <c r="AS458" s="129"/>
      <c r="AT458" s="129"/>
      <c r="AU458" s="129"/>
      <c r="AV458" s="129"/>
      <c r="AW458" s="129"/>
      <c r="AX458" s="129"/>
      <c r="AY458" s="129"/>
      <c r="AZ458" s="129"/>
      <c r="BA458" s="129"/>
      <c r="BB458" s="129"/>
    </row>
    <row r="459" ht="15.75" customHeight="1">
      <c r="A459" s="141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30"/>
      <c r="AM459" s="130"/>
      <c r="AN459" s="129"/>
      <c r="AO459" s="129"/>
      <c r="AP459" s="129"/>
      <c r="AQ459" s="129"/>
      <c r="AR459" s="129"/>
      <c r="AS459" s="129"/>
      <c r="AT459" s="129"/>
      <c r="AU459" s="129"/>
      <c r="AV459" s="129"/>
      <c r="AW459" s="129"/>
      <c r="AX459" s="129"/>
      <c r="AY459" s="129"/>
      <c r="AZ459" s="129"/>
      <c r="BA459" s="129"/>
      <c r="BB459" s="129"/>
    </row>
    <row r="460" ht="15.75" customHeight="1">
      <c r="A460" s="141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30"/>
      <c r="AM460" s="130"/>
      <c r="AN460" s="129"/>
      <c r="AO460" s="129"/>
      <c r="AP460" s="129"/>
      <c r="AQ460" s="129"/>
      <c r="AR460" s="129"/>
      <c r="AS460" s="129"/>
      <c r="AT460" s="129"/>
      <c r="AU460" s="129"/>
      <c r="AV460" s="129"/>
      <c r="AW460" s="129"/>
      <c r="AX460" s="129"/>
      <c r="AY460" s="129"/>
      <c r="AZ460" s="129"/>
      <c r="BA460" s="129"/>
      <c r="BB460" s="129"/>
    </row>
    <row r="461" ht="15.75" customHeight="1">
      <c r="A461" s="141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30"/>
      <c r="AM461" s="130"/>
      <c r="AN461" s="129"/>
      <c r="AO461" s="129"/>
      <c r="AP461" s="129"/>
      <c r="AQ461" s="129"/>
      <c r="AR461" s="129"/>
      <c r="AS461" s="129"/>
      <c r="AT461" s="129"/>
      <c r="AU461" s="129"/>
      <c r="AV461" s="129"/>
      <c r="AW461" s="129"/>
      <c r="AX461" s="129"/>
      <c r="AY461" s="129"/>
      <c r="AZ461" s="129"/>
      <c r="BA461" s="129"/>
      <c r="BB461" s="129"/>
    </row>
    <row r="462" ht="15.75" customHeight="1">
      <c r="A462" s="141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30"/>
      <c r="AM462" s="130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/>
      <c r="AX462" s="129"/>
      <c r="AY462" s="129"/>
      <c r="AZ462" s="129"/>
      <c r="BA462" s="129"/>
      <c r="BB462" s="129"/>
    </row>
    <row r="463" ht="15.75" customHeight="1">
      <c r="A463" s="141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30"/>
      <c r="AM463" s="130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</row>
    <row r="464" ht="15.75" customHeight="1">
      <c r="A464" s="141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30"/>
      <c r="AM464" s="130"/>
      <c r="AN464" s="129"/>
      <c r="AO464" s="129"/>
      <c r="AP464" s="129"/>
      <c r="AQ464" s="129"/>
      <c r="AR464" s="129"/>
      <c r="AS464" s="129"/>
      <c r="AT464" s="129"/>
      <c r="AU464" s="129"/>
      <c r="AV464" s="129"/>
      <c r="AW464" s="129"/>
      <c r="AX464" s="129"/>
      <c r="AY464" s="129"/>
      <c r="AZ464" s="129"/>
      <c r="BA464" s="129"/>
      <c r="BB464" s="129"/>
    </row>
    <row r="465" ht="15.75" customHeight="1">
      <c r="A465" s="141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30"/>
      <c r="AM465" s="130"/>
      <c r="AN465" s="129"/>
      <c r="AO465" s="129"/>
      <c r="AP465" s="129"/>
      <c r="AQ465" s="129"/>
      <c r="AR465" s="129"/>
      <c r="AS465" s="129"/>
      <c r="AT465" s="129"/>
      <c r="AU465" s="129"/>
      <c r="AV465" s="129"/>
      <c r="AW465" s="129"/>
      <c r="AX465" s="129"/>
      <c r="AY465" s="129"/>
      <c r="AZ465" s="129"/>
      <c r="BA465" s="129"/>
      <c r="BB465" s="129"/>
    </row>
    <row r="466" ht="15.75" customHeight="1">
      <c r="A466" s="141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30"/>
      <c r="AM466" s="130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</row>
    <row r="467" ht="15.75" customHeight="1">
      <c r="A467" s="141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30"/>
      <c r="AM467" s="130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</row>
    <row r="468" ht="15.75" customHeight="1">
      <c r="A468" s="141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30"/>
      <c r="AM468" s="130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</row>
    <row r="469" ht="15.75" customHeight="1">
      <c r="A469" s="141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30"/>
      <c r="AM469" s="130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</row>
    <row r="470" ht="15.75" customHeight="1">
      <c r="A470" s="141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30"/>
      <c r="AM470" s="130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</row>
    <row r="471" ht="15.75" customHeight="1">
      <c r="A471" s="141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30"/>
      <c r="AM471" s="130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</row>
    <row r="472" ht="15.75" customHeight="1">
      <c r="A472" s="141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30"/>
      <c r="AM472" s="130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</row>
    <row r="473" ht="15.75" customHeight="1">
      <c r="A473" s="141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30"/>
      <c r="AM473" s="130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</row>
    <row r="474" ht="15.75" customHeight="1">
      <c r="A474" s="141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30"/>
      <c r="AM474" s="130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</row>
    <row r="475" ht="15.75" customHeight="1">
      <c r="A475" s="141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30"/>
      <c r="AM475" s="130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</row>
    <row r="476" ht="15.75" customHeight="1">
      <c r="A476" s="141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30"/>
      <c r="AM476" s="130"/>
      <c r="AN476" s="129"/>
      <c r="AO476" s="129"/>
      <c r="AP476" s="129"/>
      <c r="AQ476" s="129"/>
      <c r="AR476" s="129"/>
      <c r="AS476" s="129"/>
      <c r="AT476" s="129"/>
      <c r="AU476" s="129"/>
      <c r="AV476" s="129"/>
      <c r="AW476" s="129"/>
      <c r="AX476" s="129"/>
      <c r="AY476" s="129"/>
      <c r="AZ476" s="129"/>
      <c r="BA476" s="129"/>
      <c r="BB476" s="129"/>
    </row>
    <row r="477" ht="15.75" customHeight="1">
      <c r="A477" s="141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30"/>
      <c r="AM477" s="130"/>
      <c r="AN477" s="129"/>
      <c r="AO477" s="129"/>
      <c r="AP477" s="129"/>
      <c r="AQ477" s="129"/>
      <c r="AR477" s="129"/>
      <c r="AS477" s="129"/>
      <c r="AT477" s="129"/>
      <c r="AU477" s="129"/>
      <c r="AV477" s="129"/>
      <c r="AW477" s="129"/>
      <c r="AX477" s="129"/>
      <c r="AY477" s="129"/>
      <c r="AZ477" s="129"/>
      <c r="BA477" s="129"/>
      <c r="BB477" s="129"/>
    </row>
    <row r="478" ht="15.75" customHeight="1">
      <c r="A478" s="141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30"/>
      <c r="AM478" s="130"/>
      <c r="AN478" s="129"/>
      <c r="AO478" s="129"/>
      <c r="AP478" s="129"/>
      <c r="AQ478" s="129"/>
      <c r="AR478" s="129"/>
      <c r="AS478" s="129"/>
      <c r="AT478" s="129"/>
      <c r="AU478" s="129"/>
      <c r="AV478" s="129"/>
      <c r="AW478" s="129"/>
      <c r="AX478" s="129"/>
      <c r="AY478" s="129"/>
      <c r="AZ478" s="129"/>
      <c r="BA478" s="129"/>
      <c r="BB478" s="129"/>
    </row>
    <row r="479" ht="15.75" customHeight="1">
      <c r="A479" s="141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30"/>
      <c r="AM479" s="130"/>
      <c r="AN479" s="129"/>
      <c r="AO479" s="129"/>
      <c r="AP479" s="129"/>
      <c r="AQ479" s="129"/>
      <c r="AR479" s="129"/>
      <c r="AS479" s="129"/>
      <c r="AT479" s="129"/>
      <c r="AU479" s="129"/>
      <c r="AV479" s="129"/>
      <c r="AW479" s="129"/>
      <c r="AX479" s="129"/>
      <c r="AY479" s="129"/>
      <c r="AZ479" s="129"/>
      <c r="BA479" s="129"/>
      <c r="BB479" s="129"/>
    </row>
    <row r="480" ht="15.75" customHeight="1">
      <c r="A480" s="141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30"/>
      <c r="AM480" s="130"/>
      <c r="AN480" s="129"/>
      <c r="AO480" s="129"/>
      <c r="AP480" s="129"/>
      <c r="AQ480" s="129"/>
      <c r="AR480" s="129"/>
      <c r="AS480" s="129"/>
      <c r="AT480" s="129"/>
      <c r="AU480" s="129"/>
      <c r="AV480" s="129"/>
      <c r="AW480" s="129"/>
      <c r="AX480" s="129"/>
      <c r="AY480" s="129"/>
      <c r="AZ480" s="129"/>
      <c r="BA480" s="129"/>
      <c r="BB480" s="129"/>
    </row>
    <row r="481" ht="15.75" customHeight="1">
      <c r="A481" s="141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30"/>
      <c r="AM481" s="130"/>
      <c r="AN481" s="129"/>
      <c r="AO481" s="129"/>
      <c r="AP481" s="129"/>
      <c r="AQ481" s="129"/>
      <c r="AR481" s="129"/>
      <c r="AS481" s="129"/>
      <c r="AT481" s="129"/>
      <c r="AU481" s="129"/>
      <c r="AV481" s="129"/>
      <c r="AW481" s="129"/>
      <c r="AX481" s="129"/>
      <c r="AY481" s="129"/>
      <c r="AZ481" s="129"/>
      <c r="BA481" s="129"/>
      <c r="BB481" s="129"/>
    </row>
    <row r="482" ht="15.75" customHeight="1">
      <c r="A482" s="141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30"/>
      <c r="AM482" s="130"/>
      <c r="AN482" s="129"/>
      <c r="AO482" s="129"/>
      <c r="AP482" s="129"/>
      <c r="AQ482" s="129"/>
      <c r="AR482" s="129"/>
      <c r="AS482" s="129"/>
      <c r="AT482" s="129"/>
      <c r="AU482" s="129"/>
      <c r="AV482" s="129"/>
      <c r="AW482" s="129"/>
      <c r="AX482" s="129"/>
      <c r="AY482" s="129"/>
      <c r="AZ482" s="129"/>
      <c r="BA482" s="129"/>
      <c r="BB482" s="129"/>
    </row>
    <row r="483" ht="15.75" customHeight="1">
      <c r="A483" s="141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30"/>
      <c r="AM483" s="130"/>
      <c r="AN483" s="129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129"/>
      <c r="AZ483" s="129"/>
      <c r="BA483" s="129"/>
      <c r="BB483" s="129"/>
    </row>
    <row r="484" ht="15.75" customHeight="1">
      <c r="A484" s="141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30"/>
      <c r="AM484" s="130"/>
      <c r="AN484" s="129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129"/>
      <c r="AZ484" s="129"/>
      <c r="BA484" s="129"/>
      <c r="BB484" s="129"/>
    </row>
    <row r="485" ht="15.75" customHeight="1">
      <c r="A485" s="141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30"/>
      <c r="AM485" s="130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129"/>
      <c r="AZ485" s="129"/>
      <c r="BA485" s="129"/>
      <c r="BB485" s="129"/>
    </row>
    <row r="486" ht="15.75" customHeight="1">
      <c r="A486" s="141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30"/>
      <c r="AM486" s="130"/>
      <c r="AN486" s="129"/>
      <c r="AO486" s="129"/>
      <c r="AP486" s="129"/>
      <c r="AQ486" s="129"/>
      <c r="AR486" s="129"/>
      <c r="AS486" s="129"/>
      <c r="AT486" s="129"/>
      <c r="AU486" s="129"/>
      <c r="AV486" s="129"/>
      <c r="AW486" s="129"/>
      <c r="AX486" s="129"/>
      <c r="AY486" s="129"/>
      <c r="AZ486" s="129"/>
      <c r="BA486" s="129"/>
      <c r="BB486" s="129"/>
    </row>
    <row r="487" ht="15.75" customHeight="1">
      <c r="A487" s="141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30"/>
      <c r="AM487" s="130"/>
      <c r="AN487" s="129"/>
      <c r="AO487" s="129"/>
      <c r="AP487" s="129"/>
      <c r="AQ487" s="129"/>
      <c r="AR487" s="129"/>
      <c r="AS487" s="129"/>
      <c r="AT487" s="129"/>
      <c r="AU487" s="129"/>
      <c r="AV487" s="129"/>
      <c r="AW487" s="129"/>
      <c r="AX487" s="129"/>
      <c r="AY487" s="129"/>
      <c r="AZ487" s="129"/>
      <c r="BA487" s="129"/>
      <c r="BB487" s="129"/>
    </row>
    <row r="488" ht="15.75" customHeight="1">
      <c r="A488" s="141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30"/>
      <c r="AM488" s="130"/>
      <c r="AN488" s="129"/>
      <c r="AO488" s="129"/>
      <c r="AP488" s="129"/>
      <c r="AQ488" s="129"/>
      <c r="AR488" s="129"/>
      <c r="AS488" s="129"/>
      <c r="AT488" s="129"/>
      <c r="AU488" s="129"/>
      <c r="AV488" s="129"/>
      <c r="AW488" s="129"/>
      <c r="AX488" s="129"/>
      <c r="AY488" s="129"/>
      <c r="AZ488" s="129"/>
      <c r="BA488" s="129"/>
      <c r="BB488" s="129"/>
    </row>
    <row r="489" ht="15.75" customHeight="1">
      <c r="A489" s="141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30"/>
      <c r="AM489" s="130"/>
      <c r="AN489" s="129"/>
      <c r="AO489" s="129"/>
      <c r="AP489" s="129"/>
      <c r="AQ489" s="129"/>
      <c r="AR489" s="129"/>
      <c r="AS489" s="129"/>
      <c r="AT489" s="129"/>
      <c r="AU489" s="129"/>
      <c r="AV489" s="129"/>
      <c r="AW489" s="129"/>
      <c r="AX489" s="129"/>
      <c r="AY489" s="129"/>
      <c r="AZ489" s="129"/>
      <c r="BA489" s="129"/>
      <c r="BB489" s="129"/>
    </row>
    <row r="490" ht="15.75" customHeight="1">
      <c r="A490" s="141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30"/>
      <c r="AM490" s="130"/>
      <c r="AN490" s="129"/>
      <c r="AO490" s="129"/>
      <c r="AP490" s="129"/>
      <c r="AQ490" s="129"/>
      <c r="AR490" s="129"/>
      <c r="AS490" s="129"/>
      <c r="AT490" s="129"/>
      <c r="AU490" s="129"/>
      <c r="AV490" s="129"/>
      <c r="AW490" s="129"/>
      <c r="AX490" s="129"/>
      <c r="AY490" s="129"/>
      <c r="AZ490" s="129"/>
      <c r="BA490" s="129"/>
      <c r="BB490" s="129"/>
    </row>
    <row r="491" ht="15.75" customHeight="1">
      <c r="A491" s="141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30"/>
      <c r="AM491" s="130"/>
      <c r="AN491" s="129"/>
      <c r="AO491" s="129"/>
      <c r="AP491" s="129"/>
      <c r="AQ491" s="129"/>
      <c r="AR491" s="129"/>
      <c r="AS491" s="129"/>
      <c r="AT491" s="129"/>
      <c r="AU491" s="129"/>
      <c r="AV491" s="129"/>
      <c r="AW491" s="129"/>
      <c r="AX491" s="129"/>
      <c r="AY491" s="129"/>
      <c r="AZ491" s="129"/>
      <c r="BA491" s="129"/>
      <c r="BB491" s="129"/>
    </row>
    <row r="492" ht="15.75" customHeight="1">
      <c r="A492" s="141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30"/>
      <c r="AM492" s="130"/>
      <c r="AN492" s="129"/>
      <c r="AO492" s="129"/>
      <c r="AP492" s="129"/>
      <c r="AQ492" s="129"/>
      <c r="AR492" s="129"/>
      <c r="AS492" s="129"/>
      <c r="AT492" s="129"/>
      <c r="AU492" s="129"/>
      <c r="AV492" s="129"/>
      <c r="AW492" s="129"/>
      <c r="AX492" s="129"/>
      <c r="AY492" s="129"/>
      <c r="AZ492" s="129"/>
      <c r="BA492" s="129"/>
      <c r="BB492" s="129"/>
    </row>
    <row r="493" ht="15.75" customHeight="1">
      <c r="A493" s="141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30"/>
      <c r="AM493" s="130"/>
      <c r="AN493" s="129"/>
      <c r="AO493" s="129"/>
      <c r="AP493" s="129"/>
      <c r="AQ493" s="129"/>
      <c r="AR493" s="129"/>
      <c r="AS493" s="129"/>
      <c r="AT493" s="129"/>
      <c r="AU493" s="129"/>
      <c r="AV493" s="129"/>
      <c r="AW493" s="129"/>
      <c r="AX493" s="129"/>
      <c r="AY493" s="129"/>
      <c r="AZ493" s="129"/>
      <c r="BA493" s="129"/>
      <c r="BB493" s="129"/>
    </row>
    <row r="494" ht="15.75" customHeight="1">
      <c r="A494" s="141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30"/>
      <c r="AM494" s="130"/>
      <c r="AN494" s="129"/>
      <c r="AO494" s="129"/>
      <c r="AP494" s="129"/>
      <c r="AQ494" s="129"/>
      <c r="AR494" s="129"/>
      <c r="AS494" s="129"/>
      <c r="AT494" s="129"/>
      <c r="AU494" s="129"/>
      <c r="AV494" s="129"/>
      <c r="AW494" s="129"/>
      <c r="AX494" s="129"/>
      <c r="AY494" s="129"/>
      <c r="AZ494" s="129"/>
      <c r="BA494" s="129"/>
      <c r="BB494" s="129"/>
    </row>
    <row r="495" ht="15.75" customHeight="1">
      <c r="A495" s="141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30"/>
      <c r="AM495" s="130"/>
      <c r="AN495" s="129"/>
      <c r="AO495" s="129"/>
      <c r="AP495" s="129"/>
      <c r="AQ495" s="129"/>
      <c r="AR495" s="129"/>
      <c r="AS495" s="129"/>
      <c r="AT495" s="129"/>
      <c r="AU495" s="129"/>
      <c r="AV495" s="129"/>
      <c r="AW495" s="129"/>
      <c r="AX495" s="129"/>
      <c r="AY495" s="129"/>
      <c r="AZ495" s="129"/>
      <c r="BA495" s="129"/>
      <c r="BB495" s="129"/>
    </row>
    <row r="496" ht="15.75" customHeight="1">
      <c r="A496" s="141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30"/>
      <c r="AM496" s="130"/>
      <c r="AN496" s="129"/>
      <c r="AO496" s="129"/>
      <c r="AP496" s="129"/>
      <c r="AQ496" s="129"/>
      <c r="AR496" s="129"/>
      <c r="AS496" s="129"/>
      <c r="AT496" s="129"/>
      <c r="AU496" s="129"/>
      <c r="AV496" s="129"/>
      <c r="AW496" s="129"/>
      <c r="AX496" s="129"/>
      <c r="AY496" s="129"/>
      <c r="AZ496" s="129"/>
      <c r="BA496" s="129"/>
      <c r="BB496" s="129"/>
    </row>
    <row r="497" ht="15.75" customHeight="1">
      <c r="A497" s="141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30"/>
      <c r="AM497" s="130"/>
      <c r="AN497" s="129"/>
      <c r="AO497" s="129"/>
      <c r="AP497" s="129"/>
      <c r="AQ497" s="129"/>
      <c r="AR497" s="129"/>
      <c r="AS497" s="129"/>
      <c r="AT497" s="129"/>
      <c r="AU497" s="129"/>
      <c r="AV497" s="129"/>
      <c r="AW497" s="129"/>
      <c r="AX497" s="129"/>
      <c r="AY497" s="129"/>
      <c r="AZ497" s="129"/>
      <c r="BA497" s="129"/>
      <c r="BB497" s="129"/>
    </row>
    <row r="498" ht="15.75" customHeight="1">
      <c r="A498" s="141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30"/>
      <c r="AM498" s="130"/>
      <c r="AN498" s="129"/>
      <c r="AO498" s="129"/>
      <c r="AP498" s="129"/>
      <c r="AQ498" s="129"/>
      <c r="AR498" s="129"/>
      <c r="AS498" s="129"/>
      <c r="AT498" s="129"/>
      <c r="AU498" s="129"/>
      <c r="AV498" s="129"/>
      <c r="AW498" s="129"/>
      <c r="AX498" s="129"/>
      <c r="AY498" s="129"/>
      <c r="AZ498" s="129"/>
      <c r="BA498" s="129"/>
      <c r="BB498" s="129"/>
    </row>
    <row r="499" ht="15.75" customHeight="1">
      <c r="A499" s="141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30"/>
      <c r="AM499" s="130"/>
      <c r="AN499" s="129"/>
      <c r="AO499" s="129"/>
      <c r="AP499" s="129"/>
      <c r="AQ499" s="129"/>
      <c r="AR499" s="129"/>
      <c r="AS499" s="129"/>
      <c r="AT499" s="129"/>
      <c r="AU499" s="129"/>
      <c r="AV499" s="129"/>
      <c r="AW499" s="129"/>
      <c r="AX499" s="129"/>
      <c r="AY499" s="129"/>
      <c r="AZ499" s="129"/>
      <c r="BA499" s="129"/>
      <c r="BB499" s="129"/>
    </row>
    <row r="500" ht="15.75" customHeight="1">
      <c r="A500" s="141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30"/>
      <c r="AM500" s="130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129"/>
      <c r="AZ500" s="129"/>
      <c r="BA500" s="129"/>
      <c r="BB500" s="129"/>
    </row>
    <row r="501" ht="15.75" customHeight="1">
      <c r="A501" s="141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30"/>
      <c r="AM501" s="130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</row>
    <row r="502" ht="15.75" customHeight="1">
      <c r="A502" s="141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30"/>
      <c r="AM502" s="130"/>
      <c r="AN502" s="129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129"/>
      <c r="AZ502" s="129"/>
      <c r="BA502" s="129"/>
      <c r="BB502" s="129"/>
    </row>
    <row r="503" ht="15.75" customHeight="1">
      <c r="A503" s="141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30"/>
      <c r="AM503" s="130"/>
      <c r="AN503" s="129"/>
      <c r="AO503" s="129"/>
      <c r="AP503" s="129"/>
      <c r="AQ503" s="129"/>
      <c r="AR503" s="129"/>
      <c r="AS503" s="129"/>
      <c r="AT503" s="129"/>
      <c r="AU503" s="129"/>
      <c r="AV503" s="129"/>
      <c r="AW503" s="129"/>
      <c r="AX503" s="129"/>
      <c r="AY503" s="129"/>
      <c r="AZ503" s="129"/>
      <c r="BA503" s="129"/>
      <c r="BB503" s="129"/>
    </row>
    <row r="504" ht="15.75" customHeight="1">
      <c r="A504" s="141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30"/>
      <c r="AM504" s="130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</row>
    <row r="505" ht="15.75" customHeight="1">
      <c r="A505" s="141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30"/>
      <c r="AM505" s="130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</row>
    <row r="506" ht="15.75" customHeight="1">
      <c r="A506" s="141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30"/>
      <c r="AM506" s="130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</row>
    <row r="507" ht="15.75" customHeight="1">
      <c r="A507" s="141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30"/>
      <c r="AM507" s="130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</row>
    <row r="508" ht="15.75" customHeight="1">
      <c r="A508" s="141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30"/>
      <c r="AM508" s="130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</row>
    <row r="509" ht="15.75" customHeight="1">
      <c r="A509" s="141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30"/>
      <c r="AM509" s="130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</row>
    <row r="510" ht="15.75" customHeight="1">
      <c r="A510" s="141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30"/>
      <c r="AM510" s="130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</row>
    <row r="511" ht="15.75" customHeight="1">
      <c r="A511" s="141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30"/>
      <c r="AM511" s="130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</row>
    <row r="512" ht="15.75" customHeight="1">
      <c r="A512" s="141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30"/>
      <c r="AM512" s="130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</row>
    <row r="513" ht="15.75" customHeight="1">
      <c r="A513" s="141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30"/>
      <c r="AM513" s="130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</row>
    <row r="514" ht="15.75" customHeight="1">
      <c r="A514" s="141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30"/>
      <c r="AM514" s="130"/>
      <c r="AN514" s="129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  <c r="BB514" s="129"/>
    </row>
    <row r="515" ht="15.75" customHeight="1">
      <c r="A515" s="141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30"/>
      <c r="AM515" s="130"/>
      <c r="AN515" s="129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  <c r="BB515" s="129"/>
    </row>
    <row r="516" ht="15.75" customHeight="1">
      <c r="A516" s="141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30"/>
      <c r="AM516" s="130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  <c r="BB516" s="129"/>
    </row>
    <row r="517" ht="15.75" customHeight="1">
      <c r="A517" s="141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30"/>
      <c r="AM517" s="130"/>
      <c r="AN517" s="129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  <c r="BB517" s="129"/>
    </row>
    <row r="518" ht="15.75" customHeight="1">
      <c r="A518" s="141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30"/>
      <c r="AM518" s="130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  <c r="BB518" s="129"/>
    </row>
    <row r="519" ht="15.75" customHeight="1">
      <c r="A519" s="141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30"/>
      <c r="AM519" s="130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  <c r="BB519" s="129"/>
    </row>
    <row r="520" ht="15.75" customHeight="1">
      <c r="A520" s="141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30"/>
      <c r="AM520" s="130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  <c r="BB520" s="129"/>
    </row>
    <row r="521" ht="15.75" customHeight="1">
      <c r="A521" s="141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30"/>
      <c r="AM521" s="130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  <c r="BB521" s="129"/>
    </row>
    <row r="522" ht="15.75" customHeight="1">
      <c r="A522" s="141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30"/>
      <c r="AM522" s="130"/>
      <c r="AN522" s="129"/>
      <c r="AO522" s="129"/>
      <c r="AP522" s="129"/>
      <c r="AQ522" s="129"/>
      <c r="AR522" s="129"/>
      <c r="AS522" s="129"/>
      <c r="AT522" s="129"/>
      <c r="AU522" s="129"/>
      <c r="AV522" s="129"/>
      <c r="AW522" s="129"/>
      <c r="AX522" s="129"/>
      <c r="AY522" s="129"/>
      <c r="AZ522" s="129"/>
      <c r="BA522" s="129"/>
      <c r="BB522" s="129"/>
    </row>
    <row r="523" ht="15.75" customHeight="1">
      <c r="A523" s="141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30"/>
      <c r="AM523" s="130"/>
      <c r="AN523" s="129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  <c r="BB523" s="129"/>
    </row>
    <row r="524" ht="15.75" customHeight="1">
      <c r="A524" s="141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30"/>
      <c r="AM524" s="130"/>
      <c r="AN524" s="129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  <c r="BB524" s="129"/>
    </row>
    <row r="525" ht="15.75" customHeight="1">
      <c r="A525" s="141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30"/>
      <c r="AM525" s="130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  <c r="BB525" s="129"/>
    </row>
    <row r="526" ht="15.75" customHeight="1">
      <c r="A526" s="141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30"/>
      <c r="AM526" s="130"/>
      <c r="AN526" s="129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  <c r="BB526" s="129"/>
    </row>
    <row r="527" ht="15.75" customHeight="1">
      <c r="A527" s="141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30"/>
      <c r="AM527" s="130"/>
      <c r="AN527" s="129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  <c r="BB527" s="129"/>
    </row>
    <row r="528" ht="15.75" customHeight="1">
      <c r="A528" s="141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30"/>
      <c r="AM528" s="130"/>
      <c r="AN528" s="129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  <c r="BB528" s="129"/>
    </row>
    <row r="529" ht="15.75" customHeight="1">
      <c r="A529" s="141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30"/>
      <c r="AM529" s="130"/>
      <c r="AN529" s="129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  <c r="BB529" s="129"/>
    </row>
    <row r="530" ht="15.75" customHeight="1">
      <c r="A530" s="141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30"/>
      <c r="AM530" s="130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  <c r="BB530" s="129"/>
    </row>
    <row r="531" ht="15.75" customHeight="1">
      <c r="A531" s="141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30"/>
      <c r="AM531" s="130"/>
      <c r="AN531" s="129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  <c r="BB531" s="129"/>
    </row>
    <row r="532" ht="15.75" customHeight="1">
      <c r="A532" s="141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30"/>
      <c r="AM532" s="130"/>
      <c r="AN532" s="129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  <c r="BB532" s="129"/>
    </row>
    <row r="533" ht="15.75" customHeight="1">
      <c r="A533" s="141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30"/>
      <c r="AM533" s="130"/>
      <c r="AN533" s="129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  <c r="BB533" s="129"/>
    </row>
    <row r="534" ht="15.75" customHeight="1">
      <c r="A534" s="141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30"/>
      <c r="AM534" s="130"/>
      <c r="AN534" s="129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  <c r="BB534" s="129"/>
    </row>
    <row r="535" ht="15.75" customHeight="1">
      <c r="A535" s="141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30"/>
      <c r="AM535" s="130"/>
      <c r="AN535" s="129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  <c r="BB535" s="129"/>
    </row>
    <row r="536" ht="15.75" customHeight="1">
      <c r="A536" s="141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30"/>
      <c r="AM536" s="130"/>
      <c r="AN536" s="129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  <c r="BB536" s="129"/>
    </row>
    <row r="537" ht="15.75" customHeight="1">
      <c r="A537" s="141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30"/>
      <c r="AM537" s="130"/>
      <c r="AN537" s="129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  <c r="BB537" s="129"/>
    </row>
    <row r="538" ht="15.75" customHeight="1">
      <c r="A538" s="141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30"/>
      <c r="AM538" s="130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  <c r="BB538" s="129"/>
    </row>
    <row r="539" ht="15.75" customHeight="1">
      <c r="A539" s="141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30"/>
      <c r="AM539" s="130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</row>
    <row r="540" ht="15.75" customHeight="1">
      <c r="A540" s="141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30"/>
      <c r="AM540" s="130"/>
      <c r="AN540" s="129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  <c r="BB540" s="129"/>
    </row>
    <row r="541" ht="15.75" customHeight="1">
      <c r="A541" s="141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30"/>
      <c r="AM541" s="130"/>
      <c r="AN541" s="129"/>
      <c r="AO541" s="129"/>
      <c r="AP541" s="129"/>
      <c r="AQ541" s="129"/>
      <c r="AR541" s="129"/>
      <c r="AS541" s="129"/>
      <c r="AT541" s="129"/>
      <c r="AU541" s="129"/>
      <c r="AV541" s="129"/>
      <c r="AW541" s="129"/>
      <c r="AX541" s="129"/>
      <c r="AY541" s="129"/>
      <c r="AZ541" s="129"/>
      <c r="BA541" s="129"/>
      <c r="BB541" s="129"/>
    </row>
    <row r="542" ht="15.75" customHeight="1">
      <c r="A542" s="141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30"/>
      <c r="AM542" s="130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</row>
    <row r="543" ht="15.75" customHeight="1">
      <c r="A543" s="141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30"/>
      <c r="AM543" s="130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</row>
    <row r="544" ht="15.75" customHeight="1">
      <c r="A544" s="141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30"/>
      <c r="AM544" s="130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</row>
    <row r="545" ht="15.75" customHeight="1">
      <c r="A545" s="141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30"/>
      <c r="AM545" s="130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</row>
    <row r="546" ht="15.75" customHeight="1">
      <c r="A546" s="141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30"/>
      <c r="AM546" s="130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</row>
    <row r="547" ht="15.75" customHeight="1">
      <c r="A547" s="141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30"/>
      <c r="AM547" s="130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</row>
    <row r="548" ht="15.75" customHeight="1">
      <c r="A548" s="141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30"/>
      <c r="AM548" s="130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</row>
    <row r="549" ht="15.75" customHeight="1">
      <c r="A549" s="141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30"/>
      <c r="AM549" s="130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</row>
    <row r="550" ht="15.75" customHeight="1">
      <c r="A550" s="141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30"/>
      <c r="AM550" s="130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</row>
    <row r="551" ht="15.75" customHeight="1">
      <c r="A551" s="141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30"/>
      <c r="AM551" s="130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</row>
    <row r="552" ht="15.75" customHeight="1">
      <c r="A552" s="141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30"/>
      <c r="AM552" s="130"/>
      <c r="AN552" s="129"/>
      <c r="AO552" s="129"/>
      <c r="AP552" s="129"/>
      <c r="AQ552" s="129"/>
      <c r="AR552" s="129"/>
      <c r="AS552" s="129"/>
      <c r="AT552" s="129"/>
      <c r="AU552" s="129"/>
      <c r="AV552" s="129"/>
      <c r="AW552" s="129"/>
      <c r="AX552" s="129"/>
      <c r="AY552" s="129"/>
      <c r="AZ552" s="129"/>
      <c r="BA552" s="129"/>
      <c r="BB552" s="129"/>
    </row>
    <row r="553" ht="15.75" customHeight="1">
      <c r="A553" s="141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30"/>
      <c r="AM553" s="130"/>
      <c r="AN553" s="129"/>
      <c r="AO553" s="129"/>
      <c r="AP553" s="129"/>
      <c r="AQ553" s="129"/>
      <c r="AR553" s="129"/>
      <c r="AS553" s="129"/>
      <c r="AT553" s="129"/>
      <c r="AU553" s="129"/>
      <c r="AV553" s="129"/>
      <c r="AW553" s="129"/>
      <c r="AX553" s="129"/>
      <c r="AY553" s="129"/>
      <c r="AZ553" s="129"/>
      <c r="BA553" s="129"/>
      <c r="BB553" s="129"/>
    </row>
    <row r="554" ht="15.75" customHeight="1">
      <c r="A554" s="141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30"/>
      <c r="AM554" s="130"/>
      <c r="AN554" s="129"/>
      <c r="AO554" s="129"/>
      <c r="AP554" s="129"/>
      <c r="AQ554" s="129"/>
      <c r="AR554" s="129"/>
      <c r="AS554" s="129"/>
      <c r="AT554" s="129"/>
      <c r="AU554" s="129"/>
      <c r="AV554" s="129"/>
      <c r="AW554" s="129"/>
      <c r="AX554" s="129"/>
      <c r="AY554" s="129"/>
      <c r="AZ554" s="129"/>
      <c r="BA554" s="129"/>
      <c r="BB554" s="129"/>
    </row>
    <row r="555" ht="15.75" customHeight="1">
      <c r="A555" s="141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30"/>
      <c r="AM555" s="130"/>
      <c r="AN555" s="129"/>
      <c r="AO555" s="129"/>
      <c r="AP555" s="129"/>
      <c r="AQ555" s="129"/>
      <c r="AR555" s="129"/>
      <c r="AS555" s="129"/>
      <c r="AT555" s="129"/>
      <c r="AU555" s="129"/>
      <c r="AV555" s="129"/>
      <c r="AW555" s="129"/>
      <c r="AX555" s="129"/>
      <c r="AY555" s="129"/>
      <c r="AZ555" s="129"/>
      <c r="BA555" s="129"/>
      <c r="BB555" s="129"/>
    </row>
    <row r="556" ht="15.75" customHeight="1">
      <c r="A556" s="141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30"/>
      <c r="AM556" s="130"/>
      <c r="AN556" s="129"/>
      <c r="AO556" s="129"/>
      <c r="AP556" s="129"/>
      <c r="AQ556" s="129"/>
      <c r="AR556" s="129"/>
      <c r="AS556" s="129"/>
      <c r="AT556" s="129"/>
      <c r="AU556" s="129"/>
      <c r="AV556" s="129"/>
      <c r="AW556" s="129"/>
      <c r="AX556" s="129"/>
      <c r="AY556" s="129"/>
      <c r="AZ556" s="129"/>
      <c r="BA556" s="129"/>
      <c r="BB556" s="129"/>
    </row>
    <row r="557" ht="15.75" customHeight="1">
      <c r="A557" s="141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30"/>
      <c r="AM557" s="130"/>
      <c r="AN557" s="129"/>
      <c r="AO557" s="129"/>
      <c r="AP557" s="129"/>
      <c r="AQ557" s="129"/>
      <c r="AR557" s="129"/>
      <c r="AS557" s="129"/>
      <c r="AT557" s="129"/>
      <c r="AU557" s="129"/>
      <c r="AV557" s="129"/>
      <c r="AW557" s="129"/>
      <c r="AX557" s="129"/>
      <c r="AY557" s="129"/>
      <c r="AZ557" s="129"/>
      <c r="BA557" s="129"/>
      <c r="BB557" s="129"/>
    </row>
    <row r="558" ht="15.75" customHeight="1">
      <c r="A558" s="141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30"/>
      <c r="AM558" s="130"/>
      <c r="AN558" s="129"/>
      <c r="AO558" s="129"/>
      <c r="AP558" s="129"/>
      <c r="AQ558" s="129"/>
      <c r="AR558" s="129"/>
      <c r="AS558" s="129"/>
      <c r="AT558" s="129"/>
      <c r="AU558" s="129"/>
      <c r="AV558" s="129"/>
      <c r="AW558" s="129"/>
      <c r="AX558" s="129"/>
      <c r="AY558" s="129"/>
      <c r="AZ558" s="129"/>
      <c r="BA558" s="129"/>
      <c r="BB558" s="129"/>
    </row>
    <row r="559" ht="15.75" customHeight="1">
      <c r="A559" s="141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30"/>
      <c r="AM559" s="130"/>
      <c r="AN559" s="129"/>
      <c r="AO559" s="129"/>
      <c r="AP559" s="129"/>
      <c r="AQ559" s="129"/>
      <c r="AR559" s="129"/>
      <c r="AS559" s="129"/>
      <c r="AT559" s="129"/>
      <c r="AU559" s="129"/>
      <c r="AV559" s="129"/>
      <c r="AW559" s="129"/>
      <c r="AX559" s="129"/>
      <c r="AY559" s="129"/>
      <c r="AZ559" s="129"/>
      <c r="BA559" s="129"/>
      <c r="BB559" s="129"/>
    </row>
    <row r="560" ht="15.75" customHeight="1">
      <c r="A560" s="141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30"/>
      <c r="AM560" s="130"/>
      <c r="AN560" s="129"/>
      <c r="AO560" s="129"/>
      <c r="AP560" s="129"/>
      <c r="AQ560" s="129"/>
      <c r="AR560" s="129"/>
      <c r="AS560" s="129"/>
      <c r="AT560" s="129"/>
      <c r="AU560" s="129"/>
      <c r="AV560" s="129"/>
      <c r="AW560" s="129"/>
      <c r="AX560" s="129"/>
      <c r="AY560" s="129"/>
      <c r="AZ560" s="129"/>
      <c r="BA560" s="129"/>
      <c r="BB560" s="129"/>
    </row>
    <row r="561" ht="15.75" customHeight="1">
      <c r="A561" s="141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30"/>
      <c r="AM561" s="130"/>
      <c r="AN561" s="129"/>
      <c r="AO561" s="129"/>
      <c r="AP561" s="129"/>
      <c r="AQ561" s="129"/>
      <c r="AR561" s="129"/>
      <c r="AS561" s="129"/>
      <c r="AT561" s="129"/>
      <c r="AU561" s="129"/>
      <c r="AV561" s="129"/>
      <c r="AW561" s="129"/>
      <c r="AX561" s="129"/>
      <c r="AY561" s="129"/>
      <c r="AZ561" s="129"/>
      <c r="BA561" s="129"/>
      <c r="BB561" s="129"/>
    </row>
    <row r="562" ht="15.75" customHeight="1">
      <c r="A562" s="141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30"/>
      <c r="AM562" s="130"/>
      <c r="AN562" s="129"/>
      <c r="AO562" s="129"/>
      <c r="AP562" s="129"/>
      <c r="AQ562" s="129"/>
      <c r="AR562" s="129"/>
      <c r="AS562" s="129"/>
      <c r="AT562" s="129"/>
      <c r="AU562" s="129"/>
      <c r="AV562" s="129"/>
      <c r="AW562" s="129"/>
      <c r="AX562" s="129"/>
      <c r="AY562" s="129"/>
      <c r="AZ562" s="129"/>
      <c r="BA562" s="129"/>
      <c r="BB562" s="129"/>
    </row>
    <row r="563" ht="15.75" customHeight="1">
      <c r="A563" s="141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30"/>
      <c r="AM563" s="130"/>
      <c r="AN563" s="129"/>
      <c r="AO563" s="129"/>
      <c r="AP563" s="129"/>
      <c r="AQ563" s="129"/>
      <c r="AR563" s="129"/>
      <c r="AS563" s="129"/>
      <c r="AT563" s="129"/>
      <c r="AU563" s="129"/>
      <c r="AV563" s="129"/>
      <c r="AW563" s="129"/>
      <c r="AX563" s="129"/>
      <c r="AY563" s="129"/>
      <c r="AZ563" s="129"/>
      <c r="BA563" s="129"/>
      <c r="BB563" s="129"/>
    </row>
    <row r="564" ht="15.75" customHeight="1">
      <c r="A564" s="141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30"/>
      <c r="AM564" s="130"/>
      <c r="AN564" s="129"/>
      <c r="AO564" s="129"/>
      <c r="AP564" s="129"/>
      <c r="AQ564" s="129"/>
      <c r="AR564" s="129"/>
      <c r="AS564" s="129"/>
      <c r="AT564" s="129"/>
      <c r="AU564" s="129"/>
      <c r="AV564" s="129"/>
      <c r="AW564" s="129"/>
      <c r="AX564" s="129"/>
      <c r="AY564" s="129"/>
      <c r="AZ564" s="129"/>
      <c r="BA564" s="129"/>
      <c r="BB564" s="129"/>
    </row>
    <row r="565" ht="15.75" customHeight="1">
      <c r="A565" s="141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30"/>
      <c r="AM565" s="130"/>
      <c r="AN565" s="129"/>
      <c r="AO565" s="129"/>
      <c r="AP565" s="129"/>
      <c r="AQ565" s="129"/>
      <c r="AR565" s="129"/>
      <c r="AS565" s="129"/>
      <c r="AT565" s="129"/>
      <c r="AU565" s="129"/>
      <c r="AV565" s="129"/>
      <c r="AW565" s="129"/>
      <c r="AX565" s="129"/>
      <c r="AY565" s="129"/>
      <c r="AZ565" s="129"/>
      <c r="BA565" s="129"/>
      <c r="BB565" s="129"/>
    </row>
    <row r="566" ht="15.75" customHeight="1">
      <c r="A566" s="141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30"/>
      <c r="AM566" s="130"/>
      <c r="AN566" s="129"/>
      <c r="AO566" s="129"/>
      <c r="AP566" s="129"/>
      <c r="AQ566" s="129"/>
      <c r="AR566" s="129"/>
      <c r="AS566" s="129"/>
      <c r="AT566" s="129"/>
      <c r="AU566" s="129"/>
      <c r="AV566" s="129"/>
      <c r="AW566" s="129"/>
      <c r="AX566" s="129"/>
      <c r="AY566" s="129"/>
      <c r="AZ566" s="129"/>
      <c r="BA566" s="129"/>
      <c r="BB566" s="129"/>
    </row>
    <row r="567" ht="15.75" customHeight="1">
      <c r="A567" s="141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30"/>
      <c r="AM567" s="130"/>
      <c r="AN567" s="129"/>
      <c r="AO567" s="129"/>
      <c r="AP567" s="129"/>
      <c r="AQ567" s="129"/>
      <c r="AR567" s="129"/>
      <c r="AS567" s="129"/>
      <c r="AT567" s="129"/>
      <c r="AU567" s="129"/>
      <c r="AV567" s="129"/>
      <c r="AW567" s="129"/>
      <c r="AX567" s="129"/>
      <c r="AY567" s="129"/>
      <c r="AZ567" s="129"/>
      <c r="BA567" s="129"/>
      <c r="BB567" s="129"/>
    </row>
    <row r="568" ht="15.75" customHeight="1">
      <c r="A568" s="141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30"/>
      <c r="AM568" s="130"/>
      <c r="AN568" s="129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129"/>
      <c r="AZ568" s="129"/>
      <c r="BA568" s="129"/>
      <c r="BB568" s="129"/>
    </row>
    <row r="569" ht="15.75" customHeight="1">
      <c r="A569" s="141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30"/>
      <c r="AM569" s="130"/>
      <c r="AN569" s="129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129"/>
      <c r="AZ569" s="129"/>
      <c r="BA569" s="129"/>
      <c r="BB569" s="129"/>
    </row>
    <row r="570" ht="15.75" customHeight="1">
      <c r="A570" s="141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30"/>
      <c r="AM570" s="130"/>
      <c r="AN570" s="129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129"/>
      <c r="AZ570" s="129"/>
      <c r="BA570" s="129"/>
      <c r="BB570" s="129"/>
    </row>
    <row r="571" ht="15.75" customHeight="1">
      <c r="A571" s="141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30"/>
      <c r="AM571" s="130"/>
      <c r="AN571" s="129"/>
      <c r="AO571" s="129"/>
      <c r="AP571" s="129"/>
      <c r="AQ571" s="129"/>
      <c r="AR571" s="129"/>
      <c r="AS571" s="129"/>
      <c r="AT571" s="129"/>
      <c r="AU571" s="129"/>
      <c r="AV571" s="129"/>
      <c r="AW571" s="129"/>
      <c r="AX571" s="129"/>
      <c r="AY571" s="129"/>
      <c r="AZ571" s="129"/>
      <c r="BA571" s="129"/>
      <c r="BB571" s="129"/>
    </row>
    <row r="572" ht="15.75" customHeight="1">
      <c r="A572" s="141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30"/>
      <c r="AM572" s="130"/>
      <c r="AN572" s="129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  <c r="BB572" s="129"/>
    </row>
    <row r="573" ht="15.75" customHeight="1">
      <c r="A573" s="141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30"/>
      <c r="AM573" s="130"/>
      <c r="AN573" s="129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  <c r="BB573" s="129"/>
    </row>
    <row r="574" ht="15.75" customHeight="1">
      <c r="A574" s="141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30"/>
      <c r="AM574" s="130"/>
      <c r="AN574" s="129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  <c r="BB574" s="129"/>
    </row>
    <row r="575" ht="15.75" customHeight="1">
      <c r="A575" s="141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30"/>
      <c r="AM575" s="130"/>
      <c r="AN575" s="129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  <c r="BB575" s="129"/>
    </row>
    <row r="576" ht="15.75" customHeight="1">
      <c r="A576" s="141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30"/>
      <c r="AM576" s="130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</row>
    <row r="577" ht="15.75" customHeight="1">
      <c r="A577" s="141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30"/>
      <c r="AM577" s="130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</row>
    <row r="578" ht="15.75" customHeight="1">
      <c r="A578" s="141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30"/>
      <c r="AM578" s="130"/>
      <c r="AN578" s="129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  <c r="BB578" s="129"/>
    </row>
    <row r="579" ht="15.75" customHeight="1">
      <c r="A579" s="141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30"/>
      <c r="AM579" s="130"/>
      <c r="AN579" s="129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  <c r="BB579" s="129"/>
    </row>
    <row r="580" ht="15.75" customHeight="1">
      <c r="A580" s="141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30"/>
      <c r="AM580" s="130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</row>
    <row r="581" ht="15.75" customHeight="1">
      <c r="A581" s="141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30"/>
      <c r="AM581" s="130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</row>
    <row r="582" ht="15.75" customHeight="1">
      <c r="A582" s="141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30"/>
      <c r="AM582" s="130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</row>
    <row r="583" ht="15.75" customHeight="1">
      <c r="A583" s="141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30"/>
      <c r="AM583" s="130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</row>
    <row r="584" ht="15.75" customHeight="1">
      <c r="A584" s="141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30"/>
      <c r="AM584" s="130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</row>
    <row r="585" ht="15.75" customHeight="1">
      <c r="A585" s="141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30"/>
      <c r="AM585" s="130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</row>
    <row r="586" ht="15.75" customHeight="1">
      <c r="A586" s="141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30"/>
      <c r="AM586" s="130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</row>
    <row r="587" ht="15.75" customHeight="1">
      <c r="A587" s="141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30"/>
      <c r="AM587" s="130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</row>
    <row r="588" ht="15.75" customHeight="1">
      <c r="A588" s="141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30"/>
      <c r="AM588" s="130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</row>
    <row r="589" ht="15.75" customHeight="1">
      <c r="A589" s="141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30"/>
      <c r="AM589" s="130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</row>
    <row r="590" ht="15.75" customHeight="1">
      <c r="A590" s="141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30"/>
      <c r="AM590" s="130"/>
      <c r="AN590" s="129"/>
      <c r="AO590" s="129"/>
      <c r="AP590" s="129"/>
      <c r="AQ590" s="129"/>
      <c r="AR590" s="129"/>
      <c r="AS590" s="129"/>
      <c r="AT590" s="129"/>
      <c r="AU590" s="129"/>
      <c r="AV590" s="129"/>
      <c r="AW590" s="129"/>
      <c r="AX590" s="129"/>
      <c r="AY590" s="129"/>
      <c r="AZ590" s="129"/>
      <c r="BA590" s="129"/>
      <c r="BB590" s="129"/>
    </row>
    <row r="591" ht="15.75" customHeight="1">
      <c r="A591" s="141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30"/>
      <c r="AM591" s="130"/>
      <c r="AN591" s="129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  <c r="BB591" s="129"/>
    </row>
    <row r="592" ht="15.75" customHeight="1">
      <c r="A592" s="141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30"/>
      <c r="AM592" s="130"/>
      <c r="AN592" s="129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  <c r="BB592" s="129"/>
    </row>
    <row r="593" ht="15.75" customHeight="1">
      <c r="A593" s="141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30"/>
      <c r="AM593" s="130"/>
      <c r="AN593" s="129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  <c r="BB593" s="129"/>
    </row>
    <row r="594" ht="15.75" customHeight="1">
      <c r="A594" s="141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30"/>
      <c r="AM594" s="130"/>
      <c r="AN594" s="129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  <c r="BB594" s="129"/>
    </row>
    <row r="595" ht="15.75" customHeight="1">
      <c r="A595" s="141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30"/>
      <c r="AM595" s="130"/>
      <c r="AN595" s="129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  <c r="BB595" s="129"/>
    </row>
    <row r="596" ht="15.75" customHeight="1">
      <c r="A596" s="141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30"/>
      <c r="AM596" s="130"/>
      <c r="AN596" s="129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  <c r="BB596" s="129"/>
    </row>
    <row r="597" ht="15.75" customHeight="1">
      <c r="A597" s="141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30"/>
      <c r="AM597" s="130"/>
      <c r="AN597" s="129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  <c r="BB597" s="129"/>
    </row>
    <row r="598" ht="15.75" customHeight="1">
      <c r="A598" s="141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30"/>
      <c r="AM598" s="130"/>
      <c r="AN598" s="129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  <c r="BB598" s="129"/>
    </row>
    <row r="599" ht="15.75" customHeight="1">
      <c r="A599" s="141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30"/>
      <c r="AM599" s="130"/>
      <c r="AN599" s="129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  <c r="BB599" s="129"/>
    </row>
    <row r="600" ht="15.75" customHeight="1">
      <c r="A600" s="141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30"/>
      <c r="AM600" s="130"/>
      <c r="AN600" s="129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  <c r="BB600" s="129"/>
    </row>
    <row r="601" ht="15.75" customHeight="1">
      <c r="A601" s="141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30"/>
      <c r="AM601" s="130"/>
      <c r="AN601" s="129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  <c r="BB601" s="129"/>
    </row>
    <row r="602" ht="15.75" customHeight="1">
      <c r="A602" s="141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30"/>
      <c r="AM602" s="130"/>
      <c r="AN602" s="129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  <c r="BB602" s="129"/>
    </row>
    <row r="603" ht="15.75" customHeight="1">
      <c r="A603" s="141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30"/>
      <c r="AM603" s="130"/>
      <c r="AN603" s="129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  <c r="BB603" s="129"/>
    </row>
    <row r="604" ht="15.75" customHeight="1">
      <c r="A604" s="141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30"/>
      <c r="AM604" s="130"/>
      <c r="AN604" s="129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  <c r="BB604" s="129"/>
    </row>
    <row r="605" ht="15.75" customHeight="1">
      <c r="A605" s="141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30"/>
      <c r="AM605" s="130"/>
      <c r="AN605" s="129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  <c r="BB605" s="129"/>
    </row>
    <row r="606" ht="15.75" customHeight="1">
      <c r="A606" s="141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30"/>
      <c r="AM606" s="130"/>
      <c r="AN606" s="129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  <c r="BB606" s="129"/>
    </row>
    <row r="607" ht="15.75" customHeight="1">
      <c r="A607" s="141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30"/>
      <c r="AM607" s="130"/>
      <c r="AN607" s="129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  <c r="BB607" s="129"/>
    </row>
    <row r="608" ht="15.75" customHeight="1">
      <c r="A608" s="141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30"/>
      <c r="AM608" s="130"/>
      <c r="AN608" s="129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  <c r="BB608" s="129"/>
    </row>
    <row r="609" ht="15.75" customHeight="1">
      <c r="A609" s="141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30"/>
      <c r="AM609" s="130"/>
      <c r="AN609" s="129"/>
      <c r="AO609" s="129"/>
      <c r="AP609" s="129"/>
      <c r="AQ609" s="129"/>
      <c r="AR609" s="129"/>
      <c r="AS609" s="129"/>
      <c r="AT609" s="129"/>
      <c r="AU609" s="129"/>
      <c r="AV609" s="129"/>
      <c r="AW609" s="129"/>
      <c r="AX609" s="129"/>
      <c r="AY609" s="129"/>
      <c r="AZ609" s="129"/>
      <c r="BA609" s="129"/>
      <c r="BB609" s="129"/>
    </row>
    <row r="610" ht="15.75" customHeight="1">
      <c r="A610" s="141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30"/>
      <c r="AM610" s="130"/>
      <c r="AN610" s="129"/>
      <c r="AO610" s="129"/>
      <c r="AP610" s="129"/>
      <c r="AQ610" s="129"/>
      <c r="AR610" s="129"/>
      <c r="AS610" s="129"/>
      <c r="AT610" s="129"/>
      <c r="AU610" s="129"/>
      <c r="AV610" s="129"/>
      <c r="AW610" s="129"/>
      <c r="AX610" s="129"/>
      <c r="AY610" s="129"/>
      <c r="AZ610" s="129"/>
      <c r="BA610" s="129"/>
      <c r="BB610" s="129"/>
    </row>
    <row r="611" ht="15.75" customHeight="1">
      <c r="A611" s="141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30"/>
      <c r="AM611" s="130"/>
      <c r="AN611" s="129"/>
      <c r="AO611" s="129"/>
      <c r="AP611" s="129"/>
      <c r="AQ611" s="129"/>
      <c r="AR611" s="129"/>
      <c r="AS611" s="129"/>
      <c r="AT611" s="129"/>
      <c r="AU611" s="129"/>
      <c r="AV611" s="129"/>
      <c r="AW611" s="129"/>
      <c r="AX611" s="129"/>
      <c r="AY611" s="129"/>
      <c r="AZ611" s="129"/>
      <c r="BA611" s="129"/>
      <c r="BB611" s="129"/>
    </row>
    <row r="612" ht="15.75" customHeight="1">
      <c r="A612" s="141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30"/>
      <c r="AM612" s="130"/>
      <c r="AN612" s="129"/>
      <c r="AO612" s="129"/>
      <c r="AP612" s="129"/>
      <c r="AQ612" s="129"/>
      <c r="AR612" s="129"/>
      <c r="AS612" s="129"/>
      <c r="AT612" s="129"/>
      <c r="AU612" s="129"/>
      <c r="AV612" s="129"/>
      <c r="AW612" s="129"/>
      <c r="AX612" s="129"/>
      <c r="AY612" s="129"/>
      <c r="AZ612" s="129"/>
      <c r="BA612" s="129"/>
      <c r="BB612" s="129"/>
    </row>
    <row r="613" ht="15.75" customHeight="1">
      <c r="A613" s="141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30"/>
      <c r="AM613" s="130"/>
      <c r="AN613" s="129"/>
      <c r="AO613" s="129"/>
      <c r="AP613" s="129"/>
      <c r="AQ613" s="129"/>
      <c r="AR613" s="129"/>
      <c r="AS613" s="129"/>
      <c r="AT613" s="129"/>
      <c r="AU613" s="129"/>
      <c r="AV613" s="129"/>
      <c r="AW613" s="129"/>
      <c r="AX613" s="129"/>
      <c r="AY613" s="129"/>
      <c r="AZ613" s="129"/>
      <c r="BA613" s="129"/>
      <c r="BB613" s="129"/>
    </row>
    <row r="614" ht="15.75" customHeight="1">
      <c r="A614" s="141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30"/>
      <c r="AM614" s="130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/>
      <c r="AX614" s="129"/>
      <c r="AY614" s="129"/>
      <c r="AZ614" s="129"/>
      <c r="BA614" s="129"/>
      <c r="BB614" s="129"/>
    </row>
    <row r="615" ht="15.75" customHeight="1">
      <c r="A615" s="141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30"/>
      <c r="AM615" s="130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</row>
    <row r="616" ht="15.75" customHeight="1">
      <c r="A616" s="141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30"/>
      <c r="AM616" s="130"/>
      <c r="AN616" s="129"/>
      <c r="AO616" s="129"/>
      <c r="AP616" s="129"/>
      <c r="AQ616" s="129"/>
      <c r="AR616" s="129"/>
      <c r="AS616" s="129"/>
      <c r="AT616" s="129"/>
      <c r="AU616" s="129"/>
      <c r="AV616" s="129"/>
      <c r="AW616" s="129"/>
      <c r="AX616" s="129"/>
      <c r="AY616" s="129"/>
      <c r="AZ616" s="129"/>
      <c r="BA616" s="129"/>
      <c r="BB616" s="129"/>
    </row>
    <row r="617" ht="15.75" customHeight="1">
      <c r="A617" s="141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30"/>
      <c r="AM617" s="130"/>
      <c r="AN617" s="129"/>
      <c r="AO617" s="129"/>
      <c r="AP617" s="129"/>
      <c r="AQ617" s="129"/>
      <c r="AR617" s="129"/>
      <c r="AS617" s="129"/>
      <c r="AT617" s="129"/>
      <c r="AU617" s="129"/>
      <c r="AV617" s="129"/>
      <c r="AW617" s="129"/>
      <c r="AX617" s="129"/>
      <c r="AY617" s="129"/>
      <c r="AZ617" s="129"/>
      <c r="BA617" s="129"/>
      <c r="BB617" s="129"/>
    </row>
    <row r="618" ht="15.75" customHeight="1">
      <c r="A618" s="141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30"/>
      <c r="AM618" s="130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</row>
    <row r="619" ht="15.75" customHeight="1">
      <c r="A619" s="141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30"/>
      <c r="AM619" s="130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</row>
    <row r="620" ht="15.75" customHeight="1">
      <c r="A620" s="141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30"/>
      <c r="AM620" s="130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</row>
    <row r="621" ht="15.75" customHeight="1">
      <c r="A621" s="141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30"/>
      <c r="AM621" s="130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</row>
    <row r="622" ht="15.75" customHeight="1">
      <c r="A622" s="141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30"/>
      <c r="AM622" s="130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</row>
    <row r="623" ht="15.75" customHeight="1">
      <c r="A623" s="141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30"/>
      <c r="AM623" s="130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</row>
    <row r="624" ht="15.75" customHeight="1">
      <c r="A624" s="141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30"/>
      <c r="AM624" s="130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</row>
    <row r="625" ht="15.75" customHeight="1">
      <c r="A625" s="141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30"/>
      <c r="AM625" s="130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</row>
    <row r="626" ht="15.75" customHeight="1">
      <c r="A626" s="141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30"/>
      <c r="AM626" s="130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</row>
    <row r="627" ht="15.75" customHeight="1">
      <c r="A627" s="141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30"/>
      <c r="AM627" s="130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</row>
    <row r="628" ht="15.75" customHeight="1">
      <c r="A628" s="141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30"/>
      <c r="AM628" s="130"/>
      <c r="AN628" s="129"/>
      <c r="AO628" s="129"/>
      <c r="AP628" s="129"/>
      <c r="AQ628" s="129"/>
      <c r="AR628" s="129"/>
      <c r="AS628" s="129"/>
      <c r="AT628" s="129"/>
      <c r="AU628" s="129"/>
      <c r="AV628" s="129"/>
      <c r="AW628" s="129"/>
      <c r="AX628" s="129"/>
      <c r="AY628" s="129"/>
      <c r="AZ628" s="129"/>
      <c r="BA628" s="129"/>
      <c r="BB628" s="129"/>
    </row>
    <row r="629" ht="15.75" customHeight="1">
      <c r="A629" s="141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30"/>
      <c r="AM629" s="130"/>
      <c r="AN629" s="129"/>
      <c r="AO629" s="129"/>
      <c r="AP629" s="129"/>
      <c r="AQ629" s="129"/>
      <c r="AR629" s="129"/>
      <c r="AS629" s="129"/>
      <c r="AT629" s="129"/>
      <c r="AU629" s="129"/>
      <c r="AV629" s="129"/>
      <c r="AW629" s="129"/>
      <c r="AX629" s="129"/>
      <c r="AY629" s="129"/>
      <c r="AZ629" s="129"/>
      <c r="BA629" s="129"/>
      <c r="BB629" s="129"/>
    </row>
    <row r="630" ht="15.75" customHeight="1">
      <c r="A630" s="141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30"/>
      <c r="AM630" s="130"/>
      <c r="AN630" s="129"/>
      <c r="AO630" s="129"/>
      <c r="AP630" s="129"/>
      <c r="AQ630" s="129"/>
      <c r="AR630" s="129"/>
      <c r="AS630" s="129"/>
      <c r="AT630" s="129"/>
      <c r="AU630" s="129"/>
      <c r="AV630" s="129"/>
      <c r="AW630" s="129"/>
      <c r="AX630" s="129"/>
      <c r="AY630" s="129"/>
      <c r="AZ630" s="129"/>
      <c r="BA630" s="129"/>
      <c r="BB630" s="129"/>
    </row>
    <row r="631" ht="15.75" customHeight="1">
      <c r="A631" s="141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30"/>
      <c r="AM631" s="130"/>
      <c r="AN631" s="129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129"/>
      <c r="AZ631" s="129"/>
      <c r="BA631" s="129"/>
      <c r="BB631" s="129"/>
    </row>
    <row r="632" ht="15.75" customHeight="1">
      <c r="A632" s="141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30"/>
      <c r="AM632" s="130"/>
      <c r="AN632" s="129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129"/>
      <c r="AZ632" s="129"/>
      <c r="BA632" s="129"/>
      <c r="BB632" s="129"/>
    </row>
    <row r="633" ht="15.75" customHeight="1">
      <c r="A633" s="141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30"/>
      <c r="AM633" s="130"/>
      <c r="AN633" s="129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129"/>
      <c r="AZ633" s="129"/>
      <c r="BA633" s="129"/>
      <c r="BB633" s="129"/>
    </row>
    <row r="634" ht="15.75" customHeight="1">
      <c r="A634" s="141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30"/>
      <c r="AM634" s="130"/>
      <c r="AN634" s="129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129"/>
      <c r="AZ634" s="129"/>
      <c r="BA634" s="129"/>
      <c r="BB634" s="129"/>
    </row>
    <row r="635" ht="15.75" customHeight="1">
      <c r="A635" s="141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30"/>
      <c r="AM635" s="130"/>
      <c r="AN635" s="129"/>
      <c r="AO635" s="129"/>
      <c r="AP635" s="129"/>
      <c r="AQ635" s="129"/>
      <c r="AR635" s="129"/>
      <c r="AS635" s="129"/>
      <c r="AT635" s="129"/>
      <c r="AU635" s="129"/>
      <c r="AV635" s="129"/>
      <c r="AW635" s="129"/>
      <c r="AX635" s="129"/>
      <c r="AY635" s="129"/>
      <c r="AZ635" s="129"/>
      <c r="BA635" s="129"/>
      <c r="BB635" s="129"/>
    </row>
    <row r="636" ht="15.75" customHeight="1">
      <c r="A636" s="141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30"/>
      <c r="AM636" s="130"/>
      <c r="AN636" s="129"/>
      <c r="AO636" s="129"/>
      <c r="AP636" s="129"/>
      <c r="AQ636" s="129"/>
      <c r="AR636" s="129"/>
      <c r="AS636" s="129"/>
      <c r="AT636" s="129"/>
      <c r="AU636" s="129"/>
      <c r="AV636" s="129"/>
      <c r="AW636" s="129"/>
      <c r="AX636" s="129"/>
      <c r="AY636" s="129"/>
      <c r="AZ636" s="129"/>
      <c r="BA636" s="129"/>
      <c r="BB636" s="129"/>
    </row>
    <row r="637" ht="15.75" customHeight="1">
      <c r="A637" s="141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30"/>
      <c r="AM637" s="130"/>
      <c r="AN637" s="129"/>
      <c r="AO637" s="129"/>
      <c r="AP637" s="129"/>
      <c r="AQ637" s="129"/>
      <c r="AR637" s="129"/>
      <c r="AS637" s="129"/>
      <c r="AT637" s="129"/>
      <c r="AU637" s="129"/>
      <c r="AV637" s="129"/>
      <c r="AW637" s="129"/>
      <c r="AX637" s="129"/>
      <c r="AY637" s="129"/>
      <c r="AZ637" s="129"/>
      <c r="BA637" s="129"/>
      <c r="BB637" s="129"/>
    </row>
    <row r="638" ht="15.75" customHeight="1">
      <c r="A638" s="141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30"/>
      <c r="AM638" s="130"/>
      <c r="AN638" s="129"/>
      <c r="AO638" s="129"/>
      <c r="AP638" s="129"/>
      <c r="AQ638" s="129"/>
      <c r="AR638" s="129"/>
      <c r="AS638" s="129"/>
      <c r="AT638" s="129"/>
      <c r="AU638" s="129"/>
      <c r="AV638" s="129"/>
      <c r="AW638" s="129"/>
      <c r="AX638" s="129"/>
      <c r="AY638" s="129"/>
      <c r="AZ638" s="129"/>
      <c r="BA638" s="129"/>
      <c r="BB638" s="129"/>
    </row>
    <row r="639" ht="15.75" customHeight="1">
      <c r="A639" s="141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30"/>
      <c r="AM639" s="130"/>
      <c r="AN639" s="129"/>
      <c r="AO639" s="129"/>
      <c r="AP639" s="129"/>
      <c r="AQ639" s="129"/>
      <c r="AR639" s="129"/>
      <c r="AS639" s="129"/>
      <c r="AT639" s="129"/>
      <c r="AU639" s="129"/>
      <c r="AV639" s="129"/>
      <c r="AW639" s="129"/>
      <c r="AX639" s="129"/>
      <c r="AY639" s="129"/>
      <c r="AZ639" s="129"/>
      <c r="BA639" s="129"/>
      <c r="BB639" s="129"/>
    </row>
    <row r="640" ht="15.75" customHeight="1">
      <c r="A640" s="141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30"/>
      <c r="AM640" s="130"/>
      <c r="AN640" s="129"/>
      <c r="AO640" s="129"/>
      <c r="AP640" s="129"/>
      <c r="AQ640" s="129"/>
      <c r="AR640" s="129"/>
      <c r="AS640" s="129"/>
      <c r="AT640" s="129"/>
      <c r="AU640" s="129"/>
      <c r="AV640" s="129"/>
      <c r="AW640" s="129"/>
      <c r="AX640" s="129"/>
      <c r="AY640" s="129"/>
      <c r="AZ640" s="129"/>
      <c r="BA640" s="129"/>
      <c r="BB640" s="129"/>
    </row>
    <row r="641" ht="15.75" customHeight="1">
      <c r="A641" s="141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30"/>
      <c r="AM641" s="130"/>
      <c r="AN641" s="129"/>
      <c r="AO641" s="129"/>
      <c r="AP641" s="129"/>
      <c r="AQ641" s="129"/>
      <c r="AR641" s="129"/>
      <c r="AS641" s="129"/>
      <c r="AT641" s="129"/>
      <c r="AU641" s="129"/>
      <c r="AV641" s="129"/>
      <c r="AW641" s="129"/>
      <c r="AX641" s="129"/>
      <c r="AY641" s="129"/>
      <c r="AZ641" s="129"/>
      <c r="BA641" s="129"/>
      <c r="BB641" s="129"/>
    </row>
    <row r="642" ht="15.75" customHeight="1">
      <c r="A642" s="141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30"/>
      <c r="AM642" s="130"/>
      <c r="AN642" s="129"/>
      <c r="AO642" s="129"/>
      <c r="AP642" s="129"/>
      <c r="AQ642" s="129"/>
      <c r="AR642" s="129"/>
      <c r="AS642" s="129"/>
      <c r="AT642" s="129"/>
      <c r="AU642" s="129"/>
      <c r="AV642" s="129"/>
      <c r="AW642" s="129"/>
      <c r="AX642" s="129"/>
      <c r="AY642" s="129"/>
      <c r="AZ642" s="129"/>
      <c r="BA642" s="129"/>
      <c r="BB642" s="129"/>
    </row>
    <row r="643" ht="15.75" customHeight="1">
      <c r="A643" s="141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30"/>
      <c r="AM643" s="130"/>
      <c r="AN643" s="129"/>
      <c r="AO643" s="129"/>
      <c r="AP643" s="129"/>
      <c r="AQ643" s="129"/>
      <c r="AR643" s="129"/>
      <c r="AS643" s="129"/>
      <c r="AT643" s="129"/>
      <c r="AU643" s="129"/>
      <c r="AV643" s="129"/>
      <c r="AW643" s="129"/>
      <c r="AX643" s="129"/>
      <c r="AY643" s="129"/>
      <c r="AZ643" s="129"/>
      <c r="BA643" s="129"/>
      <c r="BB643" s="129"/>
    </row>
    <row r="644" ht="15.75" customHeight="1">
      <c r="A644" s="141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30"/>
      <c r="AM644" s="130"/>
      <c r="AN644" s="129"/>
      <c r="AO644" s="129"/>
      <c r="AP644" s="129"/>
      <c r="AQ644" s="129"/>
      <c r="AR644" s="129"/>
      <c r="AS644" s="129"/>
      <c r="AT644" s="129"/>
      <c r="AU644" s="129"/>
      <c r="AV644" s="129"/>
      <c r="AW644" s="129"/>
      <c r="AX644" s="129"/>
      <c r="AY644" s="129"/>
      <c r="AZ644" s="129"/>
      <c r="BA644" s="129"/>
      <c r="BB644" s="129"/>
    </row>
    <row r="645" ht="15.75" customHeight="1">
      <c r="A645" s="141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30"/>
      <c r="AM645" s="130"/>
      <c r="AN645" s="129"/>
      <c r="AO645" s="129"/>
      <c r="AP645" s="129"/>
      <c r="AQ645" s="129"/>
      <c r="AR645" s="129"/>
      <c r="AS645" s="129"/>
      <c r="AT645" s="129"/>
      <c r="AU645" s="129"/>
      <c r="AV645" s="129"/>
      <c r="AW645" s="129"/>
      <c r="AX645" s="129"/>
      <c r="AY645" s="129"/>
      <c r="AZ645" s="129"/>
      <c r="BA645" s="129"/>
      <c r="BB645" s="129"/>
    </row>
    <row r="646" ht="15.75" customHeight="1">
      <c r="A646" s="141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30"/>
      <c r="AM646" s="130"/>
      <c r="AN646" s="129"/>
      <c r="AO646" s="129"/>
      <c r="AP646" s="129"/>
      <c r="AQ646" s="129"/>
      <c r="AR646" s="129"/>
      <c r="AS646" s="129"/>
      <c r="AT646" s="129"/>
      <c r="AU646" s="129"/>
      <c r="AV646" s="129"/>
      <c r="AW646" s="129"/>
      <c r="AX646" s="129"/>
      <c r="AY646" s="129"/>
      <c r="AZ646" s="129"/>
      <c r="BA646" s="129"/>
      <c r="BB646" s="129"/>
    </row>
    <row r="647" ht="15.75" customHeight="1">
      <c r="A647" s="141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30"/>
      <c r="AM647" s="130"/>
      <c r="AN647" s="129"/>
      <c r="AO647" s="129"/>
      <c r="AP647" s="129"/>
      <c r="AQ647" s="129"/>
      <c r="AR647" s="129"/>
      <c r="AS647" s="129"/>
      <c r="AT647" s="129"/>
      <c r="AU647" s="129"/>
      <c r="AV647" s="129"/>
      <c r="AW647" s="129"/>
      <c r="AX647" s="129"/>
      <c r="AY647" s="129"/>
      <c r="AZ647" s="129"/>
      <c r="BA647" s="129"/>
      <c r="BB647" s="129"/>
    </row>
    <row r="648" ht="15.75" customHeight="1">
      <c r="A648" s="141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30"/>
      <c r="AM648" s="130"/>
      <c r="AN648" s="129"/>
      <c r="AO648" s="129"/>
      <c r="AP648" s="129"/>
      <c r="AQ648" s="129"/>
      <c r="AR648" s="129"/>
      <c r="AS648" s="129"/>
      <c r="AT648" s="129"/>
      <c r="AU648" s="129"/>
      <c r="AV648" s="129"/>
      <c r="AW648" s="129"/>
      <c r="AX648" s="129"/>
      <c r="AY648" s="129"/>
      <c r="AZ648" s="129"/>
      <c r="BA648" s="129"/>
      <c r="BB648" s="129"/>
    </row>
    <row r="649" ht="15.75" customHeight="1">
      <c r="A649" s="141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30"/>
      <c r="AM649" s="130"/>
      <c r="AN649" s="129"/>
      <c r="AO649" s="129"/>
      <c r="AP649" s="129"/>
      <c r="AQ649" s="129"/>
      <c r="AR649" s="129"/>
      <c r="AS649" s="129"/>
      <c r="AT649" s="129"/>
      <c r="AU649" s="129"/>
      <c r="AV649" s="129"/>
      <c r="AW649" s="129"/>
      <c r="AX649" s="129"/>
      <c r="AY649" s="129"/>
      <c r="AZ649" s="129"/>
      <c r="BA649" s="129"/>
      <c r="BB649" s="129"/>
    </row>
    <row r="650" ht="15.75" customHeight="1">
      <c r="A650" s="141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30"/>
      <c r="AM650" s="130"/>
      <c r="AN650" s="129"/>
      <c r="AO650" s="129"/>
      <c r="AP650" s="129"/>
      <c r="AQ650" s="129"/>
      <c r="AR650" s="129"/>
      <c r="AS650" s="129"/>
      <c r="AT650" s="129"/>
      <c r="AU650" s="129"/>
      <c r="AV650" s="129"/>
      <c r="AW650" s="129"/>
      <c r="AX650" s="129"/>
      <c r="AY650" s="129"/>
      <c r="AZ650" s="129"/>
      <c r="BA650" s="129"/>
      <c r="BB650" s="129"/>
    </row>
    <row r="651" ht="15.75" customHeight="1">
      <c r="A651" s="141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30"/>
      <c r="AM651" s="130"/>
      <c r="AN651" s="129"/>
      <c r="AO651" s="129"/>
      <c r="AP651" s="129"/>
      <c r="AQ651" s="129"/>
      <c r="AR651" s="129"/>
      <c r="AS651" s="129"/>
      <c r="AT651" s="129"/>
      <c r="AU651" s="129"/>
      <c r="AV651" s="129"/>
      <c r="AW651" s="129"/>
      <c r="AX651" s="129"/>
      <c r="AY651" s="129"/>
      <c r="AZ651" s="129"/>
      <c r="BA651" s="129"/>
      <c r="BB651" s="129"/>
    </row>
    <row r="652" ht="15.75" customHeight="1">
      <c r="A652" s="141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30"/>
      <c r="AM652" s="130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/>
      <c r="AX652" s="129"/>
      <c r="AY652" s="129"/>
      <c r="AZ652" s="129"/>
      <c r="BA652" s="129"/>
      <c r="BB652" s="129"/>
    </row>
    <row r="653" ht="15.75" customHeight="1">
      <c r="A653" s="141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30"/>
      <c r="AM653" s="130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</row>
    <row r="654" ht="15.75" customHeight="1">
      <c r="A654" s="141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30"/>
      <c r="AM654" s="130"/>
      <c r="AN654" s="129"/>
      <c r="AO654" s="129"/>
      <c r="AP654" s="129"/>
      <c r="AQ654" s="129"/>
      <c r="AR654" s="129"/>
      <c r="AS654" s="129"/>
      <c r="AT654" s="129"/>
      <c r="AU654" s="129"/>
      <c r="AV654" s="129"/>
      <c r="AW654" s="129"/>
      <c r="AX654" s="129"/>
      <c r="AY654" s="129"/>
      <c r="AZ654" s="129"/>
      <c r="BA654" s="129"/>
      <c r="BB654" s="129"/>
    </row>
    <row r="655" ht="15.75" customHeight="1">
      <c r="A655" s="141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30"/>
      <c r="AM655" s="130"/>
      <c r="AN655" s="129"/>
      <c r="AO655" s="129"/>
      <c r="AP655" s="129"/>
      <c r="AQ655" s="129"/>
      <c r="AR655" s="129"/>
      <c r="AS655" s="129"/>
      <c r="AT655" s="129"/>
      <c r="AU655" s="129"/>
      <c r="AV655" s="129"/>
      <c r="AW655" s="129"/>
      <c r="AX655" s="129"/>
      <c r="AY655" s="129"/>
      <c r="AZ655" s="129"/>
      <c r="BA655" s="129"/>
      <c r="BB655" s="129"/>
    </row>
    <row r="656" ht="15.75" customHeight="1">
      <c r="A656" s="141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30"/>
      <c r="AM656" s="130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</row>
    <row r="657" ht="15.75" customHeight="1">
      <c r="A657" s="141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30"/>
      <c r="AM657" s="130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</row>
    <row r="658" ht="15.75" customHeight="1">
      <c r="A658" s="141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30"/>
      <c r="AM658" s="130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</row>
    <row r="659" ht="15.75" customHeight="1">
      <c r="A659" s="141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30"/>
      <c r="AM659" s="130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</row>
    <row r="660" ht="15.75" customHeight="1">
      <c r="A660" s="141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30"/>
      <c r="AM660" s="130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</row>
    <row r="661" ht="15.75" customHeight="1">
      <c r="A661" s="141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30"/>
      <c r="AM661" s="130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</row>
    <row r="662" ht="15.75" customHeight="1">
      <c r="A662" s="141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30"/>
      <c r="AM662" s="130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</row>
    <row r="663" ht="15.75" customHeight="1">
      <c r="A663" s="141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30"/>
      <c r="AM663" s="130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</row>
    <row r="664" ht="15.75" customHeight="1">
      <c r="A664" s="141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30"/>
      <c r="AM664" s="130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</row>
    <row r="665" ht="15.75" customHeight="1">
      <c r="A665" s="141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30"/>
      <c r="AM665" s="130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</row>
    <row r="666" ht="15.75" customHeight="1">
      <c r="A666" s="141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30"/>
      <c r="AM666" s="130"/>
      <c r="AN666" s="129"/>
      <c r="AO666" s="129"/>
      <c r="AP666" s="129"/>
      <c r="AQ666" s="129"/>
      <c r="AR666" s="129"/>
      <c r="AS666" s="129"/>
      <c r="AT666" s="129"/>
      <c r="AU666" s="129"/>
      <c r="AV666" s="129"/>
      <c r="AW666" s="129"/>
      <c r="AX666" s="129"/>
      <c r="AY666" s="129"/>
      <c r="AZ666" s="129"/>
      <c r="BA666" s="129"/>
      <c r="BB666" s="129"/>
    </row>
    <row r="667" ht="15.75" customHeight="1">
      <c r="A667" s="141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30"/>
      <c r="AM667" s="130"/>
      <c r="AN667" s="129"/>
      <c r="AO667" s="129"/>
      <c r="AP667" s="129"/>
      <c r="AQ667" s="129"/>
      <c r="AR667" s="129"/>
      <c r="AS667" s="129"/>
      <c r="AT667" s="129"/>
      <c r="AU667" s="129"/>
      <c r="AV667" s="129"/>
      <c r="AW667" s="129"/>
      <c r="AX667" s="129"/>
      <c r="AY667" s="129"/>
      <c r="AZ667" s="129"/>
      <c r="BA667" s="129"/>
      <c r="BB667" s="129"/>
    </row>
    <row r="668" ht="15.75" customHeight="1">
      <c r="A668" s="141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30"/>
      <c r="AM668" s="130"/>
      <c r="AN668" s="129"/>
      <c r="AO668" s="129"/>
      <c r="AP668" s="129"/>
      <c r="AQ668" s="129"/>
      <c r="AR668" s="129"/>
      <c r="AS668" s="129"/>
      <c r="AT668" s="129"/>
      <c r="AU668" s="129"/>
      <c r="AV668" s="129"/>
      <c r="AW668" s="129"/>
      <c r="AX668" s="129"/>
      <c r="AY668" s="129"/>
      <c r="AZ668" s="129"/>
      <c r="BA668" s="129"/>
      <c r="BB668" s="129"/>
    </row>
    <row r="669" ht="15.75" customHeight="1">
      <c r="A669" s="141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30"/>
      <c r="AM669" s="130"/>
      <c r="AN669" s="129"/>
      <c r="AO669" s="129"/>
      <c r="AP669" s="129"/>
      <c r="AQ669" s="129"/>
      <c r="AR669" s="129"/>
      <c r="AS669" s="129"/>
      <c r="AT669" s="129"/>
      <c r="AU669" s="129"/>
      <c r="AV669" s="129"/>
      <c r="AW669" s="129"/>
      <c r="AX669" s="129"/>
      <c r="AY669" s="129"/>
      <c r="AZ669" s="129"/>
      <c r="BA669" s="129"/>
      <c r="BB669" s="129"/>
    </row>
    <row r="670" ht="15.75" customHeight="1">
      <c r="A670" s="141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30"/>
      <c r="AM670" s="130"/>
      <c r="AN670" s="129"/>
      <c r="AO670" s="129"/>
      <c r="AP670" s="129"/>
      <c r="AQ670" s="129"/>
      <c r="AR670" s="129"/>
      <c r="AS670" s="129"/>
      <c r="AT670" s="129"/>
      <c r="AU670" s="129"/>
      <c r="AV670" s="129"/>
      <c r="AW670" s="129"/>
      <c r="AX670" s="129"/>
      <c r="AY670" s="129"/>
      <c r="AZ670" s="129"/>
      <c r="BA670" s="129"/>
      <c r="BB670" s="129"/>
    </row>
    <row r="671" ht="15.75" customHeight="1">
      <c r="A671" s="141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30"/>
      <c r="AM671" s="130"/>
      <c r="AN671" s="129"/>
      <c r="AO671" s="129"/>
      <c r="AP671" s="129"/>
      <c r="AQ671" s="129"/>
      <c r="AR671" s="129"/>
      <c r="AS671" s="129"/>
      <c r="AT671" s="129"/>
      <c r="AU671" s="129"/>
      <c r="AV671" s="129"/>
      <c r="AW671" s="129"/>
      <c r="AX671" s="129"/>
      <c r="AY671" s="129"/>
      <c r="AZ671" s="129"/>
      <c r="BA671" s="129"/>
      <c r="BB671" s="129"/>
    </row>
    <row r="672" ht="15.75" customHeight="1">
      <c r="A672" s="141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30"/>
      <c r="AM672" s="130"/>
      <c r="AN672" s="129"/>
      <c r="AO672" s="129"/>
      <c r="AP672" s="129"/>
      <c r="AQ672" s="129"/>
      <c r="AR672" s="129"/>
      <c r="AS672" s="129"/>
      <c r="AT672" s="129"/>
      <c r="AU672" s="129"/>
      <c r="AV672" s="129"/>
      <c r="AW672" s="129"/>
      <c r="AX672" s="129"/>
      <c r="AY672" s="129"/>
      <c r="AZ672" s="129"/>
      <c r="BA672" s="129"/>
      <c r="BB672" s="129"/>
    </row>
    <row r="673" ht="15.75" customHeight="1">
      <c r="A673" s="141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30"/>
      <c r="AM673" s="130"/>
      <c r="AN673" s="129"/>
      <c r="AO673" s="129"/>
      <c r="AP673" s="129"/>
      <c r="AQ673" s="129"/>
      <c r="AR673" s="129"/>
      <c r="AS673" s="129"/>
      <c r="AT673" s="129"/>
      <c r="AU673" s="129"/>
      <c r="AV673" s="129"/>
      <c r="AW673" s="129"/>
      <c r="AX673" s="129"/>
      <c r="AY673" s="129"/>
      <c r="AZ673" s="129"/>
      <c r="BA673" s="129"/>
      <c r="BB673" s="129"/>
    </row>
    <row r="674" ht="15.75" customHeight="1">
      <c r="A674" s="141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30"/>
      <c r="AM674" s="130"/>
      <c r="AN674" s="129"/>
      <c r="AO674" s="129"/>
      <c r="AP674" s="129"/>
      <c r="AQ674" s="129"/>
      <c r="AR674" s="129"/>
      <c r="AS674" s="129"/>
      <c r="AT674" s="129"/>
      <c r="AU674" s="129"/>
      <c r="AV674" s="129"/>
      <c r="AW674" s="129"/>
      <c r="AX674" s="129"/>
      <c r="AY674" s="129"/>
      <c r="AZ674" s="129"/>
      <c r="BA674" s="129"/>
      <c r="BB674" s="129"/>
    </row>
    <row r="675" ht="15.75" customHeight="1">
      <c r="A675" s="141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30"/>
      <c r="AM675" s="130"/>
      <c r="AN675" s="129"/>
      <c r="AO675" s="129"/>
      <c r="AP675" s="129"/>
      <c r="AQ675" s="129"/>
      <c r="AR675" s="129"/>
      <c r="AS675" s="129"/>
      <c r="AT675" s="129"/>
      <c r="AU675" s="129"/>
      <c r="AV675" s="129"/>
      <c r="AW675" s="129"/>
      <c r="AX675" s="129"/>
      <c r="AY675" s="129"/>
      <c r="AZ675" s="129"/>
      <c r="BA675" s="129"/>
      <c r="BB675" s="129"/>
    </row>
    <row r="676" ht="15.75" customHeight="1">
      <c r="A676" s="141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30"/>
      <c r="AM676" s="130"/>
      <c r="AN676" s="129"/>
      <c r="AO676" s="129"/>
      <c r="AP676" s="129"/>
      <c r="AQ676" s="129"/>
      <c r="AR676" s="129"/>
      <c r="AS676" s="129"/>
      <c r="AT676" s="129"/>
      <c r="AU676" s="129"/>
      <c r="AV676" s="129"/>
      <c r="AW676" s="129"/>
      <c r="AX676" s="129"/>
      <c r="AY676" s="129"/>
      <c r="AZ676" s="129"/>
      <c r="BA676" s="129"/>
      <c r="BB676" s="129"/>
    </row>
    <row r="677" ht="15.75" customHeight="1">
      <c r="A677" s="141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30"/>
      <c r="AM677" s="130"/>
      <c r="AN677" s="129"/>
      <c r="AO677" s="129"/>
      <c r="AP677" s="129"/>
      <c r="AQ677" s="129"/>
      <c r="AR677" s="129"/>
      <c r="AS677" s="129"/>
      <c r="AT677" s="129"/>
      <c r="AU677" s="129"/>
      <c r="AV677" s="129"/>
      <c r="AW677" s="129"/>
      <c r="AX677" s="129"/>
      <c r="AY677" s="129"/>
      <c r="AZ677" s="129"/>
      <c r="BA677" s="129"/>
      <c r="BB677" s="129"/>
    </row>
    <row r="678" ht="15.75" customHeight="1">
      <c r="A678" s="141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30"/>
      <c r="AM678" s="130"/>
      <c r="AN678" s="129"/>
      <c r="AO678" s="129"/>
      <c r="AP678" s="129"/>
      <c r="AQ678" s="129"/>
      <c r="AR678" s="129"/>
      <c r="AS678" s="129"/>
      <c r="AT678" s="129"/>
      <c r="AU678" s="129"/>
      <c r="AV678" s="129"/>
      <c r="AW678" s="129"/>
      <c r="AX678" s="129"/>
      <c r="AY678" s="129"/>
      <c r="AZ678" s="129"/>
      <c r="BA678" s="129"/>
      <c r="BB678" s="129"/>
    </row>
    <row r="679" ht="15.75" customHeight="1">
      <c r="A679" s="141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30"/>
      <c r="AM679" s="130"/>
      <c r="AN679" s="129"/>
      <c r="AO679" s="129"/>
      <c r="AP679" s="129"/>
      <c r="AQ679" s="129"/>
      <c r="AR679" s="129"/>
      <c r="AS679" s="129"/>
      <c r="AT679" s="129"/>
      <c r="AU679" s="129"/>
      <c r="AV679" s="129"/>
      <c r="AW679" s="129"/>
      <c r="AX679" s="129"/>
      <c r="AY679" s="129"/>
      <c r="AZ679" s="129"/>
      <c r="BA679" s="129"/>
      <c r="BB679" s="129"/>
    </row>
    <row r="680" ht="15.75" customHeight="1">
      <c r="A680" s="141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30"/>
      <c r="AM680" s="130"/>
      <c r="AN680" s="129"/>
      <c r="AO680" s="129"/>
      <c r="AP680" s="129"/>
      <c r="AQ680" s="129"/>
      <c r="AR680" s="129"/>
      <c r="AS680" s="129"/>
      <c r="AT680" s="129"/>
      <c r="AU680" s="129"/>
      <c r="AV680" s="129"/>
      <c r="AW680" s="129"/>
      <c r="AX680" s="129"/>
      <c r="AY680" s="129"/>
      <c r="AZ680" s="129"/>
      <c r="BA680" s="129"/>
      <c r="BB680" s="129"/>
    </row>
    <row r="681" ht="15.75" customHeight="1">
      <c r="A681" s="141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30"/>
      <c r="AM681" s="130"/>
      <c r="AN681" s="129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129"/>
      <c r="AZ681" s="129"/>
      <c r="BA681" s="129"/>
      <c r="BB681" s="129"/>
    </row>
    <row r="682" ht="15.75" customHeight="1">
      <c r="A682" s="141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30"/>
      <c r="AM682" s="130"/>
      <c r="AN682" s="129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129"/>
      <c r="AZ682" s="129"/>
      <c r="BA682" s="129"/>
      <c r="BB682" s="129"/>
    </row>
    <row r="683" ht="15.75" customHeight="1">
      <c r="A683" s="141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30"/>
      <c r="AM683" s="130"/>
      <c r="AN683" s="129"/>
      <c r="AO683" s="129"/>
      <c r="AP683" s="129"/>
      <c r="AQ683" s="129"/>
      <c r="AR683" s="129"/>
      <c r="AS683" s="129"/>
      <c r="AT683" s="129"/>
      <c r="AU683" s="129"/>
      <c r="AV683" s="129"/>
      <c r="AW683" s="129"/>
      <c r="AX683" s="129"/>
      <c r="AY683" s="129"/>
      <c r="AZ683" s="129"/>
      <c r="BA683" s="129"/>
      <c r="BB683" s="129"/>
    </row>
    <row r="684" ht="15.75" customHeight="1">
      <c r="A684" s="141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30"/>
      <c r="AM684" s="130"/>
      <c r="AN684" s="129"/>
      <c r="AO684" s="129"/>
      <c r="AP684" s="129"/>
      <c r="AQ684" s="129"/>
      <c r="AR684" s="129"/>
      <c r="AS684" s="129"/>
      <c r="AT684" s="129"/>
      <c r="AU684" s="129"/>
      <c r="AV684" s="129"/>
      <c r="AW684" s="129"/>
      <c r="AX684" s="129"/>
      <c r="AY684" s="129"/>
      <c r="AZ684" s="129"/>
      <c r="BA684" s="129"/>
      <c r="BB684" s="129"/>
    </row>
    <row r="685" ht="15.75" customHeight="1">
      <c r="A685" s="141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30"/>
      <c r="AM685" s="130"/>
      <c r="AN685" s="129"/>
      <c r="AO685" s="129"/>
      <c r="AP685" s="129"/>
      <c r="AQ685" s="129"/>
      <c r="AR685" s="129"/>
      <c r="AS685" s="129"/>
      <c r="AT685" s="129"/>
      <c r="AU685" s="129"/>
      <c r="AV685" s="129"/>
      <c r="AW685" s="129"/>
      <c r="AX685" s="129"/>
      <c r="AY685" s="129"/>
      <c r="AZ685" s="129"/>
      <c r="BA685" s="129"/>
      <c r="BB685" s="129"/>
    </row>
    <row r="686" ht="15.75" customHeight="1">
      <c r="A686" s="141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30"/>
      <c r="AM686" s="130"/>
      <c r="AN686" s="129"/>
      <c r="AO686" s="129"/>
      <c r="AP686" s="129"/>
      <c r="AQ686" s="129"/>
      <c r="AR686" s="129"/>
      <c r="AS686" s="129"/>
      <c r="AT686" s="129"/>
      <c r="AU686" s="129"/>
      <c r="AV686" s="129"/>
      <c r="AW686" s="129"/>
      <c r="AX686" s="129"/>
      <c r="AY686" s="129"/>
      <c r="AZ686" s="129"/>
      <c r="BA686" s="129"/>
      <c r="BB686" s="129"/>
    </row>
    <row r="687" ht="15.75" customHeight="1">
      <c r="A687" s="141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30"/>
      <c r="AM687" s="130"/>
      <c r="AN687" s="129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129"/>
      <c r="AZ687" s="129"/>
      <c r="BA687" s="129"/>
      <c r="BB687" s="129"/>
    </row>
    <row r="688" ht="15.75" customHeight="1">
      <c r="A688" s="141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30"/>
      <c r="AM688" s="130"/>
      <c r="AN688" s="129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129"/>
      <c r="AZ688" s="129"/>
      <c r="BA688" s="129"/>
      <c r="BB688" s="129"/>
    </row>
    <row r="689" ht="15.75" customHeight="1">
      <c r="A689" s="141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30"/>
      <c r="AM689" s="130"/>
      <c r="AN689" s="129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129"/>
      <c r="AZ689" s="129"/>
      <c r="BA689" s="129"/>
      <c r="BB689" s="129"/>
    </row>
    <row r="690" ht="15.75" customHeight="1">
      <c r="A690" s="141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30"/>
      <c r="AM690" s="130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129"/>
      <c r="AZ690" s="129"/>
      <c r="BA690" s="129"/>
      <c r="BB690" s="129"/>
    </row>
    <row r="691" ht="15.75" customHeight="1">
      <c r="A691" s="141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30"/>
      <c r="AM691" s="130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</row>
    <row r="692" ht="15.75" customHeight="1">
      <c r="A692" s="141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30"/>
      <c r="AM692" s="130"/>
      <c r="AN692" s="129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129"/>
      <c r="AZ692" s="129"/>
      <c r="BA692" s="129"/>
      <c r="BB692" s="129"/>
    </row>
    <row r="693" ht="15.75" customHeight="1">
      <c r="A693" s="141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30"/>
      <c r="AM693" s="130"/>
      <c r="AN693" s="129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129"/>
      <c r="AZ693" s="129"/>
      <c r="BA693" s="129"/>
      <c r="BB693" s="129"/>
    </row>
    <row r="694" ht="15.75" customHeight="1">
      <c r="A694" s="141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30"/>
      <c r="AM694" s="130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</row>
    <row r="695" ht="15.75" customHeight="1">
      <c r="A695" s="141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30"/>
      <c r="AM695" s="130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</row>
    <row r="696" ht="15.75" customHeight="1">
      <c r="A696" s="141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30"/>
      <c r="AM696" s="130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</row>
    <row r="697" ht="15.75" customHeight="1">
      <c r="A697" s="141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30"/>
      <c r="AM697" s="130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</row>
    <row r="698" ht="15.75" customHeight="1">
      <c r="A698" s="141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30"/>
      <c r="AM698" s="130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</row>
    <row r="699" ht="15.75" customHeight="1">
      <c r="A699" s="141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30"/>
      <c r="AM699" s="130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</row>
    <row r="700" ht="15.75" customHeight="1">
      <c r="A700" s="141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30"/>
      <c r="AM700" s="130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</row>
    <row r="701" ht="15.75" customHeight="1">
      <c r="A701" s="141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30"/>
      <c r="AM701" s="130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</row>
    <row r="702" ht="15.75" customHeight="1">
      <c r="A702" s="141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30"/>
      <c r="AM702" s="130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</row>
    <row r="703" ht="15.75" customHeight="1">
      <c r="A703" s="141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30"/>
      <c r="AM703" s="130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</row>
    <row r="704" ht="15.75" customHeight="1">
      <c r="A704" s="141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30"/>
      <c r="AM704" s="130"/>
      <c r="AN704" s="129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  <c r="BB704" s="129"/>
    </row>
    <row r="705" ht="15.75" customHeight="1">
      <c r="A705" s="141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30"/>
      <c r="AM705" s="130"/>
      <c r="AN705" s="129"/>
      <c r="AO705" s="129"/>
      <c r="AP705" s="129"/>
      <c r="AQ705" s="129"/>
      <c r="AR705" s="129"/>
      <c r="AS705" s="129"/>
      <c r="AT705" s="129"/>
      <c r="AU705" s="129"/>
      <c r="AV705" s="129"/>
      <c r="AW705" s="129"/>
      <c r="AX705" s="129"/>
      <c r="AY705" s="129"/>
      <c r="AZ705" s="129"/>
      <c r="BA705" s="129"/>
      <c r="BB705" s="129"/>
    </row>
    <row r="706" ht="15.75" customHeight="1">
      <c r="A706" s="141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30"/>
      <c r="AM706" s="130"/>
      <c r="AN706" s="129"/>
      <c r="AO706" s="129"/>
      <c r="AP706" s="129"/>
      <c r="AQ706" s="129"/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  <c r="BB706" s="129"/>
    </row>
    <row r="707" ht="15.75" customHeight="1">
      <c r="A707" s="141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30"/>
      <c r="AM707" s="130"/>
      <c r="AN707" s="129"/>
      <c r="AO707" s="129"/>
      <c r="AP707" s="129"/>
      <c r="AQ707" s="129"/>
      <c r="AR707" s="129"/>
      <c r="AS707" s="129"/>
      <c r="AT707" s="129"/>
      <c r="AU707" s="129"/>
      <c r="AV707" s="129"/>
      <c r="AW707" s="129"/>
      <c r="AX707" s="129"/>
      <c r="AY707" s="129"/>
      <c r="AZ707" s="129"/>
      <c r="BA707" s="129"/>
      <c r="BB707" s="129"/>
    </row>
    <row r="708" ht="15.75" customHeight="1">
      <c r="A708" s="141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30"/>
      <c r="AM708" s="130"/>
      <c r="AN708" s="129"/>
      <c r="AO708" s="129"/>
      <c r="AP708" s="129"/>
      <c r="AQ708" s="129"/>
      <c r="AR708" s="129"/>
      <c r="AS708" s="129"/>
      <c r="AT708" s="129"/>
      <c r="AU708" s="129"/>
      <c r="AV708" s="129"/>
      <c r="AW708" s="129"/>
      <c r="AX708" s="129"/>
      <c r="AY708" s="129"/>
      <c r="AZ708" s="129"/>
      <c r="BA708" s="129"/>
      <c r="BB708" s="129"/>
    </row>
    <row r="709" ht="15.75" customHeight="1">
      <c r="A709" s="141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30"/>
      <c r="AM709" s="130"/>
      <c r="AN709" s="129"/>
      <c r="AO709" s="129"/>
      <c r="AP709" s="129"/>
      <c r="AQ709" s="129"/>
      <c r="AR709" s="129"/>
      <c r="AS709" s="129"/>
      <c r="AT709" s="129"/>
      <c r="AU709" s="129"/>
      <c r="AV709" s="129"/>
      <c r="AW709" s="129"/>
      <c r="AX709" s="129"/>
      <c r="AY709" s="129"/>
      <c r="AZ709" s="129"/>
      <c r="BA709" s="129"/>
      <c r="BB709" s="129"/>
    </row>
    <row r="710" ht="15.75" customHeight="1">
      <c r="A710" s="141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30"/>
      <c r="AM710" s="130"/>
      <c r="AN710" s="129"/>
      <c r="AO710" s="129"/>
      <c r="AP710" s="129"/>
      <c r="AQ710" s="129"/>
      <c r="AR710" s="129"/>
      <c r="AS710" s="129"/>
      <c r="AT710" s="129"/>
      <c r="AU710" s="129"/>
      <c r="AV710" s="129"/>
      <c r="AW710" s="129"/>
      <c r="AX710" s="129"/>
      <c r="AY710" s="129"/>
      <c r="AZ710" s="129"/>
      <c r="BA710" s="129"/>
      <c r="BB710" s="129"/>
    </row>
    <row r="711" ht="15.75" customHeight="1">
      <c r="A711" s="141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30"/>
      <c r="AM711" s="130"/>
      <c r="AN711" s="129"/>
      <c r="AO711" s="129"/>
      <c r="AP711" s="129"/>
      <c r="AQ711" s="129"/>
      <c r="AR711" s="129"/>
      <c r="AS711" s="129"/>
      <c r="AT711" s="129"/>
      <c r="AU711" s="129"/>
      <c r="AV711" s="129"/>
      <c r="AW711" s="129"/>
      <c r="AX711" s="129"/>
      <c r="AY711" s="129"/>
      <c r="AZ711" s="129"/>
      <c r="BA711" s="129"/>
      <c r="BB711" s="129"/>
    </row>
    <row r="712" ht="15.75" customHeight="1">
      <c r="A712" s="141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30"/>
      <c r="AM712" s="130"/>
      <c r="AN712" s="129"/>
      <c r="AO712" s="129"/>
      <c r="AP712" s="129"/>
      <c r="AQ712" s="129"/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  <c r="BB712" s="129"/>
    </row>
    <row r="713" ht="15.75" customHeight="1">
      <c r="A713" s="141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30"/>
      <c r="AM713" s="130"/>
      <c r="AN713" s="129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129"/>
      <c r="AZ713" s="129"/>
      <c r="BA713" s="129"/>
      <c r="BB713" s="129"/>
    </row>
    <row r="714" ht="15.75" customHeight="1">
      <c r="A714" s="141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30"/>
      <c r="AM714" s="130"/>
      <c r="AN714" s="129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129"/>
      <c r="AZ714" s="129"/>
      <c r="BA714" s="129"/>
      <c r="BB714" s="129"/>
    </row>
    <row r="715" ht="15.75" customHeight="1">
      <c r="A715" s="141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30"/>
      <c r="AM715" s="130"/>
      <c r="AN715" s="129"/>
      <c r="AO715" s="129"/>
      <c r="AP715" s="129"/>
      <c r="AQ715" s="129"/>
      <c r="AR715" s="129"/>
      <c r="AS715" s="129"/>
      <c r="AT715" s="129"/>
      <c r="AU715" s="129"/>
      <c r="AV715" s="129"/>
      <c r="AW715" s="129"/>
      <c r="AX715" s="129"/>
      <c r="AY715" s="129"/>
      <c r="AZ715" s="129"/>
      <c r="BA715" s="129"/>
      <c r="BB715" s="129"/>
    </row>
    <row r="716" ht="15.75" customHeight="1">
      <c r="A716" s="141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30"/>
      <c r="AM716" s="130"/>
      <c r="AN716" s="129"/>
      <c r="AO716" s="129"/>
      <c r="AP716" s="129"/>
      <c r="AQ716" s="129"/>
      <c r="AR716" s="129"/>
      <c r="AS716" s="129"/>
      <c r="AT716" s="129"/>
      <c r="AU716" s="129"/>
      <c r="AV716" s="129"/>
      <c r="AW716" s="129"/>
      <c r="AX716" s="129"/>
      <c r="AY716" s="129"/>
      <c r="AZ716" s="129"/>
      <c r="BA716" s="129"/>
      <c r="BB716" s="129"/>
    </row>
    <row r="717" ht="15.75" customHeight="1">
      <c r="A717" s="141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30"/>
      <c r="AM717" s="130"/>
      <c r="AN717" s="129"/>
      <c r="AO717" s="129"/>
      <c r="AP717" s="129"/>
      <c r="AQ717" s="129"/>
      <c r="AR717" s="129"/>
      <c r="AS717" s="129"/>
      <c r="AT717" s="129"/>
      <c r="AU717" s="129"/>
      <c r="AV717" s="129"/>
      <c r="AW717" s="129"/>
      <c r="AX717" s="129"/>
      <c r="AY717" s="129"/>
      <c r="AZ717" s="129"/>
      <c r="BA717" s="129"/>
      <c r="BB717" s="129"/>
    </row>
    <row r="718" ht="15.75" customHeight="1">
      <c r="A718" s="141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30"/>
      <c r="AM718" s="130"/>
      <c r="AN718" s="129"/>
      <c r="AO718" s="129"/>
      <c r="AP718" s="129"/>
      <c r="AQ718" s="129"/>
      <c r="AR718" s="129"/>
      <c r="AS718" s="129"/>
      <c r="AT718" s="129"/>
      <c r="AU718" s="129"/>
      <c r="AV718" s="129"/>
      <c r="AW718" s="129"/>
      <c r="AX718" s="129"/>
      <c r="AY718" s="129"/>
      <c r="AZ718" s="129"/>
      <c r="BA718" s="129"/>
      <c r="BB718" s="129"/>
    </row>
    <row r="719" ht="15.75" customHeight="1">
      <c r="A719" s="141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30"/>
      <c r="AM719" s="130"/>
      <c r="AN719" s="129"/>
      <c r="AO719" s="129"/>
      <c r="AP719" s="129"/>
      <c r="AQ719" s="129"/>
      <c r="AR719" s="129"/>
      <c r="AS719" s="129"/>
      <c r="AT719" s="129"/>
      <c r="AU719" s="129"/>
      <c r="AV719" s="129"/>
      <c r="AW719" s="129"/>
      <c r="AX719" s="129"/>
      <c r="AY719" s="129"/>
      <c r="AZ719" s="129"/>
      <c r="BA719" s="129"/>
      <c r="BB719" s="129"/>
    </row>
    <row r="720" ht="15.75" customHeight="1">
      <c r="A720" s="141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30"/>
      <c r="AM720" s="130"/>
      <c r="AN720" s="129"/>
      <c r="AO720" s="129"/>
      <c r="AP720" s="129"/>
      <c r="AQ720" s="129"/>
      <c r="AR720" s="129"/>
      <c r="AS720" s="129"/>
      <c r="AT720" s="129"/>
      <c r="AU720" s="129"/>
      <c r="AV720" s="129"/>
      <c r="AW720" s="129"/>
      <c r="AX720" s="129"/>
      <c r="AY720" s="129"/>
      <c r="AZ720" s="129"/>
      <c r="BA720" s="129"/>
      <c r="BB720" s="129"/>
    </row>
    <row r="721" ht="15.75" customHeight="1">
      <c r="A721" s="141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30"/>
      <c r="AM721" s="130"/>
      <c r="AN721" s="129"/>
      <c r="AO721" s="129"/>
      <c r="AP721" s="129"/>
      <c r="AQ721" s="129"/>
      <c r="AR721" s="129"/>
      <c r="AS721" s="129"/>
      <c r="AT721" s="129"/>
      <c r="AU721" s="129"/>
      <c r="AV721" s="129"/>
      <c r="AW721" s="129"/>
      <c r="AX721" s="129"/>
      <c r="AY721" s="129"/>
      <c r="AZ721" s="129"/>
      <c r="BA721" s="129"/>
      <c r="BB721" s="129"/>
    </row>
    <row r="722" ht="15.75" customHeight="1">
      <c r="A722" s="141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30"/>
      <c r="AM722" s="130"/>
      <c r="AN722" s="129"/>
      <c r="AO722" s="129"/>
      <c r="AP722" s="129"/>
      <c r="AQ722" s="129"/>
      <c r="AR722" s="129"/>
      <c r="AS722" s="129"/>
      <c r="AT722" s="129"/>
      <c r="AU722" s="129"/>
      <c r="AV722" s="129"/>
      <c r="AW722" s="129"/>
      <c r="AX722" s="129"/>
      <c r="AY722" s="129"/>
      <c r="AZ722" s="129"/>
      <c r="BA722" s="129"/>
      <c r="BB722" s="129"/>
    </row>
    <row r="723" ht="15.75" customHeight="1">
      <c r="A723" s="141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30"/>
      <c r="AM723" s="130"/>
      <c r="AN723" s="129"/>
      <c r="AO723" s="129"/>
      <c r="AP723" s="129"/>
      <c r="AQ723" s="129"/>
      <c r="AR723" s="129"/>
      <c r="AS723" s="129"/>
      <c r="AT723" s="129"/>
      <c r="AU723" s="129"/>
      <c r="AV723" s="129"/>
      <c r="AW723" s="129"/>
      <c r="AX723" s="129"/>
      <c r="AY723" s="129"/>
      <c r="AZ723" s="129"/>
      <c r="BA723" s="129"/>
      <c r="BB723" s="129"/>
    </row>
    <row r="724" ht="15.75" customHeight="1">
      <c r="A724" s="141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30"/>
      <c r="AM724" s="130"/>
      <c r="AN724" s="129"/>
      <c r="AO724" s="129"/>
      <c r="AP724" s="129"/>
      <c r="AQ724" s="129"/>
      <c r="AR724" s="129"/>
      <c r="AS724" s="129"/>
      <c r="AT724" s="129"/>
      <c r="AU724" s="129"/>
      <c r="AV724" s="129"/>
      <c r="AW724" s="129"/>
      <c r="AX724" s="129"/>
      <c r="AY724" s="129"/>
      <c r="AZ724" s="129"/>
      <c r="BA724" s="129"/>
      <c r="BB724" s="129"/>
    </row>
    <row r="725" ht="15.75" customHeight="1">
      <c r="A725" s="141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30"/>
      <c r="AM725" s="130"/>
      <c r="AN725" s="129"/>
      <c r="AO725" s="129"/>
      <c r="AP725" s="129"/>
      <c r="AQ725" s="129"/>
      <c r="AR725" s="129"/>
      <c r="AS725" s="129"/>
      <c r="AT725" s="129"/>
      <c r="AU725" s="129"/>
      <c r="AV725" s="129"/>
      <c r="AW725" s="129"/>
      <c r="AX725" s="129"/>
      <c r="AY725" s="129"/>
      <c r="AZ725" s="129"/>
      <c r="BA725" s="129"/>
      <c r="BB725" s="129"/>
    </row>
    <row r="726" ht="15.75" customHeight="1">
      <c r="A726" s="141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30"/>
      <c r="AM726" s="130"/>
      <c r="AN726" s="129"/>
      <c r="AO726" s="129"/>
      <c r="AP726" s="129"/>
      <c r="AQ726" s="129"/>
      <c r="AR726" s="129"/>
      <c r="AS726" s="129"/>
      <c r="AT726" s="129"/>
      <c r="AU726" s="129"/>
      <c r="AV726" s="129"/>
      <c r="AW726" s="129"/>
      <c r="AX726" s="129"/>
      <c r="AY726" s="129"/>
      <c r="AZ726" s="129"/>
      <c r="BA726" s="129"/>
      <c r="BB726" s="129"/>
    </row>
    <row r="727" ht="15.75" customHeight="1">
      <c r="A727" s="141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30"/>
      <c r="AM727" s="130"/>
      <c r="AN727" s="129"/>
      <c r="AO727" s="129"/>
      <c r="AP727" s="129"/>
      <c r="AQ727" s="129"/>
      <c r="AR727" s="129"/>
      <c r="AS727" s="129"/>
      <c r="AT727" s="129"/>
      <c r="AU727" s="129"/>
      <c r="AV727" s="129"/>
      <c r="AW727" s="129"/>
      <c r="AX727" s="129"/>
      <c r="AY727" s="129"/>
      <c r="AZ727" s="129"/>
      <c r="BA727" s="129"/>
      <c r="BB727" s="129"/>
    </row>
    <row r="728" ht="15.75" customHeight="1">
      <c r="A728" s="141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30"/>
      <c r="AM728" s="130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  <c r="BB728" s="129"/>
    </row>
    <row r="729" ht="15.75" customHeight="1">
      <c r="A729" s="141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30"/>
      <c r="AM729" s="130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</row>
    <row r="730" ht="15.75" customHeight="1">
      <c r="A730" s="141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30"/>
      <c r="AM730" s="130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  <c r="BB730" s="129"/>
    </row>
    <row r="731" ht="15.75" customHeight="1">
      <c r="A731" s="141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30"/>
      <c r="AM731" s="130"/>
      <c r="AN731" s="129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  <c r="BB731" s="129"/>
    </row>
    <row r="732" ht="15.75" customHeight="1">
      <c r="A732" s="141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30"/>
      <c r="AM732" s="130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</row>
    <row r="733" ht="15.75" customHeight="1">
      <c r="A733" s="141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30"/>
      <c r="AM733" s="130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</row>
    <row r="734" ht="15.75" customHeight="1">
      <c r="A734" s="141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30"/>
      <c r="AM734" s="130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</row>
    <row r="735" ht="15.75" customHeight="1">
      <c r="A735" s="141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30"/>
      <c r="AM735" s="130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</row>
    <row r="736" ht="15.75" customHeight="1">
      <c r="A736" s="141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30"/>
      <c r="AM736" s="130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</row>
    <row r="737" ht="15.75" customHeight="1">
      <c r="A737" s="141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30"/>
      <c r="AM737" s="130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</row>
    <row r="738" ht="15.75" customHeight="1">
      <c r="A738" s="141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30"/>
      <c r="AM738" s="130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</row>
    <row r="739" ht="15.75" customHeight="1">
      <c r="A739" s="141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30"/>
      <c r="AM739" s="130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</row>
    <row r="740" ht="15.75" customHeight="1">
      <c r="A740" s="141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30"/>
      <c r="AM740" s="130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</row>
    <row r="741" ht="15.75" customHeight="1">
      <c r="A741" s="141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30"/>
      <c r="AM741" s="130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</row>
    <row r="742" ht="15.75" customHeight="1">
      <c r="A742" s="141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30"/>
      <c r="AM742" s="130"/>
      <c r="AN742" s="129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  <c r="BB742" s="129"/>
    </row>
    <row r="743" ht="15.75" customHeight="1">
      <c r="A743" s="141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30"/>
      <c r="AM743" s="130"/>
      <c r="AN743" s="129"/>
      <c r="AO743" s="129"/>
      <c r="AP743" s="129"/>
      <c r="AQ743" s="129"/>
      <c r="AR743" s="129"/>
      <c r="AS743" s="129"/>
      <c r="AT743" s="129"/>
      <c r="AU743" s="129"/>
      <c r="AV743" s="129"/>
      <c r="AW743" s="129"/>
      <c r="AX743" s="129"/>
      <c r="AY743" s="129"/>
      <c r="AZ743" s="129"/>
      <c r="BA743" s="129"/>
      <c r="BB743" s="129"/>
    </row>
    <row r="744" ht="15.75" customHeight="1">
      <c r="A744" s="141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30"/>
      <c r="AM744" s="130"/>
      <c r="AN744" s="129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  <c r="BB744" s="129"/>
    </row>
    <row r="745" ht="15.75" customHeight="1">
      <c r="A745" s="141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30"/>
      <c r="AM745" s="130"/>
      <c r="AN745" s="129"/>
      <c r="AO745" s="129"/>
      <c r="AP745" s="129"/>
      <c r="AQ745" s="129"/>
      <c r="AR745" s="129"/>
      <c r="AS745" s="129"/>
      <c r="AT745" s="129"/>
      <c r="AU745" s="129"/>
      <c r="AV745" s="129"/>
      <c r="AW745" s="129"/>
      <c r="AX745" s="129"/>
      <c r="AY745" s="129"/>
      <c r="AZ745" s="129"/>
      <c r="BA745" s="129"/>
      <c r="BB745" s="129"/>
    </row>
    <row r="746" ht="15.75" customHeight="1">
      <c r="A746" s="141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30"/>
      <c r="AM746" s="130"/>
      <c r="AN746" s="129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  <c r="BB746" s="129"/>
    </row>
    <row r="747" ht="15.75" customHeight="1">
      <c r="A747" s="141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30"/>
      <c r="AM747" s="130"/>
      <c r="AN747" s="129"/>
      <c r="AO747" s="129"/>
      <c r="AP747" s="129"/>
      <c r="AQ747" s="129"/>
      <c r="AR747" s="129"/>
      <c r="AS747" s="129"/>
      <c r="AT747" s="129"/>
      <c r="AU747" s="129"/>
      <c r="AV747" s="129"/>
      <c r="AW747" s="129"/>
      <c r="AX747" s="129"/>
      <c r="AY747" s="129"/>
      <c r="AZ747" s="129"/>
      <c r="BA747" s="129"/>
      <c r="BB747" s="129"/>
    </row>
    <row r="748" ht="15.75" customHeight="1">
      <c r="A748" s="141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30"/>
      <c r="AM748" s="130"/>
      <c r="AN748" s="129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  <c r="BB748" s="129"/>
    </row>
    <row r="749" ht="15.75" customHeight="1">
      <c r="A749" s="141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30"/>
      <c r="AM749" s="130"/>
      <c r="AN749" s="129"/>
      <c r="AO749" s="129"/>
      <c r="AP749" s="129"/>
      <c r="AQ749" s="129"/>
      <c r="AR749" s="129"/>
      <c r="AS749" s="129"/>
      <c r="AT749" s="129"/>
      <c r="AU749" s="129"/>
      <c r="AV749" s="129"/>
      <c r="AW749" s="129"/>
      <c r="AX749" s="129"/>
      <c r="AY749" s="129"/>
      <c r="AZ749" s="129"/>
      <c r="BA749" s="129"/>
      <c r="BB749" s="129"/>
    </row>
    <row r="750" ht="15.75" customHeight="1">
      <c r="A750" s="141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30"/>
      <c r="AM750" s="130"/>
      <c r="AN750" s="129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  <c r="BB750" s="129"/>
    </row>
    <row r="751" ht="15.75" customHeight="1">
      <c r="A751" s="141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30"/>
      <c r="AM751" s="130"/>
      <c r="AN751" s="129"/>
      <c r="AO751" s="129"/>
      <c r="AP751" s="129"/>
      <c r="AQ751" s="129"/>
      <c r="AR751" s="129"/>
      <c r="AS751" s="129"/>
      <c r="AT751" s="129"/>
      <c r="AU751" s="129"/>
      <c r="AV751" s="129"/>
      <c r="AW751" s="129"/>
      <c r="AX751" s="129"/>
      <c r="AY751" s="129"/>
      <c r="AZ751" s="129"/>
      <c r="BA751" s="129"/>
      <c r="BB751" s="129"/>
    </row>
    <row r="752" ht="15.75" customHeight="1">
      <c r="A752" s="141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30"/>
      <c r="AM752" s="130"/>
      <c r="AN752" s="129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  <c r="BB752" s="129"/>
    </row>
    <row r="753" ht="15.75" customHeight="1">
      <c r="A753" s="141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30"/>
      <c r="AM753" s="130"/>
      <c r="AN753" s="129"/>
      <c r="AO753" s="129"/>
      <c r="AP753" s="129"/>
      <c r="AQ753" s="129"/>
      <c r="AR753" s="129"/>
      <c r="AS753" s="129"/>
      <c r="AT753" s="129"/>
      <c r="AU753" s="129"/>
      <c r="AV753" s="129"/>
      <c r="AW753" s="129"/>
      <c r="AX753" s="129"/>
      <c r="AY753" s="129"/>
      <c r="AZ753" s="129"/>
      <c r="BA753" s="129"/>
      <c r="BB753" s="129"/>
    </row>
    <row r="754" ht="15.75" customHeight="1">
      <c r="A754" s="141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30"/>
      <c r="AM754" s="130"/>
      <c r="AN754" s="129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  <c r="BB754" s="129"/>
    </row>
    <row r="755" ht="15.75" customHeight="1">
      <c r="A755" s="141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30"/>
      <c r="AM755" s="130"/>
      <c r="AN755" s="129"/>
      <c r="AO755" s="129"/>
      <c r="AP755" s="129"/>
      <c r="AQ755" s="129"/>
      <c r="AR755" s="129"/>
      <c r="AS755" s="129"/>
      <c r="AT755" s="129"/>
      <c r="AU755" s="129"/>
      <c r="AV755" s="129"/>
      <c r="AW755" s="129"/>
      <c r="AX755" s="129"/>
      <c r="AY755" s="129"/>
      <c r="AZ755" s="129"/>
      <c r="BA755" s="129"/>
      <c r="BB755" s="129"/>
    </row>
    <row r="756" ht="15.75" customHeight="1">
      <c r="A756" s="141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30"/>
      <c r="AM756" s="130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  <c r="BB756" s="129"/>
    </row>
    <row r="757" ht="15.75" customHeight="1">
      <c r="A757" s="141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30"/>
      <c r="AM757" s="130"/>
      <c r="AN757" s="129"/>
      <c r="AO757" s="129"/>
      <c r="AP757" s="129"/>
      <c r="AQ757" s="129"/>
      <c r="AR757" s="129"/>
      <c r="AS757" s="129"/>
      <c r="AT757" s="129"/>
      <c r="AU757" s="129"/>
      <c r="AV757" s="129"/>
      <c r="AW757" s="129"/>
      <c r="AX757" s="129"/>
      <c r="AY757" s="129"/>
      <c r="AZ757" s="129"/>
      <c r="BA757" s="129"/>
      <c r="BB757" s="129"/>
    </row>
    <row r="758" ht="15.75" customHeight="1">
      <c r="A758" s="141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30"/>
      <c r="AM758" s="130"/>
      <c r="AN758" s="129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  <c r="BB758" s="129"/>
    </row>
    <row r="759" ht="15.75" customHeight="1">
      <c r="A759" s="141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30"/>
      <c r="AM759" s="130"/>
      <c r="AN759" s="129"/>
      <c r="AO759" s="129"/>
      <c r="AP759" s="129"/>
      <c r="AQ759" s="129"/>
      <c r="AR759" s="129"/>
      <c r="AS759" s="129"/>
      <c r="AT759" s="129"/>
      <c r="AU759" s="129"/>
      <c r="AV759" s="129"/>
      <c r="AW759" s="129"/>
      <c r="AX759" s="129"/>
      <c r="AY759" s="129"/>
      <c r="AZ759" s="129"/>
      <c r="BA759" s="129"/>
      <c r="BB759" s="129"/>
    </row>
    <row r="760" ht="15.75" customHeight="1">
      <c r="A760" s="141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30"/>
      <c r="AM760" s="130"/>
      <c r="AN760" s="129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  <c r="BB760" s="129"/>
    </row>
    <row r="761" ht="15.75" customHeight="1">
      <c r="A761" s="141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30"/>
      <c r="AM761" s="130"/>
      <c r="AN761" s="129"/>
      <c r="AO761" s="129"/>
      <c r="AP761" s="129"/>
      <c r="AQ761" s="129"/>
      <c r="AR761" s="129"/>
      <c r="AS761" s="129"/>
      <c r="AT761" s="129"/>
      <c r="AU761" s="129"/>
      <c r="AV761" s="129"/>
      <c r="AW761" s="129"/>
      <c r="AX761" s="129"/>
      <c r="AY761" s="129"/>
      <c r="AZ761" s="129"/>
      <c r="BA761" s="129"/>
      <c r="BB761" s="129"/>
    </row>
    <row r="762" ht="15.75" customHeight="1">
      <c r="A762" s="141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30"/>
      <c r="AM762" s="130"/>
      <c r="AN762" s="129"/>
      <c r="AO762" s="129"/>
      <c r="AP762" s="129"/>
      <c r="AQ762" s="129"/>
      <c r="AR762" s="129"/>
      <c r="AS762" s="129"/>
      <c r="AT762" s="129"/>
      <c r="AU762" s="129"/>
      <c r="AV762" s="129"/>
      <c r="AW762" s="129"/>
      <c r="AX762" s="129"/>
      <c r="AY762" s="129"/>
      <c r="AZ762" s="129"/>
      <c r="BA762" s="129"/>
      <c r="BB762" s="129"/>
    </row>
    <row r="763" ht="15.75" customHeight="1">
      <c r="A763" s="141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30"/>
      <c r="AM763" s="130"/>
      <c r="AN763" s="129"/>
      <c r="AO763" s="129"/>
      <c r="AP763" s="129"/>
      <c r="AQ763" s="129"/>
      <c r="AR763" s="129"/>
      <c r="AS763" s="129"/>
      <c r="AT763" s="129"/>
      <c r="AU763" s="129"/>
      <c r="AV763" s="129"/>
      <c r="AW763" s="129"/>
      <c r="AX763" s="129"/>
      <c r="AY763" s="129"/>
      <c r="AZ763" s="129"/>
      <c r="BA763" s="129"/>
      <c r="BB763" s="129"/>
    </row>
    <row r="764" ht="15.75" customHeight="1">
      <c r="A764" s="141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30"/>
      <c r="AM764" s="130"/>
      <c r="AN764" s="129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  <c r="BB764" s="129"/>
    </row>
    <row r="765" ht="15.75" customHeight="1">
      <c r="A765" s="141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30"/>
      <c r="AM765" s="130"/>
      <c r="AN765" s="129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  <c r="BB765" s="129"/>
    </row>
    <row r="766" ht="15.75" customHeight="1">
      <c r="A766" s="141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30"/>
      <c r="AM766" s="130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  <c r="BB766" s="129"/>
    </row>
    <row r="767" ht="15.75" customHeight="1">
      <c r="A767" s="141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30"/>
      <c r="AM767" s="130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</row>
    <row r="768" ht="15.75" customHeight="1">
      <c r="A768" s="141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30"/>
      <c r="AM768" s="130"/>
      <c r="AN768" s="129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  <c r="BB768" s="129"/>
    </row>
    <row r="769" ht="15.75" customHeight="1">
      <c r="A769" s="141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30"/>
      <c r="AM769" s="130"/>
      <c r="AN769" s="129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  <c r="BB769" s="129"/>
    </row>
    <row r="770" ht="15.75" customHeight="1">
      <c r="A770" s="141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30"/>
      <c r="AM770" s="130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</row>
    <row r="771" ht="15.75" customHeight="1">
      <c r="A771" s="141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30"/>
      <c r="AM771" s="130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</row>
    <row r="772" ht="15.75" customHeight="1">
      <c r="A772" s="141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30"/>
      <c r="AM772" s="130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</row>
    <row r="773" ht="15.75" customHeight="1">
      <c r="A773" s="141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30"/>
      <c r="AM773" s="130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</row>
    <row r="774" ht="15.75" customHeight="1">
      <c r="A774" s="141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30"/>
      <c r="AM774" s="130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</row>
    <row r="775" ht="15.75" customHeight="1">
      <c r="A775" s="141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30"/>
      <c r="AM775" s="130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</row>
    <row r="776" ht="15.75" customHeight="1">
      <c r="A776" s="141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30"/>
      <c r="AM776" s="130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</row>
    <row r="777" ht="15.75" customHeight="1">
      <c r="A777" s="141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30"/>
      <c r="AM777" s="130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</row>
    <row r="778" ht="15.75" customHeight="1">
      <c r="A778" s="141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30"/>
      <c r="AM778" s="130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</row>
    <row r="779" ht="15.75" customHeight="1">
      <c r="A779" s="141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30"/>
      <c r="AM779" s="130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</row>
    <row r="780" ht="15.75" customHeight="1">
      <c r="A780" s="141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30"/>
      <c r="AM780" s="130"/>
      <c r="AN780" s="129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  <c r="BB780" s="129"/>
    </row>
    <row r="781" ht="15.75" customHeight="1">
      <c r="A781" s="141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30"/>
      <c r="AM781" s="130"/>
      <c r="AN781" s="129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  <c r="BB781" s="129"/>
    </row>
    <row r="782" ht="15.75" customHeight="1">
      <c r="A782" s="141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30"/>
      <c r="AM782" s="130"/>
      <c r="AN782" s="129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  <c r="BB782" s="129"/>
    </row>
    <row r="783" ht="15.75" customHeight="1">
      <c r="A783" s="141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30"/>
      <c r="AM783" s="130"/>
      <c r="AN783" s="129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  <c r="BB783" s="129"/>
    </row>
    <row r="784" ht="15.75" customHeight="1">
      <c r="A784" s="141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30"/>
      <c r="AM784" s="130"/>
      <c r="AN784" s="129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  <c r="BB784" s="129"/>
    </row>
    <row r="785" ht="15.75" customHeight="1">
      <c r="A785" s="141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30"/>
      <c r="AM785" s="130"/>
      <c r="AN785" s="129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  <c r="BB785" s="129"/>
    </row>
    <row r="786" ht="15.75" customHeight="1">
      <c r="A786" s="141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30"/>
      <c r="AM786" s="130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</row>
    <row r="787" ht="15.75" customHeight="1">
      <c r="A787" s="141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30"/>
      <c r="AM787" s="130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</row>
    <row r="788" ht="15.75" customHeight="1">
      <c r="A788" s="141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30"/>
      <c r="AM788" s="130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</row>
    <row r="789" ht="15.75" customHeight="1">
      <c r="A789" s="141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30"/>
      <c r="AM789" s="130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</row>
    <row r="790" ht="15.75" customHeight="1">
      <c r="A790" s="141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30"/>
      <c r="AM790" s="130"/>
      <c r="AN790" s="129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  <c r="BB790" s="129"/>
    </row>
    <row r="791" ht="15.75" customHeight="1">
      <c r="A791" s="141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30"/>
      <c r="AM791" s="130"/>
      <c r="AN791" s="129"/>
      <c r="AO791" s="129"/>
      <c r="AP791" s="129"/>
      <c r="AQ791" s="129"/>
      <c r="AR791" s="129"/>
      <c r="AS791" s="129"/>
      <c r="AT791" s="129"/>
      <c r="AU791" s="129"/>
      <c r="AV791" s="129"/>
      <c r="AW791" s="129"/>
      <c r="AX791" s="129"/>
      <c r="AY791" s="129"/>
      <c r="AZ791" s="129"/>
      <c r="BA791" s="129"/>
      <c r="BB791" s="129"/>
    </row>
    <row r="792" ht="15.75" customHeight="1">
      <c r="A792" s="141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30"/>
      <c r="AM792" s="130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</row>
    <row r="793" ht="15.75" customHeight="1">
      <c r="A793" s="141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30"/>
      <c r="AM793" s="130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</row>
    <row r="794" ht="15.75" customHeight="1">
      <c r="A794" s="141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30"/>
      <c r="AM794" s="130"/>
      <c r="AN794" s="129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  <c r="BB794" s="129"/>
    </row>
    <row r="795" ht="15.75" customHeight="1">
      <c r="A795" s="141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30"/>
      <c r="AM795" s="130"/>
      <c r="AN795" s="129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  <c r="BB795" s="129"/>
    </row>
    <row r="796" ht="15.75" customHeight="1">
      <c r="A796" s="141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30"/>
      <c r="AM796" s="130"/>
      <c r="AN796" s="129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  <c r="BB796" s="129"/>
    </row>
    <row r="797" ht="15.75" customHeight="1">
      <c r="A797" s="141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30"/>
      <c r="AM797" s="130"/>
      <c r="AN797" s="129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  <c r="BB797" s="129"/>
    </row>
    <row r="798" ht="15.75" customHeight="1">
      <c r="A798" s="141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30"/>
      <c r="AM798" s="130"/>
      <c r="AN798" s="129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  <c r="BB798" s="129"/>
    </row>
    <row r="799" ht="15.75" customHeight="1">
      <c r="A799" s="141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30"/>
      <c r="AM799" s="130"/>
      <c r="AN799" s="129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  <c r="BB799" s="129"/>
    </row>
    <row r="800" ht="15.75" customHeight="1">
      <c r="A800" s="141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30"/>
      <c r="AM800" s="130"/>
      <c r="AN800" s="129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  <c r="BB800" s="129"/>
    </row>
    <row r="801" ht="15.75" customHeight="1">
      <c r="A801" s="141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30"/>
      <c r="AM801" s="130"/>
      <c r="AN801" s="129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  <c r="BB801" s="129"/>
    </row>
    <row r="802" ht="15.75" customHeight="1">
      <c r="A802" s="141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30"/>
      <c r="AM802" s="130"/>
      <c r="AN802" s="129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  <c r="BB802" s="129"/>
    </row>
    <row r="803" ht="15.75" customHeight="1">
      <c r="A803" s="141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30"/>
      <c r="AM803" s="130"/>
      <c r="AN803" s="129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  <c r="BB803" s="129"/>
    </row>
    <row r="804" ht="15.75" customHeight="1">
      <c r="A804" s="141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30"/>
      <c r="AM804" s="130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  <c r="BB804" s="129"/>
    </row>
    <row r="805" ht="15.75" customHeight="1">
      <c r="A805" s="141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30"/>
      <c r="AM805" s="130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</row>
    <row r="806" ht="15.75" customHeight="1">
      <c r="A806" s="141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30"/>
      <c r="AM806" s="130"/>
      <c r="AN806" s="129"/>
      <c r="AO806" s="129"/>
      <c r="AP806" s="129"/>
      <c r="AQ806" s="129"/>
      <c r="AR806" s="129"/>
      <c r="AS806" s="129"/>
      <c r="AT806" s="129"/>
      <c r="AU806" s="129"/>
      <c r="AV806" s="129"/>
      <c r="AW806" s="129"/>
      <c r="AX806" s="129"/>
      <c r="AY806" s="129"/>
      <c r="AZ806" s="129"/>
      <c r="BA806" s="129"/>
      <c r="BB806" s="129"/>
    </row>
    <row r="807" ht="15.75" customHeight="1">
      <c r="A807" s="141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30"/>
      <c r="AM807" s="130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</row>
    <row r="808" ht="15.75" customHeight="1">
      <c r="A808" s="141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30"/>
      <c r="AM808" s="130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</row>
    <row r="809" ht="15.75" customHeight="1">
      <c r="A809" s="141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30"/>
      <c r="AM809" s="130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</row>
    <row r="810" ht="15.75" customHeight="1">
      <c r="A810" s="141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30"/>
      <c r="AM810" s="130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</row>
    <row r="811" ht="15.75" customHeight="1">
      <c r="A811" s="141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30"/>
      <c r="AM811" s="130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</row>
    <row r="812" ht="15.75" customHeight="1">
      <c r="A812" s="141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30"/>
      <c r="AM812" s="130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</row>
    <row r="813" ht="15.75" customHeight="1">
      <c r="A813" s="141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30"/>
      <c r="AM813" s="130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</row>
    <row r="814" ht="15.75" customHeight="1">
      <c r="A814" s="141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30"/>
      <c r="AM814" s="130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</row>
    <row r="815" ht="15.75" customHeight="1">
      <c r="A815" s="141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30"/>
      <c r="AM815" s="130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</row>
    <row r="816" ht="15.75" customHeight="1">
      <c r="A816" s="141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30"/>
      <c r="AM816" s="130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</row>
    <row r="817" ht="15.75" customHeight="1">
      <c r="A817" s="141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30"/>
      <c r="AM817" s="130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</row>
    <row r="818" ht="15.75" customHeight="1">
      <c r="A818" s="141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30"/>
      <c r="AM818" s="130"/>
      <c r="AN818" s="129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  <c r="BB818" s="129"/>
    </row>
    <row r="819" ht="15.75" customHeight="1">
      <c r="A819" s="141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30"/>
      <c r="AM819" s="130"/>
      <c r="AN819" s="129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  <c r="BB819" s="129"/>
    </row>
    <row r="820" ht="15.75" customHeight="1">
      <c r="A820" s="141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30"/>
      <c r="AM820" s="130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</row>
    <row r="821" ht="15.75" customHeight="1">
      <c r="A821" s="141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30"/>
      <c r="AM821" s="130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</row>
    <row r="822" ht="15.75" customHeight="1">
      <c r="A822" s="141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30"/>
      <c r="AM822" s="130"/>
      <c r="AN822" s="129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  <c r="BB822" s="129"/>
    </row>
    <row r="823" ht="15.75" customHeight="1">
      <c r="A823" s="141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30"/>
      <c r="AM823" s="130"/>
      <c r="AN823" s="129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  <c r="BB823" s="129"/>
    </row>
    <row r="824" ht="15.75" customHeight="1">
      <c r="A824" s="141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30"/>
      <c r="AM824" s="130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</row>
    <row r="825" ht="15.75" customHeight="1">
      <c r="A825" s="141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30"/>
      <c r="AM825" s="130"/>
      <c r="AN825" s="129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  <c r="BB825" s="129"/>
    </row>
    <row r="826" ht="15.75" customHeight="1">
      <c r="A826" s="141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30"/>
      <c r="AM826" s="130"/>
      <c r="AN826" s="129"/>
      <c r="AO826" s="129"/>
      <c r="AP826" s="129"/>
      <c r="AQ826" s="129"/>
      <c r="AR826" s="129"/>
      <c r="AS826" s="129"/>
      <c r="AT826" s="129"/>
      <c r="AU826" s="129"/>
      <c r="AV826" s="129"/>
      <c r="AW826" s="129"/>
      <c r="AX826" s="129"/>
      <c r="AY826" s="129"/>
      <c r="AZ826" s="129"/>
      <c r="BA826" s="129"/>
      <c r="BB826" s="129"/>
    </row>
    <row r="827" ht="15.75" customHeight="1">
      <c r="A827" s="141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30"/>
      <c r="AM827" s="130"/>
      <c r="AN827" s="129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  <c r="BB827" s="129"/>
    </row>
    <row r="828" ht="15.75" customHeight="1">
      <c r="A828" s="141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30"/>
      <c r="AM828" s="130"/>
      <c r="AN828" s="129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  <c r="BB828" s="129"/>
    </row>
    <row r="829" ht="15.75" customHeight="1">
      <c r="A829" s="141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30"/>
      <c r="AM829" s="130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</row>
    <row r="830" ht="15.75" customHeight="1">
      <c r="A830" s="141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30"/>
      <c r="AM830" s="130"/>
      <c r="AN830" s="129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  <c r="BB830" s="129"/>
    </row>
    <row r="831" ht="15.75" customHeight="1">
      <c r="A831" s="141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30"/>
      <c r="AM831" s="130"/>
      <c r="AN831" s="129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  <c r="BB831" s="129"/>
    </row>
    <row r="832" ht="15.75" customHeight="1">
      <c r="A832" s="141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30"/>
      <c r="AM832" s="130"/>
      <c r="AN832" s="129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  <c r="BB832" s="129"/>
    </row>
    <row r="833" ht="15.75" customHeight="1">
      <c r="A833" s="141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30"/>
      <c r="AM833" s="130"/>
      <c r="AN833" s="129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  <c r="BB833" s="129"/>
    </row>
    <row r="834" ht="15.75" customHeight="1">
      <c r="A834" s="141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30"/>
      <c r="AM834" s="130"/>
      <c r="AN834" s="129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  <c r="BB834" s="129"/>
    </row>
    <row r="835" ht="15.75" customHeight="1">
      <c r="A835" s="141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30"/>
      <c r="AM835" s="130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</row>
    <row r="836" ht="15.75" customHeight="1">
      <c r="A836" s="141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30"/>
      <c r="AM836" s="130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</row>
    <row r="837" ht="15.75" customHeight="1">
      <c r="A837" s="141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30"/>
      <c r="AM837" s="130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</row>
    <row r="838" ht="15.75" customHeight="1">
      <c r="A838" s="141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30"/>
      <c r="AM838" s="130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</row>
    <row r="839" ht="15.75" customHeight="1">
      <c r="A839" s="141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30"/>
      <c r="AM839" s="130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</row>
    <row r="840" ht="15.75" customHeight="1">
      <c r="A840" s="141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30"/>
      <c r="AM840" s="130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</row>
    <row r="841" ht="15.75" customHeight="1">
      <c r="A841" s="141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30"/>
      <c r="AM841" s="130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</row>
    <row r="842" ht="15.75" customHeight="1">
      <c r="A842" s="141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30"/>
      <c r="AM842" s="130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</row>
    <row r="843" ht="15.75" customHeight="1">
      <c r="A843" s="141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30"/>
      <c r="AM843" s="130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</row>
    <row r="844" ht="15.75" customHeight="1">
      <c r="A844" s="141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30"/>
      <c r="AM844" s="130"/>
      <c r="AN844" s="129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  <c r="BB844" s="129"/>
    </row>
    <row r="845" ht="15.75" customHeight="1">
      <c r="A845" s="141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30"/>
      <c r="AM845" s="130"/>
      <c r="AN845" s="129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  <c r="BB845" s="129"/>
    </row>
    <row r="846" ht="15.75" customHeight="1">
      <c r="A846" s="141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30"/>
      <c r="AM846" s="130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</row>
    <row r="847" ht="15.75" customHeight="1">
      <c r="A847" s="141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30"/>
      <c r="AM847" s="130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</row>
    <row r="848" ht="15.75" customHeight="1">
      <c r="A848" s="141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30"/>
      <c r="AM848" s="130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</row>
    <row r="849" ht="15.75" customHeight="1">
      <c r="A849" s="141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30"/>
      <c r="AM849" s="130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</row>
    <row r="850" ht="15.75" customHeight="1">
      <c r="A850" s="141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30"/>
      <c r="AM850" s="130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</row>
    <row r="851" ht="15.75" customHeight="1">
      <c r="A851" s="141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30"/>
      <c r="AM851" s="130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</row>
    <row r="852" ht="15.75" customHeight="1">
      <c r="A852" s="141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30"/>
      <c r="AM852" s="130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</row>
    <row r="853" ht="15.75" customHeight="1">
      <c r="A853" s="141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30"/>
      <c r="AM853" s="130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</row>
    <row r="854" ht="15.75" customHeight="1">
      <c r="A854" s="141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30"/>
      <c r="AM854" s="130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</row>
    <row r="855" ht="15.75" customHeight="1">
      <c r="A855" s="141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30"/>
      <c r="AM855" s="130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</row>
    <row r="856" ht="15.75" customHeight="1">
      <c r="A856" s="141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30"/>
      <c r="AM856" s="130"/>
      <c r="AN856" s="129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  <c r="BB856" s="129"/>
    </row>
    <row r="857" ht="15.75" customHeight="1">
      <c r="A857" s="141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30"/>
      <c r="AM857" s="130"/>
      <c r="AN857" s="129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  <c r="BB857" s="129"/>
    </row>
    <row r="858" ht="15.75" customHeight="1">
      <c r="A858" s="141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30"/>
      <c r="AM858" s="130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</row>
    <row r="859" ht="15.75" customHeight="1">
      <c r="A859" s="141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30"/>
      <c r="AM859" s="130"/>
      <c r="AN859" s="129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  <c r="BB859" s="129"/>
    </row>
    <row r="860" ht="15.75" customHeight="1">
      <c r="A860" s="141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30"/>
      <c r="AM860" s="130"/>
      <c r="AN860" s="129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  <c r="BB860" s="129"/>
    </row>
    <row r="861" ht="15.75" customHeight="1">
      <c r="A861" s="141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30"/>
      <c r="AM861" s="130"/>
      <c r="AN861" s="129"/>
      <c r="AO861" s="129"/>
      <c r="AP861" s="129"/>
      <c r="AQ861" s="129"/>
      <c r="AR861" s="129"/>
      <c r="AS861" s="129"/>
      <c r="AT861" s="129"/>
      <c r="AU861" s="129"/>
      <c r="AV861" s="129"/>
      <c r="AW861" s="129"/>
      <c r="AX861" s="129"/>
      <c r="AY861" s="129"/>
      <c r="AZ861" s="129"/>
      <c r="BA861" s="129"/>
      <c r="BB861" s="129"/>
    </row>
    <row r="862" ht="15.75" customHeight="1">
      <c r="A862" s="141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30"/>
      <c r="AM862" s="130"/>
      <c r="AN862" s="129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  <c r="BB862" s="129"/>
    </row>
    <row r="863" ht="15.75" customHeight="1">
      <c r="A863" s="141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30"/>
      <c r="AM863" s="130"/>
      <c r="AN863" s="129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  <c r="BB863" s="129"/>
    </row>
    <row r="864" ht="15.75" customHeight="1">
      <c r="A864" s="141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30"/>
      <c r="AM864" s="130"/>
      <c r="AN864" s="129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  <c r="BB864" s="129"/>
    </row>
    <row r="865" ht="15.75" customHeight="1">
      <c r="A865" s="141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30"/>
      <c r="AM865" s="130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</row>
    <row r="866" ht="15.75" customHeight="1">
      <c r="A866" s="141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30"/>
      <c r="AM866" s="130"/>
      <c r="AN866" s="129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  <c r="BB866" s="129"/>
    </row>
    <row r="867" ht="15.75" customHeight="1">
      <c r="A867" s="141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30"/>
      <c r="AM867" s="130"/>
      <c r="AN867" s="129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  <c r="BB867" s="129"/>
    </row>
    <row r="868" ht="15.75" customHeight="1">
      <c r="A868" s="141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30"/>
      <c r="AM868" s="130"/>
      <c r="AN868" s="129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  <c r="BB868" s="129"/>
    </row>
    <row r="869" ht="15.75" customHeight="1">
      <c r="A869" s="141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30"/>
      <c r="AM869" s="130"/>
      <c r="AN869" s="129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  <c r="BB869" s="129"/>
    </row>
    <row r="870" ht="15.75" customHeight="1">
      <c r="A870" s="141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30"/>
      <c r="AM870" s="130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</row>
    <row r="871" ht="15.75" customHeight="1">
      <c r="A871" s="141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30"/>
      <c r="AM871" s="130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</row>
    <row r="872" ht="15.75" customHeight="1">
      <c r="A872" s="141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30"/>
      <c r="AM872" s="130"/>
      <c r="AN872" s="129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  <c r="BB872" s="129"/>
    </row>
    <row r="873" ht="15.75" customHeight="1">
      <c r="A873" s="141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30"/>
      <c r="AM873" s="130"/>
      <c r="AN873" s="129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  <c r="BB873" s="129"/>
    </row>
    <row r="874" ht="15.75" customHeight="1">
      <c r="A874" s="141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30"/>
      <c r="AM874" s="130"/>
      <c r="AN874" s="129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  <c r="BB874" s="129"/>
    </row>
    <row r="875" ht="15.75" customHeight="1">
      <c r="A875" s="141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30"/>
      <c r="AM875" s="130"/>
      <c r="AN875" s="129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  <c r="BB875" s="129"/>
    </row>
    <row r="876" ht="15.75" customHeight="1">
      <c r="A876" s="141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30"/>
      <c r="AM876" s="130"/>
      <c r="AN876" s="129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  <c r="BB876" s="129"/>
    </row>
    <row r="877" ht="15.75" customHeight="1">
      <c r="A877" s="141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30"/>
      <c r="AM877" s="130"/>
      <c r="AN877" s="129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  <c r="BB877" s="129"/>
    </row>
    <row r="878" ht="15.75" customHeight="1">
      <c r="A878" s="141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30"/>
      <c r="AM878" s="130"/>
      <c r="AN878" s="129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  <c r="BB878" s="129"/>
    </row>
    <row r="879" ht="15.75" customHeight="1">
      <c r="A879" s="141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30"/>
      <c r="AM879" s="130"/>
      <c r="AN879" s="129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  <c r="BB879" s="129"/>
    </row>
    <row r="880" ht="15.75" customHeight="1">
      <c r="A880" s="141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30"/>
      <c r="AM880" s="130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  <c r="BB880" s="129"/>
    </row>
    <row r="881" ht="15.75" customHeight="1">
      <c r="A881" s="141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30"/>
      <c r="AM881" s="130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</row>
    <row r="882" ht="15.75" customHeight="1">
      <c r="A882" s="141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30"/>
      <c r="AM882" s="130"/>
      <c r="AN882" s="129"/>
      <c r="AO882" s="129"/>
      <c r="AP882" s="129"/>
      <c r="AQ882" s="129"/>
      <c r="AR882" s="129"/>
      <c r="AS882" s="129"/>
      <c r="AT882" s="129"/>
      <c r="AU882" s="129"/>
      <c r="AV882" s="129"/>
      <c r="AW882" s="129"/>
      <c r="AX882" s="129"/>
      <c r="AY882" s="129"/>
      <c r="AZ882" s="129"/>
      <c r="BA882" s="129"/>
      <c r="BB882" s="129"/>
    </row>
    <row r="883" ht="15.75" customHeight="1">
      <c r="A883" s="141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30"/>
      <c r="AM883" s="130"/>
      <c r="AN883" s="129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  <c r="BB883" s="129"/>
    </row>
    <row r="884" ht="15.75" customHeight="1">
      <c r="A884" s="141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30"/>
      <c r="AM884" s="130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</row>
    <row r="885" ht="15.75" customHeight="1">
      <c r="A885" s="141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30"/>
      <c r="AM885" s="130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</row>
    <row r="886" ht="15.75" customHeight="1">
      <c r="A886" s="141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30"/>
      <c r="AM886" s="130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</row>
    <row r="887" ht="15.75" customHeight="1">
      <c r="A887" s="141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30"/>
      <c r="AM887" s="130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</row>
    <row r="888" ht="15.75" customHeight="1">
      <c r="A888" s="141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30"/>
      <c r="AM888" s="130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</row>
    <row r="889" ht="15.75" customHeight="1">
      <c r="A889" s="141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30"/>
      <c r="AM889" s="130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</row>
    <row r="890" ht="15.75" customHeight="1">
      <c r="A890" s="141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30"/>
      <c r="AM890" s="130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</row>
    <row r="891" ht="15.75" customHeight="1">
      <c r="A891" s="141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30"/>
      <c r="AM891" s="130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</row>
    <row r="892" ht="15.75" customHeight="1">
      <c r="A892" s="141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30"/>
      <c r="AM892" s="130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</row>
    <row r="893" ht="15.75" customHeight="1">
      <c r="A893" s="141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30"/>
      <c r="AM893" s="130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</row>
    <row r="894" ht="15.75" customHeight="1">
      <c r="A894" s="141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30"/>
      <c r="AM894" s="130"/>
      <c r="AN894" s="129"/>
      <c r="AO894" s="129"/>
      <c r="AP894" s="129"/>
      <c r="AQ894" s="129"/>
      <c r="AR894" s="129"/>
      <c r="AS894" s="129"/>
      <c r="AT894" s="129"/>
      <c r="AU894" s="129"/>
      <c r="AV894" s="129"/>
      <c r="AW894" s="129"/>
      <c r="AX894" s="129"/>
      <c r="AY894" s="129"/>
      <c r="AZ894" s="129"/>
      <c r="BA894" s="129"/>
      <c r="BB894" s="129"/>
    </row>
    <row r="895" ht="15.75" customHeight="1">
      <c r="A895" s="141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30"/>
      <c r="AM895" s="130"/>
      <c r="AN895" s="129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  <c r="BB895" s="129"/>
    </row>
    <row r="896" ht="15.75" customHeight="1">
      <c r="A896" s="141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30"/>
      <c r="AM896" s="130"/>
      <c r="AN896" s="129"/>
      <c r="AO896" s="129"/>
      <c r="AP896" s="129"/>
      <c r="AQ896" s="129"/>
      <c r="AR896" s="129"/>
      <c r="AS896" s="129"/>
      <c r="AT896" s="129"/>
      <c r="AU896" s="129"/>
      <c r="AV896" s="129"/>
      <c r="AW896" s="129"/>
      <c r="AX896" s="129"/>
      <c r="AY896" s="129"/>
      <c r="AZ896" s="129"/>
      <c r="BA896" s="129"/>
      <c r="BB896" s="129"/>
    </row>
    <row r="897" ht="15.75" customHeight="1">
      <c r="A897" s="141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30"/>
      <c r="AM897" s="130"/>
      <c r="AN897" s="129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  <c r="BB897" s="129"/>
    </row>
    <row r="898" ht="15.75" customHeight="1">
      <c r="A898" s="141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30"/>
      <c r="AM898" s="130"/>
      <c r="AN898" s="129"/>
      <c r="AO898" s="129"/>
      <c r="AP898" s="129"/>
      <c r="AQ898" s="129"/>
      <c r="AR898" s="129"/>
      <c r="AS898" s="129"/>
      <c r="AT898" s="129"/>
      <c r="AU898" s="129"/>
      <c r="AV898" s="129"/>
      <c r="AW898" s="129"/>
      <c r="AX898" s="129"/>
      <c r="AY898" s="129"/>
      <c r="AZ898" s="129"/>
      <c r="BA898" s="129"/>
      <c r="BB898" s="129"/>
    </row>
    <row r="899" ht="15.75" customHeight="1">
      <c r="A899" s="141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30"/>
      <c r="AM899" s="130"/>
      <c r="AN899" s="129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  <c r="BB899" s="129"/>
    </row>
    <row r="900" ht="15.75" customHeight="1">
      <c r="A900" s="141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30"/>
      <c r="AM900" s="130"/>
      <c r="AN900" s="129"/>
      <c r="AO900" s="129"/>
      <c r="AP900" s="129"/>
      <c r="AQ900" s="129"/>
      <c r="AR900" s="129"/>
      <c r="AS900" s="129"/>
      <c r="AT900" s="129"/>
      <c r="AU900" s="129"/>
      <c r="AV900" s="129"/>
      <c r="AW900" s="129"/>
      <c r="AX900" s="129"/>
      <c r="AY900" s="129"/>
      <c r="AZ900" s="129"/>
      <c r="BA900" s="129"/>
      <c r="BB900" s="129"/>
    </row>
    <row r="901" ht="15.75" customHeight="1">
      <c r="A901" s="141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30"/>
      <c r="AM901" s="130"/>
      <c r="AN901" s="129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  <c r="BB901" s="129"/>
    </row>
    <row r="902" ht="15.75" customHeight="1">
      <c r="A902" s="141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30"/>
      <c r="AM902" s="130"/>
      <c r="AN902" s="129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  <c r="BB902" s="129"/>
    </row>
    <row r="903" ht="15.75" customHeight="1">
      <c r="A903" s="141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30"/>
      <c r="AM903" s="130"/>
      <c r="AN903" s="129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  <c r="BB903" s="129"/>
    </row>
    <row r="904" ht="15.75" customHeight="1">
      <c r="A904" s="141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30"/>
      <c r="AM904" s="130"/>
      <c r="AN904" s="129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  <c r="BB904" s="129"/>
    </row>
    <row r="905" ht="15.75" customHeight="1">
      <c r="A905" s="141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30"/>
      <c r="AM905" s="130"/>
      <c r="AN905" s="129"/>
      <c r="AO905" s="129"/>
      <c r="AP905" s="129"/>
      <c r="AQ905" s="129"/>
      <c r="AR905" s="129"/>
      <c r="AS905" s="129"/>
      <c r="AT905" s="129"/>
      <c r="AU905" s="129"/>
      <c r="AV905" s="129"/>
      <c r="AW905" s="129"/>
      <c r="AX905" s="129"/>
      <c r="AY905" s="129"/>
      <c r="AZ905" s="129"/>
      <c r="BA905" s="129"/>
      <c r="BB905" s="129"/>
    </row>
    <row r="906" ht="15.75" customHeight="1">
      <c r="A906" s="141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30"/>
      <c r="AM906" s="130"/>
      <c r="AN906" s="129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  <c r="BB906" s="129"/>
    </row>
    <row r="907" ht="15.75" customHeight="1">
      <c r="A907" s="141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30"/>
      <c r="AM907" s="130"/>
      <c r="AN907" s="129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  <c r="BB907" s="129"/>
    </row>
    <row r="908" ht="15.75" customHeight="1">
      <c r="A908" s="141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30"/>
      <c r="AM908" s="130"/>
      <c r="AN908" s="129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  <c r="BB908" s="129"/>
    </row>
    <row r="909" ht="15.75" customHeight="1">
      <c r="A909" s="141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30"/>
      <c r="AM909" s="130"/>
      <c r="AN909" s="129"/>
      <c r="AO909" s="129"/>
      <c r="AP909" s="129"/>
      <c r="AQ909" s="129"/>
      <c r="AR909" s="129"/>
      <c r="AS909" s="129"/>
      <c r="AT909" s="129"/>
      <c r="AU909" s="129"/>
      <c r="AV909" s="129"/>
      <c r="AW909" s="129"/>
      <c r="AX909" s="129"/>
      <c r="AY909" s="129"/>
      <c r="AZ909" s="129"/>
      <c r="BA909" s="129"/>
      <c r="BB909" s="129"/>
    </row>
    <row r="910" ht="15.75" customHeight="1">
      <c r="A910" s="141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30"/>
      <c r="AM910" s="130"/>
      <c r="AN910" s="129"/>
      <c r="AO910" s="129"/>
      <c r="AP910" s="129"/>
      <c r="AQ910" s="129"/>
      <c r="AR910" s="129"/>
      <c r="AS910" s="129"/>
      <c r="AT910" s="129"/>
      <c r="AU910" s="129"/>
      <c r="AV910" s="129"/>
      <c r="AW910" s="129"/>
      <c r="AX910" s="129"/>
      <c r="AY910" s="129"/>
      <c r="AZ910" s="129"/>
      <c r="BA910" s="129"/>
      <c r="BB910" s="129"/>
    </row>
    <row r="911" ht="15.75" customHeight="1">
      <c r="A911" s="141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30"/>
      <c r="AM911" s="130"/>
      <c r="AN911" s="129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  <c r="BB911" s="129"/>
    </row>
    <row r="912" ht="15.75" customHeight="1">
      <c r="A912" s="141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30"/>
      <c r="AM912" s="130"/>
      <c r="AN912" s="129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  <c r="BB912" s="129"/>
    </row>
    <row r="913" ht="15.75" customHeight="1">
      <c r="A913" s="141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30"/>
      <c r="AM913" s="130"/>
      <c r="AN913" s="129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  <c r="BB913" s="129"/>
    </row>
    <row r="914" ht="15.75" customHeight="1">
      <c r="A914" s="141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30"/>
      <c r="AM914" s="130"/>
      <c r="AN914" s="129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  <c r="BB914" s="129"/>
    </row>
    <row r="915" ht="15.75" customHeight="1">
      <c r="A915" s="141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30"/>
      <c r="AM915" s="130"/>
      <c r="AN915" s="129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  <c r="BB915" s="129"/>
    </row>
    <row r="916" ht="15.75" customHeight="1">
      <c r="A916" s="141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30"/>
      <c r="AM916" s="130"/>
      <c r="AN916" s="129"/>
      <c r="AO916" s="129"/>
      <c r="AP916" s="129"/>
      <c r="AQ916" s="129"/>
      <c r="AR916" s="129"/>
      <c r="AS916" s="129"/>
      <c r="AT916" s="129"/>
      <c r="AU916" s="129"/>
      <c r="AV916" s="129"/>
      <c r="AW916" s="129"/>
      <c r="AX916" s="129"/>
      <c r="AY916" s="129"/>
      <c r="AZ916" s="129"/>
      <c r="BA916" s="129"/>
      <c r="BB916" s="129"/>
    </row>
    <row r="917" ht="15.75" customHeight="1">
      <c r="A917" s="141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30"/>
      <c r="AM917" s="130"/>
      <c r="AN917" s="129"/>
      <c r="AO917" s="129"/>
      <c r="AP917" s="129"/>
      <c r="AQ917" s="129"/>
      <c r="AR917" s="129"/>
      <c r="AS917" s="129"/>
      <c r="AT917" s="129"/>
      <c r="AU917" s="129"/>
      <c r="AV917" s="129"/>
      <c r="AW917" s="129"/>
      <c r="AX917" s="129"/>
      <c r="AY917" s="129"/>
      <c r="AZ917" s="129"/>
      <c r="BA917" s="129"/>
      <c r="BB917" s="129"/>
    </row>
    <row r="918" ht="15.75" customHeight="1">
      <c r="A918" s="141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30"/>
      <c r="AM918" s="130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  <c r="BB918" s="129"/>
    </row>
    <row r="919" ht="15.75" customHeight="1">
      <c r="A919" s="141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30"/>
      <c r="AM919" s="130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</row>
    <row r="920" ht="15.75" customHeight="1">
      <c r="A920" s="141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30"/>
      <c r="AM920" s="130"/>
      <c r="AN920" s="129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  <c r="BB920" s="129"/>
    </row>
    <row r="921" ht="15.75" customHeight="1">
      <c r="A921" s="141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30"/>
      <c r="AM921" s="130"/>
      <c r="AN921" s="129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  <c r="BB921" s="129"/>
    </row>
    <row r="922" ht="15.75" customHeight="1">
      <c r="A922" s="141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30"/>
      <c r="AM922" s="130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</row>
    <row r="923" ht="15.75" customHeight="1">
      <c r="A923" s="141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30"/>
      <c r="AM923" s="130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</row>
    <row r="924" ht="15.75" customHeight="1">
      <c r="A924" s="141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30"/>
      <c r="AM924" s="130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</row>
    <row r="925" ht="15.75" customHeight="1">
      <c r="A925" s="141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30"/>
      <c r="AM925" s="130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</row>
    <row r="926" ht="15.75" customHeight="1">
      <c r="A926" s="141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30"/>
      <c r="AM926" s="130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</row>
    <row r="927" ht="15.75" customHeight="1">
      <c r="A927" s="141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30"/>
      <c r="AM927" s="130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</row>
    <row r="928" ht="15.75" customHeight="1">
      <c r="A928" s="141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30"/>
      <c r="AM928" s="130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</row>
    <row r="929" ht="15.75" customHeight="1">
      <c r="A929" s="141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30"/>
      <c r="AM929" s="130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</row>
    <row r="930" ht="15.75" customHeight="1">
      <c r="A930" s="141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30"/>
      <c r="AM930" s="130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</row>
    <row r="931" ht="15.75" customHeight="1">
      <c r="A931" s="141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30"/>
      <c r="AM931" s="130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</row>
    <row r="932" ht="15.75" customHeight="1">
      <c r="A932" s="141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30"/>
      <c r="AM932" s="130"/>
      <c r="AN932" s="129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  <c r="BB932" s="129"/>
    </row>
    <row r="933" ht="15.75" customHeight="1">
      <c r="A933" s="141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30"/>
      <c r="AM933" s="130"/>
      <c r="AN933" s="129"/>
      <c r="AO933" s="129"/>
      <c r="AP933" s="129"/>
      <c r="AQ933" s="129"/>
      <c r="AR933" s="129"/>
      <c r="AS933" s="129"/>
      <c r="AT933" s="129"/>
      <c r="AU933" s="129"/>
      <c r="AV933" s="129"/>
      <c r="AW933" s="129"/>
      <c r="AX933" s="129"/>
      <c r="AY933" s="129"/>
      <c r="AZ933" s="129"/>
      <c r="BA933" s="129"/>
      <c r="BB933" s="129"/>
    </row>
    <row r="934" ht="15.75" customHeight="1">
      <c r="A934" s="141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30"/>
      <c r="AM934" s="130"/>
      <c r="AN934" s="129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  <c r="BB934" s="129"/>
    </row>
    <row r="935" ht="15.75" customHeight="1">
      <c r="A935" s="141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30"/>
      <c r="AM935" s="130"/>
      <c r="AN935" s="129"/>
      <c r="AO935" s="129"/>
      <c r="AP935" s="129"/>
      <c r="AQ935" s="129"/>
      <c r="AR935" s="129"/>
      <c r="AS935" s="129"/>
      <c r="AT935" s="129"/>
      <c r="AU935" s="129"/>
      <c r="AV935" s="129"/>
      <c r="AW935" s="129"/>
      <c r="AX935" s="129"/>
      <c r="AY935" s="129"/>
      <c r="AZ935" s="129"/>
      <c r="BA935" s="129"/>
      <c r="BB935" s="129"/>
    </row>
    <row r="936" ht="15.75" customHeight="1">
      <c r="A936" s="141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30"/>
      <c r="AM936" s="130"/>
      <c r="AN936" s="129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  <c r="BB936" s="129"/>
    </row>
    <row r="937" ht="15.75" customHeight="1">
      <c r="A937" s="141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30"/>
      <c r="AM937" s="130"/>
      <c r="AN937" s="129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  <c r="BB937" s="129"/>
    </row>
    <row r="938" ht="15.75" customHeight="1">
      <c r="A938" s="141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30"/>
      <c r="AM938" s="130"/>
      <c r="AN938" s="129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  <c r="BB938" s="129"/>
    </row>
    <row r="939" ht="15.75" customHeight="1">
      <c r="A939" s="141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30"/>
      <c r="AM939" s="130"/>
      <c r="AN939" s="129"/>
      <c r="AO939" s="129"/>
      <c r="AP939" s="129"/>
      <c r="AQ939" s="129"/>
      <c r="AR939" s="129"/>
      <c r="AS939" s="129"/>
      <c r="AT939" s="129"/>
      <c r="AU939" s="129"/>
      <c r="AV939" s="129"/>
      <c r="AW939" s="129"/>
      <c r="AX939" s="129"/>
      <c r="AY939" s="129"/>
      <c r="AZ939" s="129"/>
      <c r="BA939" s="129"/>
      <c r="BB939" s="129"/>
    </row>
    <row r="940" ht="15.75" customHeight="1">
      <c r="A940" s="141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30"/>
      <c r="AM940" s="130"/>
      <c r="AN940" s="129"/>
      <c r="AO940" s="129"/>
      <c r="AP940" s="129"/>
      <c r="AQ940" s="129"/>
      <c r="AR940" s="129"/>
      <c r="AS940" s="129"/>
      <c r="AT940" s="129"/>
      <c r="AU940" s="129"/>
      <c r="AV940" s="129"/>
      <c r="AW940" s="129"/>
      <c r="AX940" s="129"/>
      <c r="AY940" s="129"/>
      <c r="AZ940" s="129"/>
      <c r="BA940" s="129"/>
      <c r="BB940" s="129"/>
    </row>
    <row r="941" ht="15.75" customHeight="1">
      <c r="A941" s="141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30"/>
      <c r="AM941" s="130"/>
      <c r="AN941" s="129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  <c r="BB941" s="129"/>
    </row>
    <row r="942" ht="15.75" customHeight="1">
      <c r="A942" s="141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30"/>
      <c r="AM942" s="130"/>
      <c r="AN942" s="129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  <c r="BB942" s="129"/>
    </row>
    <row r="943" ht="15.75" customHeight="1">
      <c r="A943" s="141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30"/>
      <c r="AM943" s="130"/>
      <c r="AN943" s="129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  <c r="BB943" s="129"/>
    </row>
    <row r="944" ht="15.75" customHeight="1">
      <c r="A944" s="141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30"/>
      <c r="AM944" s="130"/>
      <c r="AN944" s="129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  <c r="BB944" s="129"/>
    </row>
    <row r="945" ht="15.75" customHeight="1">
      <c r="A945" s="141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30"/>
      <c r="AM945" s="130"/>
      <c r="AN945" s="129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  <c r="BB945" s="129"/>
    </row>
    <row r="946" ht="15.75" customHeight="1">
      <c r="A946" s="141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30"/>
      <c r="AM946" s="130"/>
      <c r="AN946" s="129"/>
      <c r="AO946" s="129"/>
      <c r="AP946" s="129"/>
      <c r="AQ946" s="129"/>
      <c r="AR946" s="129"/>
      <c r="AS946" s="129"/>
      <c r="AT946" s="129"/>
      <c r="AU946" s="129"/>
      <c r="AV946" s="129"/>
      <c r="AW946" s="129"/>
      <c r="AX946" s="129"/>
      <c r="AY946" s="129"/>
      <c r="AZ946" s="129"/>
      <c r="BA946" s="129"/>
      <c r="BB946" s="129"/>
    </row>
    <row r="947" ht="15.75" customHeight="1">
      <c r="A947" s="141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30"/>
      <c r="AM947" s="130"/>
      <c r="AN947" s="129"/>
      <c r="AO947" s="129"/>
      <c r="AP947" s="129"/>
      <c r="AQ947" s="129"/>
      <c r="AR947" s="129"/>
      <c r="AS947" s="129"/>
      <c r="AT947" s="129"/>
      <c r="AU947" s="129"/>
      <c r="AV947" s="129"/>
      <c r="AW947" s="129"/>
      <c r="AX947" s="129"/>
      <c r="AY947" s="129"/>
      <c r="AZ947" s="129"/>
      <c r="BA947" s="129"/>
      <c r="BB947" s="129"/>
    </row>
    <row r="948" ht="15.75" customHeight="1">
      <c r="A948" s="141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30"/>
      <c r="AM948" s="130"/>
      <c r="AN948" s="129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  <c r="BB948" s="129"/>
    </row>
    <row r="949" ht="15.75" customHeight="1">
      <c r="A949" s="141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30"/>
      <c r="AM949" s="130"/>
      <c r="AN949" s="129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  <c r="BB949" s="129"/>
    </row>
    <row r="950" ht="15.75" customHeight="1">
      <c r="A950" s="141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30"/>
      <c r="AM950" s="130"/>
      <c r="AN950" s="129"/>
      <c r="AO950" s="129"/>
      <c r="AP950" s="129"/>
      <c r="AQ950" s="129"/>
      <c r="AR950" s="129"/>
      <c r="AS950" s="129"/>
      <c r="AT950" s="129"/>
      <c r="AU950" s="129"/>
      <c r="AV950" s="129"/>
      <c r="AW950" s="129"/>
      <c r="AX950" s="129"/>
      <c r="AY950" s="129"/>
      <c r="AZ950" s="129"/>
      <c r="BA950" s="129"/>
      <c r="BB950" s="129"/>
    </row>
    <row r="951" ht="15.75" customHeight="1">
      <c r="A951" s="141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30"/>
      <c r="AM951" s="130"/>
      <c r="AN951" s="129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  <c r="BB951" s="129"/>
    </row>
    <row r="952" ht="15.75" customHeight="1">
      <c r="A952" s="141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30"/>
      <c r="AM952" s="130"/>
      <c r="AN952" s="129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  <c r="BB952" s="129"/>
    </row>
    <row r="953" ht="15.75" customHeight="1">
      <c r="A953" s="141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30"/>
      <c r="AM953" s="130"/>
      <c r="AN953" s="129"/>
      <c r="AO953" s="129"/>
      <c r="AP953" s="129"/>
      <c r="AQ953" s="129"/>
      <c r="AR953" s="129"/>
      <c r="AS953" s="129"/>
      <c r="AT953" s="129"/>
      <c r="AU953" s="129"/>
      <c r="AV953" s="129"/>
      <c r="AW953" s="129"/>
      <c r="AX953" s="129"/>
      <c r="AY953" s="129"/>
      <c r="AZ953" s="129"/>
      <c r="BA953" s="129"/>
      <c r="BB953" s="129"/>
    </row>
    <row r="954" ht="15.75" customHeight="1">
      <c r="A954" s="141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30"/>
      <c r="AM954" s="130"/>
      <c r="AN954" s="129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  <c r="BB954" s="129"/>
    </row>
    <row r="955" ht="15.75" customHeight="1">
      <c r="A955" s="141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30"/>
      <c r="AM955" s="130"/>
      <c r="AN955" s="129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  <c r="BB955" s="129"/>
    </row>
    <row r="956" ht="15.75" customHeight="1">
      <c r="A956" s="141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30"/>
      <c r="AM956" s="130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/>
      <c r="AX956" s="129"/>
      <c r="AY956" s="129"/>
      <c r="AZ956" s="129"/>
      <c r="BA956" s="129"/>
      <c r="BB956" s="129"/>
    </row>
    <row r="957" ht="15.75" customHeight="1">
      <c r="A957" s="141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30"/>
      <c r="AM957" s="130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</row>
    <row r="958" ht="15.75" customHeight="1">
      <c r="A958" s="141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30"/>
      <c r="AM958" s="130"/>
      <c r="AN958" s="129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  <c r="BB958" s="129"/>
    </row>
    <row r="959" ht="15.75" customHeight="1">
      <c r="A959" s="141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30"/>
      <c r="AM959" s="130"/>
      <c r="AN959" s="129"/>
      <c r="AO959" s="129"/>
      <c r="AP959" s="129"/>
      <c r="AQ959" s="129"/>
      <c r="AR959" s="129"/>
      <c r="AS959" s="129"/>
      <c r="AT959" s="129"/>
      <c r="AU959" s="129"/>
      <c r="AV959" s="129"/>
      <c r="AW959" s="129"/>
      <c r="AX959" s="129"/>
      <c r="AY959" s="129"/>
      <c r="AZ959" s="129"/>
      <c r="BA959" s="129"/>
      <c r="BB959" s="129"/>
    </row>
    <row r="960" ht="15.75" customHeight="1">
      <c r="A960" s="141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30"/>
      <c r="AM960" s="130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</row>
    <row r="961" ht="15.75" customHeight="1">
      <c r="A961" s="141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30"/>
      <c r="AM961" s="130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</row>
    <row r="962" ht="15.75" customHeight="1">
      <c r="A962" s="141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30"/>
      <c r="AM962" s="130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</row>
    <row r="963" ht="15.75" customHeight="1">
      <c r="A963" s="141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30"/>
      <c r="AM963" s="130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</row>
    <row r="964" ht="15.75" customHeight="1">
      <c r="A964" s="141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30"/>
      <c r="AM964" s="130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</row>
    <row r="965" ht="15.75" customHeight="1">
      <c r="A965" s="141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30"/>
      <c r="AM965" s="130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</row>
    <row r="966" ht="15.75" customHeight="1">
      <c r="A966" s="141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30"/>
      <c r="AM966" s="130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</row>
    <row r="967" ht="15.75" customHeight="1">
      <c r="A967" s="141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30"/>
      <c r="AM967" s="130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</row>
    <row r="968" ht="15.75" customHeight="1">
      <c r="A968" s="141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30"/>
      <c r="AM968" s="130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</row>
    <row r="969" ht="15.75" customHeight="1">
      <c r="A969" s="141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30"/>
      <c r="AM969" s="130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</row>
    <row r="970" ht="15.75" customHeight="1">
      <c r="A970" s="141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30"/>
      <c r="AM970" s="130"/>
      <c r="AN970" s="129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  <c r="BB970" s="129"/>
    </row>
    <row r="971" ht="15.75" customHeight="1">
      <c r="A971" s="141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30"/>
      <c r="AM971" s="130"/>
      <c r="AN971" s="129"/>
      <c r="AO971" s="129"/>
      <c r="AP971" s="129"/>
      <c r="AQ971" s="129"/>
      <c r="AR971" s="129"/>
      <c r="AS971" s="129"/>
      <c r="AT971" s="129"/>
      <c r="AU971" s="129"/>
      <c r="AV971" s="129"/>
      <c r="AW971" s="129"/>
      <c r="AX971" s="129"/>
      <c r="AY971" s="129"/>
      <c r="AZ971" s="129"/>
      <c r="BA971" s="129"/>
      <c r="BB971" s="129"/>
    </row>
    <row r="972" ht="15.75" customHeight="1">
      <c r="A972" s="141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30"/>
      <c r="AM972" s="130"/>
      <c r="AN972" s="129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  <c r="BB972" s="129"/>
    </row>
    <row r="973" ht="15.75" customHeight="1">
      <c r="A973" s="141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30"/>
      <c r="AM973" s="130"/>
      <c r="AN973" s="129"/>
      <c r="AO973" s="129"/>
      <c r="AP973" s="129"/>
      <c r="AQ973" s="129"/>
      <c r="AR973" s="129"/>
      <c r="AS973" s="129"/>
      <c r="AT973" s="129"/>
      <c r="AU973" s="129"/>
      <c r="AV973" s="129"/>
      <c r="AW973" s="129"/>
      <c r="AX973" s="129"/>
      <c r="AY973" s="129"/>
      <c r="AZ973" s="129"/>
      <c r="BA973" s="129"/>
      <c r="BB973" s="129"/>
    </row>
    <row r="974" ht="15.75" customHeight="1">
      <c r="A974" s="141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30"/>
      <c r="AM974" s="130"/>
      <c r="AN974" s="129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  <c r="BB974" s="129"/>
    </row>
    <row r="975" ht="15.75" customHeight="1">
      <c r="A975" s="141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30"/>
      <c r="AM975" s="130"/>
      <c r="AN975" s="129"/>
      <c r="AO975" s="129"/>
      <c r="AP975" s="129"/>
      <c r="AQ975" s="129"/>
      <c r="AR975" s="129"/>
      <c r="AS975" s="129"/>
      <c r="AT975" s="129"/>
      <c r="AU975" s="129"/>
      <c r="AV975" s="129"/>
      <c r="AW975" s="129"/>
      <c r="AX975" s="129"/>
      <c r="AY975" s="129"/>
      <c r="AZ975" s="129"/>
      <c r="BA975" s="129"/>
      <c r="BB975" s="129"/>
    </row>
    <row r="976" ht="15.75" customHeight="1">
      <c r="A976" s="141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30"/>
      <c r="AM976" s="130"/>
      <c r="AN976" s="129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  <c r="BB976" s="129"/>
    </row>
    <row r="977" ht="15.75" customHeight="1">
      <c r="A977" s="141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30"/>
      <c r="AM977" s="130"/>
      <c r="AN977" s="129"/>
      <c r="AO977" s="129"/>
      <c r="AP977" s="129"/>
      <c r="AQ977" s="129"/>
      <c r="AR977" s="129"/>
      <c r="AS977" s="129"/>
      <c r="AT977" s="129"/>
      <c r="AU977" s="129"/>
      <c r="AV977" s="129"/>
      <c r="AW977" s="129"/>
      <c r="AX977" s="129"/>
      <c r="AY977" s="129"/>
      <c r="AZ977" s="129"/>
      <c r="BA977" s="129"/>
      <c r="BB977" s="129"/>
    </row>
    <row r="978" ht="15.75" customHeight="1">
      <c r="A978" s="141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30"/>
      <c r="AM978" s="130"/>
      <c r="AN978" s="129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  <c r="BB978" s="129"/>
    </row>
    <row r="979" ht="15.75" customHeight="1">
      <c r="A979" s="141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30"/>
      <c r="AM979" s="130"/>
      <c r="AN979" s="129"/>
      <c r="AO979" s="129"/>
      <c r="AP979" s="129"/>
      <c r="AQ979" s="129"/>
      <c r="AR979" s="129"/>
      <c r="AS979" s="129"/>
      <c r="AT979" s="129"/>
      <c r="AU979" s="129"/>
      <c r="AV979" s="129"/>
      <c r="AW979" s="129"/>
      <c r="AX979" s="129"/>
      <c r="AY979" s="129"/>
      <c r="AZ979" s="129"/>
      <c r="BA979" s="129"/>
      <c r="BB979" s="129"/>
    </row>
    <row r="980" ht="15.75" customHeight="1">
      <c r="A980" s="141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30"/>
      <c r="AM980" s="130"/>
      <c r="AN980" s="129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  <c r="BB980" s="129"/>
    </row>
    <row r="981" ht="15.75" customHeight="1">
      <c r="A981" s="141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30"/>
      <c r="AM981" s="130"/>
      <c r="AN981" s="129"/>
      <c r="AO981" s="129"/>
      <c r="AP981" s="129"/>
      <c r="AQ981" s="129"/>
      <c r="AR981" s="129"/>
      <c r="AS981" s="129"/>
      <c r="AT981" s="129"/>
      <c r="AU981" s="129"/>
      <c r="AV981" s="129"/>
      <c r="AW981" s="129"/>
      <c r="AX981" s="129"/>
      <c r="AY981" s="129"/>
      <c r="AZ981" s="129"/>
      <c r="BA981" s="129"/>
      <c r="BB981" s="129"/>
    </row>
    <row r="982" ht="15.75" customHeight="1">
      <c r="A982" s="141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30"/>
      <c r="AM982" s="130"/>
      <c r="AN982" s="129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  <c r="BB982" s="129"/>
    </row>
    <row r="983" ht="15.75" customHeight="1">
      <c r="A983" s="141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30"/>
      <c r="AM983" s="130"/>
      <c r="AN983" s="129"/>
      <c r="AO983" s="129"/>
      <c r="AP983" s="129"/>
      <c r="AQ983" s="129"/>
      <c r="AR983" s="129"/>
      <c r="AS983" s="129"/>
      <c r="AT983" s="129"/>
      <c r="AU983" s="129"/>
      <c r="AV983" s="129"/>
      <c r="AW983" s="129"/>
      <c r="AX983" s="129"/>
      <c r="AY983" s="129"/>
      <c r="AZ983" s="129"/>
      <c r="BA983" s="129"/>
      <c r="BB983" s="129"/>
    </row>
    <row r="984" ht="15.75" customHeight="1">
      <c r="A984" s="141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30"/>
      <c r="AM984" s="130"/>
      <c r="AN984" s="129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  <c r="BB984" s="129"/>
    </row>
    <row r="985" ht="15.75" customHeight="1">
      <c r="A985" s="141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30"/>
      <c r="AM985" s="130"/>
      <c r="AN985" s="129"/>
      <c r="AO985" s="129"/>
      <c r="AP985" s="129"/>
      <c r="AQ985" s="129"/>
      <c r="AR985" s="129"/>
      <c r="AS985" s="129"/>
      <c r="AT985" s="129"/>
      <c r="AU985" s="129"/>
      <c r="AV985" s="129"/>
      <c r="AW985" s="129"/>
      <c r="AX985" s="129"/>
      <c r="AY985" s="129"/>
      <c r="AZ985" s="129"/>
      <c r="BA985" s="129"/>
      <c r="BB985" s="129"/>
    </row>
    <row r="986" ht="15.75" customHeight="1">
      <c r="A986" s="141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30"/>
      <c r="AM986" s="130"/>
      <c r="AN986" s="129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  <c r="BB986" s="129"/>
    </row>
    <row r="987" ht="15.75" customHeight="1">
      <c r="A987" s="141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30"/>
      <c r="AM987" s="130"/>
      <c r="AN987" s="129"/>
      <c r="AO987" s="129"/>
      <c r="AP987" s="129"/>
      <c r="AQ987" s="129"/>
      <c r="AR987" s="129"/>
      <c r="AS987" s="129"/>
      <c r="AT987" s="129"/>
      <c r="AU987" s="129"/>
      <c r="AV987" s="129"/>
      <c r="AW987" s="129"/>
      <c r="AX987" s="129"/>
      <c r="AY987" s="129"/>
      <c r="AZ987" s="129"/>
      <c r="BA987" s="129"/>
      <c r="BB987" s="129"/>
    </row>
    <row r="988" ht="15.75" customHeight="1">
      <c r="A988" s="141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30"/>
      <c r="AM988" s="130"/>
      <c r="AN988" s="129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  <c r="BB988" s="129"/>
    </row>
    <row r="989" ht="15.75" customHeight="1">
      <c r="A989" s="141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30"/>
      <c r="AM989" s="130"/>
      <c r="AN989" s="129"/>
      <c r="AO989" s="129"/>
      <c r="AP989" s="129"/>
      <c r="AQ989" s="129"/>
      <c r="AR989" s="129"/>
      <c r="AS989" s="129"/>
      <c r="AT989" s="129"/>
      <c r="AU989" s="129"/>
      <c r="AV989" s="129"/>
      <c r="AW989" s="129"/>
      <c r="AX989" s="129"/>
      <c r="AY989" s="129"/>
      <c r="AZ989" s="129"/>
      <c r="BA989" s="129"/>
      <c r="BB989" s="129"/>
    </row>
    <row r="990" ht="15.75" customHeight="1">
      <c r="A990" s="141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30"/>
      <c r="AM990" s="130"/>
      <c r="AN990" s="129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  <c r="BB990" s="129"/>
    </row>
    <row r="991" ht="15.75" customHeight="1">
      <c r="A991" s="141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30"/>
      <c r="AM991" s="130"/>
      <c r="AN991" s="129"/>
      <c r="AO991" s="129"/>
      <c r="AP991" s="129"/>
      <c r="AQ991" s="129"/>
      <c r="AR991" s="129"/>
      <c r="AS991" s="129"/>
      <c r="AT991" s="129"/>
      <c r="AU991" s="129"/>
      <c r="AV991" s="129"/>
      <c r="AW991" s="129"/>
      <c r="AX991" s="129"/>
      <c r="AY991" s="129"/>
      <c r="AZ991" s="129"/>
      <c r="BA991" s="129"/>
      <c r="BB991" s="129"/>
    </row>
    <row r="992" ht="15.75" customHeight="1">
      <c r="A992" s="141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30"/>
      <c r="AM992" s="130"/>
      <c r="AN992" s="129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  <c r="BB992" s="129"/>
    </row>
    <row r="993" ht="15.75" customHeight="1">
      <c r="A993" s="141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30"/>
      <c r="AM993" s="130"/>
      <c r="AN993" s="129"/>
      <c r="AO993" s="129"/>
      <c r="AP993" s="129"/>
      <c r="AQ993" s="129"/>
      <c r="AR993" s="129"/>
      <c r="AS993" s="129"/>
      <c r="AT993" s="129"/>
      <c r="AU993" s="129"/>
      <c r="AV993" s="129"/>
      <c r="AW993" s="129"/>
      <c r="AX993" s="129"/>
      <c r="AY993" s="129"/>
      <c r="AZ993" s="129"/>
      <c r="BA993" s="129"/>
      <c r="BB993" s="129"/>
    </row>
    <row r="994" ht="15.75" customHeight="1">
      <c r="A994" s="141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30"/>
      <c r="AM994" s="130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  <c r="BB994" s="129"/>
    </row>
    <row r="995" ht="15.75" customHeight="1">
      <c r="A995" s="141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30"/>
      <c r="AM995" s="130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</row>
    <row r="996" ht="15.75" customHeight="1">
      <c r="A996" s="141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30"/>
      <c r="AM996" s="130"/>
      <c r="AN996" s="129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  <c r="BB996" s="129"/>
    </row>
    <row r="997" ht="15.75" customHeight="1">
      <c r="A997" s="141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30"/>
      <c r="AM997" s="130"/>
      <c r="AN997" s="129"/>
      <c r="AO997" s="129"/>
      <c r="AP997" s="129"/>
      <c r="AQ997" s="129"/>
      <c r="AR997" s="129"/>
      <c r="AS997" s="129"/>
      <c r="AT997" s="129"/>
      <c r="AU997" s="129"/>
      <c r="AV997" s="129"/>
      <c r="AW997" s="129"/>
      <c r="AX997" s="129"/>
      <c r="AY997" s="129"/>
      <c r="AZ997" s="129"/>
      <c r="BA997" s="129"/>
      <c r="BB997" s="129"/>
    </row>
    <row r="998" ht="15.75" customHeight="1">
      <c r="A998" s="141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30"/>
      <c r="AM998" s="130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</row>
    <row r="999" ht="15.75" customHeight="1">
      <c r="A999" s="141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30"/>
      <c r="AM999" s="130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</row>
    <row r="1000" ht="15.75" customHeight="1">
      <c r="A1000" s="141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30"/>
      <c r="AM1000" s="130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</row>
    <row r="1001" ht="15.75" customHeight="1">
      <c r="A1001" s="141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30"/>
      <c r="AM1001" s="130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</row>
  </sheetData>
  <mergeCells count="7877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T360:U360"/>
    <mergeCell ref="V360:W360"/>
    <mergeCell ref="X360:Y360"/>
    <mergeCell ref="Z360:AA360"/>
    <mergeCell ref="AB360:AC360"/>
    <mergeCell ref="AD360:AE360"/>
    <mergeCell ref="AF360:AG360"/>
    <mergeCell ref="AH360:AI360"/>
    <mergeCell ref="F360:G360"/>
    <mergeCell ref="H360:I360"/>
    <mergeCell ref="J360:K360"/>
    <mergeCell ref="L360:M360"/>
    <mergeCell ref="N360:O360"/>
    <mergeCell ref="P360:Q360"/>
    <mergeCell ref="R360:S360"/>
    <mergeCell ref="N361:O361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scale="3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25" width="3.67"/>
    <col customWidth="1" min="26" max="26" width="5.56"/>
    <col customWidth="1" min="27" max="29" width="3.67"/>
    <col customWidth="1" min="30" max="30" width="4.67"/>
    <col customWidth="1" min="31" max="53" width="3.67"/>
    <col customWidth="1" min="54" max="54" width="10.78"/>
    <col customWidth="1" min="55" max="55" width="9.0"/>
    <col customWidth="1" min="56" max="56" width="8.0"/>
    <col customWidth="1" min="57" max="57" width="11.44"/>
    <col customWidth="1" min="58" max="59" width="8.0"/>
  </cols>
  <sheetData>
    <row r="1" ht="15.75" customHeight="1">
      <c r="A1" s="18" t="s">
        <v>51</v>
      </c>
      <c r="B1" s="19"/>
      <c r="C1" s="19"/>
      <c r="D1" s="19"/>
      <c r="E1" s="20"/>
      <c r="F1" s="21" t="s">
        <v>15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55" t="s">
        <v>52</v>
      </c>
      <c r="S1" s="20"/>
      <c r="T1" s="22" t="s">
        <v>16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20"/>
      <c r="AF1" s="21" t="s">
        <v>17</v>
      </c>
      <c r="AG1" s="19"/>
      <c r="AH1" s="19"/>
      <c r="AI1" s="19"/>
      <c r="AJ1" s="19"/>
      <c r="AK1" s="20"/>
      <c r="AL1" s="22" t="s">
        <v>18</v>
      </c>
      <c r="AM1" s="20"/>
      <c r="AN1" s="56" t="s">
        <v>19</v>
      </c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20"/>
      <c r="BB1" s="24" t="s">
        <v>20</v>
      </c>
      <c r="BC1" s="25"/>
      <c r="BD1" s="25"/>
      <c r="BE1" s="25"/>
      <c r="BF1" s="26"/>
      <c r="BG1" s="57"/>
    </row>
    <row r="2" ht="148.5" customHeight="1">
      <c r="A2" s="27" t="s">
        <v>21</v>
      </c>
      <c r="B2" s="28" t="s">
        <v>2</v>
      </c>
      <c r="C2" s="28" t="s">
        <v>22</v>
      </c>
      <c r="D2" s="28" t="s">
        <v>23</v>
      </c>
      <c r="E2" s="28" t="s">
        <v>24</v>
      </c>
      <c r="F2" s="29" t="s">
        <v>25</v>
      </c>
      <c r="G2" s="30">
        <v>22.25</v>
      </c>
      <c r="H2" s="29" t="s">
        <v>26</v>
      </c>
      <c r="I2" s="30">
        <v>22.25</v>
      </c>
      <c r="J2" s="29" t="s">
        <v>27</v>
      </c>
      <c r="K2" s="30">
        <v>22.25</v>
      </c>
      <c r="L2" s="31" t="s">
        <v>28</v>
      </c>
      <c r="M2" s="30">
        <v>22.25</v>
      </c>
      <c r="N2" s="31" t="s">
        <v>29</v>
      </c>
      <c r="O2" s="30">
        <v>22.25</v>
      </c>
      <c r="P2" s="31" t="s">
        <v>30</v>
      </c>
      <c r="Q2" s="30">
        <v>1.64</v>
      </c>
      <c r="R2" s="31" t="s">
        <v>55</v>
      </c>
      <c r="S2" s="30">
        <v>22.88</v>
      </c>
      <c r="T2" s="31" t="s">
        <v>4</v>
      </c>
      <c r="U2" s="30">
        <v>11.12</v>
      </c>
      <c r="V2" s="31" t="s">
        <v>5</v>
      </c>
      <c r="W2" s="30">
        <v>11.12</v>
      </c>
      <c r="X2" s="31" t="s">
        <v>6</v>
      </c>
      <c r="Y2" s="30">
        <v>11.12</v>
      </c>
      <c r="Z2" s="58" t="s">
        <v>56</v>
      </c>
      <c r="AA2" s="30">
        <v>11.12</v>
      </c>
      <c r="AB2" s="31" t="s">
        <v>7</v>
      </c>
      <c r="AC2" s="30">
        <v>11.12</v>
      </c>
      <c r="AD2" s="58" t="s">
        <v>57</v>
      </c>
      <c r="AE2" s="30">
        <v>11.12</v>
      </c>
      <c r="AF2" s="31" t="s">
        <v>58</v>
      </c>
      <c r="AG2" s="30">
        <v>15.89</v>
      </c>
      <c r="AH2" s="31" t="s">
        <v>59</v>
      </c>
      <c r="AI2" s="30">
        <v>15.89</v>
      </c>
      <c r="AJ2" s="31" t="s">
        <v>60</v>
      </c>
      <c r="AK2" s="30">
        <v>15.89</v>
      </c>
      <c r="AL2" s="31" t="s">
        <v>34</v>
      </c>
      <c r="AM2" s="30">
        <v>15.89</v>
      </c>
      <c r="AN2" s="60" t="s">
        <v>35</v>
      </c>
      <c r="AO2" s="62">
        <v>27404.0</v>
      </c>
      <c r="AP2" s="31" t="s">
        <v>36</v>
      </c>
      <c r="AQ2" s="30">
        <v>15.0</v>
      </c>
      <c r="AR2" s="31" t="s">
        <v>37</v>
      </c>
      <c r="AS2" s="30">
        <v>1.64</v>
      </c>
      <c r="AT2" s="31" t="s">
        <v>38</v>
      </c>
      <c r="AU2" s="30">
        <v>1.64</v>
      </c>
      <c r="AV2" s="31" t="s">
        <v>39</v>
      </c>
      <c r="AW2" s="30">
        <v>35.0</v>
      </c>
      <c r="AX2" s="31" t="s">
        <v>62</v>
      </c>
      <c r="AY2" s="30">
        <v>11.12</v>
      </c>
      <c r="AZ2" s="31" t="s">
        <v>63</v>
      </c>
      <c r="BA2" s="30">
        <v>15.89</v>
      </c>
      <c r="BB2" s="35" t="s">
        <v>41</v>
      </c>
      <c r="BC2" s="35" t="s">
        <v>42</v>
      </c>
      <c r="BD2" s="35" t="s">
        <v>43</v>
      </c>
      <c r="BE2" s="35" t="s">
        <v>44</v>
      </c>
      <c r="BF2" s="35" t="s">
        <v>45</v>
      </c>
      <c r="BG2" s="69" t="s">
        <v>12</v>
      </c>
    </row>
    <row r="3" ht="15.75" customHeight="1">
      <c r="A3" s="36" t="s">
        <v>46</v>
      </c>
      <c r="B3" s="37">
        <v>45656.0</v>
      </c>
      <c r="C3" s="38">
        <v>1.0</v>
      </c>
      <c r="D3" s="39" t="s">
        <v>47</v>
      </c>
      <c r="E3" s="70" t="s">
        <v>64</v>
      </c>
      <c r="F3" s="41"/>
      <c r="H3" s="42">
        <v>0.0</v>
      </c>
      <c r="J3" s="42"/>
      <c r="L3" s="42"/>
      <c r="N3" s="42"/>
      <c r="P3" s="42"/>
      <c r="Q3" s="43"/>
      <c r="R3" s="42"/>
      <c r="T3" s="41"/>
      <c r="V3" s="42"/>
      <c r="X3" s="42"/>
      <c r="Z3" s="42"/>
      <c r="AB3" s="42"/>
      <c r="AD3" s="42"/>
      <c r="AE3" s="43"/>
      <c r="AF3" s="42"/>
      <c r="AH3" s="42"/>
      <c r="AJ3" s="42"/>
      <c r="AL3" s="44"/>
      <c r="AM3" s="45"/>
      <c r="AN3" s="72"/>
      <c r="AO3" s="43"/>
      <c r="AP3" s="41"/>
      <c r="AQ3" s="43"/>
      <c r="AR3" s="41"/>
      <c r="AS3" s="43"/>
      <c r="AT3" s="41"/>
      <c r="AU3" s="43"/>
      <c r="AV3" s="42"/>
      <c r="AX3" s="42"/>
      <c r="AY3" s="43"/>
      <c r="AZ3" s="42"/>
      <c r="BB3" s="47">
        <f t="shared" ref="BB3:BB114" si="1">(F3*G$2)+(H3*I$2)+(J3*K$2)+(L3*M$2)+(N3*O$2)+(P3*Q$2)+(T3*U$2)+(V3*W$2)+(X3*Y$2)+(Z3*AA$2)+(AB3*AC$2)+(AD3*AE$2)+(AP3*AQ$2)+(AR3*AS$2)+(AT3*AU$2)+(AV3*AW$2)+(AX3*AY$2)+(AF3*AG$2)+(AH3*AI$2)+(AJ3*AK$2)+(AL3*$AM$2)+(R3*$S$2)</f>
        <v>0</v>
      </c>
      <c r="BC3" s="38">
        <f t="shared" ref="BC3:BC366" si="2">sum(F3:AM3) + sum(AP3:AY3)</f>
        <v>0</v>
      </c>
      <c r="BD3" s="38">
        <f t="shared" ref="BD3:BD366" si="3">0</f>
        <v>0</v>
      </c>
      <c r="BE3" s="38">
        <f t="shared" ref="BE3:BE366" si="4">BC3</f>
        <v>0</v>
      </c>
      <c r="BF3" s="49" t="str">
        <f t="shared" ref="BF3:BF366" si="5">iferror(BB3/BE3,"")</f>
        <v/>
      </c>
      <c r="BG3" s="78"/>
    </row>
    <row r="4" ht="15.75" customHeight="1">
      <c r="A4" s="50" t="s">
        <v>48</v>
      </c>
      <c r="B4" s="51">
        <f t="shared" ref="B4:B366" si="6">B3+1</f>
        <v>45657</v>
      </c>
      <c r="C4" s="52">
        <v>1.0</v>
      </c>
      <c r="D4" s="52" t="s">
        <v>47</v>
      </c>
      <c r="E4" s="79" t="s">
        <v>66</v>
      </c>
      <c r="F4" s="41"/>
      <c r="H4" s="42"/>
      <c r="J4" s="42"/>
      <c r="L4" s="42"/>
      <c r="N4" s="42"/>
      <c r="P4" s="42"/>
      <c r="Q4" s="43"/>
      <c r="R4" s="42"/>
      <c r="T4" s="41"/>
      <c r="V4" s="42"/>
      <c r="X4" s="42"/>
      <c r="Z4" s="42"/>
      <c r="AB4" s="42"/>
      <c r="AD4" s="42"/>
      <c r="AE4" s="43"/>
      <c r="AF4" s="42"/>
      <c r="AH4" s="42"/>
      <c r="AJ4" s="42"/>
      <c r="AL4" s="41"/>
      <c r="AM4" s="43"/>
      <c r="AN4" s="72"/>
      <c r="AO4" s="43"/>
      <c r="AP4" s="41"/>
      <c r="AQ4" s="43"/>
      <c r="AR4" s="41"/>
      <c r="AS4" s="43"/>
      <c r="AT4" s="41"/>
      <c r="AU4" s="43"/>
      <c r="AV4" s="42"/>
      <c r="AX4" s="42"/>
      <c r="AY4" s="43"/>
      <c r="AZ4" s="42"/>
      <c r="BB4" s="54">
        <f t="shared" si="1"/>
        <v>0</v>
      </c>
      <c r="BC4" s="52">
        <f t="shared" si="2"/>
        <v>0</v>
      </c>
      <c r="BD4" s="52">
        <f t="shared" si="3"/>
        <v>0</v>
      </c>
      <c r="BE4" s="52">
        <f t="shared" si="4"/>
        <v>0</v>
      </c>
      <c r="BF4" s="49" t="str">
        <f t="shared" si="5"/>
        <v/>
      </c>
      <c r="BG4" s="78"/>
    </row>
    <row r="5" ht="15.75" customHeight="1">
      <c r="A5" s="50" t="s">
        <v>49</v>
      </c>
      <c r="B5" s="51">
        <f t="shared" si="6"/>
        <v>45658</v>
      </c>
      <c r="C5" s="52">
        <v>1.0</v>
      </c>
      <c r="D5" s="52" t="s">
        <v>47</v>
      </c>
      <c r="E5" s="79" t="s">
        <v>68</v>
      </c>
      <c r="F5" s="41"/>
      <c r="H5" s="42"/>
      <c r="J5" s="42"/>
      <c r="L5" s="42"/>
      <c r="N5" s="42"/>
      <c r="P5" s="42"/>
      <c r="Q5" s="43"/>
      <c r="R5" s="42"/>
      <c r="T5" s="41"/>
      <c r="V5" s="42"/>
      <c r="X5" s="42"/>
      <c r="Z5" s="42"/>
      <c r="AB5" s="42"/>
      <c r="AD5" s="42"/>
      <c r="AE5" s="43"/>
      <c r="AF5" s="42"/>
      <c r="AH5" s="42"/>
      <c r="AJ5" s="42"/>
      <c r="AL5" s="41"/>
      <c r="AM5" s="43"/>
      <c r="AN5" s="72"/>
      <c r="AO5" s="43"/>
      <c r="AP5" s="41"/>
      <c r="AQ5" s="43"/>
      <c r="AR5" s="41"/>
      <c r="AS5" s="43"/>
      <c r="AT5" s="41"/>
      <c r="AU5" s="43"/>
      <c r="AV5" s="42"/>
      <c r="AX5" s="42"/>
      <c r="AY5" s="43"/>
      <c r="AZ5" s="42"/>
      <c r="BB5" s="54">
        <f t="shared" si="1"/>
        <v>0</v>
      </c>
      <c r="BC5" s="52">
        <f t="shared" si="2"/>
        <v>0</v>
      </c>
      <c r="BD5" s="52">
        <f t="shared" si="3"/>
        <v>0</v>
      </c>
      <c r="BE5" s="52">
        <f t="shared" si="4"/>
        <v>0</v>
      </c>
      <c r="BF5" s="49" t="str">
        <f t="shared" si="5"/>
        <v/>
      </c>
      <c r="BG5" s="78"/>
    </row>
    <row r="6" ht="15.75" customHeight="1">
      <c r="A6" s="50" t="s">
        <v>50</v>
      </c>
      <c r="B6" s="51">
        <f t="shared" si="6"/>
        <v>45659</v>
      </c>
      <c r="C6" s="52">
        <v>1.0</v>
      </c>
      <c r="D6" s="52" t="s">
        <v>47</v>
      </c>
      <c r="E6" s="79" t="s">
        <v>64</v>
      </c>
      <c r="F6" s="41"/>
      <c r="H6" s="42"/>
      <c r="J6" s="42"/>
      <c r="L6" s="42"/>
      <c r="N6" s="42"/>
      <c r="P6" s="42"/>
      <c r="Q6" s="43"/>
      <c r="R6" s="42"/>
      <c r="T6" s="41"/>
      <c r="V6" s="42"/>
      <c r="X6" s="42"/>
      <c r="Z6" s="42"/>
      <c r="AB6" s="42"/>
      <c r="AD6" s="42"/>
      <c r="AE6" s="43"/>
      <c r="AF6" s="42"/>
      <c r="AH6" s="42"/>
      <c r="AJ6" s="42"/>
      <c r="AL6" s="41"/>
      <c r="AM6" s="43"/>
      <c r="AN6" s="72"/>
      <c r="AO6" s="43"/>
      <c r="AP6" s="41"/>
      <c r="AQ6" s="43"/>
      <c r="AR6" s="41"/>
      <c r="AS6" s="43"/>
      <c r="AT6" s="41"/>
      <c r="AU6" s="43"/>
      <c r="AV6" s="81"/>
      <c r="AX6" s="42"/>
      <c r="AY6" s="43"/>
      <c r="AZ6" s="42"/>
      <c r="BB6" s="54">
        <f t="shared" si="1"/>
        <v>0</v>
      </c>
      <c r="BC6" s="52">
        <f t="shared" si="2"/>
        <v>0</v>
      </c>
      <c r="BD6" s="52">
        <f t="shared" si="3"/>
        <v>0</v>
      </c>
      <c r="BE6" s="52">
        <f t="shared" si="4"/>
        <v>0</v>
      </c>
      <c r="BF6" s="49" t="str">
        <f t="shared" si="5"/>
        <v/>
      </c>
      <c r="BG6" s="78"/>
    </row>
    <row r="7" ht="15.75" customHeight="1">
      <c r="A7" s="50" t="s">
        <v>53</v>
      </c>
      <c r="B7" s="51">
        <f t="shared" si="6"/>
        <v>45660</v>
      </c>
      <c r="C7" s="52">
        <v>1.0</v>
      </c>
      <c r="D7" s="52" t="s">
        <v>47</v>
      </c>
      <c r="E7" s="79" t="s">
        <v>64</v>
      </c>
      <c r="F7" s="41"/>
      <c r="H7" s="42"/>
      <c r="J7" s="42"/>
      <c r="L7" s="42"/>
      <c r="N7" s="42"/>
      <c r="P7" s="42"/>
      <c r="Q7" s="43"/>
      <c r="R7" s="42"/>
      <c r="T7" s="41"/>
      <c r="V7" s="42"/>
      <c r="X7" s="42"/>
      <c r="Z7" s="42"/>
      <c r="AB7" s="42"/>
      <c r="AD7" s="42"/>
      <c r="AE7" s="43"/>
      <c r="AF7" s="42"/>
      <c r="AH7" s="42"/>
      <c r="AJ7" s="42"/>
      <c r="AL7" s="41"/>
      <c r="AM7" s="43"/>
      <c r="AN7" s="72"/>
      <c r="AO7" s="43"/>
      <c r="AP7" s="41"/>
      <c r="AQ7" s="43"/>
      <c r="AR7" s="41"/>
      <c r="AS7" s="43"/>
      <c r="AT7" s="41"/>
      <c r="AU7" s="43"/>
      <c r="AV7" s="42"/>
      <c r="AX7" s="42"/>
      <c r="AY7" s="43"/>
      <c r="AZ7" s="42"/>
      <c r="BB7" s="54">
        <f t="shared" si="1"/>
        <v>0</v>
      </c>
      <c r="BC7" s="52">
        <f t="shared" si="2"/>
        <v>0</v>
      </c>
      <c r="BD7" s="52">
        <f t="shared" si="3"/>
        <v>0</v>
      </c>
      <c r="BE7" s="52">
        <f t="shared" si="4"/>
        <v>0</v>
      </c>
      <c r="BF7" s="49" t="str">
        <f t="shared" si="5"/>
        <v/>
      </c>
      <c r="BG7" s="78"/>
    </row>
    <row r="8" ht="15.75" customHeight="1">
      <c r="A8" s="50" t="s">
        <v>54</v>
      </c>
      <c r="B8" s="51">
        <f t="shared" si="6"/>
        <v>45661</v>
      </c>
      <c r="C8" s="52">
        <v>1.0</v>
      </c>
      <c r="D8" s="52" t="s">
        <v>47</v>
      </c>
      <c r="E8" s="79" t="s">
        <v>64</v>
      </c>
      <c r="F8" s="41"/>
      <c r="H8" s="42"/>
      <c r="J8" s="42"/>
      <c r="L8" s="42"/>
      <c r="N8" s="42"/>
      <c r="P8" s="42"/>
      <c r="Q8" s="43"/>
      <c r="R8" s="42"/>
      <c r="T8" s="41"/>
      <c r="V8" s="42"/>
      <c r="X8" s="42"/>
      <c r="Z8" s="42"/>
      <c r="AB8" s="42"/>
      <c r="AD8" s="42"/>
      <c r="AE8" s="43"/>
      <c r="AF8" s="42"/>
      <c r="AH8" s="42"/>
      <c r="AJ8" s="42"/>
      <c r="AL8" s="41"/>
      <c r="AM8" s="43"/>
      <c r="AN8" s="72"/>
      <c r="AO8" s="43"/>
      <c r="AP8" s="41"/>
      <c r="AQ8" s="43"/>
      <c r="AR8" s="41"/>
      <c r="AS8" s="43"/>
      <c r="AT8" s="41"/>
      <c r="AU8" s="43"/>
      <c r="AV8" s="42"/>
      <c r="AX8" s="42"/>
      <c r="AY8" s="43"/>
      <c r="AZ8" s="42"/>
      <c r="BB8" s="54">
        <f t="shared" si="1"/>
        <v>0</v>
      </c>
      <c r="BC8" s="52">
        <f t="shared" si="2"/>
        <v>0</v>
      </c>
      <c r="BD8" s="52">
        <f t="shared" si="3"/>
        <v>0</v>
      </c>
      <c r="BE8" s="52">
        <f t="shared" si="4"/>
        <v>0</v>
      </c>
      <c r="BF8" s="49" t="str">
        <f t="shared" si="5"/>
        <v/>
      </c>
      <c r="BG8" s="78"/>
    </row>
    <row r="9">
      <c r="A9" s="59" t="s">
        <v>61</v>
      </c>
      <c r="B9" s="61">
        <f t="shared" si="6"/>
        <v>45662</v>
      </c>
      <c r="C9" s="63">
        <v>1.0</v>
      </c>
      <c r="D9" s="63" t="s">
        <v>47</v>
      </c>
      <c r="E9" s="83" t="s">
        <v>64</v>
      </c>
      <c r="F9" s="65"/>
      <c r="G9" s="66"/>
      <c r="H9" s="67"/>
      <c r="I9" s="66"/>
      <c r="J9" s="67"/>
      <c r="K9" s="66"/>
      <c r="L9" s="67"/>
      <c r="M9" s="66"/>
      <c r="N9" s="67"/>
      <c r="O9" s="66"/>
      <c r="P9" s="67"/>
      <c r="Q9" s="68"/>
      <c r="R9" s="67"/>
      <c r="S9" s="66"/>
      <c r="T9" s="65"/>
      <c r="U9" s="66"/>
      <c r="V9" s="67"/>
      <c r="W9" s="66"/>
      <c r="X9" s="67"/>
      <c r="Y9" s="66"/>
      <c r="Z9" s="67"/>
      <c r="AA9" s="66"/>
      <c r="AB9" s="67"/>
      <c r="AC9" s="66"/>
      <c r="AD9" s="67"/>
      <c r="AE9" s="68"/>
      <c r="AF9" s="67"/>
      <c r="AG9" s="66"/>
      <c r="AH9" s="67"/>
      <c r="AI9" s="66"/>
      <c r="AJ9" s="67"/>
      <c r="AK9" s="66"/>
      <c r="AL9" s="65"/>
      <c r="AM9" s="68"/>
      <c r="AN9" s="84"/>
      <c r="AO9" s="68"/>
      <c r="AP9" s="65"/>
      <c r="AQ9" s="68"/>
      <c r="AR9" s="65"/>
      <c r="AS9" s="68"/>
      <c r="AT9" s="65"/>
      <c r="AU9" s="68"/>
      <c r="AV9" s="67"/>
      <c r="AW9" s="66"/>
      <c r="AX9" s="67"/>
      <c r="AY9" s="68"/>
      <c r="AZ9" s="67"/>
      <c r="BA9" s="66"/>
      <c r="BB9" s="73">
        <f t="shared" si="1"/>
        <v>0</v>
      </c>
      <c r="BC9" s="63">
        <f t="shared" si="2"/>
        <v>0</v>
      </c>
      <c r="BD9" s="63">
        <f t="shared" si="3"/>
        <v>0</v>
      </c>
      <c r="BE9" s="63">
        <f t="shared" si="4"/>
        <v>0</v>
      </c>
      <c r="BF9" s="74" t="str">
        <f t="shared" si="5"/>
        <v/>
      </c>
      <c r="BG9" s="78"/>
    </row>
    <row r="10">
      <c r="A10" s="36" t="s">
        <v>46</v>
      </c>
      <c r="B10" s="75">
        <f t="shared" si="6"/>
        <v>45663</v>
      </c>
      <c r="C10" s="38">
        <v>1.0</v>
      </c>
      <c r="D10" s="38" t="s">
        <v>65</v>
      </c>
      <c r="E10" s="82" t="s">
        <v>71</v>
      </c>
      <c r="F10" s="85">
        <v>0.0</v>
      </c>
      <c r="H10" s="86">
        <v>0.0</v>
      </c>
      <c r="J10" s="86">
        <v>0.0</v>
      </c>
      <c r="L10" s="86">
        <v>0.0</v>
      </c>
      <c r="N10" s="86">
        <v>0.0</v>
      </c>
      <c r="P10" s="86">
        <v>0.0</v>
      </c>
      <c r="Q10" s="43"/>
      <c r="R10" s="86"/>
      <c r="T10" s="85">
        <v>92.0</v>
      </c>
      <c r="V10" s="86">
        <v>92.0</v>
      </c>
      <c r="X10" s="86">
        <v>0.0</v>
      </c>
      <c r="Z10" s="86">
        <v>0.0</v>
      </c>
      <c r="AB10" s="86">
        <v>0.0</v>
      </c>
      <c r="AD10" s="86">
        <v>0.0</v>
      </c>
      <c r="AE10" s="43"/>
      <c r="AF10" s="86">
        <v>0.0</v>
      </c>
      <c r="AH10" s="86">
        <v>0.0</v>
      </c>
      <c r="AJ10" s="86">
        <v>0.0</v>
      </c>
      <c r="AL10" s="85">
        <v>0.0</v>
      </c>
      <c r="AM10" s="43"/>
      <c r="AN10" s="72"/>
      <c r="AO10" s="43"/>
      <c r="AP10" s="85">
        <v>0.0</v>
      </c>
      <c r="AQ10" s="43"/>
      <c r="AR10" s="85">
        <v>0.0</v>
      </c>
      <c r="AS10" s="43"/>
      <c r="AT10" s="85">
        <v>0.0</v>
      </c>
      <c r="AU10" s="43"/>
      <c r="AV10" s="86">
        <v>0.0</v>
      </c>
      <c r="AX10" s="86">
        <v>0.0</v>
      </c>
      <c r="AY10" s="43"/>
      <c r="AZ10" s="86">
        <v>0.0</v>
      </c>
      <c r="BB10" s="47">
        <f t="shared" si="1"/>
        <v>2046.08</v>
      </c>
      <c r="BC10" s="38">
        <f t="shared" si="2"/>
        <v>184</v>
      </c>
      <c r="BD10" s="38">
        <f t="shared" si="3"/>
        <v>0</v>
      </c>
      <c r="BE10" s="38">
        <f t="shared" si="4"/>
        <v>184</v>
      </c>
      <c r="BF10" s="76">
        <f t="shared" si="5"/>
        <v>11.12</v>
      </c>
      <c r="BG10" s="78"/>
    </row>
    <row r="11" ht="15.75" customHeight="1">
      <c r="A11" s="50" t="s">
        <v>48</v>
      </c>
      <c r="B11" s="51">
        <f t="shared" si="6"/>
        <v>45664</v>
      </c>
      <c r="C11" s="52">
        <v>1.0</v>
      </c>
      <c r="D11" s="52" t="s">
        <v>65</v>
      </c>
      <c r="E11" s="53"/>
      <c r="F11" s="85">
        <v>0.0</v>
      </c>
      <c r="H11" s="86">
        <v>0.0</v>
      </c>
      <c r="J11" s="86">
        <v>0.0</v>
      </c>
      <c r="L11" s="86">
        <v>0.0</v>
      </c>
      <c r="N11" s="86">
        <v>0.0</v>
      </c>
      <c r="P11" s="86">
        <v>0.0</v>
      </c>
      <c r="Q11" s="43"/>
      <c r="R11" s="86"/>
      <c r="T11" s="85">
        <v>92.0</v>
      </c>
      <c r="V11" s="86">
        <v>92.0</v>
      </c>
      <c r="X11" s="86">
        <v>0.0</v>
      </c>
      <c r="Z11" s="86">
        <v>0.0</v>
      </c>
      <c r="AB11" s="86">
        <v>0.0</v>
      </c>
      <c r="AD11" s="86">
        <v>0.0</v>
      </c>
      <c r="AE11" s="43"/>
      <c r="AF11" s="86">
        <v>0.0</v>
      </c>
      <c r="AH11" s="86">
        <v>0.0</v>
      </c>
      <c r="AJ11" s="86">
        <v>0.0</v>
      </c>
      <c r="AL11" s="85">
        <v>0.0</v>
      </c>
      <c r="AM11" s="43"/>
      <c r="AN11" s="72"/>
      <c r="AO11" s="43"/>
      <c r="AP11" s="85">
        <v>0.0</v>
      </c>
      <c r="AQ11" s="43"/>
      <c r="AR11" s="85">
        <v>0.0</v>
      </c>
      <c r="AS11" s="43"/>
      <c r="AT11" s="85">
        <v>0.0</v>
      </c>
      <c r="AU11" s="43"/>
      <c r="AV11" s="86">
        <v>0.0</v>
      </c>
      <c r="AX11" s="86">
        <v>0.0</v>
      </c>
      <c r="AY11" s="43"/>
      <c r="AZ11" s="86">
        <v>0.0</v>
      </c>
      <c r="BB11" s="54">
        <f t="shared" si="1"/>
        <v>2046.08</v>
      </c>
      <c r="BC11" s="52">
        <f t="shared" si="2"/>
        <v>184</v>
      </c>
      <c r="BD11" s="52">
        <f t="shared" si="3"/>
        <v>0</v>
      </c>
      <c r="BE11" s="52">
        <f t="shared" si="4"/>
        <v>184</v>
      </c>
      <c r="BF11" s="49">
        <f t="shared" si="5"/>
        <v>11.12</v>
      </c>
      <c r="BG11" s="78"/>
    </row>
    <row r="12" ht="15.75" customHeight="1">
      <c r="A12" s="50" t="s">
        <v>49</v>
      </c>
      <c r="B12" s="51">
        <f t="shared" si="6"/>
        <v>45665</v>
      </c>
      <c r="C12" s="52">
        <v>1.0</v>
      </c>
      <c r="D12" s="52" t="s">
        <v>65</v>
      </c>
      <c r="E12" s="53"/>
      <c r="F12" s="85">
        <v>0.0</v>
      </c>
      <c r="H12" s="86">
        <v>0.0</v>
      </c>
      <c r="J12" s="86">
        <v>0.0</v>
      </c>
      <c r="L12" s="86">
        <v>0.0</v>
      </c>
      <c r="N12" s="86">
        <v>0.0</v>
      </c>
      <c r="P12" s="86">
        <v>0.0</v>
      </c>
      <c r="Q12" s="43"/>
      <c r="R12" s="86"/>
      <c r="T12" s="85">
        <v>92.0</v>
      </c>
      <c r="V12" s="86">
        <v>92.0</v>
      </c>
      <c r="X12" s="86">
        <v>0.0</v>
      </c>
      <c r="Z12" s="86">
        <v>0.0</v>
      </c>
      <c r="AB12" s="86">
        <v>0.0</v>
      </c>
      <c r="AD12" s="86">
        <v>0.0</v>
      </c>
      <c r="AE12" s="43"/>
      <c r="AF12" s="86">
        <v>0.0</v>
      </c>
      <c r="AH12" s="86">
        <v>0.0</v>
      </c>
      <c r="AJ12" s="86">
        <v>0.0</v>
      </c>
      <c r="AL12" s="85">
        <v>0.0</v>
      </c>
      <c r="AM12" s="43"/>
      <c r="AN12" s="72"/>
      <c r="AO12" s="43"/>
      <c r="AP12" s="85">
        <v>0.0</v>
      </c>
      <c r="AQ12" s="43"/>
      <c r="AR12" s="85">
        <v>0.0</v>
      </c>
      <c r="AS12" s="43"/>
      <c r="AT12" s="85">
        <v>0.0</v>
      </c>
      <c r="AU12" s="43"/>
      <c r="AV12" s="86">
        <v>0.0</v>
      </c>
      <c r="AX12" s="86">
        <v>0.0</v>
      </c>
      <c r="AY12" s="43"/>
      <c r="AZ12" s="86">
        <v>0.0</v>
      </c>
      <c r="BB12" s="54">
        <f t="shared" si="1"/>
        <v>2046.08</v>
      </c>
      <c r="BC12" s="52">
        <f t="shared" si="2"/>
        <v>184</v>
      </c>
      <c r="BD12" s="52">
        <f t="shared" si="3"/>
        <v>0</v>
      </c>
      <c r="BE12" s="52">
        <f t="shared" si="4"/>
        <v>184</v>
      </c>
      <c r="BF12" s="49">
        <f t="shared" si="5"/>
        <v>11.12</v>
      </c>
      <c r="BG12" s="78"/>
    </row>
    <row r="13" ht="15.75" customHeight="1">
      <c r="A13" s="50" t="s">
        <v>50</v>
      </c>
      <c r="B13" s="51">
        <f t="shared" si="6"/>
        <v>45666</v>
      </c>
      <c r="C13" s="52">
        <v>1.0</v>
      </c>
      <c r="D13" s="52" t="s">
        <v>65</v>
      </c>
      <c r="E13" s="53"/>
      <c r="F13" s="85">
        <v>0.0</v>
      </c>
      <c r="H13" s="86">
        <v>0.0</v>
      </c>
      <c r="J13" s="86">
        <v>0.0</v>
      </c>
      <c r="L13" s="86">
        <v>0.0</v>
      </c>
      <c r="N13" s="86">
        <v>0.0</v>
      </c>
      <c r="P13" s="86">
        <v>0.0</v>
      </c>
      <c r="Q13" s="43"/>
      <c r="R13" s="86"/>
      <c r="T13" s="85">
        <v>92.0</v>
      </c>
      <c r="V13" s="86">
        <v>92.0</v>
      </c>
      <c r="X13" s="86">
        <v>0.0</v>
      </c>
      <c r="Z13" s="86">
        <v>0.0</v>
      </c>
      <c r="AB13" s="86">
        <v>0.0</v>
      </c>
      <c r="AD13" s="86">
        <v>0.0</v>
      </c>
      <c r="AE13" s="43"/>
      <c r="AF13" s="86">
        <v>0.0</v>
      </c>
      <c r="AH13" s="86">
        <v>0.0</v>
      </c>
      <c r="AJ13" s="86">
        <v>0.0</v>
      </c>
      <c r="AL13" s="85">
        <v>0.0</v>
      </c>
      <c r="AM13" s="43"/>
      <c r="AN13" s="72"/>
      <c r="AO13" s="43"/>
      <c r="AP13" s="85">
        <v>0.0</v>
      </c>
      <c r="AQ13" s="43"/>
      <c r="AR13" s="85">
        <v>0.0</v>
      </c>
      <c r="AS13" s="43"/>
      <c r="AT13" s="85">
        <v>0.0</v>
      </c>
      <c r="AU13" s="43"/>
      <c r="AV13" s="86">
        <v>0.0</v>
      </c>
      <c r="AX13" s="86">
        <v>0.0</v>
      </c>
      <c r="AY13" s="43"/>
      <c r="AZ13" s="86">
        <v>0.0</v>
      </c>
      <c r="BB13" s="54">
        <f t="shared" si="1"/>
        <v>2046.08</v>
      </c>
      <c r="BC13" s="52">
        <f t="shared" si="2"/>
        <v>184</v>
      </c>
      <c r="BD13" s="52">
        <f t="shared" si="3"/>
        <v>0</v>
      </c>
      <c r="BE13" s="52">
        <f t="shared" si="4"/>
        <v>184</v>
      </c>
      <c r="BF13" s="49">
        <f t="shared" si="5"/>
        <v>11.12</v>
      </c>
      <c r="BG13" s="78"/>
    </row>
    <row r="14" ht="15.75" customHeight="1">
      <c r="A14" s="50" t="s">
        <v>53</v>
      </c>
      <c r="B14" s="51">
        <f t="shared" si="6"/>
        <v>45667</v>
      </c>
      <c r="C14" s="52">
        <v>1.0</v>
      </c>
      <c r="D14" s="52" t="s">
        <v>65</v>
      </c>
      <c r="E14" s="53"/>
      <c r="F14" s="85">
        <v>0.0</v>
      </c>
      <c r="H14" s="86">
        <v>0.0</v>
      </c>
      <c r="J14" s="86">
        <v>0.0</v>
      </c>
      <c r="L14" s="86">
        <v>0.0</v>
      </c>
      <c r="N14" s="86">
        <v>0.0</v>
      </c>
      <c r="P14" s="86">
        <v>0.0</v>
      </c>
      <c r="Q14" s="43"/>
      <c r="R14" s="86"/>
      <c r="T14" s="85">
        <v>92.0</v>
      </c>
      <c r="V14" s="86">
        <v>92.0</v>
      </c>
      <c r="X14" s="86">
        <v>0.0</v>
      </c>
      <c r="Z14" s="86">
        <v>0.0</v>
      </c>
      <c r="AB14" s="86">
        <v>0.0</v>
      </c>
      <c r="AD14" s="86">
        <v>0.0</v>
      </c>
      <c r="AE14" s="43"/>
      <c r="AF14" s="86">
        <v>0.0</v>
      </c>
      <c r="AH14" s="86">
        <v>0.0</v>
      </c>
      <c r="AJ14" s="86">
        <v>0.0</v>
      </c>
      <c r="AL14" s="85">
        <v>0.0</v>
      </c>
      <c r="AM14" s="43"/>
      <c r="AN14" s="72"/>
      <c r="AO14" s="43"/>
      <c r="AP14" s="85">
        <v>0.0</v>
      </c>
      <c r="AQ14" s="43"/>
      <c r="AR14" s="85">
        <v>0.0</v>
      </c>
      <c r="AS14" s="43"/>
      <c r="AT14" s="85">
        <v>0.0</v>
      </c>
      <c r="AU14" s="43"/>
      <c r="AV14" s="86">
        <v>0.0</v>
      </c>
      <c r="AX14" s="86">
        <v>0.0</v>
      </c>
      <c r="AY14" s="43"/>
      <c r="AZ14" s="86">
        <v>0.0</v>
      </c>
      <c r="BB14" s="54">
        <f t="shared" si="1"/>
        <v>2046.08</v>
      </c>
      <c r="BC14" s="52">
        <f t="shared" si="2"/>
        <v>184</v>
      </c>
      <c r="BD14" s="52">
        <f t="shared" si="3"/>
        <v>0</v>
      </c>
      <c r="BE14" s="52">
        <f t="shared" si="4"/>
        <v>184</v>
      </c>
      <c r="BF14" s="49">
        <f t="shared" si="5"/>
        <v>11.12</v>
      </c>
      <c r="BG14" s="78"/>
    </row>
    <row r="15" ht="15.75" customHeight="1">
      <c r="A15" s="50" t="s">
        <v>54</v>
      </c>
      <c r="B15" s="51">
        <f t="shared" si="6"/>
        <v>45668</v>
      </c>
      <c r="C15" s="52">
        <v>1.0</v>
      </c>
      <c r="D15" s="52" t="s">
        <v>65</v>
      </c>
      <c r="E15" s="53"/>
      <c r="F15" s="85">
        <v>0.0</v>
      </c>
      <c r="H15" s="86">
        <v>0.0</v>
      </c>
      <c r="J15" s="86">
        <v>0.0</v>
      </c>
      <c r="L15" s="86">
        <v>0.0</v>
      </c>
      <c r="N15" s="86">
        <v>0.0</v>
      </c>
      <c r="P15" s="86">
        <v>0.0</v>
      </c>
      <c r="Q15" s="43"/>
      <c r="R15" s="86"/>
      <c r="T15" s="85">
        <v>0.0</v>
      </c>
      <c r="V15" s="86">
        <v>0.0</v>
      </c>
      <c r="X15" s="86">
        <v>0.0</v>
      </c>
      <c r="Z15" s="86">
        <v>0.0</v>
      </c>
      <c r="AB15" s="86">
        <v>0.0</v>
      </c>
      <c r="AD15" s="86">
        <v>0.0</v>
      </c>
      <c r="AE15" s="43"/>
      <c r="AF15" s="86">
        <v>0.0</v>
      </c>
      <c r="AH15" s="86">
        <v>0.0</v>
      </c>
      <c r="AJ15" s="86">
        <v>0.0</v>
      </c>
      <c r="AL15" s="85">
        <v>0.0</v>
      </c>
      <c r="AM15" s="43"/>
      <c r="AN15" s="72"/>
      <c r="AO15" s="43"/>
      <c r="AP15" s="85">
        <v>0.0</v>
      </c>
      <c r="AQ15" s="43"/>
      <c r="AR15" s="85">
        <v>0.0</v>
      </c>
      <c r="AS15" s="43"/>
      <c r="AT15" s="85">
        <v>0.0</v>
      </c>
      <c r="AU15" s="43"/>
      <c r="AV15" s="86">
        <v>0.0</v>
      </c>
      <c r="AX15" s="86">
        <v>0.0</v>
      </c>
      <c r="AY15" s="43"/>
      <c r="AZ15" s="86">
        <v>0.0</v>
      </c>
      <c r="BB15" s="54">
        <f t="shared" si="1"/>
        <v>0</v>
      </c>
      <c r="BC15" s="52">
        <f t="shared" si="2"/>
        <v>0</v>
      </c>
      <c r="BD15" s="52">
        <f t="shared" si="3"/>
        <v>0</v>
      </c>
      <c r="BE15" s="52">
        <f t="shared" si="4"/>
        <v>0</v>
      </c>
      <c r="BF15" s="49" t="str">
        <f t="shared" si="5"/>
        <v/>
      </c>
      <c r="BG15" s="78"/>
    </row>
    <row r="16" ht="15.75" customHeight="1">
      <c r="A16" s="59" t="s">
        <v>61</v>
      </c>
      <c r="B16" s="61">
        <f t="shared" si="6"/>
        <v>45669</v>
      </c>
      <c r="C16" s="63">
        <v>1.0</v>
      </c>
      <c r="D16" s="63" t="s">
        <v>65</v>
      </c>
      <c r="E16" s="64"/>
      <c r="F16" s="87">
        <v>0.0</v>
      </c>
      <c r="G16" s="66"/>
      <c r="H16" s="88">
        <v>0.0</v>
      </c>
      <c r="I16" s="66"/>
      <c r="J16" s="88">
        <v>0.0</v>
      </c>
      <c r="K16" s="66"/>
      <c r="L16" s="88">
        <v>0.0</v>
      </c>
      <c r="M16" s="66"/>
      <c r="N16" s="88">
        <v>0.0</v>
      </c>
      <c r="O16" s="66"/>
      <c r="P16" s="88">
        <v>0.0</v>
      </c>
      <c r="Q16" s="68"/>
      <c r="R16" s="88"/>
      <c r="S16" s="66"/>
      <c r="T16" s="87">
        <v>0.0</v>
      </c>
      <c r="U16" s="66"/>
      <c r="V16" s="88">
        <v>0.0</v>
      </c>
      <c r="W16" s="66"/>
      <c r="X16" s="88">
        <v>0.0</v>
      </c>
      <c r="Y16" s="66"/>
      <c r="Z16" s="88">
        <v>0.0</v>
      </c>
      <c r="AA16" s="66"/>
      <c r="AB16" s="88">
        <v>0.0</v>
      </c>
      <c r="AC16" s="66"/>
      <c r="AD16" s="88">
        <v>0.0</v>
      </c>
      <c r="AE16" s="68"/>
      <c r="AF16" s="88">
        <v>0.0</v>
      </c>
      <c r="AG16" s="66"/>
      <c r="AH16" s="88">
        <v>0.0</v>
      </c>
      <c r="AI16" s="66"/>
      <c r="AJ16" s="88">
        <v>0.0</v>
      </c>
      <c r="AK16" s="66"/>
      <c r="AL16" s="87">
        <v>0.0</v>
      </c>
      <c r="AM16" s="68"/>
      <c r="AN16" s="84"/>
      <c r="AO16" s="68"/>
      <c r="AP16" s="87">
        <v>0.0</v>
      </c>
      <c r="AQ16" s="68"/>
      <c r="AR16" s="87">
        <v>0.0</v>
      </c>
      <c r="AS16" s="68"/>
      <c r="AT16" s="87">
        <v>0.0</v>
      </c>
      <c r="AU16" s="68"/>
      <c r="AV16" s="88">
        <v>0.0</v>
      </c>
      <c r="AW16" s="66"/>
      <c r="AX16" s="88">
        <v>0.0</v>
      </c>
      <c r="AY16" s="68"/>
      <c r="AZ16" s="88">
        <v>0.0</v>
      </c>
      <c r="BA16" s="66"/>
      <c r="BB16" s="73">
        <f t="shared" si="1"/>
        <v>0</v>
      </c>
      <c r="BC16" s="63">
        <f t="shared" si="2"/>
        <v>0</v>
      </c>
      <c r="BD16" s="63">
        <f t="shared" si="3"/>
        <v>0</v>
      </c>
      <c r="BE16" s="63">
        <f t="shared" si="4"/>
        <v>0</v>
      </c>
      <c r="BF16" s="74" t="str">
        <f t="shared" si="5"/>
        <v/>
      </c>
      <c r="BG16" s="78"/>
    </row>
    <row r="17" ht="15.75" customHeight="1">
      <c r="A17" s="36" t="s">
        <v>46</v>
      </c>
      <c r="B17" s="75">
        <f t="shared" si="6"/>
        <v>45670</v>
      </c>
      <c r="C17" s="38">
        <v>1.0</v>
      </c>
      <c r="D17" s="38" t="s">
        <v>69</v>
      </c>
      <c r="E17" s="82"/>
      <c r="F17" s="85">
        <v>25.0</v>
      </c>
      <c r="H17" s="86">
        <v>25.0</v>
      </c>
      <c r="J17" s="86">
        <v>0.0</v>
      </c>
      <c r="L17" s="86">
        <v>0.0</v>
      </c>
      <c r="N17" s="86">
        <v>0.0</v>
      </c>
      <c r="P17" s="86">
        <v>0.0</v>
      </c>
      <c r="Q17" s="43"/>
      <c r="R17" s="86"/>
      <c r="T17" s="85">
        <v>92.0</v>
      </c>
      <c r="V17" s="86">
        <v>92.0</v>
      </c>
      <c r="X17" s="86">
        <v>0.0</v>
      </c>
      <c r="Z17" s="86">
        <v>0.0</v>
      </c>
      <c r="AB17" s="86">
        <v>0.0</v>
      </c>
      <c r="AD17" s="86">
        <v>0.0</v>
      </c>
      <c r="AE17" s="43"/>
      <c r="AF17" s="86">
        <v>0.0</v>
      </c>
      <c r="AH17" s="86">
        <v>0.0</v>
      </c>
      <c r="AJ17" s="86">
        <v>0.0</v>
      </c>
      <c r="AL17" s="85">
        <v>0.0</v>
      </c>
      <c r="AM17" s="43"/>
      <c r="AN17" s="72"/>
      <c r="AO17" s="43"/>
      <c r="AP17" s="85">
        <v>0.0</v>
      </c>
      <c r="AQ17" s="43"/>
      <c r="AR17" s="85">
        <v>0.0</v>
      </c>
      <c r="AS17" s="43"/>
      <c r="AT17" s="85">
        <v>0.0</v>
      </c>
      <c r="AU17" s="43"/>
      <c r="AV17" s="86">
        <v>0.0</v>
      </c>
      <c r="AX17" s="86">
        <v>0.0</v>
      </c>
      <c r="AY17" s="43"/>
      <c r="AZ17" s="86">
        <v>0.0</v>
      </c>
      <c r="BB17" s="47">
        <f t="shared" si="1"/>
        <v>3158.58</v>
      </c>
      <c r="BC17" s="38">
        <f t="shared" si="2"/>
        <v>234</v>
      </c>
      <c r="BD17" s="38">
        <f t="shared" si="3"/>
        <v>0</v>
      </c>
      <c r="BE17" s="38">
        <f t="shared" si="4"/>
        <v>234</v>
      </c>
      <c r="BF17" s="76">
        <f t="shared" si="5"/>
        <v>13.49820513</v>
      </c>
      <c r="BG17" s="78"/>
    </row>
    <row r="18" ht="15.75" customHeight="1">
      <c r="A18" s="50" t="s">
        <v>48</v>
      </c>
      <c r="B18" s="51">
        <f t="shared" si="6"/>
        <v>45671</v>
      </c>
      <c r="C18" s="52">
        <v>1.0</v>
      </c>
      <c r="D18" s="52" t="s">
        <v>69</v>
      </c>
      <c r="E18" s="53"/>
      <c r="F18" s="85">
        <v>25.0</v>
      </c>
      <c r="H18" s="86">
        <v>25.0</v>
      </c>
      <c r="J18" s="86">
        <v>0.0</v>
      </c>
      <c r="L18" s="86">
        <v>0.0</v>
      </c>
      <c r="N18" s="86">
        <v>0.0</v>
      </c>
      <c r="P18" s="86">
        <v>0.0</v>
      </c>
      <c r="Q18" s="43"/>
      <c r="R18" s="86"/>
      <c r="T18" s="85">
        <v>92.0</v>
      </c>
      <c r="V18" s="86">
        <v>92.0</v>
      </c>
      <c r="X18" s="86">
        <v>0.0</v>
      </c>
      <c r="Z18" s="86">
        <v>0.0</v>
      </c>
      <c r="AB18" s="86">
        <v>0.0</v>
      </c>
      <c r="AD18" s="86">
        <v>0.0</v>
      </c>
      <c r="AE18" s="43"/>
      <c r="AF18" s="86">
        <v>0.0</v>
      </c>
      <c r="AH18" s="86">
        <v>0.0</v>
      </c>
      <c r="AJ18" s="86">
        <v>0.0</v>
      </c>
      <c r="AL18" s="85">
        <v>0.0</v>
      </c>
      <c r="AM18" s="43"/>
      <c r="AN18" s="72"/>
      <c r="AO18" s="43"/>
      <c r="AP18" s="85">
        <v>0.0</v>
      </c>
      <c r="AQ18" s="43"/>
      <c r="AR18" s="85">
        <v>0.0</v>
      </c>
      <c r="AS18" s="43"/>
      <c r="AT18" s="85">
        <v>0.0</v>
      </c>
      <c r="AU18" s="43"/>
      <c r="AV18" s="86">
        <v>0.0</v>
      </c>
      <c r="AX18" s="86">
        <v>0.0</v>
      </c>
      <c r="AY18" s="43"/>
      <c r="AZ18" s="86">
        <v>0.0</v>
      </c>
      <c r="BB18" s="54">
        <f t="shared" si="1"/>
        <v>3158.58</v>
      </c>
      <c r="BC18" s="52">
        <f t="shared" si="2"/>
        <v>234</v>
      </c>
      <c r="BD18" s="52">
        <f t="shared" si="3"/>
        <v>0</v>
      </c>
      <c r="BE18" s="52">
        <f t="shared" si="4"/>
        <v>234</v>
      </c>
      <c r="BF18" s="49">
        <f t="shared" si="5"/>
        <v>13.49820513</v>
      </c>
      <c r="BG18" s="78"/>
    </row>
    <row r="19" ht="15.75" customHeight="1">
      <c r="A19" s="50" t="s">
        <v>49</v>
      </c>
      <c r="B19" s="51">
        <f t="shared" si="6"/>
        <v>45672</v>
      </c>
      <c r="C19" s="52">
        <v>1.0</v>
      </c>
      <c r="D19" s="52" t="s">
        <v>69</v>
      </c>
      <c r="E19" s="53"/>
      <c r="F19" s="85">
        <v>25.0</v>
      </c>
      <c r="H19" s="86">
        <v>25.0</v>
      </c>
      <c r="J19" s="86">
        <v>0.0</v>
      </c>
      <c r="L19" s="86">
        <v>0.0</v>
      </c>
      <c r="N19" s="86">
        <v>0.0</v>
      </c>
      <c r="P19" s="86">
        <v>0.0</v>
      </c>
      <c r="Q19" s="43"/>
      <c r="R19" s="86"/>
      <c r="T19" s="85">
        <v>92.0</v>
      </c>
      <c r="V19" s="86">
        <v>92.0</v>
      </c>
      <c r="X19" s="86">
        <v>0.0</v>
      </c>
      <c r="Z19" s="86">
        <v>0.0</v>
      </c>
      <c r="AB19" s="86">
        <v>0.0</v>
      </c>
      <c r="AD19" s="86">
        <v>0.0</v>
      </c>
      <c r="AE19" s="43"/>
      <c r="AF19" s="86">
        <v>0.0</v>
      </c>
      <c r="AH19" s="86">
        <v>0.0</v>
      </c>
      <c r="AJ19" s="86">
        <v>0.0</v>
      </c>
      <c r="AL19" s="85">
        <v>0.0</v>
      </c>
      <c r="AM19" s="43"/>
      <c r="AN19" s="72"/>
      <c r="AO19" s="43"/>
      <c r="AP19" s="85">
        <v>0.0</v>
      </c>
      <c r="AQ19" s="43"/>
      <c r="AR19" s="85">
        <v>0.0</v>
      </c>
      <c r="AS19" s="43"/>
      <c r="AT19" s="85">
        <v>0.0</v>
      </c>
      <c r="AU19" s="43"/>
      <c r="AV19" s="86">
        <v>0.0</v>
      </c>
      <c r="AX19" s="86">
        <v>0.0</v>
      </c>
      <c r="AY19" s="43"/>
      <c r="AZ19" s="86">
        <v>0.0</v>
      </c>
      <c r="BB19" s="54">
        <f t="shared" si="1"/>
        <v>3158.58</v>
      </c>
      <c r="BC19" s="52">
        <f t="shared" si="2"/>
        <v>234</v>
      </c>
      <c r="BD19" s="52">
        <f t="shared" si="3"/>
        <v>0</v>
      </c>
      <c r="BE19" s="52">
        <f t="shared" si="4"/>
        <v>234</v>
      </c>
      <c r="BF19" s="49">
        <f t="shared" si="5"/>
        <v>13.49820513</v>
      </c>
      <c r="BG19" s="78"/>
    </row>
    <row r="20" ht="15.75" customHeight="1">
      <c r="A20" s="50" t="s">
        <v>50</v>
      </c>
      <c r="B20" s="51">
        <f t="shared" si="6"/>
        <v>45673</v>
      </c>
      <c r="C20" s="52">
        <v>1.0</v>
      </c>
      <c r="D20" s="52" t="s">
        <v>69</v>
      </c>
      <c r="E20" s="53"/>
      <c r="F20" s="85">
        <v>25.0</v>
      </c>
      <c r="H20" s="86">
        <v>25.0</v>
      </c>
      <c r="J20" s="86">
        <v>0.0</v>
      </c>
      <c r="L20" s="86">
        <v>0.0</v>
      </c>
      <c r="N20" s="86">
        <v>0.0</v>
      </c>
      <c r="P20" s="86">
        <v>0.0</v>
      </c>
      <c r="Q20" s="43"/>
      <c r="R20" s="86"/>
      <c r="T20" s="85">
        <v>92.0</v>
      </c>
      <c r="V20" s="86">
        <v>92.0</v>
      </c>
      <c r="X20" s="86">
        <v>0.0</v>
      </c>
      <c r="Z20" s="86">
        <v>0.0</v>
      </c>
      <c r="AB20" s="86">
        <v>0.0</v>
      </c>
      <c r="AD20" s="86">
        <v>0.0</v>
      </c>
      <c r="AE20" s="43"/>
      <c r="AF20" s="86">
        <v>0.0</v>
      </c>
      <c r="AH20" s="86">
        <v>0.0</v>
      </c>
      <c r="AJ20" s="86">
        <v>0.0</v>
      </c>
      <c r="AL20" s="85">
        <v>0.0</v>
      </c>
      <c r="AM20" s="43"/>
      <c r="AN20" s="72"/>
      <c r="AO20" s="43"/>
      <c r="AP20" s="85">
        <v>0.0</v>
      </c>
      <c r="AQ20" s="43"/>
      <c r="AR20" s="85">
        <v>0.0</v>
      </c>
      <c r="AS20" s="43"/>
      <c r="AT20" s="85">
        <v>0.0</v>
      </c>
      <c r="AU20" s="43"/>
      <c r="AV20" s="86">
        <v>0.0</v>
      </c>
      <c r="AX20" s="86">
        <v>0.0</v>
      </c>
      <c r="AY20" s="43"/>
      <c r="AZ20" s="86">
        <v>0.0</v>
      </c>
      <c r="BB20" s="54">
        <f t="shared" si="1"/>
        <v>3158.58</v>
      </c>
      <c r="BC20" s="52">
        <f t="shared" si="2"/>
        <v>234</v>
      </c>
      <c r="BD20" s="52">
        <f t="shared" si="3"/>
        <v>0</v>
      </c>
      <c r="BE20" s="52">
        <f t="shared" si="4"/>
        <v>234</v>
      </c>
      <c r="BF20" s="49">
        <f t="shared" si="5"/>
        <v>13.49820513</v>
      </c>
      <c r="BG20" s="78"/>
    </row>
    <row r="21" ht="15.75" customHeight="1">
      <c r="A21" s="50" t="s">
        <v>53</v>
      </c>
      <c r="B21" s="51">
        <f t="shared" si="6"/>
        <v>45674</v>
      </c>
      <c r="C21" s="52">
        <v>1.0</v>
      </c>
      <c r="D21" s="52" t="s">
        <v>69</v>
      </c>
      <c r="E21" s="53"/>
      <c r="F21" s="85">
        <v>25.0</v>
      </c>
      <c r="H21" s="86">
        <v>25.0</v>
      </c>
      <c r="J21" s="86">
        <v>0.0</v>
      </c>
      <c r="L21" s="86">
        <v>0.0</v>
      </c>
      <c r="N21" s="86">
        <v>0.0</v>
      </c>
      <c r="P21" s="86">
        <v>0.0</v>
      </c>
      <c r="Q21" s="43"/>
      <c r="R21" s="86"/>
      <c r="T21" s="85">
        <v>107.0</v>
      </c>
      <c r="V21" s="86">
        <v>107.0</v>
      </c>
      <c r="X21" s="86">
        <v>0.0</v>
      </c>
      <c r="Z21" s="86">
        <v>0.0</v>
      </c>
      <c r="AB21" s="86">
        <v>0.0</v>
      </c>
      <c r="AD21" s="86">
        <v>0.0</v>
      </c>
      <c r="AE21" s="43"/>
      <c r="AF21" s="86">
        <v>0.0</v>
      </c>
      <c r="AH21" s="86">
        <v>0.0</v>
      </c>
      <c r="AJ21" s="86">
        <v>0.0</v>
      </c>
      <c r="AL21" s="85">
        <v>0.0</v>
      </c>
      <c r="AM21" s="43"/>
      <c r="AN21" s="72"/>
      <c r="AO21" s="43"/>
      <c r="AP21" s="85">
        <v>0.0</v>
      </c>
      <c r="AQ21" s="43"/>
      <c r="AR21" s="85">
        <v>0.0</v>
      </c>
      <c r="AS21" s="43"/>
      <c r="AT21" s="85">
        <v>0.0</v>
      </c>
      <c r="AU21" s="43"/>
      <c r="AV21" s="86">
        <v>0.0</v>
      </c>
      <c r="AX21" s="86">
        <v>0.0</v>
      </c>
      <c r="AY21" s="43"/>
      <c r="AZ21" s="86">
        <v>0.0</v>
      </c>
      <c r="BB21" s="54">
        <f t="shared" si="1"/>
        <v>3492.18</v>
      </c>
      <c r="BC21" s="52">
        <f t="shared" si="2"/>
        <v>264</v>
      </c>
      <c r="BD21" s="52">
        <f t="shared" si="3"/>
        <v>0</v>
      </c>
      <c r="BE21" s="52">
        <f t="shared" si="4"/>
        <v>264</v>
      </c>
      <c r="BF21" s="49">
        <f t="shared" si="5"/>
        <v>13.22795455</v>
      </c>
      <c r="BG21" s="78"/>
    </row>
    <row r="22" ht="15.75" customHeight="1">
      <c r="A22" s="50" t="s">
        <v>54</v>
      </c>
      <c r="B22" s="51">
        <f t="shared" si="6"/>
        <v>45675</v>
      </c>
      <c r="C22" s="52">
        <v>1.0</v>
      </c>
      <c r="D22" s="52" t="s">
        <v>69</v>
      </c>
      <c r="E22" s="53"/>
      <c r="F22" s="85">
        <v>0.0</v>
      </c>
      <c r="H22" s="86">
        <v>0.0</v>
      </c>
      <c r="J22" s="86">
        <v>0.0</v>
      </c>
      <c r="L22" s="86">
        <v>0.0</v>
      </c>
      <c r="N22" s="86">
        <v>0.0</v>
      </c>
      <c r="P22" s="86">
        <v>0.0</v>
      </c>
      <c r="Q22" s="43"/>
      <c r="R22" s="86"/>
      <c r="T22" s="85">
        <v>0.0</v>
      </c>
      <c r="V22" s="86">
        <v>0.0</v>
      </c>
      <c r="X22" s="86">
        <v>0.0</v>
      </c>
      <c r="Z22" s="86">
        <v>0.0</v>
      </c>
      <c r="AB22" s="86">
        <v>0.0</v>
      </c>
      <c r="AD22" s="86">
        <v>0.0</v>
      </c>
      <c r="AE22" s="43"/>
      <c r="AF22" s="86">
        <v>0.0</v>
      </c>
      <c r="AH22" s="86">
        <v>0.0</v>
      </c>
      <c r="AJ22" s="86">
        <v>0.0</v>
      </c>
      <c r="AL22" s="85">
        <v>0.0</v>
      </c>
      <c r="AM22" s="43"/>
      <c r="AN22" s="72"/>
      <c r="AO22" s="43"/>
      <c r="AP22" s="85">
        <v>0.0</v>
      </c>
      <c r="AQ22" s="43"/>
      <c r="AR22" s="85">
        <v>0.0</v>
      </c>
      <c r="AS22" s="43"/>
      <c r="AT22" s="85">
        <v>0.0</v>
      </c>
      <c r="AU22" s="43"/>
      <c r="AV22" s="86">
        <v>0.0</v>
      </c>
      <c r="AX22" s="86">
        <v>0.0</v>
      </c>
      <c r="AY22" s="43"/>
      <c r="AZ22" s="86">
        <v>0.0</v>
      </c>
      <c r="BB22" s="54">
        <f t="shared" si="1"/>
        <v>0</v>
      </c>
      <c r="BC22" s="52">
        <f t="shared" si="2"/>
        <v>0</v>
      </c>
      <c r="BD22" s="52">
        <f t="shared" si="3"/>
        <v>0</v>
      </c>
      <c r="BE22" s="52">
        <f t="shared" si="4"/>
        <v>0</v>
      </c>
      <c r="BF22" s="49" t="str">
        <f t="shared" si="5"/>
        <v/>
      </c>
      <c r="BG22" s="78"/>
    </row>
    <row r="23" ht="15.75" customHeight="1">
      <c r="A23" s="59" t="s">
        <v>61</v>
      </c>
      <c r="B23" s="61">
        <f t="shared" si="6"/>
        <v>45676</v>
      </c>
      <c r="C23" s="63">
        <v>1.0</v>
      </c>
      <c r="D23" s="63" t="s">
        <v>69</v>
      </c>
      <c r="E23" s="64"/>
      <c r="F23" s="87">
        <v>0.0</v>
      </c>
      <c r="G23" s="66"/>
      <c r="H23" s="88">
        <v>0.0</v>
      </c>
      <c r="I23" s="66"/>
      <c r="J23" s="88">
        <v>0.0</v>
      </c>
      <c r="K23" s="66"/>
      <c r="L23" s="88">
        <v>0.0</v>
      </c>
      <c r="M23" s="66"/>
      <c r="N23" s="88">
        <v>0.0</v>
      </c>
      <c r="O23" s="66"/>
      <c r="P23" s="88">
        <v>0.0</v>
      </c>
      <c r="Q23" s="68"/>
      <c r="R23" s="88"/>
      <c r="S23" s="66"/>
      <c r="T23" s="87">
        <v>0.0</v>
      </c>
      <c r="U23" s="66"/>
      <c r="V23" s="88">
        <v>0.0</v>
      </c>
      <c r="W23" s="66"/>
      <c r="X23" s="88">
        <v>0.0</v>
      </c>
      <c r="Y23" s="66"/>
      <c r="Z23" s="88">
        <v>0.0</v>
      </c>
      <c r="AA23" s="66"/>
      <c r="AB23" s="88">
        <v>0.0</v>
      </c>
      <c r="AC23" s="66"/>
      <c r="AD23" s="88">
        <v>0.0</v>
      </c>
      <c r="AE23" s="68"/>
      <c r="AF23" s="88">
        <v>0.0</v>
      </c>
      <c r="AG23" s="66"/>
      <c r="AH23" s="88">
        <v>0.0</v>
      </c>
      <c r="AI23" s="66"/>
      <c r="AJ23" s="88">
        <v>0.0</v>
      </c>
      <c r="AK23" s="66"/>
      <c r="AL23" s="87">
        <v>0.0</v>
      </c>
      <c r="AM23" s="68"/>
      <c r="AN23" s="84"/>
      <c r="AO23" s="68"/>
      <c r="AP23" s="87">
        <v>0.0</v>
      </c>
      <c r="AQ23" s="68"/>
      <c r="AR23" s="87">
        <v>0.0</v>
      </c>
      <c r="AS23" s="68"/>
      <c r="AT23" s="87">
        <v>0.0</v>
      </c>
      <c r="AU23" s="68"/>
      <c r="AV23" s="88">
        <v>0.0</v>
      </c>
      <c r="AW23" s="66"/>
      <c r="AX23" s="88">
        <v>0.0</v>
      </c>
      <c r="AY23" s="68"/>
      <c r="AZ23" s="88">
        <v>0.0</v>
      </c>
      <c r="BA23" s="66"/>
      <c r="BB23" s="73">
        <f t="shared" si="1"/>
        <v>0</v>
      </c>
      <c r="BC23" s="63">
        <f t="shared" si="2"/>
        <v>0</v>
      </c>
      <c r="BD23" s="63">
        <f t="shared" si="3"/>
        <v>0</v>
      </c>
      <c r="BE23" s="63">
        <f t="shared" si="4"/>
        <v>0</v>
      </c>
      <c r="BF23" s="74" t="str">
        <f t="shared" si="5"/>
        <v/>
      </c>
      <c r="BG23" s="78"/>
    </row>
    <row r="24" ht="15.75" customHeight="1">
      <c r="A24" s="36" t="s">
        <v>46</v>
      </c>
      <c r="B24" s="75">
        <f t="shared" si="6"/>
        <v>45677</v>
      </c>
      <c r="C24" s="38">
        <v>1.0</v>
      </c>
      <c r="D24" s="38" t="s">
        <v>72</v>
      </c>
      <c r="E24" s="82"/>
      <c r="F24" s="85">
        <v>40.0</v>
      </c>
      <c r="H24" s="86">
        <v>40.0</v>
      </c>
      <c r="J24" s="86">
        <v>0.0</v>
      </c>
      <c r="L24" s="86">
        <v>0.0</v>
      </c>
      <c r="N24" s="86">
        <v>0.0</v>
      </c>
      <c r="P24" s="86">
        <v>0.0</v>
      </c>
      <c r="Q24" s="43"/>
      <c r="R24" s="86"/>
      <c r="T24" s="85">
        <v>135.0</v>
      </c>
      <c r="V24" s="86">
        <v>135.0</v>
      </c>
      <c r="X24" s="86">
        <v>0.0</v>
      </c>
      <c r="Z24" s="86">
        <v>0.0</v>
      </c>
      <c r="AB24" s="86">
        <v>0.0</v>
      </c>
      <c r="AD24" s="86">
        <v>0.0</v>
      </c>
      <c r="AE24" s="43"/>
      <c r="AF24" s="86">
        <v>0.0</v>
      </c>
      <c r="AH24" s="86">
        <v>0.0</v>
      </c>
      <c r="AJ24" s="86">
        <v>0.0</v>
      </c>
      <c r="AL24" s="85">
        <v>0.0</v>
      </c>
      <c r="AM24" s="43"/>
      <c r="AN24" s="72"/>
      <c r="AO24" s="43"/>
      <c r="AP24" s="85">
        <v>0.0</v>
      </c>
      <c r="AQ24" s="43"/>
      <c r="AR24" s="85">
        <v>0.0</v>
      </c>
      <c r="AS24" s="43"/>
      <c r="AT24" s="85">
        <v>175.0</v>
      </c>
      <c r="AU24" s="43"/>
      <c r="AV24" s="86">
        <v>0.0</v>
      </c>
      <c r="AX24" s="86">
        <v>0.0</v>
      </c>
      <c r="AY24" s="43"/>
      <c r="AZ24" s="86">
        <v>0.0</v>
      </c>
      <c r="BB24" s="47">
        <f t="shared" si="1"/>
        <v>5069.4</v>
      </c>
      <c r="BC24" s="38">
        <f t="shared" si="2"/>
        <v>525</v>
      </c>
      <c r="BD24" s="38">
        <f t="shared" si="3"/>
        <v>0</v>
      </c>
      <c r="BE24" s="38">
        <f t="shared" si="4"/>
        <v>525</v>
      </c>
      <c r="BF24" s="76">
        <f t="shared" si="5"/>
        <v>9.656</v>
      </c>
      <c r="BG24" s="78"/>
    </row>
    <row r="25" ht="15.75" customHeight="1">
      <c r="A25" s="50" t="s">
        <v>48</v>
      </c>
      <c r="B25" s="51">
        <f t="shared" si="6"/>
        <v>45678</v>
      </c>
      <c r="C25" s="52">
        <v>1.0</v>
      </c>
      <c r="D25" s="52" t="s">
        <v>72</v>
      </c>
      <c r="E25" s="53"/>
      <c r="F25" s="85">
        <v>40.0</v>
      </c>
      <c r="H25" s="86">
        <v>40.0</v>
      </c>
      <c r="J25" s="86">
        <v>0.0</v>
      </c>
      <c r="L25" s="86">
        <v>0.0</v>
      </c>
      <c r="N25" s="86">
        <v>0.0</v>
      </c>
      <c r="P25" s="86">
        <v>0.0</v>
      </c>
      <c r="Q25" s="43"/>
      <c r="R25" s="86"/>
      <c r="T25" s="85">
        <v>145.0</v>
      </c>
      <c r="V25" s="86">
        <v>145.0</v>
      </c>
      <c r="X25" s="86">
        <v>0.0</v>
      </c>
      <c r="Z25" s="86">
        <v>0.0</v>
      </c>
      <c r="AB25" s="86">
        <v>0.0</v>
      </c>
      <c r="AD25" s="86">
        <v>0.0</v>
      </c>
      <c r="AE25" s="43"/>
      <c r="AF25" s="86">
        <v>0.0</v>
      </c>
      <c r="AH25" s="86">
        <v>0.0</v>
      </c>
      <c r="AJ25" s="86">
        <v>0.0</v>
      </c>
      <c r="AL25" s="85">
        <v>0.0</v>
      </c>
      <c r="AM25" s="43"/>
      <c r="AN25" s="72"/>
      <c r="AO25" s="43"/>
      <c r="AP25" s="85">
        <v>0.0</v>
      </c>
      <c r="AQ25" s="43"/>
      <c r="AR25" s="85">
        <v>0.0</v>
      </c>
      <c r="AS25" s="43"/>
      <c r="AT25" s="85">
        <v>0.0</v>
      </c>
      <c r="AU25" s="43"/>
      <c r="AV25" s="86">
        <v>0.0</v>
      </c>
      <c r="AX25" s="86">
        <v>0.0</v>
      </c>
      <c r="AY25" s="43"/>
      <c r="AZ25" s="86">
        <v>0.0</v>
      </c>
      <c r="BB25" s="54">
        <f t="shared" si="1"/>
        <v>5004.8</v>
      </c>
      <c r="BC25" s="52">
        <f t="shared" si="2"/>
        <v>370</v>
      </c>
      <c r="BD25" s="52">
        <f t="shared" si="3"/>
        <v>0</v>
      </c>
      <c r="BE25" s="52">
        <f t="shared" si="4"/>
        <v>370</v>
      </c>
      <c r="BF25" s="49">
        <f t="shared" si="5"/>
        <v>13.52648649</v>
      </c>
      <c r="BG25" s="78"/>
    </row>
    <row r="26" ht="15.75" customHeight="1">
      <c r="A26" s="50" t="s">
        <v>49</v>
      </c>
      <c r="B26" s="51">
        <f t="shared" si="6"/>
        <v>45679</v>
      </c>
      <c r="C26" s="52">
        <v>1.0</v>
      </c>
      <c r="D26" s="52" t="s">
        <v>72</v>
      </c>
      <c r="E26" s="53"/>
      <c r="F26" s="85">
        <v>40.0</v>
      </c>
      <c r="H26" s="86">
        <v>40.0</v>
      </c>
      <c r="J26" s="86">
        <v>0.0</v>
      </c>
      <c r="L26" s="86">
        <v>0.0</v>
      </c>
      <c r="N26" s="86">
        <v>0.0</v>
      </c>
      <c r="P26" s="86">
        <v>0.0</v>
      </c>
      <c r="Q26" s="43"/>
      <c r="R26" s="86"/>
      <c r="T26" s="85">
        <v>165.0</v>
      </c>
      <c r="V26" s="86">
        <v>165.0</v>
      </c>
      <c r="X26" s="86">
        <v>0.0</v>
      </c>
      <c r="Z26" s="86">
        <v>0.0</v>
      </c>
      <c r="AB26" s="86">
        <v>0.0</v>
      </c>
      <c r="AD26" s="86">
        <v>30.0</v>
      </c>
      <c r="AE26" s="43"/>
      <c r="AF26" s="86">
        <v>0.0</v>
      </c>
      <c r="AH26" s="86">
        <v>0.0</v>
      </c>
      <c r="AJ26" s="86">
        <v>0.0</v>
      </c>
      <c r="AL26" s="85">
        <v>0.0</v>
      </c>
      <c r="AM26" s="43"/>
      <c r="AN26" s="72"/>
      <c r="AO26" s="43"/>
      <c r="AP26" s="85">
        <v>0.0</v>
      </c>
      <c r="AQ26" s="43"/>
      <c r="AR26" s="85">
        <v>0.0</v>
      </c>
      <c r="AS26" s="43"/>
      <c r="AT26" s="85">
        <v>0.0</v>
      </c>
      <c r="AU26" s="43"/>
      <c r="AV26" s="86">
        <v>0.0</v>
      </c>
      <c r="AX26" s="86">
        <v>0.0</v>
      </c>
      <c r="AY26" s="43"/>
      <c r="AZ26" s="86">
        <v>0.0</v>
      </c>
      <c r="BB26" s="54">
        <f t="shared" si="1"/>
        <v>5783.2</v>
      </c>
      <c r="BC26" s="52">
        <f t="shared" si="2"/>
        <v>440</v>
      </c>
      <c r="BD26" s="52">
        <f t="shared" si="3"/>
        <v>0</v>
      </c>
      <c r="BE26" s="52">
        <f t="shared" si="4"/>
        <v>440</v>
      </c>
      <c r="BF26" s="49">
        <f t="shared" si="5"/>
        <v>13.14363636</v>
      </c>
      <c r="BG26" s="78"/>
    </row>
    <row r="27" ht="15.75" customHeight="1">
      <c r="A27" s="50" t="s">
        <v>50</v>
      </c>
      <c r="B27" s="51">
        <f t="shared" si="6"/>
        <v>45680</v>
      </c>
      <c r="C27" s="52">
        <v>1.0</v>
      </c>
      <c r="D27" s="52" t="s">
        <v>72</v>
      </c>
      <c r="E27" s="53"/>
      <c r="F27" s="85">
        <v>40.0</v>
      </c>
      <c r="H27" s="86">
        <v>40.0</v>
      </c>
      <c r="J27" s="86">
        <v>0.0</v>
      </c>
      <c r="L27" s="86">
        <v>0.0</v>
      </c>
      <c r="N27" s="86">
        <v>0.0</v>
      </c>
      <c r="P27" s="86">
        <v>0.0</v>
      </c>
      <c r="Q27" s="43"/>
      <c r="R27" s="86">
        <v>1.0</v>
      </c>
      <c r="T27" s="85">
        <v>165.0</v>
      </c>
      <c r="V27" s="86">
        <v>165.0</v>
      </c>
      <c r="X27" s="86">
        <v>0.0</v>
      </c>
      <c r="Z27" s="86">
        <v>0.0</v>
      </c>
      <c r="AB27" s="86">
        <v>0.0</v>
      </c>
      <c r="AD27" s="86">
        <v>30.0</v>
      </c>
      <c r="AE27" s="43"/>
      <c r="AF27" s="86">
        <v>0.0</v>
      </c>
      <c r="AH27" s="86">
        <v>0.0</v>
      </c>
      <c r="AJ27" s="86">
        <v>0.0</v>
      </c>
      <c r="AL27" s="85">
        <v>0.0</v>
      </c>
      <c r="AM27" s="43"/>
      <c r="AN27" s="72"/>
      <c r="AO27" s="43"/>
      <c r="AP27" s="85">
        <v>0.0</v>
      </c>
      <c r="AQ27" s="43"/>
      <c r="AR27" s="85">
        <v>0.0</v>
      </c>
      <c r="AS27" s="43"/>
      <c r="AT27" s="85">
        <v>0.0</v>
      </c>
      <c r="AU27" s="43"/>
      <c r="AV27" s="86">
        <v>0.0</v>
      </c>
      <c r="AX27" s="86">
        <v>0.0</v>
      </c>
      <c r="AY27" s="43"/>
      <c r="AZ27" s="86">
        <v>0.0</v>
      </c>
      <c r="BB27" s="54">
        <f t="shared" si="1"/>
        <v>5806.08</v>
      </c>
      <c r="BC27" s="52">
        <f t="shared" si="2"/>
        <v>441</v>
      </c>
      <c r="BD27" s="52">
        <f t="shared" si="3"/>
        <v>0</v>
      </c>
      <c r="BE27" s="52">
        <f t="shared" si="4"/>
        <v>441</v>
      </c>
      <c r="BF27" s="49">
        <f t="shared" si="5"/>
        <v>13.16571429</v>
      </c>
      <c r="BG27" s="78"/>
    </row>
    <row r="28" ht="15.75" customHeight="1">
      <c r="A28" s="50" t="s">
        <v>53</v>
      </c>
      <c r="B28" s="51">
        <f t="shared" si="6"/>
        <v>45681</v>
      </c>
      <c r="C28" s="52">
        <v>1.0</v>
      </c>
      <c r="D28" s="52" t="s">
        <v>72</v>
      </c>
      <c r="E28" s="53"/>
      <c r="F28" s="85">
        <v>40.0</v>
      </c>
      <c r="H28" s="86">
        <v>40.0</v>
      </c>
      <c r="J28" s="86">
        <v>0.0</v>
      </c>
      <c r="L28" s="86">
        <v>0.0</v>
      </c>
      <c r="N28" s="86">
        <v>0.0</v>
      </c>
      <c r="P28" s="86">
        <v>0.0</v>
      </c>
      <c r="Q28" s="43"/>
      <c r="R28" s="86">
        <v>1.0</v>
      </c>
      <c r="T28" s="85">
        <v>165.0</v>
      </c>
      <c r="V28" s="86">
        <v>165.0</v>
      </c>
      <c r="X28" s="86">
        <v>0.0</v>
      </c>
      <c r="Z28" s="86">
        <v>0.0</v>
      </c>
      <c r="AB28" s="86">
        <v>0.0</v>
      </c>
      <c r="AD28" s="86">
        <v>30.0</v>
      </c>
      <c r="AE28" s="43"/>
      <c r="AF28" s="86">
        <v>0.0</v>
      </c>
      <c r="AH28" s="86">
        <v>0.0</v>
      </c>
      <c r="AJ28" s="86">
        <v>0.0</v>
      </c>
      <c r="AL28" s="85">
        <v>0.0</v>
      </c>
      <c r="AM28" s="43"/>
      <c r="AN28" s="72"/>
      <c r="AO28" s="43"/>
      <c r="AP28" s="85">
        <v>0.0</v>
      </c>
      <c r="AQ28" s="43"/>
      <c r="AR28" s="85">
        <v>0.0</v>
      </c>
      <c r="AS28" s="43"/>
      <c r="AT28" s="85">
        <v>0.0</v>
      </c>
      <c r="AU28" s="43"/>
      <c r="AV28" s="86">
        <v>0.0</v>
      </c>
      <c r="AX28" s="86">
        <v>0.0</v>
      </c>
      <c r="AY28" s="43"/>
      <c r="AZ28" s="86">
        <v>0.0</v>
      </c>
      <c r="BB28" s="54">
        <f t="shared" si="1"/>
        <v>5806.08</v>
      </c>
      <c r="BC28" s="52">
        <f t="shared" si="2"/>
        <v>441</v>
      </c>
      <c r="BD28" s="52">
        <f t="shared" si="3"/>
        <v>0</v>
      </c>
      <c r="BE28" s="52">
        <f t="shared" si="4"/>
        <v>441</v>
      </c>
      <c r="BF28" s="49">
        <f t="shared" si="5"/>
        <v>13.16571429</v>
      </c>
      <c r="BG28" s="78"/>
    </row>
    <row r="29" ht="15.75" customHeight="1">
      <c r="A29" s="50" t="s">
        <v>54</v>
      </c>
      <c r="B29" s="51">
        <f t="shared" si="6"/>
        <v>45682</v>
      </c>
      <c r="C29" s="52">
        <v>1.0</v>
      </c>
      <c r="D29" s="52" t="s">
        <v>72</v>
      </c>
      <c r="E29" s="53"/>
      <c r="F29" s="85">
        <v>0.0</v>
      </c>
      <c r="H29" s="86">
        <v>0.0</v>
      </c>
      <c r="J29" s="86">
        <v>0.0</v>
      </c>
      <c r="L29" s="86">
        <v>0.0</v>
      </c>
      <c r="N29" s="86">
        <v>0.0</v>
      </c>
      <c r="P29" s="86">
        <v>0.0</v>
      </c>
      <c r="Q29" s="43"/>
      <c r="R29" s="86">
        <v>2.0</v>
      </c>
      <c r="T29" s="85">
        <v>0.0</v>
      </c>
      <c r="V29" s="86">
        <v>0.0</v>
      </c>
      <c r="X29" s="86">
        <v>0.0</v>
      </c>
      <c r="Z29" s="86">
        <v>0.0</v>
      </c>
      <c r="AB29" s="86">
        <v>0.0</v>
      </c>
      <c r="AD29" s="86">
        <v>0.0</v>
      </c>
      <c r="AE29" s="43"/>
      <c r="AF29" s="86">
        <v>0.0</v>
      </c>
      <c r="AH29" s="86">
        <v>0.0</v>
      </c>
      <c r="AJ29" s="86">
        <v>0.0</v>
      </c>
      <c r="AL29" s="85">
        <v>0.0</v>
      </c>
      <c r="AM29" s="43"/>
      <c r="AN29" s="72"/>
      <c r="AO29" s="43"/>
      <c r="AP29" s="85">
        <v>0.0</v>
      </c>
      <c r="AQ29" s="43"/>
      <c r="AR29" s="85">
        <v>0.0</v>
      </c>
      <c r="AS29" s="43"/>
      <c r="AT29" s="85">
        <v>0.0</v>
      </c>
      <c r="AU29" s="43"/>
      <c r="AV29" s="86">
        <v>0.0</v>
      </c>
      <c r="AX29" s="86">
        <v>0.0</v>
      </c>
      <c r="AY29" s="43"/>
      <c r="AZ29" s="86">
        <v>0.0</v>
      </c>
      <c r="BB29" s="54">
        <f t="shared" si="1"/>
        <v>45.76</v>
      </c>
      <c r="BC29" s="52">
        <f t="shared" si="2"/>
        <v>2</v>
      </c>
      <c r="BD29" s="52">
        <f t="shared" si="3"/>
        <v>0</v>
      </c>
      <c r="BE29" s="52">
        <f t="shared" si="4"/>
        <v>2</v>
      </c>
      <c r="BF29" s="49">
        <f t="shared" si="5"/>
        <v>22.88</v>
      </c>
      <c r="BG29" s="78"/>
    </row>
    <row r="30" ht="15.75" customHeight="1">
      <c r="A30" s="59" t="s">
        <v>61</v>
      </c>
      <c r="B30" s="61">
        <f t="shared" si="6"/>
        <v>45683</v>
      </c>
      <c r="C30" s="63">
        <v>1.0</v>
      </c>
      <c r="D30" s="63" t="s">
        <v>72</v>
      </c>
      <c r="E30" s="64"/>
      <c r="F30" s="87">
        <v>0.0</v>
      </c>
      <c r="G30" s="66"/>
      <c r="H30" s="88">
        <v>0.0</v>
      </c>
      <c r="I30" s="66"/>
      <c r="J30" s="88">
        <v>0.0</v>
      </c>
      <c r="K30" s="66"/>
      <c r="L30" s="88">
        <v>0.0</v>
      </c>
      <c r="M30" s="66"/>
      <c r="N30" s="88">
        <v>0.0</v>
      </c>
      <c r="O30" s="66"/>
      <c r="P30" s="88">
        <v>0.0</v>
      </c>
      <c r="Q30" s="68"/>
      <c r="R30" s="88">
        <v>2.0</v>
      </c>
      <c r="S30" s="66"/>
      <c r="T30" s="87">
        <v>0.0</v>
      </c>
      <c r="U30" s="66"/>
      <c r="V30" s="88">
        <v>0.0</v>
      </c>
      <c r="W30" s="66"/>
      <c r="X30" s="88">
        <v>0.0</v>
      </c>
      <c r="Y30" s="66"/>
      <c r="Z30" s="88">
        <v>0.0</v>
      </c>
      <c r="AA30" s="66"/>
      <c r="AB30" s="88">
        <v>0.0</v>
      </c>
      <c r="AC30" s="66"/>
      <c r="AD30" s="88">
        <v>0.0</v>
      </c>
      <c r="AE30" s="68"/>
      <c r="AF30" s="88">
        <v>0.0</v>
      </c>
      <c r="AG30" s="66"/>
      <c r="AH30" s="88">
        <v>0.0</v>
      </c>
      <c r="AI30" s="66"/>
      <c r="AJ30" s="88">
        <v>0.0</v>
      </c>
      <c r="AK30" s="66"/>
      <c r="AL30" s="87">
        <v>0.0</v>
      </c>
      <c r="AM30" s="68"/>
      <c r="AN30" s="84"/>
      <c r="AO30" s="68"/>
      <c r="AP30" s="87">
        <v>0.0</v>
      </c>
      <c r="AQ30" s="68"/>
      <c r="AR30" s="87">
        <v>0.0</v>
      </c>
      <c r="AS30" s="68"/>
      <c r="AT30" s="87">
        <v>0.0</v>
      </c>
      <c r="AU30" s="68"/>
      <c r="AV30" s="88">
        <v>0.0</v>
      </c>
      <c r="AW30" s="66"/>
      <c r="AX30" s="88">
        <v>0.0</v>
      </c>
      <c r="AY30" s="68"/>
      <c r="AZ30" s="88">
        <v>0.0</v>
      </c>
      <c r="BA30" s="66"/>
      <c r="BB30" s="73">
        <f t="shared" si="1"/>
        <v>45.76</v>
      </c>
      <c r="BC30" s="63">
        <f t="shared" si="2"/>
        <v>2</v>
      </c>
      <c r="BD30" s="63">
        <f t="shared" si="3"/>
        <v>0</v>
      </c>
      <c r="BE30" s="63">
        <f t="shared" si="4"/>
        <v>2</v>
      </c>
      <c r="BF30" s="74">
        <f t="shared" si="5"/>
        <v>22.88</v>
      </c>
      <c r="BG30" s="78"/>
    </row>
    <row r="31" ht="15.75" customHeight="1">
      <c r="A31" s="36" t="s">
        <v>46</v>
      </c>
      <c r="B31" s="75">
        <f t="shared" si="6"/>
        <v>45684</v>
      </c>
      <c r="C31" s="48">
        <v>2.0</v>
      </c>
      <c r="D31" s="38" t="s">
        <v>47</v>
      </c>
      <c r="E31" s="82"/>
      <c r="F31" s="85">
        <v>60.0</v>
      </c>
      <c r="H31" s="86">
        <v>60.0</v>
      </c>
      <c r="J31" s="86">
        <v>0.0</v>
      </c>
      <c r="L31" s="86">
        <v>0.0</v>
      </c>
      <c r="N31" s="86">
        <v>0.0</v>
      </c>
      <c r="P31" s="86">
        <v>0.0</v>
      </c>
      <c r="Q31" s="43"/>
      <c r="R31" s="86">
        <v>1.0</v>
      </c>
      <c r="T31" s="85">
        <v>160.0</v>
      </c>
      <c r="V31" s="86">
        <v>160.0</v>
      </c>
      <c r="X31" s="86">
        <v>0.0</v>
      </c>
      <c r="Z31" s="86">
        <v>0.0</v>
      </c>
      <c r="AB31" s="86">
        <v>0.0</v>
      </c>
      <c r="AD31" s="86">
        <v>0.0</v>
      </c>
      <c r="AE31" s="43"/>
      <c r="AF31" s="86">
        <v>0.0</v>
      </c>
      <c r="AH31" s="86">
        <v>0.0</v>
      </c>
      <c r="AJ31" s="86">
        <v>0.0</v>
      </c>
      <c r="AL31" s="85">
        <v>0.0</v>
      </c>
      <c r="AM31" s="43"/>
      <c r="AN31" s="72"/>
      <c r="AO31" s="43"/>
      <c r="AP31" s="85">
        <v>0.0</v>
      </c>
      <c r="AQ31" s="43"/>
      <c r="AR31" s="85">
        <v>0.0</v>
      </c>
      <c r="AS31" s="43"/>
      <c r="AT31" s="85">
        <v>175.0</v>
      </c>
      <c r="AU31" s="43"/>
      <c r="AV31" s="86">
        <v>0.0</v>
      </c>
      <c r="AX31" s="86">
        <v>0.0</v>
      </c>
      <c r="AY31" s="43"/>
      <c r="AZ31" s="86">
        <v>0.0</v>
      </c>
      <c r="BB31" s="47">
        <f t="shared" si="1"/>
        <v>6538.28</v>
      </c>
      <c r="BC31" s="38">
        <f t="shared" si="2"/>
        <v>616</v>
      </c>
      <c r="BD31" s="38">
        <f t="shared" si="3"/>
        <v>0</v>
      </c>
      <c r="BE31" s="38">
        <f t="shared" si="4"/>
        <v>616</v>
      </c>
      <c r="BF31" s="76">
        <f t="shared" si="5"/>
        <v>10.61409091</v>
      </c>
      <c r="BG31" s="78"/>
    </row>
    <row r="32" ht="15.75" customHeight="1">
      <c r="A32" s="50" t="s">
        <v>48</v>
      </c>
      <c r="B32" s="51">
        <f t="shared" si="6"/>
        <v>45685</v>
      </c>
      <c r="C32" s="89">
        <v>2.0</v>
      </c>
      <c r="D32" s="52" t="s">
        <v>47</v>
      </c>
      <c r="E32" s="53"/>
      <c r="F32" s="85">
        <v>60.0</v>
      </c>
      <c r="H32" s="86">
        <v>60.0</v>
      </c>
      <c r="J32" s="86">
        <v>0.0</v>
      </c>
      <c r="L32" s="86">
        <v>0.0</v>
      </c>
      <c r="N32" s="86">
        <v>0.0</v>
      </c>
      <c r="P32" s="86">
        <v>0.0</v>
      </c>
      <c r="Q32" s="43"/>
      <c r="R32" s="86">
        <v>1.0</v>
      </c>
      <c r="T32" s="85">
        <v>160.0</v>
      </c>
      <c r="V32" s="86">
        <v>160.0</v>
      </c>
      <c r="X32" s="86">
        <v>0.0</v>
      </c>
      <c r="Z32" s="86">
        <v>0.0</v>
      </c>
      <c r="AB32" s="86">
        <v>0.0</v>
      </c>
      <c r="AD32" s="86">
        <v>0.0</v>
      </c>
      <c r="AE32" s="43"/>
      <c r="AF32" s="86">
        <v>0.0</v>
      </c>
      <c r="AH32" s="86">
        <v>0.0</v>
      </c>
      <c r="AJ32" s="86">
        <v>0.0</v>
      </c>
      <c r="AL32" s="85">
        <v>0.0</v>
      </c>
      <c r="AM32" s="43"/>
      <c r="AN32" s="72"/>
      <c r="AO32" s="43"/>
      <c r="AP32" s="85">
        <v>0.0</v>
      </c>
      <c r="AQ32" s="43"/>
      <c r="AR32" s="85">
        <v>0.0</v>
      </c>
      <c r="AS32" s="43"/>
      <c r="AT32" s="85">
        <v>0.0</v>
      </c>
      <c r="AU32" s="43"/>
      <c r="AV32" s="86">
        <v>0.0</v>
      </c>
      <c r="AX32" s="86">
        <v>0.0</v>
      </c>
      <c r="AY32" s="43"/>
      <c r="AZ32" s="86">
        <v>0.0</v>
      </c>
      <c r="BB32" s="54">
        <f t="shared" si="1"/>
        <v>6251.28</v>
      </c>
      <c r="BC32" s="52">
        <f t="shared" si="2"/>
        <v>441</v>
      </c>
      <c r="BD32" s="52">
        <f t="shared" si="3"/>
        <v>0</v>
      </c>
      <c r="BE32" s="52">
        <f t="shared" si="4"/>
        <v>441</v>
      </c>
      <c r="BF32" s="49">
        <f t="shared" si="5"/>
        <v>14.1752381</v>
      </c>
      <c r="BG32" s="78"/>
    </row>
    <row r="33" ht="15.75" customHeight="1">
      <c r="A33" s="50" t="s">
        <v>49</v>
      </c>
      <c r="B33" s="51">
        <f t="shared" si="6"/>
        <v>45686</v>
      </c>
      <c r="C33" s="89">
        <v>2.0</v>
      </c>
      <c r="D33" s="52" t="s">
        <v>47</v>
      </c>
      <c r="E33" s="53"/>
      <c r="F33" s="85">
        <v>60.0</v>
      </c>
      <c r="H33" s="86">
        <v>60.0</v>
      </c>
      <c r="J33" s="86">
        <v>0.0</v>
      </c>
      <c r="L33" s="86">
        <v>0.0</v>
      </c>
      <c r="N33" s="86">
        <v>0.0</v>
      </c>
      <c r="P33" s="86">
        <v>0.0</v>
      </c>
      <c r="Q33" s="43"/>
      <c r="R33" s="86">
        <v>1.0</v>
      </c>
      <c r="T33" s="85">
        <v>160.0</v>
      </c>
      <c r="V33" s="86">
        <v>160.0</v>
      </c>
      <c r="X33" s="86">
        <v>0.0</v>
      </c>
      <c r="Z33" s="86">
        <v>0.0</v>
      </c>
      <c r="AB33" s="86">
        <v>0.0</v>
      </c>
      <c r="AD33" s="86">
        <v>0.0</v>
      </c>
      <c r="AE33" s="43"/>
      <c r="AF33" s="86">
        <v>0.0</v>
      </c>
      <c r="AH33" s="86">
        <v>0.0</v>
      </c>
      <c r="AJ33" s="86">
        <v>0.0</v>
      </c>
      <c r="AL33" s="85">
        <v>0.0</v>
      </c>
      <c r="AM33" s="43"/>
      <c r="AN33" s="72"/>
      <c r="AO33" s="43"/>
      <c r="AP33" s="85">
        <v>0.0</v>
      </c>
      <c r="AQ33" s="43"/>
      <c r="AR33" s="85">
        <v>0.0</v>
      </c>
      <c r="AS33" s="43"/>
      <c r="AT33" s="85">
        <v>0.0</v>
      </c>
      <c r="AU33" s="43"/>
      <c r="AV33" s="86">
        <v>0.0</v>
      </c>
      <c r="AX33" s="86">
        <v>0.0</v>
      </c>
      <c r="AY33" s="43"/>
      <c r="AZ33" s="86">
        <v>0.0</v>
      </c>
      <c r="BB33" s="54">
        <f t="shared" si="1"/>
        <v>6251.28</v>
      </c>
      <c r="BC33" s="52">
        <f t="shared" si="2"/>
        <v>441</v>
      </c>
      <c r="BD33" s="52">
        <f t="shared" si="3"/>
        <v>0</v>
      </c>
      <c r="BE33" s="52">
        <f t="shared" si="4"/>
        <v>441</v>
      </c>
      <c r="BF33" s="49">
        <f t="shared" si="5"/>
        <v>14.1752381</v>
      </c>
      <c r="BG33" s="78"/>
    </row>
    <row r="34" ht="15.75" customHeight="1">
      <c r="A34" s="50" t="s">
        <v>50</v>
      </c>
      <c r="B34" s="51">
        <f t="shared" si="6"/>
        <v>45687</v>
      </c>
      <c r="C34" s="89">
        <v>2.0</v>
      </c>
      <c r="D34" s="52" t="s">
        <v>47</v>
      </c>
      <c r="E34" s="53"/>
      <c r="F34" s="85">
        <v>60.0</v>
      </c>
      <c r="H34" s="86">
        <v>60.0</v>
      </c>
      <c r="J34" s="86">
        <v>0.0</v>
      </c>
      <c r="L34" s="86">
        <v>0.0</v>
      </c>
      <c r="N34" s="86">
        <v>0.0</v>
      </c>
      <c r="P34" s="86">
        <v>0.0</v>
      </c>
      <c r="Q34" s="43"/>
      <c r="R34" s="86">
        <v>1.0</v>
      </c>
      <c r="T34" s="85">
        <v>160.0</v>
      </c>
      <c r="V34" s="86">
        <v>160.0</v>
      </c>
      <c r="X34" s="86">
        <v>0.0</v>
      </c>
      <c r="Z34" s="86">
        <v>0.0</v>
      </c>
      <c r="AB34" s="86">
        <v>0.0</v>
      </c>
      <c r="AD34" s="86">
        <v>0.0</v>
      </c>
      <c r="AE34" s="43"/>
      <c r="AF34" s="86">
        <v>0.0</v>
      </c>
      <c r="AH34" s="86">
        <v>0.0</v>
      </c>
      <c r="AJ34" s="86">
        <v>0.0</v>
      </c>
      <c r="AL34" s="85">
        <v>0.0</v>
      </c>
      <c r="AM34" s="43"/>
      <c r="AN34" s="72"/>
      <c r="AO34" s="43"/>
      <c r="AP34" s="85">
        <v>0.0</v>
      </c>
      <c r="AQ34" s="43"/>
      <c r="AR34" s="85">
        <v>0.0</v>
      </c>
      <c r="AS34" s="43"/>
      <c r="AT34" s="85">
        <v>0.0</v>
      </c>
      <c r="AU34" s="43"/>
      <c r="AV34" s="86">
        <v>0.0</v>
      </c>
      <c r="AX34" s="86">
        <v>0.0</v>
      </c>
      <c r="AY34" s="43"/>
      <c r="AZ34" s="86">
        <v>0.0</v>
      </c>
      <c r="BB34" s="54">
        <f t="shared" si="1"/>
        <v>6251.28</v>
      </c>
      <c r="BC34" s="52">
        <f t="shared" si="2"/>
        <v>441</v>
      </c>
      <c r="BD34" s="52">
        <f t="shared" si="3"/>
        <v>0</v>
      </c>
      <c r="BE34" s="52">
        <f t="shared" si="4"/>
        <v>441</v>
      </c>
      <c r="BF34" s="49">
        <f t="shared" si="5"/>
        <v>14.1752381</v>
      </c>
      <c r="BG34" s="78"/>
    </row>
    <row r="35" ht="15.75" customHeight="1">
      <c r="A35" s="50" t="s">
        <v>53</v>
      </c>
      <c r="B35" s="51">
        <f t="shared" si="6"/>
        <v>45688</v>
      </c>
      <c r="C35" s="89">
        <v>2.0</v>
      </c>
      <c r="D35" s="52" t="s">
        <v>47</v>
      </c>
      <c r="E35" s="53"/>
      <c r="F35" s="85">
        <v>60.0</v>
      </c>
      <c r="H35" s="86">
        <v>60.0</v>
      </c>
      <c r="J35" s="86">
        <v>0.0</v>
      </c>
      <c r="L35" s="86">
        <v>0.0</v>
      </c>
      <c r="N35" s="86">
        <v>0.0</v>
      </c>
      <c r="P35" s="86">
        <v>0.0</v>
      </c>
      <c r="Q35" s="43"/>
      <c r="R35" s="86">
        <v>1.0</v>
      </c>
      <c r="T35" s="85">
        <v>160.0</v>
      </c>
      <c r="V35" s="86">
        <v>160.0</v>
      </c>
      <c r="X35" s="86">
        <v>0.0</v>
      </c>
      <c r="Z35" s="86">
        <v>0.0</v>
      </c>
      <c r="AB35" s="86">
        <v>0.0</v>
      </c>
      <c r="AD35" s="86">
        <v>0.0</v>
      </c>
      <c r="AE35" s="43"/>
      <c r="AF35" s="86">
        <v>0.0</v>
      </c>
      <c r="AH35" s="86">
        <v>0.0</v>
      </c>
      <c r="AJ35" s="86">
        <v>0.0</v>
      </c>
      <c r="AL35" s="85">
        <v>0.0</v>
      </c>
      <c r="AM35" s="43"/>
      <c r="AN35" s="72"/>
      <c r="AO35" s="43"/>
      <c r="AP35" s="85">
        <v>0.0</v>
      </c>
      <c r="AQ35" s="43"/>
      <c r="AR35" s="85">
        <v>0.0</v>
      </c>
      <c r="AS35" s="43"/>
      <c r="AT35" s="85">
        <v>0.0</v>
      </c>
      <c r="AU35" s="43"/>
      <c r="AV35" s="86">
        <v>0.0</v>
      </c>
      <c r="AX35" s="86">
        <v>0.0</v>
      </c>
      <c r="AY35" s="43"/>
      <c r="AZ35" s="86">
        <v>0.0</v>
      </c>
      <c r="BB35" s="54">
        <f t="shared" si="1"/>
        <v>6251.28</v>
      </c>
      <c r="BC35" s="52">
        <f t="shared" si="2"/>
        <v>441</v>
      </c>
      <c r="BD35" s="52">
        <f t="shared" si="3"/>
        <v>0</v>
      </c>
      <c r="BE35" s="52">
        <f t="shared" si="4"/>
        <v>441</v>
      </c>
      <c r="BF35" s="49">
        <f t="shared" si="5"/>
        <v>14.1752381</v>
      </c>
      <c r="BG35" s="78"/>
    </row>
    <row r="36" ht="15.75" customHeight="1">
      <c r="A36" s="50" t="s">
        <v>54</v>
      </c>
      <c r="B36" s="51">
        <f t="shared" si="6"/>
        <v>45689</v>
      </c>
      <c r="C36" s="89">
        <v>2.0</v>
      </c>
      <c r="D36" s="52" t="s">
        <v>47</v>
      </c>
      <c r="E36" s="53"/>
      <c r="F36" s="85">
        <v>60.0</v>
      </c>
      <c r="H36" s="86">
        <v>60.0</v>
      </c>
      <c r="J36" s="86">
        <v>0.0</v>
      </c>
      <c r="L36" s="86">
        <v>0.0</v>
      </c>
      <c r="N36" s="86">
        <v>0.0</v>
      </c>
      <c r="P36" s="86">
        <v>0.0</v>
      </c>
      <c r="Q36" s="43"/>
      <c r="R36" s="86">
        <v>0.0</v>
      </c>
      <c r="T36" s="85">
        <v>160.0</v>
      </c>
      <c r="V36" s="86">
        <v>160.0</v>
      </c>
      <c r="X36" s="86">
        <v>0.0</v>
      </c>
      <c r="Z36" s="86">
        <v>0.0</v>
      </c>
      <c r="AB36" s="86">
        <v>0.0</v>
      </c>
      <c r="AD36" s="86">
        <v>0.0</v>
      </c>
      <c r="AE36" s="43"/>
      <c r="AF36" s="86">
        <v>0.0</v>
      </c>
      <c r="AH36" s="86">
        <v>0.0</v>
      </c>
      <c r="AJ36" s="86">
        <v>0.0</v>
      </c>
      <c r="AL36" s="85">
        <v>0.0</v>
      </c>
      <c r="AM36" s="43"/>
      <c r="AN36" s="72"/>
      <c r="AO36" s="43"/>
      <c r="AP36" s="85">
        <v>0.0</v>
      </c>
      <c r="AQ36" s="43"/>
      <c r="AR36" s="85">
        <v>0.0</v>
      </c>
      <c r="AS36" s="43"/>
      <c r="AT36" s="85">
        <v>0.0</v>
      </c>
      <c r="AU36" s="43"/>
      <c r="AV36" s="86">
        <v>0.0</v>
      </c>
      <c r="AX36" s="86">
        <v>0.0</v>
      </c>
      <c r="AY36" s="43"/>
      <c r="AZ36" s="86">
        <v>0.0</v>
      </c>
      <c r="BB36" s="54">
        <f t="shared" si="1"/>
        <v>6228.4</v>
      </c>
      <c r="BC36" s="52">
        <f t="shared" si="2"/>
        <v>440</v>
      </c>
      <c r="BD36" s="52">
        <f t="shared" si="3"/>
        <v>0</v>
      </c>
      <c r="BE36" s="52">
        <f t="shared" si="4"/>
        <v>440</v>
      </c>
      <c r="BF36" s="49">
        <f t="shared" si="5"/>
        <v>14.15545455</v>
      </c>
      <c r="BG36" s="78"/>
    </row>
    <row r="37" ht="15.75" customHeight="1">
      <c r="A37" s="59" t="s">
        <v>61</v>
      </c>
      <c r="B37" s="61">
        <f t="shared" si="6"/>
        <v>45690</v>
      </c>
      <c r="C37" s="90">
        <v>2.0</v>
      </c>
      <c r="D37" s="63" t="s">
        <v>47</v>
      </c>
      <c r="E37" s="64"/>
      <c r="F37" s="87">
        <v>0.0</v>
      </c>
      <c r="G37" s="66"/>
      <c r="H37" s="88">
        <v>0.0</v>
      </c>
      <c r="I37" s="66"/>
      <c r="J37" s="88">
        <v>0.0</v>
      </c>
      <c r="K37" s="66"/>
      <c r="L37" s="88">
        <v>0.0</v>
      </c>
      <c r="M37" s="66"/>
      <c r="N37" s="88">
        <v>0.0</v>
      </c>
      <c r="O37" s="66"/>
      <c r="P37" s="88">
        <v>0.0</v>
      </c>
      <c r="Q37" s="68"/>
      <c r="R37" s="88"/>
      <c r="S37" s="66"/>
      <c r="T37" s="87">
        <v>0.0</v>
      </c>
      <c r="U37" s="66"/>
      <c r="V37" s="88">
        <v>0.0</v>
      </c>
      <c r="W37" s="66"/>
      <c r="X37" s="88">
        <v>0.0</v>
      </c>
      <c r="Y37" s="66"/>
      <c r="Z37" s="88">
        <v>0.0</v>
      </c>
      <c r="AA37" s="66"/>
      <c r="AB37" s="88">
        <v>0.0</v>
      </c>
      <c r="AC37" s="66"/>
      <c r="AD37" s="88">
        <v>0.0</v>
      </c>
      <c r="AE37" s="68"/>
      <c r="AF37" s="88">
        <v>0.0</v>
      </c>
      <c r="AG37" s="66"/>
      <c r="AH37" s="88">
        <v>0.0</v>
      </c>
      <c r="AI37" s="66"/>
      <c r="AJ37" s="88">
        <v>0.0</v>
      </c>
      <c r="AK37" s="66"/>
      <c r="AL37" s="87">
        <v>0.0</v>
      </c>
      <c r="AM37" s="68"/>
      <c r="AN37" s="84"/>
      <c r="AO37" s="68"/>
      <c r="AP37" s="87">
        <v>0.0</v>
      </c>
      <c r="AQ37" s="68"/>
      <c r="AR37" s="87">
        <v>0.0</v>
      </c>
      <c r="AS37" s="68"/>
      <c r="AT37" s="87">
        <v>0.0</v>
      </c>
      <c r="AU37" s="68"/>
      <c r="AV37" s="88">
        <v>0.0</v>
      </c>
      <c r="AW37" s="66"/>
      <c r="AX37" s="88">
        <v>0.0</v>
      </c>
      <c r="AY37" s="68"/>
      <c r="AZ37" s="88">
        <v>0.0</v>
      </c>
      <c r="BA37" s="66"/>
      <c r="BB37" s="73">
        <f t="shared" si="1"/>
        <v>0</v>
      </c>
      <c r="BC37" s="63">
        <f t="shared" si="2"/>
        <v>0</v>
      </c>
      <c r="BD37" s="63">
        <f t="shared" si="3"/>
        <v>0</v>
      </c>
      <c r="BE37" s="63">
        <f t="shared" si="4"/>
        <v>0</v>
      </c>
      <c r="BF37" s="74" t="str">
        <f t="shared" si="5"/>
        <v/>
      </c>
      <c r="BG37" s="78"/>
    </row>
    <row r="38" ht="15.75" customHeight="1">
      <c r="A38" s="36" t="s">
        <v>46</v>
      </c>
      <c r="B38" s="75">
        <f t="shared" si="6"/>
        <v>45691</v>
      </c>
      <c r="C38" s="38">
        <v>2.0</v>
      </c>
      <c r="D38" s="38" t="s">
        <v>65</v>
      </c>
      <c r="E38" s="93"/>
      <c r="F38" s="85">
        <v>60.0</v>
      </c>
      <c r="H38" s="86">
        <v>60.0</v>
      </c>
      <c r="J38" s="86">
        <v>0.0</v>
      </c>
      <c r="L38" s="86">
        <v>0.0</v>
      </c>
      <c r="N38" s="86">
        <v>0.0</v>
      </c>
      <c r="P38" s="86">
        <v>0.0</v>
      </c>
      <c r="Q38" s="43"/>
      <c r="R38" s="86">
        <v>1.0</v>
      </c>
      <c r="T38" s="85">
        <v>170.0</v>
      </c>
      <c r="V38" s="86">
        <v>170.0</v>
      </c>
      <c r="X38" s="86">
        <v>155.0</v>
      </c>
      <c r="Z38" s="86">
        <v>0.0</v>
      </c>
      <c r="AB38" s="86">
        <v>0.0</v>
      </c>
      <c r="AD38" s="86">
        <v>0.0</v>
      </c>
      <c r="AE38" s="43"/>
      <c r="AF38" s="86">
        <v>0.0</v>
      </c>
      <c r="AH38" s="86">
        <v>0.0</v>
      </c>
      <c r="AJ38" s="86">
        <v>0.0</v>
      </c>
      <c r="AL38" s="85">
        <v>0.0</v>
      </c>
      <c r="AM38" s="43"/>
      <c r="AN38" s="72"/>
      <c r="AO38" s="43"/>
      <c r="AP38" s="85">
        <v>0.0</v>
      </c>
      <c r="AQ38" s="43"/>
      <c r="AR38" s="85">
        <v>0.0</v>
      </c>
      <c r="AS38" s="43"/>
      <c r="AT38" s="85">
        <v>175.0</v>
      </c>
      <c r="AU38" s="43"/>
      <c r="AV38" s="86">
        <v>0.0</v>
      </c>
      <c r="AX38" s="86">
        <v>0.0</v>
      </c>
      <c r="AY38" s="43"/>
      <c r="AZ38" s="86">
        <v>0.0</v>
      </c>
      <c r="BB38" s="47">
        <f t="shared" si="1"/>
        <v>8484.28</v>
      </c>
      <c r="BC38" s="38">
        <f t="shared" si="2"/>
        <v>791</v>
      </c>
      <c r="BD38" s="38">
        <f t="shared" si="3"/>
        <v>0</v>
      </c>
      <c r="BE38" s="38">
        <f t="shared" si="4"/>
        <v>791</v>
      </c>
      <c r="BF38" s="76">
        <f t="shared" si="5"/>
        <v>10.7260177</v>
      </c>
      <c r="BG38" s="78"/>
    </row>
    <row r="39" ht="15.75" customHeight="1">
      <c r="A39" s="50" t="s">
        <v>48</v>
      </c>
      <c r="B39" s="51">
        <f t="shared" si="6"/>
        <v>45692</v>
      </c>
      <c r="C39" s="52">
        <v>2.0</v>
      </c>
      <c r="D39" s="52" t="s">
        <v>65</v>
      </c>
      <c r="E39" s="92"/>
      <c r="F39" s="85">
        <v>60.0</v>
      </c>
      <c r="H39" s="86">
        <v>60.0</v>
      </c>
      <c r="J39" s="86">
        <v>0.0</v>
      </c>
      <c r="L39" s="86">
        <v>0.0</v>
      </c>
      <c r="N39" s="86">
        <v>0.0</v>
      </c>
      <c r="P39" s="86">
        <v>0.0</v>
      </c>
      <c r="Q39" s="43"/>
      <c r="R39" s="86">
        <v>1.0</v>
      </c>
      <c r="T39" s="85">
        <v>170.0</v>
      </c>
      <c r="V39" s="86">
        <v>170.0</v>
      </c>
      <c r="X39" s="86">
        <v>0.0</v>
      </c>
      <c r="Z39" s="86">
        <v>0.0</v>
      </c>
      <c r="AB39" s="86">
        <v>0.0</v>
      </c>
      <c r="AD39" s="86">
        <v>0.0</v>
      </c>
      <c r="AE39" s="43"/>
      <c r="AF39" s="86">
        <v>0.0</v>
      </c>
      <c r="AH39" s="86">
        <v>0.0</v>
      </c>
      <c r="AJ39" s="86">
        <v>0.0</v>
      </c>
      <c r="AL39" s="85">
        <v>0.0</v>
      </c>
      <c r="AM39" s="43"/>
      <c r="AN39" s="72"/>
      <c r="AO39" s="43"/>
      <c r="AP39" s="85">
        <v>0.0</v>
      </c>
      <c r="AQ39" s="43"/>
      <c r="AR39" s="85">
        <v>0.0</v>
      </c>
      <c r="AS39" s="43"/>
      <c r="AT39" s="85">
        <v>0.0</v>
      </c>
      <c r="AU39" s="43"/>
      <c r="AV39" s="86">
        <v>0.0</v>
      </c>
      <c r="AX39" s="86">
        <v>0.0</v>
      </c>
      <c r="AY39" s="43"/>
      <c r="AZ39" s="86">
        <v>0.0</v>
      </c>
      <c r="BB39" s="54">
        <f t="shared" si="1"/>
        <v>6473.68</v>
      </c>
      <c r="BC39" s="52">
        <f t="shared" si="2"/>
        <v>461</v>
      </c>
      <c r="BD39" s="52">
        <f t="shared" si="3"/>
        <v>0</v>
      </c>
      <c r="BE39" s="52">
        <f t="shared" si="4"/>
        <v>461</v>
      </c>
      <c r="BF39" s="49">
        <f t="shared" si="5"/>
        <v>14.0426898</v>
      </c>
      <c r="BG39" s="78"/>
    </row>
    <row r="40" ht="15.75" customHeight="1">
      <c r="A40" s="50" t="s">
        <v>49</v>
      </c>
      <c r="B40" s="51">
        <f t="shared" si="6"/>
        <v>45693</v>
      </c>
      <c r="C40" s="52">
        <v>2.0</v>
      </c>
      <c r="D40" s="52" t="s">
        <v>65</v>
      </c>
      <c r="E40" s="92"/>
      <c r="F40" s="85">
        <v>60.0</v>
      </c>
      <c r="H40" s="86">
        <v>60.0</v>
      </c>
      <c r="J40" s="86">
        <v>0.0</v>
      </c>
      <c r="L40" s="86">
        <v>0.0</v>
      </c>
      <c r="N40" s="86">
        <v>0.0</v>
      </c>
      <c r="P40" s="86">
        <v>0.0</v>
      </c>
      <c r="Q40" s="43"/>
      <c r="R40" s="86">
        <v>1.0</v>
      </c>
      <c r="T40" s="85">
        <v>170.0</v>
      </c>
      <c r="V40" s="86">
        <v>170.0</v>
      </c>
      <c r="X40" s="86">
        <v>0.0</v>
      </c>
      <c r="Z40" s="86">
        <v>0.0</v>
      </c>
      <c r="AB40" s="86">
        <v>0.0</v>
      </c>
      <c r="AD40" s="86">
        <v>0.0</v>
      </c>
      <c r="AE40" s="43"/>
      <c r="AF40" s="86">
        <v>0.0</v>
      </c>
      <c r="AH40" s="86">
        <v>0.0</v>
      </c>
      <c r="AJ40" s="86">
        <v>0.0</v>
      </c>
      <c r="AL40" s="85">
        <v>0.0</v>
      </c>
      <c r="AM40" s="43"/>
      <c r="AN40" s="72"/>
      <c r="AO40" s="43"/>
      <c r="AP40" s="85">
        <v>0.0</v>
      </c>
      <c r="AQ40" s="43"/>
      <c r="AR40" s="85">
        <v>0.0</v>
      </c>
      <c r="AS40" s="43"/>
      <c r="AT40" s="85">
        <v>0.0</v>
      </c>
      <c r="AU40" s="43"/>
      <c r="AV40" s="86">
        <v>0.0</v>
      </c>
      <c r="AX40" s="86">
        <v>0.0</v>
      </c>
      <c r="AY40" s="43"/>
      <c r="AZ40" s="86">
        <v>0.0</v>
      </c>
      <c r="BB40" s="54">
        <f t="shared" si="1"/>
        <v>6473.68</v>
      </c>
      <c r="BC40" s="52">
        <f t="shared" si="2"/>
        <v>461</v>
      </c>
      <c r="BD40" s="52">
        <f t="shared" si="3"/>
        <v>0</v>
      </c>
      <c r="BE40" s="52">
        <f t="shared" si="4"/>
        <v>461</v>
      </c>
      <c r="BF40" s="49">
        <f t="shared" si="5"/>
        <v>14.0426898</v>
      </c>
      <c r="BG40" s="78"/>
    </row>
    <row r="41" ht="15.75" customHeight="1">
      <c r="A41" s="50" t="s">
        <v>50</v>
      </c>
      <c r="B41" s="51">
        <f t="shared" si="6"/>
        <v>45694</v>
      </c>
      <c r="C41" s="52">
        <v>2.0</v>
      </c>
      <c r="D41" s="52" t="s">
        <v>65</v>
      </c>
      <c r="E41" s="53"/>
      <c r="F41" s="85">
        <v>60.0</v>
      </c>
      <c r="H41" s="86">
        <v>60.0</v>
      </c>
      <c r="J41" s="86">
        <v>0.0</v>
      </c>
      <c r="L41" s="86">
        <v>0.0</v>
      </c>
      <c r="N41" s="86">
        <v>0.0</v>
      </c>
      <c r="P41" s="86">
        <v>0.0</v>
      </c>
      <c r="Q41" s="43"/>
      <c r="R41" s="86">
        <v>1.0</v>
      </c>
      <c r="T41" s="85">
        <v>185.0</v>
      </c>
      <c r="V41" s="86">
        <v>185.0</v>
      </c>
      <c r="X41" s="86">
        <v>0.0</v>
      </c>
      <c r="Z41" s="86">
        <v>0.0</v>
      </c>
      <c r="AB41" s="86">
        <v>0.0</v>
      </c>
      <c r="AD41" s="86">
        <v>0.0</v>
      </c>
      <c r="AE41" s="43"/>
      <c r="AF41" s="86">
        <v>0.0</v>
      </c>
      <c r="AH41" s="86">
        <v>0.0</v>
      </c>
      <c r="AJ41" s="86">
        <v>0.0</v>
      </c>
      <c r="AL41" s="85">
        <v>0.0</v>
      </c>
      <c r="AM41" s="43"/>
      <c r="AN41" s="72"/>
      <c r="AO41" s="43"/>
      <c r="AP41" s="85">
        <v>0.0</v>
      </c>
      <c r="AQ41" s="43"/>
      <c r="AR41" s="85">
        <v>0.0</v>
      </c>
      <c r="AS41" s="43"/>
      <c r="AT41" s="85">
        <v>0.0</v>
      </c>
      <c r="AU41" s="43"/>
      <c r="AV41" s="86">
        <v>0.0</v>
      </c>
      <c r="AX41" s="86">
        <v>0.0</v>
      </c>
      <c r="AY41" s="43"/>
      <c r="AZ41" s="86">
        <v>0.0</v>
      </c>
      <c r="BB41" s="54">
        <f t="shared" si="1"/>
        <v>6807.28</v>
      </c>
      <c r="BC41" s="52">
        <f t="shared" si="2"/>
        <v>491</v>
      </c>
      <c r="BD41" s="52">
        <f t="shared" si="3"/>
        <v>0</v>
      </c>
      <c r="BE41" s="52">
        <f t="shared" si="4"/>
        <v>491</v>
      </c>
      <c r="BF41" s="49">
        <f t="shared" si="5"/>
        <v>13.86411405</v>
      </c>
      <c r="BG41" s="78"/>
    </row>
    <row r="42" ht="15.75" customHeight="1">
      <c r="A42" s="50" t="s">
        <v>53</v>
      </c>
      <c r="B42" s="51">
        <f t="shared" si="6"/>
        <v>45695</v>
      </c>
      <c r="C42" s="52">
        <v>2.0</v>
      </c>
      <c r="D42" s="52" t="s">
        <v>65</v>
      </c>
      <c r="E42" s="53"/>
      <c r="F42" s="85">
        <v>60.0</v>
      </c>
      <c r="H42" s="86">
        <v>60.0</v>
      </c>
      <c r="J42" s="86">
        <v>0.0</v>
      </c>
      <c r="L42" s="86">
        <v>0.0</v>
      </c>
      <c r="N42" s="86">
        <v>0.0</v>
      </c>
      <c r="P42" s="86">
        <v>0.0</v>
      </c>
      <c r="Q42" s="43"/>
      <c r="R42" s="86">
        <v>1.0</v>
      </c>
      <c r="T42" s="85">
        <v>185.0</v>
      </c>
      <c r="V42" s="86">
        <v>185.0</v>
      </c>
      <c r="X42" s="86">
        <v>0.0</v>
      </c>
      <c r="Z42" s="86">
        <v>0.0</v>
      </c>
      <c r="AB42" s="86">
        <v>0.0</v>
      </c>
      <c r="AD42" s="86">
        <v>0.0</v>
      </c>
      <c r="AE42" s="43"/>
      <c r="AF42" s="86">
        <v>0.0</v>
      </c>
      <c r="AH42" s="86">
        <v>0.0</v>
      </c>
      <c r="AJ42" s="86">
        <v>0.0</v>
      </c>
      <c r="AL42" s="85">
        <v>0.0</v>
      </c>
      <c r="AM42" s="43"/>
      <c r="AN42" s="72"/>
      <c r="AO42" s="43"/>
      <c r="AP42" s="85">
        <v>0.0</v>
      </c>
      <c r="AQ42" s="43"/>
      <c r="AR42" s="85">
        <v>0.0</v>
      </c>
      <c r="AS42" s="43"/>
      <c r="AT42" s="85">
        <v>0.0</v>
      </c>
      <c r="AU42" s="43"/>
      <c r="AV42" s="86">
        <v>0.0</v>
      </c>
      <c r="AX42" s="86">
        <v>0.0</v>
      </c>
      <c r="AY42" s="43"/>
      <c r="AZ42" s="86">
        <v>0.0</v>
      </c>
      <c r="BB42" s="54">
        <f t="shared" si="1"/>
        <v>6807.28</v>
      </c>
      <c r="BC42" s="52">
        <f t="shared" si="2"/>
        <v>491</v>
      </c>
      <c r="BD42" s="52">
        <f t="shared" si="3"/>
        <v>0</v>
      </c>
      <c r="BE42" s="52">
        <f t="shared" si="4"/>
        <v>491</v>
      </c>
      <c r="BF42" s="49">
        <f t="shared" si="5"/>
        <v>13.86411405</v>
      </c>
      <c r="BG42" s="78"/>
    </row>
    <row r="43" ht="15.75" customHeight="1">
      <c r="A43" s="50" t="s">
        <v>54</v>
      </c>
      <c r="B43" s="51">
        <f t="shared" si="6"/>
        <v>45696</v>
      </c>
      <c r="C43" s="52">
        <v>2.0</v>
      </c>
      <c r="D43" s="52" t="s">
        <v>65</v>
      </c>
      <c r="E43" s="53"/>
      <c r="F43" s="85">
        <v>60.0</v>
      </c>
      <c r="H43" s="86">
        <v>60.0</v>
      </c>
      <c r="J43" s="86">
        <v>0.0</v>
      </c>
      <c r="L43" s="86">
        <v>0.0</v>
      </c>
      <c r="N43" s="86">
        <v>0.0</v>
      </c>
      <c r="P43" s="86">
        <v>0.0</v>
      </c>
      <c r="Q43" s="43"/>
      <c r="R43" s="86">
        <v>4.0</v>
      </c>
      <c r="T43" s="85">
        <v>185.0</v>
      </c>
      <c r="V43" s="85">
        <v>185.0</v>
      </c>
      <c r="X43" s="86">
        <v>0.0</v>
      </c>
      <c r="Z43" s="86">
        <v>0.0</v>
      </c>
      <c r="AB43" s="86">
        <v>0.0</v>
      </c>
      <c r="AD43" s="86">
        <v>0.0</v>
      </c>
      <c r="AE43" s="43"/>
      <c r="AF43" s="86">
        <v>0.0</v>
      </c>
      <c r="AH43" s="86">
        <v>0.0</v>
      </c>
      <c r="AJ43" s="86">
        <v>0.0</v>
      </c>
      <c r="AL43" s="85">
        <v>0.0</v>
      </c>
      <c r="AM43" s="43"/>
      <c r="AN43" s="72"/>
      <c r="AO43" s="43"/>
      <c r="AP43" s="85">
        <v>0.0</v>
      </c>
      <c r="AQ43" s="43"/>
      <c r="AR43" s="85">
        <v>0.0</v>
      </c>
      <c r="AS43" s="43"/>
      <c r="AT43" s="85">
        <v>0.0</v>
      </c>
      <c r="AU43" s="43"/>
      <c r="AV43" s="86">
        <v>0.0</v>
      </c>
      <c r="AX43" s="86">
        <v>0.0</v>
      </c>
      <c r="AY43" s="43"/>
      <c r="AZ43" s="86">
        <v>0.0</v>
      </c>
      <c r="BB43" s="54">
        <f t="shared" si="1"/>
        <v>6875.92</v>
      </c>
      <c r="BC43" s="52">
        <f t="shared" si="2"/>
        <v>494</v>
      </c>
      <c r="BD43" s="52">
        <f t="shared" si="3"/>
        <v>0</v>
      </c>
      <c r="BE43" s="52">
        <f t="shared" si="4"/>
        <v>494</v>
      </c>
      <c r="BF43" s="49">
        <f t="shared" si="5"/>
        <v>13.9188664</v>
      </c>
      <c r="BG43" s="78"/>
    </row>
    <row r="44" ht="15.75" customHeight="1">
      <c r="A44" s="59" t="s">
        <v>61</v>
      </c>
      <c r="B44" s="61">
        <f t="shared" si="6"/>
        <v>45697</v>
      </c>
      <c r="C44" s="63">
        <v>2.0</v>
      </c>
      <c r="D44" s="63" t="s">
        <v>65</v>
      </c>
      <c r="E44" s="94"/>
      <c r="F44" s="87">
        <v>0.0</v>
      </c>
      <c r="G44" s="66"/>
      <c r="H44" s="88">
        <v>0.0</v>
      </c>
      <c r="I44" s="66"/>
      <c r="J44" s="88">
        <v>0.0</v>
      </c>
      <c r="K44" s="66"/>
      <c r="L44" s="88">
        <v>0.0</v>
      </c>
      <c r="M44" s="66"/>
      <c r="N44" s="88">
        <v>0.0</v>
      </c>
      <c r="O44" s="66"/>
      <c r="P44" s="88">
        <v>0.0</v>
      </c>
      <c r="Q44" s="68"/>
      <c r="R44" s="88">
        <v>0.0</v>
      </c>
      <c r="S44" s="66"/>
      <c r="T44" s="87">
        <v>0.0</v>
      </c>
      <c r="U44" s="66"/>
      <c r="V44" s="88">
        <v>0.0</v>
      </c>
      <c r="W44" s="66"/>
      <c r="X44" s="88">
        <v>0.0</v>
      </c>
      <c r="Y44" s="66"/>
      <c r="Z44" s="88">
        <v>0.0</v>
      </c>
      <c r="AA44" s="66"/>
      <c r="AB44" s="88">
        <v>0.0</v>
      </c>
      <c r="AC44" s="66"/>
      <c r="AD44" s="88">
        <v>0.0</v>
      </c>
      <c r="AE44" s="68"/>
      <c r="AF44" s="88">
        <v>0.0</v>
      </c>
      <c r="AG44" s="66"/>
      <c r="AH44" s="88">
        <v>0.0</v>
      </c>
      <c r="AI44" s="66"/>
      <c r="AJ44" s="88">
        <v>0.0</v>
      </c>
      <c r="AK44" s="66"/>
      <c r="AL44" s="87">
        <v>0.0</v>
      </c>
      <c r="AM44" s="68"/>
      <c r="AN44" s="84"/>
      <c r="AO44" s="68"/>
      <c r="AP44" s="87">
        <v>0.0</v>
      </c>
      <c r="AQ44" s="68"/>
      <c r="AR44" s="87">
        <v>0.0</v>
      </c>
      <c r="AS44" s="68"/>
      <c r="AT44" s="87">
        <v>0.0</v>
      </c>
      <c r="AU44" s="68"/>
      <c r="AV44" s="88">
        <v>0.0</v>
      </c>
      <c r="AW44" s="66"/>
      <c r="AX44" s="88">
        <v>0.0</v>
      </c>
      <c r="AY44" s="68"/>
      <c r="AZ44" s="88">
        <v>0.0</v>
      </c>
      <c r="BA44" s="66"/>
      <c r="BB44" s="73">
        <f t="shared" si="1"/>
        <v>0</v>
      </c>
      <c r="BC44" s="63">
        <f t="shared" si="2"/>
        <v>0</v>
      </c>
      <c r="BD44" s="63">
        <f t="shared" si="3"/>
        <v>0</v>
      </c>
      <c r="BE44" s="63">
        <f t="shared" si="4"/>
        <v>0</v>
      </c>
      <c r="BF44" s="74" t="str">
        <f t="shared" si="5"/>
        <v/>
      </c>
      <c r="BG44" s="78"/>
    </row>
    <row r="45" ht="15.75" customHeight="1">
      <c r="A45" s="36" t="s">
        <v>46</v>
      </c>
      <c r="B45" s="75">
        <f t="shared" si="6"/>
        <v>45698</v>
      </c>
      <c r="C45" s="38">
        <v>2.0</v>
      </c>
      <c r="D45" s="38" t="s">
        <v>69</v>
      </c>
      <c r="E45" s="82"/>
      <c r="F45" s="85">
        <v>80.0</v>
      </c>
      <c r="H45" s="86">
        <v>80.0</v>
      </c>
      <c r="J45" s="86">
        <v>0.0</v>
      </c>
      <c r="L45" s="86">
        <v>0.0</v>
      </c>
      <c r="N45" s="86">
        <v>0.0</v>
      </c>
      <c r="P45" s="86">
        <v>0.0</v>
      </c>
      <c r="Q45" s="43"/>
      <c r="R45" s="86">
        <v>1.0</v>
      </c>
      <c r="T45" s="85">
        <v>225.0</v>
      </c>
      <c r="V45" s="86">
        <v>225.0</v>
      </c>
      <c r="X45" s="86">
        <v>150.0</v>
      </c>
      <c r="Z45" s="86">
        <v>0.0</v>
      </c>
      <c r="AB45" s="86">
        <v>0.0</v>
      </c>
      <c r="AD45" s="86">
        <v>0.0</v>
      </c>
      <c r="AE45" s="43"/>
      <c r="AF45" s="86">
        <v>0.0</v>
      </c>
      <c r="AH45" s="86">
        <v>0.0</v>
      </c>
      <c r="AJ45" s="86">
        <v>0.0</v>
      </c>
      <c r="AL45" s="85">
        <v>0.0</v>
      </c>
      <c r="AM45" s="43"/>
      <c r="AN45" s="72"/>
      <c r="AO45" s="43"/>
      <c r="AP45" s="85">
        <v>0.0</v>
      </c>
      <c r="AQ45" s="43"/>
      <c r="AR45" s="85">
        <v>0.0</v>
      </c>
      <c r="AS45" s="43"/>
      <c r="AT45" s="85">
        <v>175.0</v>
      </c>
      <c r="AU45" s="43"/>
      <c r="AV45" s="86">
        <v>0.0</v>
      </c>
      <c r="AX45" s="86">
        <v>0.0</v>
      </c>
      <c r="AY45" s="43"/>
      <c r="AZ45" s="86">
        <v>0.0</v>
      </c>
      <c r="BB45" s="47">
        <f t="shared" si="1"/>
        <v>10541.88</v>
      </c>
      <c r="BC45" s="38">
        <f t="shared" si="2"/>
        <v>936</v>
      </c>
      <c r="BD45" s="38">
        <f t="shared" si="3"/>
        <v>0</v>
      </c>
      <c r="BE45" s="38">
        <f t="shared" si="4"/>
        <v>936</v>
      </c>
      <c r="BF45" s="76">
        <f t="shared" si="5"/>
        <v>11.26269231</v>
      </c>
      <c r="BG45" s="78"/>
    </row>
    <row r="46" ht="15.75" customHeight="1">
      <c r="A46" s="50" t="s">
        <v>48</v>
      </c>
      <c r="B46" s="51">
        <f t="shared" si="6"/>
        <v>45699</v>
      </c>
      <c r="C46" s="52">
        <v>2.0</v>
      </c>
      <c r="D46" s="52" t="s">
        <v>69</v>
      </c>
      <c r="E46" s="53"/>
      <c r="F46" s="85">
        <v>80.0</v>
      </c>
      <c r="H46" s="86">
        <v>80.0</v>
      </c>
      <c r="J46" s="86">
        <v>0.0</v>
      </c>
      <c r="L46" s="86">
        <v>0.0</v>
      </c>
      <c r="N46" s="86">
        <v>0.0</v>
      </c>
      <c r="P46" s="86">
        <v>0.0</v>
      </c>
      <c r="Q46" s="43"/>
      <c r="R46" s="86">
        <v>1.0</v>
      </c>
      <c r="T46" s="85">
        <v>225.0</v>
      </c>
      <c r="V46" s="86">
        <v>225.0</v>
      </c>
      <c r="X46" s="86">
        <v>0.0</v>
      </c>
      <c r="Z46" s="86">
        <v>0.0</v>
      </c>
      <c r="AB46" s="86">
        <v>0.0</v>
      </c>
      <c r="AD46" s="86">
        <v>0.0</v>
      </c>
      <c r="AE46" s="43"/>
      <c r="AF46" s="86">
        <v>0.0</v>
      </c>
      <c r="AH46" s="86">
        <v>0.0</v>
      </c>
      <c r="AJ46" s="86">
        <v>0.0</v>
      </c>
      <c r="AL46" s="85">
        <v>0.0</v>
      </c>
      <c r="AM46" s="43"/>
      <c r="AN46" s="72"/>
      <c r="AO46" s="43"/>
      <c r="AP46" s="85">
        <v>0.0</v>
      </c>
      <c r="AQ46" s="43"/>
      <c r="AR46" s="85">
        <v>0.0</v>
      </c>
      <c r="AS46" s="43"/>
      <c r="AT46" s="85">
        <v>0.0</v>
      </c>
      <c r="AU46" s="43"/>
      <c r="AV46" s="86">
        <v>0.0</v>
      </c>
      <c r="AX46" s="86">
        <v>0.0</v>
      </c>
      <c r="AY46" s="43"/>
      <c r="AZ46" s="86">
        <v>0.0</v>
      </c>
      <c r="BB46" s="54">
        <f t="shared" si="1"/>
        <v>8586.88</v>
      </c>
      <c r="BC46" s="52">
        <f t="shared" si="2"/>
        <v>611</v>
      </c>
      <c r="BD46" s="52">
        <f t="shared" si="3"/>
        <v>0</v>
      </c>
      <c r="BE46" s="52">
        <f t="shared" si="4"/>
        <v>611</v>
      </c>
      <c r="BF46" s="49">
        <f t="shared" si="5"/>
        <v>14.05381342</v>
      </c>
      <c r="BG46" s="78"/>
    </row>
    <row r="47" ht="15.75" customHeight="1">
      <c r="A47" s="50" t="s">
        <v>49</v>
      </c>
      <c r="B47" s="51">
        <f t="shared" si="6"/>
        <v>45700</v>
      </c>
      <c r="C47" s="52">
        <v>2.0</v>
      </c>
      <c r="D47" s="52" t="s">
        <v>69</v>
      </c>
      <c r="E47" s="92"/>
      <c r="F47" s="85">
        <v>80.0</v>
      </c>
      <c r="H47" s="86">
        <v>80.0</v>
      </c>
      <c r="J47" s="86">
        <v>125.0</v>
      </c>
      <c r="L47" s="86">
        <v>0.0</v>
      </c>
      <c r="N47" s="86">
        <v>0.0</v>
      </c>
      <c r="P47" s="86">
        <v>0.0</v>
      </c>
      <c r="Q47" s="43"/>
      <c r="R47" s="86">
        <v>1.0</v>
      </c>
      <c r="T47" s="85">
        <v>225.0</v>
      </c>
      <c r="V47" s="86">
        <v>225.0</v>
      </c>
      <c r="X47" s="86">
        <v>0.0</v>
      </c>
      <c r="Z47" s="86">
        <v>0.0</v>
      </c>
      <c r="AB47" s="86">
        <v>0.0</v>
      </c>
      <c r="AD47" s="86">
        <v>0.0</v>
      </c>
      <c r="AE47" s="43"/>
      <c r="AF47" s="86">
        <v>0.0</v>
      </c>
      <c r="AH47" s="86">
        <v>0.0</v>
      </c>
      <c r="AJ47" s="86">
        <v>0.0</v>
      </c>
      <c r="AL47" s="85">
        <v>0.0</v>
      </c>
      <c r="AM47" s="43"/>
      <c r="AN47" s="72"/>
      <c r="AO47" s="43"/>
      <c r="AP47" s="85">
        <v>0.0</v>
      </c>
      <c r="AQ47" s="43"/>
      <c r="AR47" s="85">
        <v>0.0</v>
      </c>
      <c r="AS47" s="43"/>
      <c r="AT47" s="85">
        <v>0.0</v>
      </c>
      <c r="AU47" s="43"/>
      <c r="AV47" s="86">
        <v>0.0</v>
      </c>
      <c r="AX47" s="86">
        <v>0.0</v>
      </c>
      <c r="AY47" s="43"/>
      <c r="AZ47" s="86">
        <v>0.0</v>
      </c>
      <c r="BB47" s="54">
        <f t="shared" si="1"/>
        <v>11368.13</v>
      </c>
      <c r="BC47" s="52">
        <f t="shared" si="2"/>
        <v>736</v>
      </c>
      <c r="BD47" s="52">
        <f t="shared" si="3"/>
        <v>0</v>
      </c>
      <c r="BE47" s="52">
        <f t="shared" si="4"/>
        <v>736</v>
      </c>
      <c r="BF47" s="49">
        <f t="shared" si="5"/>
        <v>15.4458288</v>
      </c>
      <c r="BG47" s="78"/>
    </row>
    <row r="48" ht="15.75" customHeight="1">
      <c r="A48" s="50" t="s">
        <v>50</v>
      </c>
      <c r="B48" s="51">
        <f t="shared" si="6"/>
        <v>45701</v>
      </c>
      <c r="C48" s="52">
        <v>2.0</v>
      </c>
      <c r="D48" s="52" t="s">
        <v>69</v>
      </c>
      <c r="E48" s="92"/>
      <c r="F48" s="85">
        <v>125.0</v>
      </c>
      <c r="H48" s="86">
        <v>125.0</v>
      </c>
      <c r="J48" s="86">
        <v>0.0</v>
      </c>
      <c r="L48" s="86">
        <v>0.0</v>
      </c>
      <c r="N48" s="86">
        <v>0.0</v>
      </c>
      <c r="P48" s="86">
        <v>0.0</v>
      </c>
      <c r="Q48" s="43"/>
      <c r="R48" s="86">
        <v>1.0</v>
      </c>
      <c r="T48" s="85">
        <v>225.0</v>
      </c>
      <c r="V48" s="86">
        <v>225.0</v>
      </c>
      <c r="X48" s="86">
        <v>0.0</v>
      </c>
      <c r="Z48" s="86">
        <v>0.0</v>
      </c>
      <c r="AB48" s="86">
        <v>0.0</v>
      </c>
      <c r="AD48" s="86">
        <v>0.0</v>
      </c>
      <c r="AE48" s="43"/>
      <c r="AF48" s="86">
        <v>0.0</v>
      </c>
      <c r="AH48" s="86">
        <v>0.0</v>
      </c>
      <c r="AJ48" s="86">
        <v>0.0</v>
      </c>
      <c r="AL48" s="85">
        <v>0.0</v>
      </c>
      <c r="AM48" s="43"/>
      <c r="AN48" s="72"/>
      <c r="AO48" s="43"/>
      <c r="AP48" s="85">
        <v>4.0</v>
      </c>
      <c r="AQ48" s="43"/>
      <c r="AR48" s="85">
        <v>0.0</v>
      </c>
      <c r="AS48" s="43"/>
      <c r="AT48" s="85">
        <v>0.0</v>
      </c>
      <c r="AU48" s="43"/>
      <c r="AV48" s="86">
        <v>0.0</v>
      </c>
      <c r="AX48" s="86">
        <v>0.0</v>
      </c>
      <c r="AY48" s="43"/>
      <c r="AZ48" s="86">
        <v>0.0</v>
      </c>
      <c r="BB48" s="54">
        <f t="shared" si="1"/>
        <v>10649.38</v>
      </c>
      <c r="BC48" s="52">
        <f t="shared" si="2"/>
        <v>705</v>
      </c>
      <c r="BD48" s="52">
        <f t="shared" si="3"/>
        <v>0</v>
      </c>
      <c r="BE48" s="52">
        <f t="shared" si="4"/>
        <v>705</v>
      </c>
      <c r="BF48" s="49">
        <f t="shared" si="5"/>
        <v>15.10550355</v>
      </c>
      <c r="BG48" s="78"/>
    </row>
    <row r="49" ht="15.75" customHeight="1">
      <c r="A49" s="50" t="s">
        <v>53</v>
      </c>
      <c r="B49" s="51">
        <f t="shared" si="6"/>
        <v>45702</v>
      </c>
      <c r="C49" s="52">
        <v>2.0</v>
      </c>
      <c r="D49" s="52" t="s">
        <v>69</v>
      </c>
      <c r="E49" s="92"/>
      <c r="F49" s="85">
        <v>125.0</v>
      </c>
      <c r="H49" s="86">
        <v>125.0</v>
      </c>
      <c r="J49" s="86">
        <v>0.0</v>
      </c>
      <c r="L49" s="86">
        <v>0.0</v>
      </c>
      <c r="N49" s="86">
        <v>0.0</v>
      </c>
      <c r="P49" s="86">
        <v>0.0</v>
      </c>
      <c r="Q49" s="43"/>
      <c r="R49" s="86">
        <v>1.0</v>
      </c>
      <c r="T49" s="85">
        <v>225.0</v>
      </c>
      <c r="V49" s="86">
        <v>225.0</v>
      </c>
      <c r="X49" s="86">
        <v>0.0</v>
      </c>
      <c r="Z49" s="86">
        <v>0.0</v>
      </c>
      <c r="AB49" s="86">
        <v>0.0</v>
      </c>
      <c r="AD49" s="86">
        <v>0.0</v>
      </c>
      <c r="AE49" s="43"/>
      <c r="AF49" s="86">
        <v>0.0</v>
      </c>
      <c r="AH49" s="86">
        <v>0.0</v>
      </c>
      <c r="AJ49" s="86">
        <v>0.0</v>
      </c>
      <c r="AL49" s="85">
        <v>0.0</v>
      </c>
      <c r="AM49" s="43"/>
      <c r="AN49" s="72"/>
      <c r="AO49" s="43"/>
      <c r="AP49" s="85">
        <v>4.0</v>
      </c>
      <c r="AQ49" s="43"/>
      <c r="AR49" s="85">
        <v>0.0</v>
      </c>
      <c r="AS49" s="43"/>
      <c r="AT49" s="85">
        <v>0.0</v>
      </c>
      <c r="AU49" s="43"/>
      <c r="AV49" s="86">
        <v>0.0</v>
      </c>
      <c r="AX49" s="86">
        <v>0.0</v>
      </c>
      <c r="AY49" s="43"/>
      <c r="AZ49" s="86">
        <v>0.0</v>
      </c>
      <c r="BB49" s="54">
        <f t="shared" si="1"/>
        <v>10649.38</v>
      </c>
      <c r="BC49" s="52">
        <f t="shared" si="2"/>
        <v>705</v>
      </c>
      <c r="BD49" s="52">
        <f t="shared" si="3"/>
        <v>0</v>
      </c>
      <c r="BE49" s="52">
        <f t="shared" si="4"/>
        <v>705</v>
      </c>
      <c r="BF49" s="49">
        <f t="shared" si="5"/>
        <v>15.10550355</v>
      </c>
      <c r="BG49" s="78"/>
    </row>
    <row r="50" ht="15.75" customHeight="1">
      <c r="A50" s="50" t="s">
        <v>54</v>
      </c>
      <c r="B50" s="51">
        <f t="shared" si="6"/>
        <v>45703</v>
      </c>
      <c r="C50" s="52">
        <v>2.0</v>
      </c>
      <c r="D50" s="52" t="s">
        <v>69</v>
      </c>
      <c r="E50" s="53"/>
      <c r="F50" s="85">
        <v>125.0</v>
      </c>
      <c r="H50" s="86">
        <v>125.0</v>
      </c>
      <c r="J50" s="86">
        <v>0.0</v>
      </c>
      <c r="L50" s="86">
        <v>0.0</v>
      </c>
      <c r="N50" s="86">
        <v>0.0</v>
      </c>
      <c r="P50" s="86">
        <v>0.0</v>
      </c>
      <c r="Q50" s="43"/>
      <c r="R50" s="86">
        <v>1.0</v>
      </c>
      <c r="T50" s="85">
        <v>225.0</v>
      </c>
      <c r="V50" s="86">
        <v>225.0</v>
      </c>
      <c r="X50" s="86">
        <v>0.0</v>
      </c>
      <c r="Z50" s="86">
        <v>0.0</v>
      </c>
      <c r="AB50" s="86">
        <v>0.0</v>
      </c>
      <c r="AD50" s="86">
        <v>0.0</v>
      </c>
      <c r="AE50" s="43"/>
      <c r="AF50" s="86">
        <v>0.0</v>
      </c>
      <c r="AH50" s="86">
        <v>0.0</v>
      </c>
      <c r="AJ50" s="86">
        <v>0.0</v>
      </c>
      <c r="AL50" s="85">
        <v>0.0</v>
      </c>
      <c r="AM50" s="43"/>
      <c r="AN50" s="72"/>
      <c r="AO50" s="43"/>
      <c r="AP50" s="85">
        <v>5.0</v>
      </c>
      <c r="AQ50" s="43"/>
      <c r="AR50" s="85">
        <v>0.0</v>
      </c>
      <c r="AS50" s="43"/>
      <c r="AT50" s="85">
        <v>0.0</v>
      </c>
      <c r="AU50" s="43"/>
      <c r="AV50" s="86">
        <v>0.0</v>
      </c>
      <c r="AX50" s="86">
        <v>0.0</v>
      </c>
      <c r="AY50" s="43"/>
      <c r="AZ50" s="86">
        <v>0.0</v>
      </c>
      <c r="BB50" s="54">
        <f t="shared" si="1"/>
        <v>10664.38</v>
      </c>
      <c r="BC50" s="52">
        <f t="shared" si="2"/>
        <v>706</v>
      </c>
      <c r="BD50" s="52">
        <f t="shared" si="3"/>
        <v>0</v>
      </c>
      <c r="BE50" s="52">
        <f t="shared" si="4"/>
        <v>706</v>
      </c>
      <c r="BF50" s="49">
        <f t="shared" si="5"/>
        <v>15.10535411</v>
      </c>
      <c r="BG50" s="78"/>
    </row>
    <row r="51" ht="15.75" customHeight="1">
      <c r="A51" s="59" t="s">
        <v>61</v>
      </c>
      <c r="B51" s="61">
        <f t="shared" si="6"/>
        <v>45704</v>
      </c>
      <c r="C51" s="63">
        <v>2.0</v>
      </c>
      <c r="D51" s="63" t="s">
        <v>69</v>
      </c>
      <c r="E51" s="64"/>
      <c r="F51" s="87">
        <v>125.0</v>
      </c>
      <c r="G51" s="66"/>
      <c r="H51" s="88">
        <v>125.0</v>
      </c>
      <c r="I51" s="66"/>
      <c r="J51" s="88">
        <v>0.0</v>
      </c>
      <c r="K51" s="66"/>
      <c r="L51" s="88">
        <v>0.0</v>
      </c>
      <c r="M51" s="66"/>
      <c r="N51" s="88">
        <v>0.0</v>
      </c>
      <c r="O51" s="66"/>
      <c r="P51" s="88">
        <v>0.0</v>
      </c>
      <c r="Q51" s="68"/>
      <c r="R51" s="88">
        <v>2.0</v>
      </c>
      <c r="S51" s="66"/>
      <c r="T51" s="87">
        <v>0.0</v>
      </c>
      <c r="U51" s="66"/>
      <c r="V51" s="88">
        <v>0.0</v>
      </c>
      <c r="W51" s="66"/>
      <c r="X51" s="88">
        <v>0.0</v>
      </c>
      <c r="Y51" s="66"/>
      <c r="Z51" s="88">
        <v>0.0</v>
      </c>
      <c r="AA51" s="66"/>
      <c r="AB51" s="88">
        <v>0.0</v>
      </c>
      <c r="AC51" s="66"/>
      <c r="AD51" s="88">
        <v>0.0</v>
      </c>
      <c r="AE51" s="68"/>
      <c r="AF51" s="88">
        <v>0.0</v>
      </c>
      <c r="AG51" s="66"/>
      <c r="AH51" s="88">
        <v>0.0</v>
      </c>
      <c r="AI51" s="66"/>
      <c r="AJ51" s="88">
        <v>0.0</v>
      </c>
      <c r="AK51" s="66"/>
      <c r="AL51" s="87">
        <v>0.0</v>
      </c>
      <c r="AM51" s="68"/>
      <c r="AN51" s="84"/>
      <c r="AO51" s="68"/>
      <c r="AP51" s="87">
        <v>5.0</v>
      </c>
      <c r="AQ51" s="68"/>
      <c r="AR51" s="87">
        <v>0.0</v>
      </c>
      <c r="AS51" s="68"/>
      <c r="AT51" s="87">
        <v>0.0</v>
      </c>
      <c r="AU51" s="68"/>
      <c r="AV51" s="88">
        <v>0.0</v>
      </c>
      <c r="AW51" s="66"/>
      <c r="AX51" s="88">
        <v>0.0</v>
      </c>
      <c r="AY51" s="68"/>
      <c r="AZ51" s="88">
        <v>0.0</v>
      </c>
      <c r="BA51" s="66"/>
      <c r="BB51" s="73">
        <f t="shared" si="1"/>
        <v>5683.26</v>
      </c>
      <c r="BC51" s="63">
        <f t="shared" si="2"/>
        <v>257</v>
      </c>
      <c r="BD51" s="63">
        <f t="shared" si="3"/>
        <v>0</v>
      </c>
      <c r="BE51" s="63">
        <f t="shared" si="4"/>
        <v>257</v>
      </c>
      <c r="BF51" s="74">
        <f t="shared" si="5"/>
        <v>22.11385214</v>
      </c>
      <c r="BG51" s="78"/>
    </row>
    <row r="52" ht="15.75" customHeight="1">
      <c r="A52" s="36" t="s">
        <v>46</v>
      </c>
      <c r="B52" s="75">
        <f t="shared" si="6"/>
        <v>45705</v>
      </c>
      <c r="C52" s="38">
        <v>2.0</v>
      </c>
      <c r="D52" s="38" t="s">
        <v>72</v>
      </c>
      <c r="E52" s="82"/>
      <c r="F52" s="85">
        <v>150.0</v>
      </c>
      <c r="H52" s="86">
        <v>150.0</v>
      </c>
      <c r="J52" s="86">
        <v>50.0</v>
      </c>
      <c r="L52" s="86">
        <v>0.0</v>
      </c>
      <c r="N52" s="86">
        <v>0.0</v>
      </c>
      <c r="P52" s="86">
        <v>0.0</v>
      </c>
      <c r="Q52" s="43"/>
      <c r="R52" s="86">
        <v>1.0</v>
      </c>
      <c r="T52" s="85">
        <v>250.0</v>
      </c>
      <c r="V52" s="86">
        <v>250.0</v>
      </c>
      <c r="X52" s="86">
        <v>0.0</v>
      </c>
      <c r="Z52" s="86">
        <v>0.0</v>
      </c>
      <c r="AB52" s="86">
        <v>0.0</v>
      </c>
      <c r="AD52" s="86">
        <v>0.0</v>
      </c>
      <c r="AE52" s="43"/>
      <c r="AF52" s="86">
        <v>0.0</v>
      </c>
      <c r="AH52" s="86">
        <v>0.0</v>
      </c>
      <c r="AJ52" s="86">
        <v>0.0</v>
      </c>
      <c r="AL52" s="85">
        <v>0.0</v>
      </c>
      <c r="AM52" s="43"/>
      <c r="AN52" s="72">
        <v>0.0</v>
      </c>
      <c r="AO52" s="43"/>
      <c r="AP52" s="85">
        <v>5.0</v>
      </c>
      <c r="AQ52" s="43"/>
      <c r="AR52" s="85">
        <v>0.0</v>
      </c>
      <c r="AS52" s="43"/>
      <c r="AT52" s="85">
        <v>175.0</v>
      </c>
      <c r="AU52" s="43"/>
      <c r="AV52" s="86">
        <v>0.0</v>
      </c>
      <c r="AX52" s="86">
        <v>0.0</v>
      </c>
      <c r="AY52" s="43"/>
      <c r="AZ52" s="86">
        <v>0.0</v>
      </c>
      <c r="BB52" s="47">
        <f t="shared" si="1"/>
        <v>13732.38</v>
      </c>
      <c r="BC52" s="38">
        <f t="shared" si="2"/>
        <v>1031</v>
      </c>
      <c r="BD52" s="38">
        <f t="shared" si="3"/>
        <v>0</v>
      </c>
      <c r="BE52" s="38">
        <f t="shared" si="4"/>
        <v>1031</v>
      </c>
      <c r="BF52" s="76">
        <f t="shared" si="5"/>
        <v>13.31947624</v>
      </c>
      <c r="BG52" s="78"/>
    </row>
    <row r="53" ht="15.75" customHeight="1">
      <c r="A53" s="50" t="s">
        <v>48</v>
      </c>
      <c r="B53" s="51">
        <f t="shared" si="6"/>
        <v>45706</v>
      </c>
      <c r="C53" s="52">
        <v>2.0</v>
      </c>
      <c r="D53" s="52" t="s">
        <v>72</v>
      </c>
      <c r="E53" s="92"/>
      <c r="F53" s="85">
        <v>150.0</v>
      </c>
      <c r="H53" s="86">
        <v>150.0</v>
      </c>
      <c r="J53" s="86">
        <v>0.0</v>
      </c>
      <c r="L53" s="86">
        <v>0.0</v>
      </c>
      <c r="N53" s="86">
        <v>0.0</v>
      </c>
      <c r="P53" s="86">
        <v>0.0</v>
      </c>
      <c r="Q53" s="43"/>
      <c r="R53" s="86">
        <v>1.0</v>
      </c>
      <c r="T53" s="85">
        <v>250.0</v>
      </c>
      <c r="V53" s="86">
        <v>250.0</v>
      </c>
      <c r="X53" s="86">
        <v>0.0</v>
      </c>
      <c r="Z53" s="86">
        <v>0.0</v>
      </c>
      <c r="AB53" s="86">
        <v>0.0</v>
      </c>
      <c r="AD53" s="86">
        <v>0.0</v>
      </c>
      <c r="AE53" s="43"/>
      <c r="AF53" s="86">
        <v>0.0</v>
      </c>
      <c r="AH53" s="86">
        <v>0.0</v>
      </c>
      <c r="AJ53" s="86">
        <v>0.0</v>
      </c>
      <c r="AL53" s="85">
        <v>0.0</v>
      </c>
      <c r="AM53" s="43"/>
      <c r="AN53" s="72">
        <v>0.0</v>
      </c>
      <c r="AO53" s="43"/>
      <c r="AP53" s="85">
        <v>3.0</v>
      </c>
      <c r="AQ53" s="43"/>
      <c r="AR53" s="85">
        <v>0.0</v>
      </c>
      <c r="AS53" s="43"/>
      <c r="AT53" s="85">
        <v>0.0</v>
      </c>
      <c r="AU53" s="43"/>
      <c r="AV53" s="86">
        <v>0.0</v>
      </c>
      <c r="AX53" s="86">
        <v>0.0</v>
      </c>
      <c r="AY53" s="43"/>
      <c r="AZ53" s="86">
        <v>0.0</v>
      </c>
      <c r="BB53" s="54">
        <f t="shared" si="1"/>
        <v>12302.88</v>
      </c>
      <c r="BC53" s="52">
        <f t="shared" si="2"/>
        <v>804</v>
      </c>
      <c r="BD53" s="52">
        <f t="shared" si="3"/>
        <v>0</v>
      </c>
      <c r="BE53" s="52">
        <f t="shared" si="4"/>
        <v>804</v>
      </c>
      <c r="BF53" s="49">
        <f t="shared" si="5"/>
        <v>15.30208955</v>
      </c>
      <c r="BG53" s="78"/>
    </row>
    <row r="54" ht="15.75" customHeight="1">
      <c r="A54" s="50" t="s">
        <v>49</v>
      </c>
      <c r="B54" s="51">
        <f t="shared" si="6"/>
        <v>45707</v>
      </c>
      <c r="C54" s="52">
        <v>2.0</v>
      </c>
      <c r="D54" s="52" t="s">
        <v>72</v>
      </c>
      <c r="E54" s="53"/>
      <c r="F54" s="85">
        <v>150.0</v>
      </c>
      <c r="H54" s="86">
        <v>150.0</v>
      </c>
      <c r="J54" s="86">
        <v>0.0</v>
      </c>
      <c r="L54" s="86">
        <v>0.0</v>
      </c>
      <c r="N54" s="86">
        <v>0.0</v>
      </c>
      <c r="P54" s="86">
        <v>0.0</v>
      </c>
      <c r="Q54" s="43"/>
      <c r="R54" s="86">
        <v>1.0</v>
      </c>
      <c r="T54" s="85">
        <v>250.0</v>
      </c>
      <c r="V54" s="86">
        <v>250.0</v>
      </c>
      <c r="X54" s="86">
        <v>0.0</v>
      </c>
      <c r="Z54" s="86">
        <v>0.0</v>
      </c>
      <c r="AB54" s="86">
        <v>0.0</v>
      </c>
      <c r="AD54" s="86">
        <v>0.0</v>
      </c>
      <c r="AE54" s="43"/>
      <c r="AF54" s="86">
        <v>0.0</v>
      </c>
      <c r="AH54" s="86">
        <v>0.0</v>
      </c>
      <c r="AJ54" s="86">
        <v>0.0</v>
      </c>
      <c r="AL54" s="85">
        <v>0.0</v>
      </c>
      <c r="AM54" s="43"/>
      <c r="AN54" s="72">
        <v>0.0</v>
      </c>
      <c r="AO54" s="43"/>
      <c r="AP54" s="85">
        <v>1.0</v>
      </c>
      <c r="AQ54" s="43"/>
      <c r="AR54" s="85">
        <v>0.0</v>
      </c>
      <c r="AS54" s="43"/>
      <c r="AT54" s="85">
        <v>0.0</v>
      </c>
      <c r="AU54" s="43"/>
      <c r="AV54" s="86">
        <v>0.0</v>
      </c>
      <c r="AX54" s="86">
        <v>0.0</v>
      </c>
      <c r="AY54" s="43"/>
      <c r="AZ54" s="86">
        <v>0.0</v>
      </c>
      <c r="BB54" s="54">
        <f t="shared" si="1"/>
        <v>12272.88</v>
      </c>
      <c r="BC54" s="52">
        <f t="shared" si="2"/>
        <v>802</v>
      </c>
      <c r="BD54" s="52">
        <f t="shared" si="3"/>
        <v>0</v>
      </c>
      <c r="BE54" s="52">
        <f t="shared" si="4"/>
        <v>802</v>
      </c>
      <c r="BF54" s="49">
        <f t="shared" si="5"/>
        <v>15.30284289</v>
      </c>
      <c r="BG54" s="78"/>
    </row>
    <row r="55" ht="15.75" customHeight="1">
      <c r="A55" s="50" t="s">
        <v>50</v>
      </c>
      <c r="B55" s="51">
        <f t="shared" si="6"/>
        <v>45708</v>
      </c>
      <c r="C55" s="52">
        <v>2.0</v>
      </c>
      <c r="D55" s="52" t="s">
        <v>72</v>
      </c>
      <c r="E55" s="53"/>
      <c r="F55" s="85">
        <v>150.0</v>
      </c>
      <c r="H55" s="86">
        <v>150.0</v>
      </c>
      <c r="J55" s="86">
        <v>0.0</v>
      </c>
      <c r="L55" s="86">
        <v>0.0</v>
      </c>
      <c r="N55" s="86">
        <v>0.0</v>
      </c>
      <c r="P55" s="86">
        <v>0.0</v>
      </c>
      <c r="Q55" s="43"/>
      <c r="R55" s="86">
        <v>1.0</v>
      </c>
      <c r="T55" s="85">
        <v>250.0</v>
      </c>
      <c r="V55" s="86">
        <v>250.0</v>
      </c>
      <c r="X55" s="86">
        <v>0.0</v>
      </c>
      <c r="Z55" s="86">
        <v>0.0</v>
      </c>
      <c r="AB55" s="86">
        <v>0.0</v>
      </c>
      <c r="AD55" s="86">
        <v>0.0</v>
      </c>
      <c r="AE55" s="43"/>
      <c r="AF55" s="86">
        <v>0.0</v>
      </c>
      <c r="AH55" s="86">
        <v>0.0</v>
      </c>
      <c r="AJ55" s="86">
        <v>0.0</v>
      </c>
      <c r="AL55" s="85">
        <v>0.0</v>
      </c>
      <c r="AM55" s="43"/>
      <c r="AN55" s="72">
        <v>0.0</v>
      </c>
      <c r="AO55" s="43"/>
      <c r="AP55" s="85">
        <v>5.0</v>
      </c>
      <c r="AQ55" s="43"/>
      <c r="AR55" s="85">
        <v>0.0</v>
      </c>
      <c r="AS55" s="43"/>
      <c r="AT55" s="85">
        <v>0.0</v>
      </c>
      <c r="AU55" s="43"/>
      <c r="AV55" s="86">
        <v>0.0</v>
      </c>
      <c r="AX55" s="86">
        <v>0.0</v>
      </c>
      <c r="AY55" s="43"/>
      <c r="AZ55" s="86">
        <v>0.0</v>
      </c>
      <c r="BB55" s="54">
        <f t="shared" si="1"/>
        <v>12332.88</v>
      </c>
      <c r="BC55" s="52">
        <f t="shared" si="2"/>
        <v>806</v>
      </c>
      <c r="BD55" s="52">
        <f t="shared" si="3"/>
        <v>0</v>
      </c>
      <c r="BE55" s="52">
        <f t="shared" si="4"/>
        <v>806</v>
      </c>
      <c r="BF55" s="49">
        <f t="shared" si="5"/>
        <v>15.30133995</v>
      </c>
      <c r="BG55" s="78"/>
    </row>
    <row r="56" ht="15.75" customHeight="1">
      <c r="A56" s="50" t="s">
        <v>53</v>
      </c>
      <c r="B56" s="51">
        <f t="shared" si="6"/>
        <v>45709</v>
      </c>
      <c r="C56" s="52">
        <v>2.0</v>
      </c>
      <c r="D56" s="52" t="s">
        <v>72</v>
      </c>
      <c r="E56" s="53"/>
      <c r="F56" s="85">
        <v>150.0</v>
      </c>
      <c r="H56" s="86">
        <v>150.0</v>
      </c>
      <c r="J56" s="86">
        <v>0.0</v>
      </c>
      <c r="L56" s="86">
        <v>0.0</v>
      </c>
      <c r="N56" s="86">
        <v>0.0</v>
      </c>
      <c r="P56" s="86">
        <v>0.0</v>
      </c>
      <c r="Q56" s="43"/>
      <c r="R56" s="86">
        <v>1.0</v>
      </c>
      <c r="T56" s="85">
        <v>250.0</v>
      </c>
      <c r="V56" s="86">
        <v>250.0</v>
      </c>
      <c r="X56" s="86">
        <v>0.0</v>
      </c>
      <c r="Z56" s="86">
        <v>0.0</v>
      </c>
      <c r="AB56" s="86">
        <v>0.0</v>
      </c>
      <c r="AD56" s="86">
        <v>0.0</v>
      </c>
      <c r="AE56" s="43"/>
      <c r="AF56" s="86">
        <v>0.0</v>
      </c>
      <c r="AH56" s="86">
        <v>0.0</v>
      </c>
      <c r="AJ56" s="86">
        <v>0.0</v>
      </c>
      <c r="AL56" s="85">
        <v>0.0</v>
      </c>
      <c r="AM56" s="43"/>
      <c r="AN56" s="72">
        <v>0.0</v>
      </c>
      <c r="AO56" s="43"/>
      <c r="AP56" s="85">
        <v>3.0</v>
      </c>
      <c r="AQ56" s="43"/>
      <c r="AR56" s="85">
        <v>0.0</v>
      </c>
      <c r="AS56" s="43"/>
      <c r="AT56" s="85">
        <v>0.0</v>
      </c>
      <c r="AU56" s="43"/>
      <c r="AV56" s="86">
        <v>0.0</v>
      </c>
      <c r="AX56" s="86">
        <v>0.0</v>
      </c>
      <c r="AY56" s="43"/>
      <c r="AZ56" s="86">
        <v>0.0</v>
      </c>
      <c r="BB56" s="54">
        <f t="shared" si="1"/>
        <v>12302.88</v>
      </c>
      <c r="BC56" s="52">
        <f t="shared" si="2"/>
        <v>804</v>
      </c>
      <c r="BD56" s="52">
        <f t="shared" si="3"/>
        <v>0</v>
      </c>
      <c r="BE56" s="52">
        <f t="shared" si="4"/>
        <v>804</v>
      </c>
      <c r="BF56" s="49">
        <f t="shared" si="5"/>
        <v>15.30208955</v>
      </c>
      <c r="BG56" s="78"/>
    </row>
    <row r="57" ht="15.75" customHeight="1">
      <c r="A57" s="50" t="s">
        <v>54</v>
      </c>
      <c r="B57" s="51">
        <f t="shared" si="6"/>
        <v>45710</v>
      </c>
      <c r="C57" s="52">
        <v>2.0</v>
      </c>
      <c r="D57" s="52" t="s">
        <v>72</v>
      </c>
      <c r="E57" s="92"/>
      <c r="F57" s="85">
        <v>150.0</v>
      </c>
      <c r="H57" s="86">
        <v>150.0</v>
      </c>
      <c r="J57" s="86">
        <v>0.0</v>
      </c>
      <c r="L57" s="86">
        <v>0.0</v>
      </c>
      <c r="N57" s="86">
        <v>65.0</v>
      </c>
      <c r="P57" s="86">
        <v>0.0</v>
      </c>
      <c r="Q57" s="43"/>
      <c r="R57" s="86">
        <v>0.0</v>
      </c>
      <c r="T57" s="85">
        <v>250.0</v>
      </c>
      <c r="V57" s="86">
        <v>250.0</v>
      </c>
      <c r="X57" s="86">
        <v>0.0</v>
      </c>
      <c r="Z57" s="86">
        <v>0.0</v>
      </c>
      <c r="AB57" s="86">
        <v>0.0</v>
      </c>
      <c r="AD57" s="86">
        <v>0.0</v>
      </c>
      <c r="AE57" s="43"/>
      <c r="AF57" s="86">
        <v>0.0</v>
      </c>
      <c r="AH57" s="86">
        <v>0.0</v>
      </c>
      <c r="AJ57" s="86">
        <v>0.0</v>
      </c>
      <c r="AL57" s="85">
        <v>0.0</v>
      </c>
      <c r="AM57" s="43"/>
      <c r="AN57" s="72">
        <v>0.0</v>
      </c>
      <c r="AO57" s="43"/>
      <c r="AP57" s="85">
        <v>0.0</v>
      </c>
      <c r="AQ57" s="43"/>
      <c r="AR57" s="85">
        <v>0.0</v>
      </c>
      <c r="AS57" s="43"/>
      <c r="AT57" s="85">
        <v>0.0</v>
      </c>
      <c r="AU57" s="43"/>
      <c r="AV57" s="86">
        <v>0.0</v>
      </c>
      <c r="AX57" s="86">
        <v>0.0</v>
      </c>
      <c r="AY57" s="43"/>
      <c r="AZ57" s="86">
        <v>0.0</v>
      </c>
      <c r="BB57" s="54">
        <f t="shared" si="1"/>
        <v>13681.25</v>
      </c>
      <c r="BC57" s="52">
        <f t="shared" si="2"/>
        <v>865</v>
      </c>
      <c r="BD57" s="52">
        <f t="shared" si="3"/>
        <v>0</v>
      </c>
      <c r="BE57" s="52">
        <f t="shared" si="4"/>
        <v>865</v>
      </c>
      <c r="BF57" s="49">
        <f t="shared" si="5"/>
        <v>15.81647399</v>
      </c>
      <c r="BG57" s="78"/>
    </row>
    <row r="58" ht="15.75" customHeight="1">
      <c r="A58" s="59" t="s">
        <v>61</v>
      </c>
      <c r="B58" s="61">
        <f t="shared" si="6"/>
        <v>45711</v>
      </c>
      <c r="C58" s="63">
        <v>2.0</v>
      </c>
      <c r="D58" s="63" t="s">
        <v>72</v>
      </c>
      <c r="E58" s="94"/>
      <c r="F58" s="87">
        <v>150.0</v>
      </c>
      <c r="G58" s="66"/>
      <c r="H58" s="88">
        <v>150.0</v>
      </c>
      <c r="I58" s="66"/>
      <c r="J58" s="88">
        <v>0.0</v>
      </c>
      <c r="K58" s="66"/>
      <c r="L58" s="88">
        <v>0.0</v>
      </c>
      <c r="M58" s="66"/>
      <c r="N58" s="88">
        <v>0.0</v>
      </c>
      <c r="O58" s="66"/>
      <c r="P58" s="88">
        <v>0.0</v>
      </c>
      <c r="Q58" s="68"/>
      <c r="R58" s="88">
        <v>1.0</v>
      </c>
      <c r="S58" s="66"/>
      <c r="T58" s="87">
        <v>0.0</v>
      </c>
      <c r="U58" s="66"/>
      <c r="V58" s="88">
        <v>0.0</v>
      </c>
      <c r="W58" s="66"/>
      <c r="X58" s="88">
        <v>0.0</v>
      </c>
      <c r="Y58" s="66"/>
      <c r="Z58" s="88">
        <v>0.0</v>
      </c>
      <c r="AA58" s="66"/>
      <c r="AB58" s="88">
        <v>0.0</v>
      </c>
      <c r="AC58" s="66"/>
      <c r="AD58" s="88">
        <v>0.0</v>
      </c>
      <c r="AE58" s="68"/>
      <c r="AF58" s="88">
        <v>0.0</v>
      </c>
      <c r="AG58" s="66"/>
      <c r="AH58" s="88">
        <v>0.0</v>
      </c>
      <c r="AI58" s="66"/>
      <c r="AJ58" s="88">
        <v>0.0</v>
      </c>
      <c r="AK58" s="66"/>
      <c r="AL58" s="87">
        <v>0.0</v>
      </c>
      <c r="AM58" s="68"/>
      <c r="AN58" s="84">
        <v>0.0</v>
      </c>
      <c r="AO58" s="68"/>
      <c r="AP58" s="87">
        <v>0.0</v>
      </c>
      <c r="AQ58" s="68"/>
      <c r="AR58" s="87">
        <v>0.0</v>
      </c>
      <c r="AS58" s="68"/>
      <c r="AT58" s="87">
        <v>0.0</v>
      </c>
      <c r="AU58" s="68"/>
      <c r="AV58" s="88">
        <v>0.0</v>
      </c>
      <c r="AW58" s="66"/>
      <c r="AX58" s="88">
        <v>0.0</v>
      </c>
      <c r="AY58" s="68"/>
      <c r="AZ58" s="88">
        <v>0.0</v>
      </c>
      <c r="BA58" s="66"/>
      <c r="BB58" s="73">
        <f t="shared" si="1"/>
        <v>6697.88</v>
      </c>
      <c r="BC58" s="63">
        <f t="shared" si="2"/>
        <v>301</v>
      </c>
      <c r="BD58" s="63">
        <f t="shared" si="3"/>
        <v>0</v>
      </c>
      <c r="BE58" s="63">
        <f t="shared" si="4"/>
        <v>301</v>
      </c>
      <c r="BF58" s="74">
        <f t="shared" si="5"/>
        <v>22.25209302</v>
      </c>
      <c r="BG58" s="78"/>
    </row>
    <row r="59" ht="15.75" customHeight="1">
      <c r="A59" s="36" t="s">
        <v>46</v>
      </c>
      <c r="B59" s="75">
        <f t="shared" si="6"/>
        <v>45712</v>
      </c>
      <c r="C59" s="38">
        <v>3.0</v>
      </c>
      <c r="D59" s="38" t="s">
        <v>47</v>
      </c>
      <c r="E59" s="82"/>
      <c r="F59" s="85">
        <v>150.0</v>
      </c>
      <c r="H59" s="86">
        <v>150.0</v>
      </c>
      <c r="J59" s="86">
        <v>0.0</v>
      </c>
      <c r="L59" s="86">
        <v>0.0</v>
      </c>
      <c r="N59" s="86">
        <v>0.0</v>
      </c>
      <c r="P59" s="86">
        <v>0.0</v>
      </c>
      <c r="Q59" s="43"/>
      <c r="R59" s="86">
        <v>1.0</v>
      </c>
      <c r="T59" s="85">
        <v>250.0</v>
      </c>
      <c r="V59" s="86">
        <v>250.0</v>
      </c>
      <c r="X59" s="86">
        <v>100.0</v>
      </c>
      <c r="Z59" s="86">
        <v>0.0</v>
      </c>
      <c r="AB59" s="86">
        <v>0.0</v>
      </c>
      <c r="AD59" s="86">
        <v>0.0</v>
      </c>
      <c r="AE59" s="43"/>
      <c r="AF59" s="86">
        <v>0.0</v>
      </c>
      <c r="AH59" s="86">
        <v>0.0</v>
      </c>
      <c r="AJ59" s="86">
        <v>0.0</v>
      </c>
      <c r="AL59" s="85">
        <v>0.0</v>
      </c>
      <c r="AM59" s="43"/>
      <c r="AN59" s="72">
        <v>0.0</v>
      </c>
      <c r="AO59" s="43"/>
      <c r="AP59" s="85">
        <v>0.0</v>
      </c>
      <c r="AQ59" s="43"/>
      <c r="AR59" s="85">
        <v>175.0</v>
      </c>
      <c r="AS59" s="43"/>
      <c r="AT59" s="85">
        <v>175.0</v>
      </c>
      <c r="AU59" s="43"/>
      <c r="AV59" s="86">
        <v>0.0</v>
      </c>
      <c r="AX59" s="86">
        <v>0.0</v>
      </c>
      <c r="AY59" s="43"/>
      <c r="AZ59" s="86">
        <v>0.0</v>
      </c>
      <c r="BB59" s="47">
        <f t="shared" si="1"/>
        <v>13943.88</v>
      </c>
      <c r="BC59" s="38">
        <f t="shared" si="2"/>
        <v>1251</v>
      </c>
      <c r="BD59" s="38">
        <f t="shared" si="3"/>
        <v>0</v>
      </c>
      <c r="BE59" s="38">
        <f t="shared" si="4"/>
        <v>1251</v>
      </c>
      <c r="BF59" s="76">
        <f t="shared" si="5"/>
        <v>11.14618705</v>
      </c>
      <c r="BG59" s="78"/>
    </row>
    <row r="60" ht="15.75" customHeight="1">
      <c r="A60" s="50" t="s">
        <v>48</v>
      </c>
      <c r="B60" s="51">
        <f t="shared" si="6"/>
        <v>45713</v>
      </c>
      <c r="C60" s="52">
        <v>3.0</v>
      </c>
      <c r="D60" s="52" t="s">
        <v>47</v>
      </c>
      <c r="E60" s="92"/>
      <c r="F60" s="85">
        <v>150.0</v>
      </c>
      <c r="H60" s="86">
        <v>150.0</v>
      </c>
      <c r="J60" s="86">
        <v>0.0</v>
      </c>
      <c r="L60" s="86">
        <v>0.0</v>
      </c>
      <c r="N60" s="86">
        <v>65.0</v>
      </c>
      <c r="P60" s="86">
        <v>0.0</v>
      </c>
      <c r="Q60" s="43"/>
      <c r="R60" s="86">
        <v>0.0</v>
      </c>
      <c r="T60" s="85">
        <v>250.0</v>
      </c>
      <c r="V60" s="86">
        <v>250.0</v>
      </c>
      <c r="X60" s="86">
        <v>0.0</v>
      </c>
      <c r="Z60" s="86">
        <v>0.0</v>
      </c>
      <c r="AB60" s="86">
        <v>0.0</v>
      </c>
      <c r="AD60" s="86">
        <v>0.0</v>
      </c>
      <c r="AE60" s="43"/>
      <c r="AF60" s="86">
        <v>0.0</v>
      </c>
      <c r="AH60" s="86">
        <v>0.0</v>
      </c>
      <c r="AJ60" s="86">
        <v>0.0</v>
      </c>
      <c r="AL60" s="85">
        <v>0.0</v>
      </c>
      <c r="AM60" s="43"/>
      <c r="AN60" s="72">
        <v>0.0</v>
      </c>
      <c r="AO60" s="43"/>
      <c r="AP60" s="85">
        <v>0.0</v>
      </c>
      <c r="AQ60" s="43"/>
      <c r="AR60" s="85">
        <v>0.0</v>
      </c>
      <c r="AS60" s="43"/>
      <c r="AT60" s="85">
        <v>0.0</v>
      </c>
      <c r="AU60" s="43"/>
      <c r="AV60" s="86">
        <v>0.0</v>
      </c>
      <c r="AX60" s="86">
        <v>0.0</v>
      </c>
      <c r="AY60" s="43"/>
      <c r="AZ60" s="86">
        <v>0.0</v>
      </c>
      <c r="BB60" s="54">
        <f t="shared" si="1"/>
        <v>13681.25</v>
      </c>
      <c r="BC60" s="52">
        <f t="shared" si="2"/>
        <v>865</v>
      </c>
      <c r="BD60" s="52">
        <f t="shared" si="3"/>
        <v>0</v>
      </c>
      <c r="BE60" s="52">
        <f t="shared" si="4"/>
        <v>865</v>
      </c>
      <c r="BF60" s="49">
        <f t="shared" si="5"/>
        <v>15.81647399</v>
      </c>
      <c r="BG60" s="78"/>
    </row>
    <row r="61" ht="15.75" customHeight="1">
      <c r="A61" s="50" t="s">
        <v>49</v>
      </c>
      <c r="B61" s="51">
        <f t="shared" si="6"/>
        <v>45714</v>
      </c>
      <c r="C61" s="52">
        <v>3.0</v>
      </c>
      <c r="D61" s="52" t="s">
        <v>47</v>
      </c>
      <c r="E61" s="53"/>
      <c r="F61" s="85">
        <v>150.0</v>
      </c>
      <c r="H61" s="86">
        <v>150.0</v>
      </c>
      <c r="J61" s="86">
        <v>0.0</v>
      </c>
      <c r="L61" s="86">
        <v>0.0</v>
      </c>
      <c r="N61" s="86">
        <v>65.0</v>
      </c>
      <c r="P61" s="86">
        <v>0.0</v>
      </c>
      <c r="Q61" s="43"/>
      <c r="R61" s="86">
        <v>1.0</v>
      </c>
      <c r="T61" s="85">
        <v>250.0</v>
      </c>
      <c r="V61" s="86">
        <v>250.0</v>
      </c>
      <c r="X61" s="86">
        <v>0.0</v>
      </c>
      <c r="Z61" s="86">
        <v>0.0</v>
      </c>
      <c r="AB61" s="86">
        <v>0.0</v>
      </c>
      <c r="AD61" s="86">
        <v>0.0</v>
      </c>
      <c r="AE61" s="43"/>
      <c r="AF61" s="86">
        <v>0.0</v>
      </c>
      <c r="AH61" s="86">
        <v>0.0</v>
      </c>
      <c r="AJ61" s="86">
        <v>0.0</v>
      </c>
      <c r="AL61" s="85">
        <v>0.0</v>
      </c>
      <c r="AM61" s="43"/>
      <c r="AN61" s="72">
        <v>0.0</v>
      </c>
      <c r="AO61" s="43"/>
      <c r="AP61" s="85">
        <v>0.0</v>
      </c>
      <c r="AQ61" s="43"/>
      <c r="AR61" s="85">
        <v>0.0</v>
      </c>
      <c r="AS61" s="43"/>
      <c r="AT61" s="85">
        <v>0.0</v>
      </c>
      <c r="AU61" s="43"/>
      <c r="AV61" s="86">
        <v>0.0</v>
      </c>
      <c r="AX61" s="86">
        <v>0.0</v>
      </c>
      <c r="AY61" s="43"/>
      <c r="AZ61" s="86">
        <v>0.0</v>
      </c>
      <c r="BB61" s="54">
        <f t="shared" si="1"/>
        <v>13704.13</v>
      </c>
      <c r="BC61" s="52">
        <f t="shared" si="2"/>
        <v>866</v>
      </c>
      <c r="BD61" s="52">
        <f t="shared" si="3"/>
        <v>0</v>
      </c>
      <c r="BE61" s="52">
        <f t="shared" si="4"/>
        <v>866</v>
      </c>
      <c r="BF61" s="49">
        <f t="shared" si="5"/>
        <v>15.82463048</v>
      </c>
      <c r="BG61" s="78"/>
    </row>
    <row r="62" ht="15.75" customHeight="1">
      <c r="A62" s="50" t="s">
        <v>50</v>
      </c>
      <c r="B62" s="51">
        <f t="shared" si="6"/>
        <v>45715</v>
      </c>
      <c r="C62" s="52">
        <v>3.0</v>
      </c>
      <c r="D62" s="52" t="s">
        <v>47</v>
      </c>
      <c r="E62" s="92"/>
      <c r="F62" s="85">
        <v>150.0</v>
      </c>
      <c r="H62" s="86">
        <v>150.0</v>
      </c>
      <c r="J62" s="86">
        <v>0.0</v>
      </c>
      <c r="L62" s="86">
        <v>0.0</v>
      </c>
      <c r="N62" s="86">
        <v>0.0</v>
      </c>
      <c r="P62" s="86">
        <v>0.0</v>
      </c>
      <c r="Q62" s="43"/>
      <c r="R62" s="86">
        <v>1.0</v>
      </c>
      <c r="T62" s="85">
        <v>250.0</v>
      </c>
      <c r="V62" s="86">
        <v>250.0</v>
      </c>
      <c r="X62" s="86">
        <v>0.0</v>
      </c>
      <c r="Z62" s="86">
        <v>0.0</v>
      </c>
      <c r="AB62" s="86">
        <v>0.0</v>
      </c>
      <c r="AD62" s="86">
        <v>0.0</v>
      </c>
      <c r="AE62" s="43"/>
      <c r="AF62" s="86">
        <v>0.0</v>
      </c>
      <c r="AH62" s="86">
        <v>0.0</v>
      </c>
      <c r="AJ62" s="86">
        <v>0.0</v>
      </c>
      <c r="AL62" s="85">
        <v>0.0</v>
      </c>
      <c r="AM62" s="43"/>
      <c r="AN62" s="72">
        <v>0.0</v>
      </c>
      <c r="AO62" s="43"/>
      <c r="AP62" s="85">
        <v>0.0</v>
      </c>
      <c r="AQ62" s="43"/>
      <c r="AR62" s="85">
        <v>0.0</v>
      </c>
      <c r="AS62" s="43"/>
      <c r="AT62" s="85">
        <v>0.0</v>
      </c>
      <c r="AU62" s="43"/>
      <c r="AV62" s="86">
        <v>0.0</v>
      </c>
      <c r="AX62" s="86">
        <v>0.0</v>
      </c>
      <c r="AY62" s="43"/>
      <c r="AZ62" s="86">
        <v>0.0</v>
      </c>
      <c r="BB62" s="54">
        <f t="shared" si="1"/>
        <v>12257.88</v>
      </c>
      <c r="BC62" s="52">
        <f t="shared" si="2"/>
        <v>801</v>
      </c>
      <c r="BD62" s="52">
        <f t="shared" si="3"/>
        <v>0</v>
      </c>
      <c r="BE62" s="52">
        <f t="shared" si="4"/>
        <v>801</v>
      </c>
      <c r="BF62" s="49">
        <f t="shared" si="5"/>
        <v>15.30322097</v>
      </c>
      <c r="BG62" s="78"/>
    </row>
    <row r="63" ht="15.75" customHeight="1">
      <c r="A63" s="50" t="s">
        <v>53</v>
      </c>
      <c r="B63" s="51">
        <f t="shared" si="6"/>
        <v>45716</v>
      </c>
      <c r="C63" s="52">
        <v>3.0</v>
      </c>
      <c r="D63" s="52" t="s">
        <v>47</v>
      </c>
      <c r="E63" s="92"/>
      <c r="F63" s="85">
        <v>150.0</v>
      </c>
      <c r="H63" s="86">
        <v>150.0</v>
      </c>
      <c r="J63" s="86">
        <v>0.0</v>
      </c>
      <c r="L63" s="86">
        <v>0.0</v>
      </c>
      <c r="N63" s="86">
        <v>65.0</v>
      </c>
      <c r="P63" s="86">
        <v>0.0</v>
      </c>
      <c r="Q63" s="43"/>
      <c r="R63" s="86">
        <v>0.0</v>
      </c>
      <c r="T63" s="85">
        <v>250.0</v>
      </c>
      <c r="V63" s="86">
        <v>250.0</v>
      </c>
      <c r="X63" s="86">
        <v>0.0</v>
      </c>
      <c r="Z63" s="86">
        <v>0.0</v>
      </c>
      <c r="AB63" s="86">
        <v>0.0</v>
      </c>
      <c r="AD63" s="86">
        <v>0.0</v>
      </c>
      <c r="AE63" s="43"/>
      <c r="AF63" s="86">
        <v>0.0</v>
      </c>
      <c r="AH63" s="86">
        <v>0.0</v>
      </c>
      <c r="AJ63" s="86">
        <v>0.0</v>
      </c>
      <c r="AL63" s="85">
        <v>0.0</v>
      </c>
      <c r="AM63" s="43"/>
      <c r="AN63" s="72">
        <v>0.0</v>
      </c>
      <c r="AO63" s="43"/>
      <c r="AP63" s="85">
        <v>0.0</v>
      </c>
      <c r="AQ63" s="43"/>
      <c r="AR63" s="85">
        <v>0.0</v>
      </c>
      <c r="AS63" s="43"/>
      <c r="AT63" s="85">
        <v>0.0</v>
      </c>
      <c r="AU63" s="43"/>
      <c r="AV63" s="86">
        <v>0.0</v>
      </c>
      <c r="AX63" s="86">
        <v>0.0</v>
      </c>
      <c r="AY63" s="43"/>
      <c r="AZ63" s="86">
        <v>0.0</v>
      </c>
      <c r="BB63" s="54">
        <f t="shared" si="1"/>
        <v>13681.25</v>
      </c>
      <c r="BC63" s="52">
        <f t="shared" si="2"/>
        <v>865</v>
      </c>
      <c r="BD63" s="52">
        <f t="shared" si="3"/>
        <v>0</v>
      </c>
      <c r="BE63" s="52">
        <f t="shared" si="4"/>
        <v>865</v>
      </c>
      <c r="BF63" s="49">
        <f t="shared" si="5"/>
        <v>15.81647399</v>
      </c>
      <c r="BG63" s="78"/>
    </row>
    <row r="64" ht="15.75" customHeight="1">
      <c r="A64" s="50" t="s">
        <v>54</v>
      </c>
      <c r="B64" s="51">
        <f t="shared" si="6"/>
        <v>45717</v>
      </c>
      <c r="C64" s="52">
        <v>3.0</v>
      </c>
      <c r="D64" s="52" t="s">
        <v>47</v>
      </c>
      <c r="E64" s="53"/>
      <c r="F64" s="85">
        <v>150.0</v>
      </c>
      <c r="H64" s="86">
        <v>150.0</v>
      </c>
      <c r="J64" s="86">
        <v>0.0</v>
      </c>
      <c r="L64" s="86">
        <v>0.0</v>
      </c>
      <c r="N64" s="86">
        <v>0.0</v>
      </c>
      <c r="P64" s="86">
        <v>0.0</v>
      </c>
      <c r="Q64" s="43"/>
      <c r="R64" s="86">
        <v>1.0</v>
      </c>
      <c r="T64" s="85">
        <v>275.0</v>
      </c>
      <c r="V64" s="86">
        <v>275.0</v>
      </c>
      <c r="X64" s="86">
        <v>0.0</v>
      </c>
      <c r="Z64" s="86">
        <v>0.0</v>
      </c>
      <c r="AB64" s="86">
        <v>0.0</v>
      </c>
      <c r="AD64" s="86">
        <v>0.0</v>
      </c>
      <c r="AE64" s="43"/>
      <c r="AF64" s="86">
        <v>0.0</v>
      </c>
      <c r="AH64" s="86">
        <v>0.0</v>
      </c>
      <c r="AJ64" s="86">
        <v>0.0</v>
      </c>
      <c r="AL64" s="85">
        <v>0.0</v>
      </c>
      <c r="AM64" s="43"/>
      <c r="AN64" s="72">
        <v>0.0</v>
      </c>
      <c r="AO64" s="43"/>
      <c r="AP64" s="85">
        <v>0.0</v>
      </c>
      <c r="AQ64" s="43"/>
      <c r="AR64" s="85">
        <v>0.0</v>
      </c>
      <c r="AS64" s="43"/>
      <c r="AT64" s="85">
        <v>0.0</v>
      </c>
      <c r="AU64" s="43"/>
      <c r="AV64" s="86">
        <v>0.0</v>
      </c>
      <c r="AX64" s="86">
        <v>0.0</v>
      </c>
      <c r="AY64" s="43"/>
      <c r="AZ64" s="86">
        <v>0.0</v>
      </c>
      <c r="BB64" s="54">
        <f t="shared" si="1"/>
        <v>12813.88</v>
      </c>
      <c r="BC64" s="52">
        <f t="shared" si="2"/>
        <v>851</v>
      </c>
      <c r="BD64" s="52">
        <f t="shared" si="3"/>
        <v>0</v>
      </c>
      <c r="BE64" s="52">
        <f t="shared" si="4"/>
        <v>851</v>
      </c>
      <c r="BF64" s="49">
        <f t="shared" si="5"/>
        <v>15.05743831</v>
      </c>
      <c r="BG64" s="78"/>
    </row>
    <row r="65" ht="15.75" customHeight="1">
      <c r="A65" s="59" t="s">
        <v>61</v>
      </c>
      <c r="B65" s="61">
        <f t="shared" si="6"/>
        <v>45718</v>
      </c>
      <c r="C65" s="63">
        <v>3.0</v>
      </c>
      <c r="D65" s="63" t="s">
        <v>47</v>
      </c>
      <c r="E65" s="94"/>
      <c r="F65" s="87">
        <v>150.0</v>
      </c>
      <c r="G65" s="66"/>
      <c r="H65" s="88">
        <v>150.0</v>
      </c>
      <c r="I65" s="66"/>
      <c r="J65" s="88">
        <v>0.0</v>
      </c>
      <c r="K65" s="66"/>
      <c r="L65" s="88">
        <v>0.0</v>
      </c>
      <c r="M65" s="66"/>
      <c r="N65" s="88">
        <v>65.0</v>
      </c>
      <c r="O65" s="66"/>
      <c r="P65" s="88">
        <v>0.0</v>
      </c>
      <c r="Q65" s="68"/>
      <c r="R65" s="88">
        <v>1.0</v>
      </c>
      <c r="S65" s="66"/>
      <c r="T65" s="87">
        <v>0.0</v>
      </c>
      <c r="U65" s="66"/>
      <c r="V65" s="88">
        <v>0.0</v>
      </c>
      <c r="W65" s="66"/>
      <c r="X65" s="88">
        <v>0.0</v>
      </c>
      <c r="Y65" s="66"/>
      <c r="Z65" s="88">
        <v>0.0</v>
      </c>
      <c r="AA65" s="66"/>
      <c r="AB65" s="88">
        <v>0.0</v>
      </c>
      <c r="AC65" s="66"/>
      <c r="AD65" s="88">
        <v>0.0</v>
      </c>
      <c r="AE65" s="68"/>
      <c r="AF65" s="88">
        <v>0.0</v>
      </c>
      <c r="AG65" s="66"/>
      <c r="AH65" s="88">
        <v>0.0</v>
      </c>
      <c r="AI65" s="66"/>
      <c r="AJ65" s="88">
        <v>0.0</v>
      </c>
      <c r="AK65" s="66"/>
      <c r="AL65" s="87">
        <v>0.0</v>
      </c>
      <c r="AM65" s="68"/>
      <c r="AN65" s="84">
        <f>2300</f>
        <v>2300</v>
      </c>
      <c r="AO65" s="68"/>
      <c r="AP65" s="87">
        <v>0.0</v>
      </c>
      <c r="AQ65" s="68"/>
      <c r="AR65" s="87">
        <v>0.0</v>
      </c>
      <c r="AS65" s="68"/>
      <c r="AT65" s="87">
        <v>0.0</v>
      </c>
      <c r="AU65" s="68"/>
      <c r="AV65" s="88">
        <v>0.0</v>
      </c>
      <c r="AW65" s="66"/>
      <c r="AX65" s="88">
        <v>0.0</v>
      </c>
      <c r="AY65" s="68"/>
      <c r="AZ65" s="88">
        <v>0.0</v>
      </c>
      <c r="BA65" s="66"/>
      <c r="BB65" s="73">
        <f t="shared" si="1"/>
        <v>8144.13</v>
      </c>
      <c r="BC65" s="63">
        <f t="shared" si="2"/>
        <v>366</v>
      </c>
      <c r="BD65" s="63">
        <f t="shared" si="3"/>
        <v>0</v>
      </c>
      <c r="BE65" s="63">
        <f t="shared" si="4"/>
        <v>366</v>
      </c>
      <c r="BF65" s="74">
        <f t="shared" si="5"/>
        <v>22.25172131</v>
      </c>
      <c r="BG65" s="78"/>
    </row>
    <row r="66" ht="15.75" customHeight="1">
      <c r="A66" s="36" t="s">
        <v>46</v>
      </c>
      <c r="B66" s="75">
        <f t="shared" si="6"/>
        <v>45719</v>
      </c>
      <c r="C66" s="38">
        <v>3.0</v>
      </c>
      <c r="D66" s="38" t="s">
        <v>65</v>
      </c>
      <c r="E66" s="82"/>
      <c r="F66" s="85">
        <v>150.0</v>
      </c>
      <c r="H66" s="86">
        <v>150.0</v>
      </c>
      <c r="J66" s="86">
        <v>0.0</v>
      </c>
      <c r="L66" s="86">
        <v>0.0</v>
      </c>
      <c r="N66" s="86">
        <v>0.0</v>
      </c>
      <c r="P66" s="86">
        <v>0.0</v>
      </c>
      <c r="Q66" s="43"/>
      <c r="R66" s="86">
        <v>0.0</v>
      </c>
      <c r="T66" s="85">
        <v>300.0</v>
      </c>
      <c r="V66" s="86">
        <v>300.0</v>
      </c>
      <c r="X66" s="86">
        <v>0.0</v>
      </c>
      <c r="Z66" s="86">
        <v>0.0</v>
      </c>
      <c r="AB66" s="86">
        <v>0.0</v>
      </c>
      <c r="AD66" s="86">
        <v>0.0</v>
      </c>
      <c r="AE66" s="43"/>
      <c r="AF66" s="86">
        <v>0.0</v>
      </c>
      <c r="AH66" s="86">
        <v>0.0</v>
      </c>
      <c r="AJ66" s="86">
        <v>0.0</v>
      </c>
      <c r="AL66" s="85">
        <v>0.0</v>
      </c>
      <c r="AM66" s="43"/>
      <c r="AN66" s="72">
        <v>0.0</v>
      </c>
      <c r="AO66" s="43"/>
      <c r="AP66" s="85">
        <v>0.0</v>
      </c>
      <c r="AQ66" s="43"/>
      <c r="AR66" s="85">
        <v>175.0</v>
      </c>
      <c r="AS66" s="43"/>
      <c r="AT66" s="85">
        <v>175.0</v>
      </c>
      <c r="AU66" s="43"/>
      <c r="AV66" s="86">
        <v>0.0</v>
      </c>
      <c r="AX66" s="86">
        <v>0.0</v>
      </c>
      <c r="AY66" s="43"/>
      <c r="AZ66" s="86">
        <v>0.0</v>
      </c>
      <c r="BB66" s="47">
        <f t="shared" si="1"/>
        <v>13921</v>
      </c>
      <c r="BC66" s="38">
        <f t="shared" si="2"/>
        <v>1250</v>
      </c>
      <c r="BD66" s="38">
        <f t="shared" si="3"/>
        <v>0</v>
      </c>
      <c r="BE66" s="38">
        <f t="shared" si="4"/>
        <v>1250</v>
      </c>
      <c r="BF66" s="76">
        <f t="shared" si="5"/>
        <v>11.1368</v>
      </c>
      <c r="BG66" s="78"/>
    </row>
    <row r="67" ht="15.75" customHeight="1">
      <c r="A67" s="50" t="s">
        <v>48</v>
      </c>
      <c r="B67" s="51">
        <f t="shared" si="6"/>
        <v>45720</v>
      </c>
      <c r="C67" s="52">
        <v>3.0</v>
      </c>
      <c r="D67" s="52" t="s">
        <v>65</v>
      </c>
      <c r="E67" s="53"/>
      <c r="F67" s="85">
        <v>30.0</v>
      </c>
      <c r="H67" s="86">
        <v>30.0</v>
      </c>
      <c r="J67" s="86">
        <v>0.0</v>
      </c>
      <c r="L67" s="86">
        <v>0.0</v>
      </c>
      <c r="N67" s="86">
        <v>0.0</v>
      </c>
      <c r="P67" s="86">
        <v>0.0</v>
      </c>
      <c r="Q67" s="43"/>
      <c r="R67" s="86">
        <v>0.0</v>
      </c>
      <c r="T67" s="85">
        <v>300.0</v>
      </c>
      <c r="V67" s="86">
        <v>300.0</v>
      </c>
      <c r="X67" s="86">
        <v>0.0</v>
      </c>
      <c r="Z67" s="86">
        <v>0.0</v>
      </c>
      <c r="AB67" s="86">
        <v>0.0</v>
      </c>
      <c r="AD67" s="86">
        <v>0.0</v>
      </c>
      <c r="AE67" s="43"/>
      <c r="AF67" s="86">
        <v>0.0</v>
      </c>
      <c r="AH67" s="86">
        <v>0.0</v>
      </c>
      <c r="AJ67" s="86">
        <v>0.0</v>
      </c>
      <c r="AL67" s="85">
        <v>0.0</v>
      </c>
      <c r="AM67" s="43"/>
      <c r="AN67" s="72">
        <v>0.0</v>
      </c>
      <c r="AO67" s="43"/>
      <c r="AP67" s="85">
        <v>0.0</v>
      </c>
      <c r="AQ67" s="43"/>
      <c r="AR67" s="85">
        <v>0.0</v>
      </c>
      <c r="AS67" s="43"/>
      <c r="AT67" s="85">
        <v>0.0</v>
      </c>
      <c r="AU67" s="43"/>
      <c r="AV67" s="86">
        <v>0.0</v>
      </c>
      <c r="AX67" s="86">
        <v>0.0</v>
      </c>
      <c r="AY67" s="43"/>
      <c r="AZ67" s="86">
        <v>0.0</v>
      </c>
      <c r="BB67" s="54">
        <f t="shared" si="1"/>
        <v>8007</v>
      </c>
      <c r="BC67" s="52">
        <f t="shared" si="2"/>
        <v>660</v>
      </c>
      <c r="BD67" s="52">
        <f t="shared" si="3"/>
        <v>0</v>
      </c>
      <c r="BE67" s="52">
        <f t="shared" si="4"/>
        <v>660</v>
      </c>
      <c r="BF67" s="49">
        <f t="shared" si="5"/>
        <v>12.13181818</v>
      </c>
      <c r="BG67" s="78"/>
    </row>
    <row r="68" ht="15.75" customHeight="1">
      <c r="A68" s="50" t="s">
        <v>49</v>
      </c>
      <c r="B68" s="51">
        <f t="shared" si="6"/>
        <v>45721</v>
      </c>
      <c r="C68" s="52">
        <v>3.0</v>
      </c>
      <c r="D68" s="52" t="s">
        <v>65</v>
      </c>
      <c r="E68" s="92"/>
      <c r="F68" s="85">
        <v>150.0</v>
      </c>
      <c r="H68" s="86">
        <v>150.0</v>
      </c>
      <c r="J68" s="86">
        <v>0.0</v>
      </c>
      <c r="L68" s="86">
        <v>0.0</v>
      </c>
      <c r="N68" s="86">
        <v>0.0</v>
      </c>
      <c r="P68" s="86">
        <v>0.0</v>
      </c>
      <c r="Q68" s="43"/>
      <c r="R68" s="86">
        <v>0.0</v>
      </c>
      <c r="T68" s="85">
        <v>300.0</v>
      </c>
      <c r="V68" s="86">
        <v>300.0</v>
      </c>
      <c r="X68" s="86">
        <v>0.0</v>
      </c>
      <c r="Z68" s="86">
        <v>0.0</v>
      </c>
      <c r="AB68" s="86">
        <v>0.0</v>
      </c>
      <c r="AD68" s="86">
        <v>0.0</v>
      </c>
      <c r="AE68" s="43"/>
      <c r="AF68" s="86">
        <v>0.0</v>
      </c>
      <c r="AH68" s="86">
        <v>0.0</v>
      </c>
      <c r="AJ68" s="86">
        <v>0.0</v>
      </c>
      <c r="AL68" s="85">
        <v>0.0</v>
      </c>
      <c r="AM68" s="43"/>
      <c r="AN68" s="72">
        <v>0.0</v>
      </c>
      <c r="AO68" s="43"/>
      <c r="AP68" s="85">
        <v>0.0</v>
      </c>
      <c r="AQ68" s="43"/>
      <c r="AR68" s="85">
        <v>0.0</v>
      </c>
      <c r="AS68" s="43"/>
      <c r="AT68" s="85">
        <v>0.0</v>
      </c>
      <c r="AU68" s="43"/>
      <c r="AV68" s="86">
        <v>0.0</v>
      </c>
      <c r="AX68" s="86">
        <v>0.0</v>
      </c>
      <c r="AY68" s="43"/>
      <c r="AZ68" s="86">
        <v>0.0</v>
      </c>
      <c r="BB68" s="54">
        <f t="shared" si="1"/>
        <v>13347</v>
      </c>
      <c r="BC68" s="52">
        <f t="shared" si="2"/>
        <v>900</v>
      </c>
      <c r="BD68" s="52">
        <f t="shared" si="3"/>
        <v>0</v>
      </c>
      <c r="BE68" s="52">
        <f t="shared" si="4"/>
        <v>900</v>
      </c>
      <c r="BF68" s="49">
        <f t="shared" si="5"/>
        <v>14.83</v>
      </c>
      <c r="BG68" s="78"/>
    </row>
    <row r="69" ht="15.75" customHeight="1">
      <c r="A69" s="50" t="s">
        <v>50</v>
      </c>
      <c r="B69" s="51">
        <f t="shared" si="6"/>
        <v>45722</v>
      </c>
      <c r="C69" s="52">
        <v>3.0</v>
      </c>
      <c r="D69" s="52" t="s">
        <v>65</v>
      </c>
      <c r="E69" s="92"/>
      <c r="F69" s="85">
        <v>150.0</v>
      </c>
      <c r="H69" s="86">
        <v>150.0</v>
      </c>
      <c r="J69" s="86">
        <v>0.0</v>
      </c>
      <c r="L69" s="86">
        <v>0.0</v>
      </c>
      <c r="N69" s="86">
        <v>65.0</v>
      </c>
      <c r="P69" s="86">
        <v>0.0</v>
      </c>
      <c r="Q69" s="43"/>
      <c r="R69" s="86">
        <v>0.0</v>
      </c>
      <c r="T69" s="85">
        <v>300.0</v>
      </c>
      <c r="V69" s="86">
        <v>300.0</v>
      </c>
      <c r="X69" s="86">
        <v>0.0</v>
      </c>
      <c r="Z69" s="86">
        <v>0.0</v>
      </c>
      <c r="AB69" s="86">
        <v>0.0</v>
      </c>
      <c r="AD69" s="86">
        <v>0.0</v>
      </c>
      <c r="AE69" s="43"/>
      <c r="AF69" s="86">
        <v>0.0</v>
      </c>
      <c r="AH69" s="86">
        <v>0.0</v>
      </c>
      <c r="AJ69" s="86">
        <v>0.0</v>
      </c>
      <c r="AL69" s="85">
        <v>0.0</v>
      </c>
      <c r="AM69" s="43"/>
      <c r="AN69" s="72">
        <v>0.0</v>
      </c>
      <c r="AO69" s="43"/>
      <c r="AP69" s="85">
        <v>0.0</v>
      </c>
      <c r="AQ69" s="43"/>
      <c r="AR69" s="85">
        <v>0.0</v>
      </c>
      <c r="AS69" s="43"/>
      <c r="AT69" s="85">
        <v>0.0</v>
      </c>
      <c r="AU69" s="43"/>
      <c r="AV69" s="86">
        <v>0.0</v>
      </c>
      <c r="AX69" s="86">
        <v>0.0</v>
      </c>
      <c r="AY69" s="43"/>
      <c r="AZ69" s="86">
        <v>0.0</v>
      </c>
      <c r="BB69" s="54">
        <f t="shared" si="1"/>
        <v>14793.25</v>
      </c>
      <c r="BC69" s="52">
        <f t="shared" si="2"/>
        <v>965</v>
      </c>
      <c r="BD69" s="52">
        <f t="shared" si="3"/>
        <v>0</v>
      </c>
      <c r="BE69" s="52">
        <f t="shared" si="4"/>
        <v>965</v>
      </c>
      <c r="BF69" s="49">
        <f t="shared" si="5"/>
        <v>15.32979275</v>
      </c>
      <c r="BG69" s="78"/>
    </row>
    <row r="70" ht="15.75" customHeight="1">
      <c r="A70" s="50" t="s">
        <v>53</v>
      </c>
      <c r="B70" s="51">
        <f t="shared" si="6"/>
        <v>45723</v>
      </c>
      <c r="C70" s="52">
        <v>3.0</v>
      </c>
      <c r="D70" s="52" t="s">
        <v>65</v>
      </c>
      <c r="E70" s="53"/>
      <c r="F70" s="85">
        <v>150.0</v>
      </c>
      <c r="H70" s="86">
        <v>150.0</v>
      </c>
      <c r="J70" s="86">
        <v>0.0</v>
      </c>
      <c r="L70" s="86">
        <v>0.0</v>
      </c>
      <c r="N70" s="86">
        <v>0.0</v>
      </c>
      <c r="P70" s="86">
        <v>0.0</v>
      </c>
      <c r="Q70" s="43"/>
      <c r="R70" s="86">
        <v>2.0</v>
      </c>
      <c r="T70" s="85">
        <v>50.0</v>
      </c>
      <c r="V70" s="86">
        <v>50.0</v>
      </c>
      <c r="X70" s="86">
        <v>0.0</v>
      </c>
      <c r="Z70" s="86">
        <v>0.0</v>
      </c>
      <c r="AB70" s="86">
        <v>0.0</v>
      </c>
      <c r="AD70" s="86">
        <v>0.0</v>
      </c>
      <c r="AE70" s="43"/>
      <c r="AF70" s="86">
        <v>0.0</v>
      </c>
      <c r="AH70" s="86">
        <v>0.0</v>
      </c>
      <c r="AJ70" s="86">
        <v>0.0</v>
      </c>
      <c r="AL70" s="85">
        <v>0.0</v>
      </c>
      <c r="AM70" s="43"/>
      <c r="AN70" s="72">
        <v>0.0</v>
      </c>
      <c r="AO70" s="43"/>
      <c r="AP70" s="85">
        <v>0.0</v>
      </c>
      <c r="AQ70" s="43"/>
      <c r="AR70" s="85">
        <v>0.0</v>
      </c>
      <c r="AS70" s="43"/>
      <c r="AT70" s="85">
        <v>0.0</v>
      </c>
      <c r="AU70" s="43"/>
      <c r="AV70" s="86">
        <v>0.0</v>
      </c>
      <c r="AX70" s="86">
        <v>0.0</v>
      </c>
      <c r="AY70" s="43"/>
      <c r="AZ70" s="86">
        <v>0.0</v>
      </c>
      <c r="BB70" s="54">
        <f t="shared" si="1"/>
        <v>7832.76</v>
      </c>
      <c r="BC70" s="52">
        <f t="shared" si="2"/>
        <v>402</v>
      </c>
      <c r="BD70" s="52">
        <f t="shared" si="3"/>
        <v>0</v>
      </c>
      <c r="BE70" s="52">
        <f t="shared" si="4"/>
        <v>402</v>
      </c>
      <c r="BF70" s="49">
        <f t="shared" si="5"/>
        <v>19.48447761</v>
      </c>
      <c r="BG70" s="78"/>
    </row>
    <row r="71" ht="15.75" customHeight="1">
      <c r="A71" s="50" t="s">
        <v>54</v>
      </c>
      <c r="B71" s="51">
        <f t="shared" si="6"/>
        <v>45724</v>
      </c>
      <c r="C71" s="52">
        <v>3.0</v>
      </c>
      <c r="D71" s="52" t="s">
        <v>65</v>
      </c>
      <c r="E71" s="53"/>
      <c r="F71" s="85">
        <v>150.0</v>
      </c>
      <c r="H71" s="86">
        <v>150.0</v>
      </c>
      <c r="J71" s="86">
        <v>0.0</v>
      </c>
      <c r="L71" s="86">
        <v>0.0</v>
      </c>
      <c r="N71" s="86">
        <v>65.0</v>
      </c>
      <c r="P71" s="86">
        <v>0.0</v>
      </c>
      <c r="Q71" s="43"/>
      <c r="R71" s="86">
        <v>0.0</v>
      </c>
      <c r="T71" s="85">
        <v>300.0</v>
      </c>
      <c r="V71" s="86">
        <v>300.0</v>
      </c>
      <c r="X71" s="86">
        <v>0.0</v>
      </c>
      <c r="Z71" s="86">
        <v>0.0</v>
      </c>
      <c r="AB71" s="86">
        <v>0.0</v>
      </c>
      <c r="AD71" s="86">
        <v>0.0</v>
      </c>
      <c r="AE71" s="43"/>
      <c r="AF71" s="86">
        <v>0.0</v>
      </c>
      <c r="AH71" s="86">
        <v>0.0</v>
      </c>
      <c r="AJ71" s="86">
        <v>0.0</v>
      </c>
      <c r="AL71" s="85">
        <v>0.0</v>
      </c>
      <c r="AM71" s="43"/>
      <c r="AN71" s="72">
        <v>0.0</v>
      </c>
      <c r="AO71" s="43"/>
      <c r="AP71" s="85">
        <v>0.0</v>
      </c>
      <c r="AQ71" s="43"/>
      <c r="AR71" s="85">
        <v>0.0</v>
      </c>
      <c r="AS71" s="43"/>
      <c r="AT71" s="85">
        <v>0.0</v>
      </c>
      <c r="AU71" s="43"/>
      <c r="AV71" s="86">
        <v>0.0</v>
      </c>
      <c r="AX71" s="86">
        <v>0.0</v>
      </c>
      <c r="AY71" s="43"/>
      <c r="AZ71" s="86">
        <v>0.0</v>
      </c>
      <c r="BB71" s="54">
        <f t="shared" si="1"/>
        <v>14793.25</v>
      </c>
      <c r="BC71" s="52">
        <f t="shared" si="2"/>
        <v>965</v>
      </c>
      <c r="BD71" s="52">
        <f t="shared" si="3"/>
        <v>0</v>
      </c>
      <c r="BE71" s="52">
        <f t="shared" si="4"/>
        <v>965</v>
      </c>
      <c r="BF71" s="49">
        <f t="shared" si="5"/>
        <v>15.32979275</v>
      </c>
      <c r="BG71" s="78"/>
    </row>
    <row r="72" ht="15.75" customHeight="1">
      <c r="A72" s="59" t="s">
        <v>61</v>
      </c>
      <c r="B72" s="61">
        <f t="shared" si="6"/>
        <v>45725</v>
      </c>
      <c r="C72" s="63">
        <v>3.0</v>
      </c>
      <c r="D72" s="63" t="s">
        <v>65</v>
      </c>
      <c r="E72" s="64"/>
      <c r="F72" s="87">
        <v>150.0</v>
      </c>
      <c r="G72" s="66"/>
      <c r="H72" s="88">
        <v>150.0</v>
      </c>
      <c r="I72" s="66"/>
      <c r="J72" s="88">
        <v>0.0</v>
      </c>
      <c r="K72" s="66"/>
      <c r="L72" s="88">
        <v>0.0</v>
      </c>
      <c r="M72" s="66"/>
      <c r="N72" s="88">
        <v>0.0</v>
      </c>
      <c r="O72" s="66"/>
      <c r="P72" s="88">
        <v>0.0</v>
      </c>
      <c r="Q72" s="68"/>
      <c r="R72" s="88">
        <v>0.0</v>
      </c>
      <c r="S72" s="66"/>
      <c r="T72" s="87">
        <v>300.0</v>
      </c>
      <c r="U72" s="66"/>
      <c r="V72" s="88">
        <v>300.0</v>
      </c>
      <c r="W72" s="66"/>
      <c r="X72" s="88">
        <v>0.0</v>
      </c>
      <c r="Y72" s="66"/>
      <c r="Z72" s="88">
        <v>0.0</v>
      </c>
      <c r="AA72" s="66"/>
      <c r="AB72" s="88">
        <v>0.0</v>
      </c>
      <c r="AC72" s="66"/>
      <c r="AD72" s="88">
        <v>0.0</v>
      </c>
      <c r="AE72" s="68"/>
      <c r="AF72" s="88">
        <v>0.0</v>
      </c>
      <c r="AG72" s="66"/>
      <c r="AH72" s="88">
        <v>0.0</v>
      </c>
      <c r="AI72" s="66"/>
      <c r="AJ72" s="88">
        <v>0.0</v>
      </c>
      <c r="AK72" s="66"/>
      <c r="AL72" s="87">
        <v>0.0</v>
      </c>
      <c r="AM72" s="68"/>
      <c r="AN72" s="84">
        <v>0.0</v>
      </c>
      <c r="AO72" s="68"/>
      <c r="AP72" s="87">
        <v>0.0</v>
      </c>
      <c r="AQ72" s="68"/>
      <c r="AR72" s="87">
        <v>0.0</v>
      </c>
      <c r="AS72" s="68"/>
      <c r="AT72" s="87">
        <v>0.0</v>
      </c>
      <c r="AU72" s="68"/>
      <c r="AV72" s="88">
        <v>0.0</v>
      </c>
      <c r="AW72" s="66"/>
      <c r="AX72" s="88">
        <v>0.0</v>
      </c>
      <c r="AY72" s="68"/>
      <c r="AZ72" s="88">
        <v>0.0</v>
      </c>
      <c r="BA72" s="66"/>
      <c r="BB72" s="73">
        <f t="shared" si="1"/>
        <v>13347</v>
      </c>
      <c r="BC72" s="63">
        <f t="shared" si="2"/>
        <v>900</v>
      </c>
      <c r="BD72" s="63">
        <f t="shared" si="3"/>
        <v>0</v>
      </c>
      <c r="BE72" s="63">
        <f t="shared" si="4"/>
        <v>900</v>
      </c>
      <c r="BF72" s="74">
        <f t="shared" si="5"/>
        <v>14.83</v>
      </c>
      <c r="BG72" s="78"/>
    </row>
    <row r="73" ht="15.75" customHeight="1">
      <c r="A73" s="36" t="s">
        <v>46</v>
      </c>
      <c r="B73" s="75">
        <f t="shared" si="6"/>
        <v>45726</v>
      </c>
      <c r="C73" s="38">
        <v>3.0</v>
      </c>
      <c r="D73" s="38" t="s">
        <v>69</v>
      </c>
      <c r="E73" s="40"/>
      <c r="F73" s="85">
        <v>150.0</v>
      </c>
      <c r="H73" s="86">
        <v>150.0</v>
      </c>
      <c r="J73" s="86">
        <v>0.0</v>
      </c>
      <c r="L73" s="86">
        <v>0.0</v>
      </c>
      <c r="N73" s="86">
        <v>65.0</v>
      </c>
      <c r="P73" s="86">
        <v>0.0</v>
      </c>
      <c r="Q73" s="43"/>
      <c r="R73" s="86">
        <v>0.0</v>
      </c>
      <c r="T73" s="85">
        <v>300.0</v>
      </c>
      <c r="V73" s="86">
        <v>300.0</v>
      </c>
      <c r="X73" s="86">
        <v>0.0</v>
      </c>
      <c r="Z73" s="86">
        <v>0.0</v>
      </c>
      <c r="AB73" s="86">
        <v>0.0</v>
      </c>
      <c r="AD73" s="86">
        <v>0.0</v>
      </c>
      <c r="AE73" s="43"/>
      <c r="AF73" s="86">
        <v>0.0</v>
      </c>
      <c r="AH73" s="86">
        <v>0.0</v>
      </c>
      <c r="AJ73" s="86">
        <v>0.0</v>
      </c>
      <c r="AL73" s="85">
        <v>0.0</v>
      </c>
      <c r="AM73" s="43"/>
      <c r="AN73" s="72">
        <v>2300.0</v>
      </c>
      <c r="AO73" s="43"/>
      <c r="AP73" s="85">
        <v>0.0</v>
      </c>
      <c r="AQ73" s="43"/>
      <c r="AR73" s="85">
        <v>175.0</v>
      </c>
      <c r="AS73" s="43"/>
      <c r="AT73" s="85">
        <v>175.0</v>
      </c>
      <c r="AU73" s="43"/>
      <c r="AV73" s="86">
        <v>0.0</v>
      </c>
      <c r="AX73" s="86">
        <v>0.0</v>
      </c>
      <c r="AY73" s="43"/>
      <c r="AZ73" s="86">
        <v>0.0</v>
      </c>
      <c r="BB73" s="47">
        <f t="shared" si="1"/>
        <v>15367.25</v>
      </c>
      <c r="BC73" s="38">
        <f t="shared" si="2"/>
        <v>1315</v>
      </c>
      <c r="BD73" s="38">
        <f t="shared" si="3"/>
        <v>0</v>
      </c>
      <c r="BE73" s="38">
        <f t="shared" si="4"/>
        <v>1315</v>
      </c>
      <c r="BF73" s="76">
        <f t="shared" si="5"/>
        <v>11.68612167</v>
      </c>
      <c r="BG73" s="78"/>
    </row>
    <row r="74" ht="15.75" customHeight="1">
      <c r="A74" s="50" t="s">
        <v>48</v>
      </c>
      <c r="B74" s="51">
        <f t="shared" si="6"/>
        <v>45727</v>
      </c>
      <c r="C74" s="52">
        <v>3.0</v>
      </c>
      <c r="D74" s="52" t="s">
        <v>69</v>
      </c>
      <c r="E74" s="53"/>
      <c r="F74" s="85">
        <v>115.0</v>
      </c>
      <c r="H74" s="86">
        <v>115.0</v>
      </c>
      <c r="J74" s="86">
        <v>0.0</v>
      </c>
      <c r="L74" s="86">
        <v>0.0</v>
      </c>
      <c r="N74" s="86">
        <v>65.0</v>
      </c>
      <c r="P74" s="86">
        <v>0.0</v>
      </c>
      <c r="Q74" s="43"/>
      <c r="R74" s="86">
        <v>0.0</v>
      </c>
      <c r="T74" s="85">
        <v>300.0</v>
      </c>
      <c r="V74" s="86">
        <v>300.0</v>
      </c>
      <c r="X74" s="86">
        <v>0.0</v>
      </c>
      <c r="Z74" s="86">
        <v>0.0</v>
      </c>
      <c r="AB74" s="86">
        <v>0.0</v>
      </c>
      <c r="AD74" s="86">
        <v>0.0</v>
      </c>
      <c r="AE74" s="43"/>
      <c r="AF74" s="86">
        <v>0.0</v>
      </c>
      <c r="AH74" s="86">
        <v>0.0</v>
      </c>
      <c r="AJ74" s="86">
        <v>0.0</v>
      </c>
      <c r="AL74" s="85">
        <v>0.0</v>
      </c>
      <c r="AM74" s="43"/>
      <c r="AN74" s="72">
        <v>0.0</v>
      </c>
      <c r="AO74" s="43"/>
      <c r="AP74" s="85">
        <v>0.0</v>
      </c>
      <c r="AQ74" s="43"/>
      <c r="AR74" s="85">
        <v>0.0</v>
      </c>
      <c r="AS74" s="43"/>
      <c r="AT74" s="85">
        <v>0.0</v>
      </c>
      <c r="AU74" s="43"/>
      <c r="AV74" s="86">
        <v>0.0</v>
      </c>
      <c r="AX74" s="86">
        <v>0.0</v>
      </c>
      <c r="AY74" s="43"/>
      <c r="AZ74" s="86">
        <v>0.0</v>
      </c>
      <c r="BB74" s="54">
        <f t="shared" si="1"/>
        <v>13235.75</v>
      </c>
      <c r="BC74" s="52">
        <f t="shared" si="2"/>
        <v>895</v>
      </c>
      <c r="BD74" s="52">
        <f t="shared" si="3"/>
        <v>0</v>
      </c>
      <c r="BE74" s="52">
        <f t="shared" si="4"/>
        <v>895</v>
      </c>
      <c r="BF74" s="49">
        <f t="shared" si="5"/>
        <v>14.78854749</v>
      </c>
      <c r="BG74" s="78"/>
    </row>
    <row r="75" ht="15.75" customHeight="1">
      <c r="A75" s="50" t="s">
        <v>49</v>
      </c>
      <c r="B75" s="51">
        <f t="shared" si="6"/>
        <v>45728</v>
      </c>
      <c r="C75" s="52">
        <v>3.0</v>
      </c>
      <c r="D75" s="52" t="s">
        <v>69</v>
      </c>
      <c r="E75" s="53"/>
      <c r="F75" s="85">
        <v>0.0</v>
      </c>
      <c r="H75" s="86">
        <v>0.0</v>
      </c>
      <c r="J75" s="86">
        <v>0.0</v>
      </c>
      <c r="L75" s="86">
        <v>0.0</v>
      </c>
      <c r="N75" s="86">
        <v>0.0</v>
      </c>
      <c r="P75" s="86">
        <v>0.0</v>
      </c>
      <c r="Q75" s="43"/>
      <c r="R75" s="86">
        <v>0.0</v>
      </c>
      <c r="T75" s="85">
        <v>0.0</v>
      </c>
      <c r="V75" s="86">
        <v>0.0</v>
      </c>
      <c r="X75" s="86">
        <v>0.0</v>
      </c>
      <c r="Z75" s="86">
        <v>0.0</v>
      </c>
      <c r="AB75" s="86">
        <v>0.0</v>
      </c>
      <c r="AD75" s="86">
        <v>0.0</v>
      </c>
      <c r="AE75" s="43"/>
      <c r="AF75" s="86">
        <v>0.0</v>
      </c>
      <c r="AH75" s="86">
        <v>0.0</v>
      </c>
      <c r="AJ75" s="86">
        <v>0.0</v>
      </c>
      <c r="AL75" s="85">
        <v>0.0</v>
      </c>
      <c r="AM75" s="43"/>
      <c r="AN75" s="72">
        <v>0.0</v>
      </c>
      <c r="AO75" s="43"/>
      <c r="AP75" s="85">
        <v>0.0</v>
      </c>
      <c r="AQ75" s="43"/>
      <c r="AR75" s="85">
        <v>0.0</v>
      </c>
      <c r="AS75" s="43"/>
      <c r="AT75" s="85">
        <v>0.0</v>
      </c>
      <c r="AU75" s="43"/>
      <c r="AV75" s="86">
        <v>0.0</v>
      </c>
      <c r="AX75" s="86">
        <v>0.0</v>
      </c>
      <c r="AY75" s="43"/>
      <c r="AZ75" s="86">
        <v>0.0</v>
      </c>
      <c r="BB75" s="54">
        <f t="shared" si="1"/>
        <v>0</v>
      </c>
      <c r="BC75" s="52">
        <f t="shared" si="2"/>
        <v>0</v>
      </c>
      <c r="BD75" s="52">
        <f t="shared" si="3"/>
        <v>0</v>
      </c>
      <c r="BE75" s="52">
        <f t="shared" si="4"/>
        <v>0</v>
      </c>
      <c r="BF75" s="49" t="str">
        <f t="shared" si="5"/>
        <v/>
      </c>
      <c r="BG75" s="78"/>
    </row>
    <row r="76" ht="15.75" customHeight="1">
      <c r="A76" s="50" t="s">
        <v>50</v>
      </c>
      <c r="B76" s="51">
        <f t="shared" si="6"/>
        <v>45729</v>
      </c>
      <c r="C76" s="52">
        <v>3.0</v>
      </c>
      <c r="D76" s="52" t="s">
        <v>69</v>
      </c>
      <c r="E76" s="53"/>
      <c r="F76" s="85">
        <v>115.0</v>
      </c>
      <c r="H76" s="86">
        <v>115.0</v>
      </c>
      <c r="J76" s="86">
        <v>0.0</v>
      </c>
      <c r="L76" s="86">
        <v>0.0</v>
      </c>
      <c r="N76" s="86">
        <v>65.0</v>
      </c>
      <c r="P76" s="86">
        <v>0.0</v>
      </c>
      <c r="Q76" s="43"/>
      <c r="R76" s="86">
        <v>0.0</v>
      </c>
      <c r="T76" s="85">
        <v>300.0</v>
      </c>
      <c r="V76" s="86">
        <v>300.0</v>
      </c>
      <c r="X76" s="86">
        <v>0.0</v>
      </c>
      <c r="Z76" s="86">
        <v>0.0</v>
      </c>
      <c r="AB76" s="86">
        <v>0.0</v>
      </c>
      <c r="AD76" s="86">
        <v>0.0</v>
      </c>
      <c r="AE76" s="43"/>
      <c r="AF76" s="86">
        <v>0.0</v>
      </c>
      <c r="AH76" s="86">
        <v>0.0</v>
      </c>
      <c r="AJ76" s="86">
        <v>0.0</v>
      </c>
      <c r="AL76" s="85">
        <v>0.0</v>
      </c>
      <c r="AM76" s="43"/>
      <c r="AN76" s="72">
        <v>0.0</v>
      </c>
      <c r="AO76" s="43"/>
      <c r="AP76" s="85">
        <v>0.0</v>
      </c>
      <c r="AQ76" s="43"/>
      <c r="AR76" s="85">
        <v>0.0</v>
      </c>
      <c r="AS76" s="43"/>
      <c r="AT76" s="85">
        <v>0.0</v>
      </c>
      <c r="AU76" s="43"/>
      <c r="AV76" s="86">
        <v>0.0</v>
      </c>
      <c r="AX76" s="86">
        <v>0.0</v>
      </c>
      <c r="AY76" s="43"/>
      <c r="AZ76" s="86">
        <v>0.0</v>
      </c>
      <c r="BB76" s="54">
        <f t="shared" si="1"/>
        <v>13235.75</v>
      </c>
      <c r="BC76" s="52">
        <f t="shared" si="2"/>
        <v>895</v>
      </c>
      <c r="BD76" s="52">
        <f t="shared" si="3"/>
        <v>0</v>
      </c>
      <c r="BE76" s="52">
        <f t="shared" si="4"/>
        <v>895</v>
      </c>
      <c r="BF76" s="49">
        <f t="shared" si="5"/>
        <v>14.78854749</v>
      </c>
      <c r="BG76" s="78"/>
    </row>
    <row r="77" ht="15.75" customHeight="1">
      <c r="A77" s="50" t="s">
        <v>53</v>
      </c>
      <c r="B77" s="51">
        <f t="shared" si="6"/>
        <v>45730</v>
      </c>
      <c r="C77" s="52">
        <v>3.0</v>
      </c>
      <c r="D77" s="52" t="s">
        <v>69</v>
      </c>
      <c r="E77" s="53"/>
      <c r="F77" s="85">
        <v>115.0</v>
      </c>
      <c r="H77" s="86">
        <v>115.0</v>
      </c>
      <c r="J77" s="86">
        <v>0.0</v>
      </c>
      <c r="L77" s="86">
        <v>0.0</v>
      </c>
      <c r="N77" s="86">
        <v>0.0</v>
      </c>
      <c r="P77" s="86">
        <v>0.0</v>
      </c>
      <c r="Q77" s="43"/>
      <c r="R77" s="86">
        <v>0.0</v>
      </c>
      <c r="T77" s="85">
        <v>300.0</v>
      </c>
      <c r="V77" s="86">
        <v>300.0</v>
      </c>
      <c r="X77" s="86">
        <v>0.0</v>
      </c>
      <c r="Z77" s="86">
        <v>0.0</v>
      </c>
      <c r="AB77" s="86">
        <v>0.0</v>
      </c>
      <c r="AD77" s="86">
        <v>0.0</v>
      </c>
      <c r="AE77" s="43"/>
      <c r="AF77" s="86">
        <v>0.0</v>
      </c>
      <c r="AH77" s="86">
        <v>0.0</v>
      </c>
      <c r="AJ77" s="86">
        <v>0.0</v>
      </c>
      <c r="AL77" s="85">
        <v>0.0</v>
      </c>
      <c r="AM77" s="43"/>
      <c r="AN77" s="72">
        <v>0.0</v>
      </c>
      <c r="AO77" s="43"/>
      <c r="AP77" s="85">
        <v>0.0</v>
      </c>
      <c r="AQ77" s="43"/>
      <c r="AR77" s="85">
        <v>0.0</v>
      </c>
      <c r="AS77" s="43"/>
      <c r="AT77" s="85">
        <v>0.0</v>
      </c>
      <c r="AU77" s="43"/>
      <c r="AV77" s="86">
        <v>0.0</v>
      </c>
      <c r="AX77" s="86">
        <v>0.0</v>
      </c>
      <c r="AY77" s="43"/>
      <c r="AZ77" s="86">
        <v>0.0</v>
      </c>
      <c r="BB77" s="54">
        <f t="shared" si="1"/>
        <v>11789.5</v>
      </c>
      <c r="BC77" s="52">
        <f t="shared" si="2"/>
        <v>830</v>
      </c>
      <c r="BD77" s="52">
        <f t="shared" si="3"/>
        <v>0</v>
      </c>
      <c r="BE77" s="52">
        <f t="shared" si="4"/>
        <v>830</v>
      </c>
      <c r="BF77" s="49">
        <f t="shared" si="5"/>
        <v>14.20421687</v>
      </c>
      <c r="BG77" s="78"/>
    </row>
    <row r="78" ht="15.75" customHeight="1">
      <c r="A78" s="50" t="s">
        <v>54</v>
      </c>
      <c r="B78" s="51">
        <f t="shared" si="6"/>
        <v>45731</v>
      </c>
      <c r="C78" s="52">
        <v>3.0</v>
      </c>
      <c r="D78" s="52" t="s">
        <v>69</v>
      </c>
      <c r="E78" s="53"/>
      <c r="F78" s="85">
        <v>115.0</v>
      </c>
      <c r="H78" s="86">
        <v>115.0</v>
      </c>
      <c r="J78" s="86">
        <v>0.0</v>
      </c>
      <c r="L78" s="86">
        <v>0.0</v>
      </c>
      <c r="N78" s="86">
        <v>0.0</v>
      </c>
      <c r="P78" s="86">
        <v>0.0</v>
      </c>
      <c r="Q78" s="43"/>
      <c r="R78" s="86">
        <v>0.0</v>
      </c>
      <c r="T78" s="85">
        <v>300.0</v>
      </c>
      <c r="V78" s="86">
        <v>300.0</v>
      </c>
      <c r="X78" s="86">
        <v>0.0</v>
      </c>
      <c r="Z78" s="86">
        <v>0.0</v>
      </c>
      <c r="AB78" s="86">
        <v>0.0</v>
      </c>
      <c r="AD78" s="86">
        <v>0.0</v>
      </c>
      <c r="AE78" s="43"/>
      <c r="AF78" s="86">
        <v>0.0</v>
      </c>
      <c r="AH78" s="86">
        <v>0.0</v>
      </c>
      <c r="AJ78" s="86">
        <v>0.0</v>
      </c>
      <c r="AL78" s="85">
        <v>0.0</v>
      </c>
      <c r="AM78" s="43"/>
      <c r="AN78" s="72">
        <v>0.0</v>
      </c>
      <c r="AO78" s="43"/>
      <c r="AP78" s="85">
        <v>0.0</v>
      </c>
      <c r="AQ78" s="43"/>
      <c r="AR78" s="85">
        <v>0.0</v>
      </c>
      <c r="AS78" s="43"/>
      <c r="AT78" s="85">
        <v>0.0</v>
      </c>
      <c r="AU78" s="43"/>
      <c r="AV78" s="86">
        <v>0.0</v>
      </c>
      <c r="AX78" s="86">
        <v>0.0</v>
      </c>
      <c r="AY78" s="43"/>
      <c r="AZ78" s="86">
        <v>0.0</v>
      </c>
      <c r="BB78" s="54">
        <f t="shared" si="1"/>
        <v>11789.5</v>
      </c>
      <c r="BC78" s="52">
        <f t="shared" si="2"/>
        <v>830</v>
      </c>
      <c r="BD78" s="52">
        <f t="shared" si="3"/>
        <v>0</v>
      </c>
      <c r="BE78" s="52">
        <f t="shared" si="4"/>
        <v>830</v>
      </c>
      <c r="BF78" s="49">
        <f t="shared" si="5"/>
        <v>14.20421687</v>
      </c>
      <c r="BG78" s="78"/>
    </row>
    <row r="79" ht="15.75" customHeight="1">
      <c r="A79" s="59" t="s">
        <v>61</v>
      </c>
      <c r="B79" s="61">
        <f t="shared" si="6"/>
        <v>45732</v>
      </c>
      <c r="C79" s="63">
        <v>3.0</v>
      </c>
      <c r="D79" s="63" t="s">
        <v>69</v>
      </c>
      <c r="E79" s="64"/>
      <c r="F79" s="87">
        <v>115.0</v>
      </c>
      <c r="G79" s="66"/>
      <c r="H79" s="88">
        <v>115.0</v>
      </c>
      <c r="I79" s="66"/>
      <c r="J79" s="88">
        <v>0.0</v>
      </c>
      <c r="K79" s="66"/>
      <c r="L79" s="88">
        <v>0.0</v>
      </c>
      <c r="M79" s="66"/>
      <c r="N79" s="88">
        <v>65.0</v>
      </c>
      <c r="O79" s="66"/>
      <c r="P79" s="88">
        <v>0.0</v>
      </c>
      <c r="Q79" s="68"/>
      <c r="R79" s="88">
        <v>0.0</v>
      </c>
      <c r="S79" s="66"/>
      <c r="T79" s="87">
        <v>300.0</v>
      </c>
      <c r="U79" s="66"/>
      <c r="V79" s="88">
        <v>300.0</v>
      </c>
      <c r="W79" s="66"/>
      <c r="X79" s="88">
        <v>0.0</v>
      </c>
      <c r="Y79" s="66"/>
      <c r="Z79" s="88">
        <v>0.0</v>
      </c>
      <c r="AA79" s="66"/>
      <c r="AB79" s="88">
        <v>0.0</v>
      </c>
      <c r="AC79" s="66"/>
      <c r="AD79" s="88">
        <v>0.0</v>
      </c>
      <c r="AE79" s="68"/>
      <c r="AF79" s="88">
        <v>0.0</v>
      </c>
      <c r="AG79" s="66"/>
      <c r="AH79" s="88">
        <v>0.0</v>
      </c>
      <c r="AI79" s="66"/>
      <c r="AJ79" s="88">
        <v>0.0</v>
      </c>
      <c r="AK79" s="66"/>
      <c r="AL79" s="87">
        <v>0.0</v>
      </c>
      <c r="AM79" s="68"/>
      <c r="AN79" s="84">
        <v>0.0</v>
      </c>
      <c r="AO79" s="68"/>
      <c r="AP79" s="87">
        <v>0.0</v>
      </c>
      <c r="AQ79" s="68"/>
      <c r="AR79" s="87">
        <v>0.0</v>
      </c>
      <c r="AS79" s="68"/>
      <c r="AT79" s="87">
        <v>0.0</v>
      </c>
      <c r="AU79" s="68"/>
      <c r="AV79" s="88">
        <v>0.0</v>
      </c>
      <c r="AW79" s="66"/>
      <c r="AX79" s="88">
        <v>0.0</v>
      </c>
      <c r="AY79" s="68"/>
      <c r="AZ79" s="88">
        <v>0.0</v>
      </c>
      <c r="BA79" s="66"/>
      <c r="BB79" s="73">
        <f t="shared" si="1"/>
        <v>13235.75</v>
      </c>
      <c r="BC79" s="63">
        <f t="shared" si="2"/>
        <v>895</v>
      </c>
      <c r="BD79" s="63">
        <f t="shared" si="3"/>
        <v>0</v>
      </c>
      <c r="BE79" s="63">
        <f t="shared" si="4"/>
        <v>895</v>
      </c>
      <c r="BF79" s="74">
        <f t="shared" si="5"/>
        <v>14.78854749</v>
      </c>
      <c r="BG79" s="78"/>
    </row>
    <row r="80" ht="15.75" customHeight="1">
      <c r="A80" s="36" t="s">
        <v>46</v>
      </c>
      <c r="B80" s="75">
        <f t="shared" si="6"/>
        <v>45733</v>
      </c>
      <c r="C80" s="38">
        <v>3.0</v>
      </c>
      <c r="D80" s="38" t="s">
        <v>72</v>
      </c>
      <c r="E80" s="93"/>
      <c r="F80" s="85">
        <v>115.0</v>
      </c>
      <c r="H80" s="86">
        <v>115.0</v>
      </c>
      <c r="J80" s="86">
        <v>0.0</v>
      </c>
      <c r="L80" s="86">
        <v>0.0</v>
      </c>
      <c r="N80" s="86">
        <v>65.0</v>
      </c>
      <c r="P80" s="86">
        <v>0.0</v>
      </c>
      <c r="Q80" s="43"/>
      <c r="R80" s="86">
        <v>0.0</v>
      </c>
      <c r="T80" s="85">
        <v>300.0</v>
      </c>
      <c r="V80" s="86">
        <v>300.0</v>
      </c>
      <c r="X80" s="86">
        <v>0.0</v>
      </c>
      <c r="Z80" s="86">
        <v>0.0</v>
      </c>
      <c r="AB80" s="86">
        <v>0.0</v>
      </c>
      <c r="AD80" s="86">
        <v>0.0</v>
      </c>
      <c r="AE80" s="43"/>
      <c r="AF80" s="86">
        <v>0.0</v>
      </c>
      <c r="AH80" s="86">
        <v>0.0</v>
      </c>
      <c r="AJ80" s="86">
        <v>0.0</v>
      </c>
      <c r="AL80" s="85">
        <v>0.0</v>
      </c>
      <c r="AM80" s="43"/>
      <c r="AN80" s="72">
        <v>0.0</v>
      </c>
      <c r="AO80" s="43"/>
      <c r="AP80" s="85">
        <v>0.0</v>
      </c>
      <c r="AQ80" s="43"/>
      <c r="AR80" s="85">
        <v>175.0</v>
      </c>
      <c r="AS80" s="43"/>
      <c r="AT80" s="85">
        <v>175.0</v>
      </c>
      <c r="AU80" s="43"/>
      <c r="AV80" s="86">
        <v>0.0</v>
      </c>
      <c r="AX80" s="86">
        <v>0.0</v>
      </c>
      <c r="AY80" s="43"/>
      <c r="AZ80" s="86">
        <v>0.0</v>
      </c>
      <c r="BB80" s="47">
        <f t="shared" si="1"/>
        <v>13809.75</v>
      </c>
      <c r="BC80" s="38">
        <f t="shared" si="2"/>
        <v>1245</v>
      </c>
      <c r="BD80" s="38">
        <f t="shared" si="3"/>
        <v>0</v>
      </c>
      <c r="BE80" s="38">
        <f t="shared" si="4"/>
        <v>1245</v>
      </c>
      <c r="BF80" s="76">
        <f t="shared" si="5"/>
        <v>11.09216867</v>
      </c>
      <c r="BG80" s="78"/>
    </row>
    <row r="81" ht="15.75" customHeight="1">
      <c r="A81" s="50" t="s">
        <v>48</v>
      </c>
      <c r="B81" s="51">
        <f t="shared" si="6"/>
        <v>45734</v>
      </c>
      <c r="C81" s="52">
        <v>3.0</v>
      </c>
      <c r="D81" s="52" t="s">
        <v>72</v>
      </c>
      <c r="E81" s="92"/>
      <c r="F81" s="85">
        <v>115.0</v>
      </c>
      <c r="H81" s="86">
        <v>115.0</v>
      </c>
      <c r="J81" s="86">
        <v>0.0</v>
      </c>
      <c r="L81" s="86">
        <v>0.0</v>
      </c>
      <c r="N81" s="86">
        <v>0.0</v>
      </c>
      <c r="P81" s="86">
        <v>0.0</v>
      </c>
      <c r="Q81" s="43"/>
      <c r="R81" s="86">
        <v>0.0</v>
      </c>
      <c r="T81" s="85">
        <v>300.0</v>
      </c>
      <c r="V81" s="86">
        <v>330.0</v>
      </c>
      <c r="X81" s="86">
        <v>0.0</v>
      </c>
      <c r="Z81" s="86">
        <v>0.0</v>
      </c>
      <c r="AB81" s="86">
        <v>0.0</v>
      </c>
      <c r="AD81" s="86">
        <v>0.0</v>
      </c>
      <c r="AE81" s="43"/>
      <c r="AF81" s="86">
        <v>0.0</v>
      </c>
      <c r="AH81" s="86">
        <v>0.0</v>
      </c>
      <c r="AJ81" s="86">
        <v>0.0</v>
      </c>
      <c r="AL81" s="85">
        <v>0.0</v>
      </c>
      <c r="AM81" s="43"/>
      <c r="AN81" s="72">
        <v>0.0</v>
      </c>
      <c r="AO81" s="43"/>
      <c r="AP81" s="85">
        <v>0.0</v>
      </c>
      <c r="AQ81" s="43"/>
      <c r="AR81" s="85">
        <v>0.0</v>
      </c>
      <c r="AS81" s="43"/>
      <c r="AT81" s="85">
        <v>0.0</v>
      </c>
      <c r="AU81" s="43"/>
      <c r="AV81" s="86">
        <v>0.0</v>
      </c>
      <c r="AX81" s="86">
        <v>0.0</v>
      </c>
      <c r="AY81" s="43"/>
      <c r="AZ81" s="86">
        <v>0.0</v>
      </c>
      <c r="BB81" s="54">
        <f t="shared" si="1"/>
        <v>12123.1</v>
      </c>
      <c r="BC81" s="52">
        <f t="shared" si="2"/>
        <v>860</v>
      </c>
      <c r="BD81" s="52">
        <f t="shared" si="3"/>
        <v>0</v>
      </c>
      <c r="BE81" s="52">
        <f t="shared" si="4"/>
        <v>860</v>
      </c>
      <c r="BF81" s="49">
        <f t="shared" si="5"/>
        <v>14.09662791</v>
      </c>
      <c r="BG81" s="78"/>
    </row>
    <row r="82" ht="15.75" customHeight="1">
      <c r="A82" s="50" t="s">
        <v>49</v>
      </c>
      <c r="B82" s="51">
        <f t="shared" si="6"/>
        <v>45735</v>
      </c>
      <c r="C82" s="52">
        <v>3.0</v>
      </c>
      <c r="D82" s="52" t="s">
        <v>72</v>
      </c>
      <c r="E82" s="92"/>
      <c r="F82" s="85">
        <v>0.0</v>
      </c>
      <c r="H82" s="86">
        <v>0.0</v>
      </c>
      <c r="J82" s="86">
        <v>0.0</v>
      </c>
      <c r="L82" s="86">
        <v>0.0</v>
      </c>
      <c r="N82" s="86">
        <v>0.0</v>
      </c>
      <c r="P82" s="86">
        <v>0.0</v>
      </c>
      <c r="Q82" s="43"/>
      <c r="R82" s="86">
        <v>0.0</v>
      </c>
      <c r="T82" s="85">
        <v>0.0</v>
      </c>
      <c r="V82" s="86">
        <v>0.0</v>
      </c>
      <c r="X82" s="86">
        <v>0.0</v>
      </c>
      <c r="Z82" s="86">
        <v>0.0</v>
      </c>
      <c r="AB82" s="86">
        <v>0.0</v>
      </c>
      <c r="AD82" s="86">
        <v>0.0</v>
      </c>
      <c r="AE82" s="43"/>
      <c r="AF82" s="86">
        <v>0.0</v>
      </c>
      <c r="AH82" s="86">
        <v>0.0</v>
      </c>
      <c r="AJ82" s="86">
        <v>0.0</v>
      </c>
      <c r="AL82" s="85">
        <v>0.0</v>
      </c>
      <c r="AM82" s="43"/>
      <c r="AN82" s="72">
        <v>0.0</v>
      </c>
      <c r="AO82" s="43"/>
      <c r="AP82" s="85">
        <v>0.0</v>
      </c>
      <c r="AQ82" s="43"/>
      <c r="AR82" s="85">
        <v>0.0</v>
      </c>
      <c r="AS82" s="43"/>
      <c r="AT82" s="85">
        <v>0.0</v>
      </c>
      <c r="AU82" s="43"/>
      <c r="AV82" s="86">
        <v>0.0</v>
      </c>
      <c r="AX82" s="86">
        <v>0.0</v>
      </c>
      <c r="AY82" s="43"/>
      <c r="AZ82" s="86">
        <v>0.0</v>
      </c>
      <c r="BB82" s="54">
        <f t="shared" si="1"/>
        <v>0</v>
      </c>
      <c r="BC82" s="52">
        <f t="shared" si="2"/>
        <v>0</v>
      </c>
      <c r="BD82" s="52">
        <f t="shared" si="3"/>
        <v>0</v>
      </c>
      <c r="BE82" s="52">
        <f t="shared" si="4"/>
        <v>0</v>
      </c>
      <c r="BF82" s="49" t="str">
        <f t="shared" si="5"/>
        <v/>
      </c>
      <c r="BG82" s="78"/>
    </row>
    <row r="83" ht="15.75" customHeight="1">
      <c r="A83" s="50" t="s">
        <v>50</v>
      </c>
      <c r="B83" s="51">
        <f t="shared" si="6"/>
        <v>45736</v>
      </c>
      <c r="C83" s="52">
        <v>3.0</v>
      </c>
      <c r="D83" s="52" t="s">
        <v>72</v>
      </c>
      <c r="E83" s="53"/>
      <c r="F83" s="85">
        <v>115.0</v>
      </c>
      <c r="H83" s="86">
        <v>115.0</v>
      </c>
      <c r="J83" s="86">
        <v>0.0</v>
      </c>
      <c r="L83" s="86">
        <v>0.0</v>
      </c>
      <c r="N83" s="86">
        <v>65.0</v>
      </c>
      <c r="P83" s="86">
        <v>0.0</v>
      </c>
      <c r="Q83" s="43"/>
      <c r="R83" s="86">
        <v>0.0</v>
      </c>
      <c r="T83" s="85">
        <v>300.0</v>
      </c>
      <c r="V83" s="86">
        <v>300.0</v>
      </c>
      <c r="X83" s="86">
        <v>0.0</v>
      </c>
      <c r="Z83" s="86">
        <v>0.0</v>
      </c>
      <c r="AB83" s="86">
        <v>0.0</v>
      </c>
      <c r="AD83" s="86">
        <v>0.0</v>
      </c>
      <c r="AE83" s="43"/>
      <c r="AF83" s="86">
        <v>0.0</v>
      </c>
      <c r="AH83" s="86">
        <v>0.0</v>
      </c>
      <c r="AJ83" s="86">
        <v>0.0</v>
      </c>
      <c r="AL83" s="85">
        <v>0.0</v>
      </c>
      <c r="AM83" s="43"/>
      <c r="AN83" s="72">
        <v>0.0</v>
      </c>
      <c r="AO83" s="43"/>
      <c r="AP83" s="85">
        <v>0.0</v>
      </c>
      <c r="AQ83" s="43"/>
      <c r="AR83" s="85">
        <v>0.0</v>
      </c>
      <c r="AS83" s="43"/>
      <c r="AT83" s="85">
        <v>0.0</v>
      </c>
      <c r="AU83" s="43"/>
      <c r="AV83" s="86">
        <v>0.0</v>
      </c>
      <c r="AX83" s="86">
        <v>0.0</v>
      </c>
      <c r="AY83" s="43"/>
      <c r="AZ83" s="86">
        <v>0.0</v>
      </c>
      <c r="BB83" s="54">
        <f t="shared" si="1"/>
        <v>13235.75</v>
      </c>
      <c r="BC83" s="52">
        <f t="shared" si="2"/>
        <v>895</v>
      </c>
      <c r="BD83" s="52">
        <f t="shared" si="3"/>
        <v>0</v>
      </c>
      <c r="BE83" s="52">
        <f t="shared" si="4"/>
        <v>895</v>
      </c>
      <c r="BF83" s="49">
        <f t="shared" si="5"/>
        <v>14.78854749</v>
      </c>
      <c r="BG83" s="78"/>
    </row>
    <row r="84" ht="15.75" customHeight="1">
      <c r="A84" s="50" t="s">
        <v>53</v>
      </c>
      <c r="B84" s="51">
        <f t="shared" si="6"/>
        <v>45737</v>
      </c>
      <c r="C84" s="52">
        <v>3.0</v>
      </c>
      <c r="D84" s="52" t="s">
        <v>72</v>
      </c>
      <c r="E84" s="53"/>
      <c r="F84" s="85">
        <v>115.0</v>
      </c>
      <c r="H84" s="86">
        <v>115.0</v>
      </c>
      <c r="J84" s="86">
        <v>0.0</v>
      </c>
      <c r="L84" s="86">
        <v>0.0</v>
      </c>
      <c r="N84" s="86">
        <v>0.0</v>
      </c>
      <c r="P84" s="86">
        <v>0.0</v>
      </c>
      <c r="Q84" s="43"/>
      <c r="R84" s="86">
        <v>0.0</v>
      </c>
      <c r="T84" s="85">
        <v>300.0</v>
      </c>
      <c r="V84" s="86">
        <v>300.0</v>
      </c>
      <c r="X84" s="86">
        <v>0.0</v>
      </c>
      <c r="Z84" s="86">
        <v>0.0</v>
      </c>
      <c r="AB84" s="86">
        <v>0.0</v>
      </c>
      <c r="AD84" s="86">
        <v>0.0</v>
      </c>
      <c r="AE84" s="43"/>
      <c r="AF84" s="86">
        <v>0.0</v>
      </c>
      <c r="AH84" s="86">
        <v>0.0</v>
      </c>
      <c r="AJ84" s="86">
        <v>0.0</v>
      </c>
      <c r="AL84" s="85">
        <v>0.0</v>
      </c>
      <c r="AM84" s="43"/>
      <c r="AN84" s="72">
        <v>0.0</v>
      </c>
      <c r="AO84" s="43"/>
      <c r="AP84" s="85">
        <v>0.0</v>
      </c>
      <c r="AQ84" s="43"/>
      <c r="AR84" s="85">
        <v>0.0</v>
      </c>
      <c r="AS84" s="43"/>
      <c r="AT84" s="85">
        <v>0.0</v>
      </c>
      <c r="AU84" s="43"/>
      <c r="AV84" s="86">
        <v>0.0</v>
      </c>
      <c r="AX84" s="86">
        <v>0.0</v>
      </c>
      <c r="AY84" s="43"/>
      <c r="AZ84" s="86">
        <v>0.0</v>
      </c>
      <c r="BB84" s="54">
        <f t="shared" si="1"/>
        <v>11789.5</v>
      </c>
      <c r="BC84" s="52">
        <f t="shared" si="2"/>
        <v>830</v>
      </c>
      <c r="BD84" s="52">
        <f t="shared" si="3"/>
        <v>0</v>
      </c>
      <c r="BE84" s="52">
        <f t="shared" si="4"/>
        <v>830</v>
      </c>
      <c r="BF84" s="49">
        <f t="shared" si="5"/>
        <v>14.20421687</v>
      </c>
      <c r="BG84" s="78"/>
    </row>
    <row r="85" ht="15.75" customHeight="1">
      <c r="A85" s="50" t="s">
        <v>54</v>
      </c>
      <c r="B85" s="51">
        <f t="shared" si="6"/>
        <v>45738</v>
      </c>
      <c r="C85" s="52">
        <v>3.0</v>
      </c>
      <c r="D85" s="52" t="s">
        <v>72</v>
      </c>
      <c r="E85" s="53"/>
      <c r="F85" s="85">
        <v>115.0</v>
      </c>
      <c r="H85" s="86">
        <v>115.0</v>
      </c>
      <c r="J85" s="86">
        <v>0.0</v>
      </c>
      <c r="L85" s="86">
        <v>0.0</v>
      </c>
      <c r="N85" s="86">
        <v>0.0</v>
      </c>
      <c r="P85" s="86">
        <v>0.0</v>
      </c>
      <c r="Q85" s="43"/>
      <c r="R85" s="86">
        <v>0.0</v>
      </c>
      <c r="T85" s="85">
        <v>300.0</v>
      </c>
      <c r="V85" s="86">
        <v>300.0</v>
      </c>
      <c r="X85" s="86">
        <v>0.0</v>
      </c>
      <c r="Z85" s="86">
        <v>0.0</v>
      </c>
      <c r="AB85" s="86">
        <v>0.0</v>
      </c>
      <c r="AD85" s="86">
        <v>0.0</v>
      </c>
      <c r="AE85" s="43"/>
      <c r="AF85" s="86">
        <v>0.0</v>
      </c>
      <c r="AH85" s="86">
        <v>0.0</v>
      </c>
      <c r="AJ85" s="86">
        <v>0.0</v>
      </c>
      <c r="AL85" s="85">
        <v>0.0</v>
      </c>
      <c r="AM85" s="43"/>
      <c r="AN85" s="72">
        <v>0.0</v>
      </c>
      <c r="AO85" s="43"/>
      <c r="AP85" s="85">
        <v>0.0</v>
      </c>
      <c r="AQ85" s="43"/>
      <c r="AR85" s="85">
        <v>0.0</v>
      </c>
      <c r="AS85" s="43"/>
      <c r="AT85" s="85">
        <v>0.0</v>
      </c>
      <c r="AU85" s="43"/>
      <c r="AV85" s="86">
        <v>0.0</v>
      </c>
      <c r="AX85" s="86">
        <v>0.0</v>
      </c>
      <c r="AY85" s="43"/>
      <c r="AZ85" s="86">
        <v>0.0</v>
      </c>
      <c r="BB85" s="54">
        <f t="shared" si="1"/>
        <v>11789.5</v>
      </c>
      <c r="BC85" s="52">
        <f t="shared" si="2"/>
        <v>830</v>
      </c>
      <c r="BD85" s="52">
        <f t="shared" si="3"/>
        <v>0</v>
      </c>
      <c r="BE85" s="52">
        <f t="shared" si="4"/>
        <v>830</v>
      </c>
      <c r="BF85" s="49">
        <f t="shared" si="5"/>
        <v>14.20421687</v>
      </c>
      <c r="BG85" s="78"/>
    </row>
    <row r="86" ht="15.75" customHeight="1">
      <c r="A86" s="59" t="s">
        <v>61</v>
      </c>
      <c r="B86" s="61">
        <f t="shared" si="6"/>
        <v>45739</v>
      </c>
      <c r="C86" s="63">
        <v>3.0</v>
      </c>
      <c r="D86" s="63" t="s">
        <v>72</v>
      </c>
      <c r="E86" s="64"/>
      <c r="F86" s="87">
        <v>115.0</v>
      </c>
      <c r="G86" s="66"/>
      <c r="H86" s="88">
        <v>115.0</v>
      </c>
      <c r="I86" s="66"/>
      <c r="J86" s="88">
        <v>75.0</v>
      </c>
      <c r="K86" s="66"/>
      <c r="L86" s="88">
        <v>0.0</v>
      </c>
      <c r="M86" s="66"/>
      <c r="N86" s="88">
        <v>0.0</v>
      </c>
      <c r="O86" s="66"/>
      <c r="P86" s="88">
        <v>0.0</v>
      </c>
      <c r="Q86" s="68"/>
      <c r="R86" s="88">
        <v>0.0</v>
      </c>
      <c r="S86" s="66"/>
      <c r="T86" s="87">
        <v>300.0</v>
      </c>
      <c r="U86" s="66"/>
      <c r="V86" s="88">
        <v>300.0</v>
      </c>
      <c r="W86" s="66"/>
      <c r="X86" s="88">
        <v>0.0</v>
      </c>
      <c r="Y86" s="66"/>
      <c r="Z86" s="88">
        <v>0.0</v>
      </c>
      <c r="AA86" s="66"/>
      <c r="AB86" s="88">
        <v>0.0</v>
      </c>
      <c r="AC86" s="66"/>
      <c r="AD86" s="88">
        <v>0.0</v>
      </c>
      <c r="AE86" s="68"/>
      <c r="AF86" s="88">
        <v>0.0</v>
      </c>
      <c r="AG86" s="66"/>
      <c r="AH86" s="88">
        <v>0.0</v>
      </c>
      <c r="AI86" s="66"/>
      <c r="AJ86" s="88">
        <v>0.0</v>
      </c>
      <c r="AK86" s="66"/>
      <c r="AL86" s="87">
        <v>0.0</v>
      </c>
      <c r="AM86" s="68"/>
      <c r="AN86" s="84">
        <v>2000.0</v>
      </c>
      <c r="AO86" s="68"/>
      <c r="AP86" s="87">
        <v>0.0</v>
      </c>
      <c r="AQ86" s="68"/>
      <c r="AR86" s="87">
        <v>0.0</v>
      </c>
      <c r="AS86" s="68"/>
      <c r="AT86" s="87">
        <v>0.0</v>
      </c>
      <c r="AU86" s="68"/>
      <c r="AV86" s="88">
        <v>0.0</v>
      </c>
      <c r="AW86" s="66"/>
      <c r="AX86" s="88">
        <v>0.0</v>
      </c>
      <c r="AY86" s="68"/>
      <c r="AZ86" s="88">
        <v>0.0</v>
      </c>
      <c r="BA86" s="66"/>
      <c r="BB86" s="73">
        <f t="shared" si="1"/>
        <v>13458.25</v>
      </c>
      <c r="BC86" s="63">
        <f t="shared" si="2"/>
        <v>905</v>
      </c>
      <c r="BD86" s="63">
        <f t="shared" si="3"/>
        <v>0</v>
      </c>
      <c r="BE86" s="63">
        <f t="shared" si="4"/>
        <v>905</v>
      </c>
      <c r="BF86" s="74">
        <f t="shared" si="5"/>
        <v>14.87099448</v>
      </c>
      <c r="BG86" s="78"/>
    </row>
    <row r="87" ht="15.75" customHeight="1">
      <c r="A87" s="36" t="s">
        <v>46</v>
      </c>
      <c r="B87" s="75">
        <f t="shared" si="6"/>
        <v>45740</v>
      </c>
      <c r="C87" s="38">
        <v>4.0</v>
      </c>
      <c r="D87" s="38" t="s">
        <v>47</v>
      </c>
      <c r="E87" s="82"/>
      <c r="F87" s="85">
        <v>0.0</v>
      </c>
      <c r="H87" s="86">
        <v>0.0</v>
      </c>
      <c r="J87" s="86">
        <v>0.0</v>
      </c>
      <c r="L87" s="86">
        <v>0.0</v>
      </c>
      <c r="N87" s="86">
        <v>0.0</v>
      </c>
      <c r="P87" s="86">
        <v>0.0</v>
      </c>
      <c r="Q87" s="43"/>
      <c r="R87" s="86">
        <v>0.0</v>
      </c>
      <c r="T87" s="85">
        <v>50.0</v>
      </c>
      <c r="V87" s="86">
        <v>100.0</v>
      </c>
      <c r="X87" s="86">
        <v>0.0</v>
      </c>
      <c r="Z87" s="86">
        <v>0.0</v>
      </c>
      <c r="AB87" s="86">
        <v>0.0</v>
      </c>
      <c r="AD87" s="86">
        <v>0.0</v>
      </c>
      <c r="AE87" s="43"/>
      <c r="AF87" s="86">
        <v>0.0</v>
      </c>
      <c r="AH87" s="86">
        <v>0.0</v>
      </c>
      <c r="AJ87" s="86">
        <v>0.0</v>
      </c>
      <c r="AL87" s="85">
        <v>0.0</v>
      </c>
      <c r="AM87" s="43"/>
      <c r="AN87" s="72">
        <v>0.0</v>
      </c>
      <c r="AO87" s="43"/>
      <c r="AP87" s="85">
        <v>0.0</v>
      </c>
      <c r="AQ87" s="43"/>
      <c r="AR87" s="85">
        <v>0.0</v>
      </c>
      <c r="AS87" s="43"/>
      <c r="AT87" s="85">
        <v>175.0</v>
      </c>
      <c r="AU87" s="43"/>
      <c r="AV87" s="86">
        <v>0.0</v>
      </c>
      <c r="AX87" s="86">
        <v>0.0</v>
      </c>
      <c r="AY87" s="43"/>
      <c r="AZ87" s="86">
        <v>0.0</v>
      </c>
      <c r="BB87" s="47">
        <f t="shared" si="1"/>
        <v>1955</v>
      </c>
      <c r="BC87" s="38">
        <f t="shared" si="2"/>
        <v>325</v>
      </c>
      <c r="BD87" s="38">
        <f t="shared" si="3"/>
        <v>0</v>
      </c>
      <c r="BE87" s="38">
        <f t="shared" si="4"/>
        <v>325</v>
      </c>
      <c r="BF87" s="76">
        <f t="shared" si="5"/>
        <v>6.015384615</v>
      </c>
      <c r="BG87" s="78"/>
    </row>
    <row r="88" ht="15.75" customHeight="1">
      <c r="A88" s="50" t="s">
        <v>48</v>
      </c>
      <c r="B88" s="51">
        <f t="shared" si="6"/>
        <v>45741</v>
      </c>
      <c r="C88" s="52">
        <v>4.0</v>
      </c>
      <c r="D88" s="52" t="s">
        <v>47</v>
      </c>
      <c r="E88" s="92"/>
      <c r="F88" s="85">
        <v>0.0</v>
      </c>
      <c r="H88" s="86">
        <v>0.0</v>
      </c>
      <c r="J88" s="86">
        <v>0.0</v>
      </c>
      <c r="L88" s="86">
        <v>0.0</v>
      </c>
      <c r="N88" s="86">
        <v>0.0</v>
      </c>
      <c r="P88" s="86">
        <v>0.0</v>
      </c>
      <c r="Q88" s="43"/>
      <c r="R88" s="86">
        <v>0.0</v>
      </c>
      <c r="T88" s="85">
        <v>250.0</v>
      </c>
      <c r="V88" s="86">
        <v>250.0</v>
      </c>
      <c r="X88" s="86">
        <v>0.0</v>
      </c>
      <c r="Z88" s="86">
        <v>0.0</v>
      </c>
      <c r="AB88" s="86">
        <v>0.0</v>
      </c>
      <c r="AD88" s="86">
        <v>0.0</v>
      </c>
      <c r="AE88" s="43"/>
      <c r="AF88" s="86">
        <v>0.0</v>
      </c>
      <c r="AH88" s="86">
        <v>0.0</v>
      </c>
      <c r="AJ88" s="86">
        <v>0.0</v>
      </c>
      <c r="AL88" s="85">
        <v>0.0</v>
      </c>
      <c r="AM88" s="43"/>
      <c r="AN88" s="72">
        <v>0.0</v>
      </c>
      <c r="AO88" s="43"/>
      <c r="AP88" s="85">
        <v>0.0</v>
      </c>
      <c r="AQ88" s="43"/>
      <c r="AR88" s="85">
        <v>0.0</v>
      </c>
      <c r="AS88" s="43"/>
      <c r="AT88" s="85">
        <v>0.0</v>
      </c>
      <c r="AU88" s="43"/>
      <c r="AV88" s="86">
        <v>0.0</v>
      </c>
      <c r="AX88" s="86">
        <v>0.0</v>
      </c>
      <c r="AY88" s="43"/>
      <c r="AZ88" s="86">
        <v>0.0</v>
      </c>
      <c r="BB88" s="54">
        <f t="shared" si="1"/>
        <v>5560</v>
      </c>
      <c r="BC88" s="52">
        <f t="shared" si="2"/>
        <v>500</v>
      </c>
      <c r="BD88" s="52">
        <f t="shared" si="3"/>
        <v>0</v>
      </c>
      <c r="BE88" s="52">
        <f t="shared" si="4"/>
        <v>500</v>
      </c>
      <c r="BF88" s="49">
        <f t="shared" si="5"/>
        <v>11.12</v>
      </c>
      <c r="BG88" s="78"/>
    </row>
    <row r="89" ht="15.75" customHeight="1">
      <c r="A89" s="50" t="s">
        <v>49</v>
      </c>
      <c r="B89" s="51">
        <f t="shared" si="6"/>
        <v>45742</v>
      </c>
      <c r="C89" s="52">
        <v>4.0</v>
      </c>
      <c r="D89" s="52" t="s">
        <v>47</v>
      </c>
      <c r="E89" s="92"/>
      <c r="F89" s="85">
        <v>0.0</v>
      </c>
      <c r="H89" s="86">
        <v>0.0</v>
      </c>
      <c r="J89" s="86">
        <v>0.0</v>
      </c>
      <c r="L89" s="86">
        <v>0.0</v>
      </c>
      <c r="N89" s="86">
        <v>0.0</v>
      </c>
      <c r="P89" s="86">
        <v>0.0</v>
      </c>
      <c r="Q89" s="43"/>
      <c r="R89" s="86">
        <v>0.0</v>
      </c>
      <c r="T89" s="85">
        <v>250.0</v>
      </c>
      <c r="V89" s="86">
        <v>250.0</v>
      </c>
      <c r="X89" s="86">
        <v>0.0</v>
      </c>
      <c r="Z89" s="86">
        <v>0.0</v>
      </c>
      <c r="AB89" s="86">
        <v>0.0</v>
      </c>
      <c r="AD89" s="86">
        <v>0.0</v>
      </c>
      <c r="AE89" s="43"/>
      <c r="AF89" s="86">
        <v>0.0</v>
      </c>
      <c r="AH89" s="86">
        <v>0.0</v>
      </c>
      <c r="AJ89" s="86">
        <v>0.0</v>
      </c>
      <c r="AL89" s="85">
        <v>0.0</v>
      </c>
      <c r="AM89" s="43"/>
      <c r="AN89" s="72">
        <v>0.0</v>
      </c>
      <c r="AO89" s="43"/>
      <c r="AP89" s="85">
        <v>0.0</v>
      </c>
      <c r="AQ89" s="43"/>
      <c r="AR89" s="85">
        <v>0.0</v>
      </c>
      <c r="AS89" s="43"/>
      <c r="AT89" s="85">
        <v>0.0</v>
      </c>
      <c r="AU89" s="43"/>
      <c r="AV89" s="86">
        <v>0.0</v>
      </c>
      <c r="AX89" s="86">
        <v>0.0</v>
      </c>
      <c r="AY89" s="43"/>
      <c r="AZ89" s="86">
        <v>0.0</v>
      </c>
      <c r="BB89" s="54">
        <f t="shared" si="1"/>
        <v>5560</v>
      </c>
      <c r="BC89" s="52">
        <f t="shared" si="2"/>
        <v>500</v>
      </c>
      <c r="BD89" s="52">
        <f t="shared" si="3"/>
        <v>0</v>
      </c>
      <c r="BE89" s="52">
        <f t="shared" si="4"/>
        <v>500</v>
      </c>
      <c r="BF89" s="49">
        <f t="shared" si="5"/>
        <v>11.12</v>
      </c>
      <c r="BG89" s="78"/>
    </row>
    <row r="90" ht="15.75" customHeight="1">
      <c r="A90" s="50" t="s">
        <v>50</v>
      </c>
      <c r="B90" s="51">
        <f t="shared" si="6"/>
        <v>45743</v>
      </c>
      <c r="C90" s="52">
        <v>4.0</v>
      </c>
      <c r="D90" s="52" t="s">
        <v>47</v>
      </c>
      <c r="E90" s="53"/>
      <c r="F90" s="85">
        <v>0.0</v>
      </c>
      <c r="H90" s="86">
        <v>0.0</v>
      </c>
      <c r="J90" s="86">
        <v>0.0</v>
      </c>
      <c r="L90" s="86">
        <v>0.0</v>
      </c>
      <c r="N90" s="86">
        <v>0.0</v>
      </c>
      <c r="P90" s="86">
        <v>0.0</v>
      </c>
      <c r="Q90" s="43"/>
      <c r="R90" s="86">
        <v>0.0</v>
      </c>
      <c r="T90" s="85">
        <v>250.0</v>
      </c>
      <c r="V90" s="86">
        <v>250.0</v>
      </c>
      <c r="X90" s="86">
        <v>0.0</v>
      </c>
      <c r="Z90" s="86">
        <v>0.0</v>
      </c>
      <c r="AB90" s="86">
        <v>0.0</v>
      </c>
      <c r="AD90" s="86">
        <v>0.0</v>
      </c>
      <c r="AE90" s="43"/>
      <c r="AF90" s="86">
        <v>0.0</v>
      </c>
      <c r="AH90" s="86">
        <v>0.0</v>
      </c>
      <c r="AJ90" s="86">
        <v>0.0</v>
      </c>
      <c r="AL90" s="85">
        <v>0.0</v>
      </c>
      <c r="AM90" s="43"/>
      <c r="AN90" s="72">
        <v>0.0</v>
      </c>
      <c r="AO90" s="43"/>
      <c r="AP90" s="85">
        <v>0.0</v>
      </c>
      <c r="AQ90" s="43"/>
      <c r="AR90" s="85">
        <v>0.0</v>
      </c>
      <c r="AS90" s="43"/>
      <c r="AT90" s="85">
        <v>0.0</v>
      </c>
      <c r="AU90" s="43"/>
      <c r="AV90" s="86">
        <v>0.0</v>
      </c>
      <c r="AX90" s="86">
        <v>0.0</v>
      </c>
      <c r="AY90" s="43"/>
      <c r="AZ90" s="86">
        <v>0.0</v>
      </c>
      <c r="BB90" s="54">
        <f t="shared" si="1"/>
        <v>5560</v>
      </c>
      <c r="BC90" s="52">
        <f t="shared" si="2"/>
        <v>500</v>
      </c>
      <c r="BD90" s="52">
        <f t="shared" si="3"/>
        <v>0</v>
      </c>
      <c r="BE90" s="52">
        <f t="shared" si="4"/>
        <v>500</v>
      </c>
      <c r="BF90" s="49">
        <f t="shared" si="5"/>
        <v>11.12</v>
      </c>
      <c r="BG90" s="78"/>
    </row>
    <row r="91" ht="15.75" customHeight="1">
      <c r="A91" s="50" t="s">
        <v>53</v>
      </c>
      <c r="B91" s="51">
        <f t="shared" si="6"/>
        <v>45744</v>
      </c>
      <c r="C91" s="52">
        <v>4.0</v>
      </c>
      <c r="D91" s="52" t="s">
        <v>47</v>
      </c>
      <c r="E91" s="92"/>
      <c r="F91" s="85">
        <v>0.0</v>
      </c>
      <c r="H91" s="86">
        <v>0.0</v>
      </c>
      <c r="J91" s="86">
        <v>0.0</v>
      </c>
      <c r="L91" s="86">
        <v>0.0</v>
      </c>
      <c r="N91" s="86">
        <v>0.0</v>
      </c>
      <c r="P91" s="86">
        <v>0.0</v>
      </c>
      <c r="Q91" s="43"/>
      <c r="R91" s="86">
        <v>0.0</v>
      </c>
      <c r="T91" s="85">
        <v>250.0</v>
      </c>
      <c r="V91" s="86">
        <v>250.0</v>
      </c>
      <c r="X91" s="86">
        <v>0.0</v>
      </c>
      <c r="Z91" s="86">
        <v>0.0</v>
      </c>
      <c r="AB91" s="86">
        <v>0.0</v>
      </c>
      <c r="AD91" s="86">
        <v>0.0</v>
      </c>
      <c r="AE91" s="43"/>
      <c r="AF91" s="86">
        <v>0.0</v>
      </c>
      <c r="AH91" s="86">
        <v>0.0</v>
      </c>
      <c r="AJ91" s="86">
        <v>0.0</v>
      </c>
      <c r="AL91" s="85">
        <v>0.0</v>
      </c>
      <c r="AM91" s="43"/>
      <c r="AN91" s="72">
        <v>0.0</v>
      </c>
      <c r="AO91" s="43"/>
      <c r="AP91" s="85">
        <v>0.0</v>
      </c>
      <c r="AQ91" s="43"/>
      <c r="AR91" s="85">
        <v>0.0</v>
      </c>
      <c r="AS91" s="43"/>
      <c r="AT91" s="85">
        <v>0.0</v>
      </c>
      <c r="AU91" s="43"/>
      <c r="AV91" s="86">
        <v>0.0</v>
      </c>
      <c r="AX91" s="86">
        <v>0.0</v>
      </c>
      <c r="AY91" s="43"/>
      <c r="AZ91" s="86">
        <v>0.0</v>
      </c>
      <c r="BB91" s="54">
        <f t="shared" si="1"/>
        <v>5560</v>
      </c>
      <c r="BC91" s="52">
        <f t="shared" si="2"/>
        <v>500</v>
      </c>
      <c r="BD91" s="52">
        <f t="shared" si="3"/>
        <v>0</v>
      </c>
      <c r="BE91" s="52">
        <f t="shared" si="4"/>
        <v>500</v>
      </c>
      <c r="BF91" s="49">
        <f t="shared" si="5"/>
        <v>11.12</v>
      </c>
      <c r="BG91" s="78"/>
    </row>
    <row r="92" ht="15.75" customHeight="1">
      <c r="A92" s="50" t="s">
        <v>54</v>
      </c>
      <c r="B92" s="51">
        <f t="shared" si="6"/>
        <v>45745</v>
      </c>
      <c r="C92" s="52">
        <v>4.0</v>
      </c>
      <c r="D92" s="52" t="s">
        <v>47</v>
      </c>
      <c r="E92" s="53"/>
      <c r="F92" s="85">
        <v>0.0</v>
      </c>
      <c r="H92" s="86">
        <v>0.0</v>
      </c>
      <c r="J92" s="86">
        <v>0.0</v>
      </c>
      <c r="L92" s="86">
        <v>0.0</v>
      </c>
      <c r="N92" s="86">
        <v>0.0</v>
      </c>
      <c r="P92" s="86">
        <v>0.0</v>
      </c>
      <c r="Q92" s="43"/>
      <c r="R92" s="86">
        <v>0.0</v>
      </c>
      <c r="T92" s="85">
        <v>250.0</v>
      </c>
      <c r="V92" s="86">
        <v>250.0</v>
      </c>
      <c r="X92" s="86">
        <v>0.0</v>
      </c>
      <c r="Z92" s="86">
        <v>0.0</v>
      </c>
      <c r="AB92" s="86">
        <v>0.0</v>
      </c>
      <c r="AD92" s="86">
        <v>0.0</v>
      </c>
      <c r="AE92" s="43"/>
      <c r="AF92" s="86">
        <v>0.0</v>
      </c>
      <c r="AH92" s="86">
        <v>0.0</v>
      </c>
      <c r="AJ92" s="86">
        <v>0.0</v>
      </c>
      <c r="AL92" s="85">
        <v>0.0</v>
      </c>
      <c r="AM92" s="43"/>
      <c r="AN92" s="72">
        <v>0.0</v>
      </c>
      <c r="AO92" s="43"/>
      <c r="AP92" s="85">
        <v>0.0</v>
      </c>
      <c r="AQ92" s="43"/>
      <c r="AR92" s="85">
        <v>0.0</v>
      </c>
      <c r="AS92" s="43"/>
      <c r="AT92" s="85">
        <v>0.0</v>
      </c>
      <c r="AU92" s="43"/>
      <c r="AV92" s="86">
        <v>0.0</v>
      </c>
      <c r="AX92" s="86">
        <v>0.0</v>
      </c>
      <c r="AY92" s="43"/>
      <c r="AZ92" s="86">
        <v>0.0</v>
      </c>
      <c r="BB92" s="54">
        <f t="shared" si="1"/>
        <v>5560</v>
      </c>
      <c r="BC92" s="52">
        <f t="shared" si="2"/>
        <v>500</v>
      </c>
      <c r="BD92" s="52">
        <f t="shared" si="3"/>
        <v>0</v>
      </c>
      <c r="BE92" s="52">
        <f t="shared" si="4"/>
        <v>500</v>
      </c>
      <c r="BF92" s="49">
        <f t="shared" si="5"/>
        <v>11.12</v>
      </c>
      <c r="BG92" s="78"/>
    </row>
    <row r="93" ht="15.75" customHeight="1">
      <c r="A93" s="59" t="s">
        <v>61</v>
      </c>
      <c r="B93" s="61">
        <f t="shared" si="6"/>
        <v>45746</v>
      </c>
      <c r="C93" s="63">
        <v>4.0</v>
      </c>
      <c r="D93" s="63" t="s">
        <v>47</v>
      </c>
      <c r="E93" s="64"/>
      <c r="F93" s="87">
        <v>0.0</v>
      </c>
      <c r="G93" s="66"/>
      <c r="H93" s="88">
        <v>0.0</v>
      </c>
      <c r="I93" s="66"/>
      <c r="J93" s="88">
        <v>0.0</v>
      </c>
      <c r="K93" s="66"/>
      <c r="L93" s="88">
        <v>0.0</v>
      </c>
      <c r="M93" s="66"/>
      <c r="N93" s="88">
        <v>0.0</v>
      </c>
      <c r="O93" s="66"/>
      <c r="P93" s="88">
        <v>0.0</v>
      </c>
      <c r="Q93" s="68"/>
      <c r="R93" s="88">
        <v>0.0</v>
      </c>
      <c r="S93" s="66"/>
      <c r="T93" s="87">
        <v>200.0</v>
      </c>
      <c r="U93" s="66"/>
      <c r="V93" s="88">
        <v>200.0</v>
      </c>
      <c r="W93" s="66"/>
      <c r="X93" s="88">
        <v>0.0</v>
      </c>
      <c r="Y93" s="66"/>
      <c r="Z93" s="88">
        <v>0.0</v>
      </c>
      <c r="AA93" s="66"/>
      <c r="AB93" s="88">
        <v>0.0</v>
      </c>
      <c r="AC93" s="66"/>
      <c r="AD93" s="88">
        <v>0.0</v>
      </c>
      <c r="AE93" s="68"/>
      <c r="AF93" s="88">
        <v>0.0</v>
      </c>
      <c r="AG93" s="66"/>
      <c r="AH93" s="88">
        <v>0.0</v>
      </c>
      <c r="AI93" s="66"/>
      <c r="AJ93" s="88">
        <v>0.0</v>
      </c>
      <c r="AK93" s="66"/>
      <c r="AL93" s="87">
        <v>0.0</v>
      </c>
      <c r="AM93" s="68"/>
      <c r="AN93" s="84">
        <v>0.0</v>
      </c>
      <c r="AO93" s="68"/>
      <c r="AP93" s="87">
        <v>0.0</v>
      </c>
      <c r="AQ93" s="68"/>
      <c r="AR93" s="87">
        <v>0.0</v>
      </c>
      <c r="AS93" s="68"/>
      <c r="AT93" s="87">
        <v>0.0</v>
      </c>
      <c r="AU93" s="68"/>
      <c r="AV93" s="88">
        <v>0.0</v>
      </c>
      <c r="AW93" s="66"/>
      <c r="AX93" s="88">
        <v>0.0</v>
      </c>
      <c r="AY93" s="68"/>
      <c r="AZ93" s="88">
        <v>0.0</v>
      </c>
      <c r="BA93" s="66"/>
      <c r="BB93" s="73">
        <f t="shared" si="1"/>
        <v>4448</v>
      </c>
      <c r="BC93" s="63">
        <f t="shared" si="2"/>
        <v>400</v>
      </c>
      <c r="BD93" s="63">
        <f t="shared" si="3"/>
        <v>0</v>
      </c>
      <c r="BE93" s="63">
        <f t="shared" si="4"/>
        <v>400</v>
      </c>
      <c r="BF93" s="74">
        <f t="shared" si="5"/>
        <v>11.12</v>
      </c>
      <c r="BG93" s="78"/>
    </row>
    <row r="94" ht="15.75" customHeight="1">
      <c r="A94" s="36" t="s">
        <v>46</v>
      </c>
      <c r="B94" s="75">
        <f t="shared" si="6"/>
        <v>45747</v>
      </c>
      <c r="C94" s="38">
        <v>4.0</v>
      </c>
      <c r="D94" s="38" t="s">
        <v>65</v>
      </c>
      <c r="E94" s="40"/>
      <c r="F94" s="85">
        <v>0.0</v>
      </c>
      <c r="H94" s="86">
        <v>0.0</v>
      </c>
      <c r="J94" s="86">
        <v>0.0</v>
      </c>
      <c r="L94" s="86">
        <v>0.0</v>
      </c>
      <c r="N94" s="86">
        <v>0.0</v>
      </c>
      <c r="P94" s="86">
        <v>0.0</v>
      </c>
      <c r="Q94" s="43"/>
      <c r="R94" s="86">
        <v>0.0</v>
      </c>
      <c r="T94" s="85">
        <v>200.0</v>
      </c>
      <c r="V94" s="86">
        <v>150.0</v>
      </c>
      <c r="X94" s="86">
        <v>0.0</v>
      </c>
      <c r="Z94" s="86">
        <v>0.0</v>
      </c>
      <c r="AB94" s="86">
        <v>0.0</v>
      </c>
      <c r="AD94" s="86">
        <v>0.0</v>
      </c>
      <c r="AE94" s="43"/>
      <c r="AF94" s="86">
        <v>0.0</v>
      </c>
      <c r="AH94" s="86">
        <v>0.0</v>
      </c>
      <c r="AJ94" s="86">
        <v>0.0</v>
      </c>
      <c r="AL94" s="85">
        <v>0.0</v>
      </c>
      <c r="AM94" s="43"/>
      <c r="AN94" s="72">
        <v>0.0</v>
      </c>
      <c r="AO94" s="43"/>
      <c r="AP94" s="85">
        <v>0.0</v>
      </c>
      <c r="AQ94" s="43"/>
      <c r="AR94" s="85">
        <v>0.0</v>
      </c>
      <c r="AS94" s="43"/>
      <c r="AT94" s="85">
        <v>175.0</v>
      </c>
      <c r="AU94" s="43"/>
      <c r="AV94" s="86">
        <v>0.0</v>
      </c>
      <c r="AX94" s="86">
        <v>0.0</v>
      </c>
      <c r="AY94" s="43"/>
      <c r="AZ94" s="86">
        <v>0.0</v>
      </c>
      <c r="BB94" s="47">
        <f t="shared" si="1"/>
        <v>4179</v>
      </c>
      <c r="BC94" s="38">
        <f t="shared" si="2"/>
        <v>525</v>
      </c>
      <c r="BD94" s="38">
        <f t="shared" si="3"/>
        <v>0</v>
      </c>
      <c r="BE94" s="38">
        <f t="shared" si="4"/>
        <v>525</v>
      </c>
      <c r="BF94" s="76">
        <f t="shared" si="5"/>
        <v>7.96</v>
      </c>
      <c r="BG94" s="78"/>
    </row>
    <row r="95" ht="15.75" customHeight="1">
      <c r="A95" s="50" t="s">
        <v>48</v>
      </c>
      <c r="B95" s="51">
        <f t="shared" si="6"/>
        <v>45748</v>
      </c>
      <c r="C95" s="52">
        <v>4.0</v>
      </c>
      <c r="D95" s="52" t="s">
        <v>65</v>
      </c>
      <c r="E95" s="92"/>
      <c r="F95" s="85">
        <v>0.0</v>
      </c>
      <c r="H95" s="86">
        <v>0.0</v>
      </c>
      <c r="J95" s="86">
        <v>0.0</v>
      </c>
      <c r="L95" s="86">
        <v>0.0</v>
      </c>
      <c r="N95" s="86">
        <v>0.0</v>
      </c>
      <c r="P95" s="86">
        <v>0.0</v>
      </c>
      <c r="Q95" s="43"/>
      <c r="R95" s="86">
        <v>0.0</v>
      </c>
      <c r="T95" s="85">
        <v>130.0</v>
      </c>
      <c r="V95" s="86">
        <v>130.0</v>
      </c>
      <c r="X95" s="86">
        <v>0.0</v>
      </c>
      <c r="Z95" s="86">
        <v>0.0</v>
      </c>
      <c r="AB95" s="86">
        <v>0.0</v>
      </c>
      <c r="AD95" s="86">
        <v>0.0</v>
      </c>
      <c r="AE95" s="43"/>
      <c r="AF95" s="86">
        <v>0.0</v>
      </c>
      <c r="AH95" s="86">
        <v>0.0</v>
      </c>
      <c r="AJ95" s="86">
        <v>0.0</v>
      </c>
      <c r="AL95" s="85">
        <v>0.0</v>
      </c>
      <c r="AM95" s="43"/>
      <c r="AN95" s="72">
        <v>0.0</v>
      </c>
      <c r="AO95" s="43"/>
      <c r="AP95" s="85">
        <v>0.0</v>
      </c>
      <c r="AQ95" s="43"/>
      <c r="AR95" s="85">
        <v>0.0</v>
      </c>
      <c r="AS95" s="43"/>
      <c r="AT95" s="85">
        <v>0.0</v>
      </c>
      <c r="AU95" s="43"/>
      <c r="AV95" s="86">
        <v>0.0</v>
      </c>
      <c r="AX95" s="86">
        <v>0.0</v>
      </c>
      <c r="AY95" s="43"/>
      <c r="AZ95" s="86">
        <v>0.0</v>
      </c>
      <c r="BB95" s="54">
        <f t="shared" si="1"/>
        <v>2891.2</v>
      </c>
      <c r="BC95" s="52">
        <f t="shared" si="2"/>
        <v>260</v>
      </c>
      <c r="BD95" s="52">
        <f t="shared" si="3"/>
        <v>0</v>
      </c>
      <c r="BE95" s="52">
        <f t="shared" si="4"/>
        <v>260</v>
      </c>
      <c r="BF95" s="49">
        <f t="shared" si="5"/>
        <v>11.12</v>
      </c>
      <c r="BG95" s="78"/>
    </row>
    <row r="96" ht="15.75" customHeight="1">
      <c r="A96" s="50" t="s">
        <v>49</v>
      </c>
      <c r="B96" s="51">
        <f t="shared" si="6"/>
        <v>45749</v>
      </c>
      <c r="C96" s="52">
        <v>4.0</v>
      </c>
      <c r="D96" s="52" t="s">
        <v>65</v>
      </c>
      <c r="E96" s="53"/>
      <c r="F96" s="85">
        <v>0.0</v>
      </c>
      <c r="H96" s="86">
        <v>0.0</v>
      </c>
      <c r="J96" s="86">
        <v>0.0</v>
      </c>
      <c r="L96" s="86">
        <v>0.0</v>
      </c>
      <c r="N96" s="86">
        <v>0.0</v>
      </c>
      <c r="P96" s="86">
        <v>0.0</v>
      </c>
      <c r="Q96" s="43"/>
      <c r="R96" s="86">
        <v>0.0</v>
      </c>
      <c r="T96" s="85">
        <v>130.0</v>
      </c>
      <c r="V96" s="86">
        <v>130.0</v>
      </c>
      <c r="X96" s="86">
        <v>39.0</v>
      </c>
      <c r="Z96" s="86">
        <v>0.0</v>
      </c>
      <c r="AB96" s="86">
        <v>0.0</v>
      </c>
      <c r="AD96" s="86">
        <v>0.0</v>
      </c>
      <c r="AE96" s="43"/>
      <c r="AF96" s="86">
        <v>0.0</v>
      </c>
      <c r="AH96" s="86">
        <v>0.0</v>
      </c>
      <c r="AJ96" s="86">
        <v>0.0</v>
      </c>
      <c r="AL96" s="85">
        <v>0.0</v>
      </c>
      <c r="AM96" s="43"/>
      <c r="AN96" s="72">
        <v>0.0</v>
      </c>
      <c r="AO96" s="43"/>
      <c r="AP96" s="85">
        <v>0.0</v>
      </c>
      <c r="AQ96" s="43"/>
      <c r="AR96" s="85">
        <v>0.0</v>
      </c>
      <c r="AS96" s="43"/>
      <c r="AT96" s="85">
        <v>0.0</v>
      </c>
      <c r="AU96" s="43"/>
      <c r="AV96" s="86">
        <v>0.0</v>
      </c>
      <c r="AX96" s="86">
        <v>0.0</v>
      </c>
      <c r="AY96" s="43"/>
      <c r="AZ96" s="86">
        <v>0.0</v>
      </c>
      <c r="BB96" s="54">
        <f t="shared" si="1"/>
        <v>3324.88</v>
      </c>
      <c r="BC96" s="52">
        <f t="shared" si="2"/>
        <v>299</v>
      </c>
      <c r="BD96" s="52">
        <f t="shared" si="3"/>
        <v>0</v>
      </c>
      <c r="BE96" s="52">
        <f t="shared" si="4"/>
        <v>299</v>
      </c>
      <c r="BF96" s="49">
        <f t="shared" si="5"/>
        <v>11.12</v>
      </c>
      <c r="BG96" s="78"/>
    </row>
    <row r="97" ht="15.75" customHeight="1">
      <c r="A97" s="50" t="s">
        <v>50</v>
      </c>
      <c r="B97" s="51">
        <f t="shared" si="6"/>
        <v>45750</v>
      </c>
      <c r="C97" s="52">
        <v>4.0</v>
      </c>
      <c r="D97" s="52" t="s">
        <v>65</v>
      </c>
      <c r="E97" s="53"/>
      <c r="F97" s="85">
        <v>0.0</v>
      </c>
      <c r="H97" s="86">
        <v>0.0</v>
      </c>
      <c r="J97" s="86">
        <v>0.0</v>
      </c>
      <c r="L97" s="86">
        <v>0.0</v>
      </c>
      <c r="N97" s="86">
        <v>0.0</v>
      </c>
      <c r="P97" s="86">
        <v>0.0</v>
      </c>
      <c r="Q97" s="43"/>
      <c r="R97" s="86">
        <v>0.0</v>
      </c>
      <c r="T97" s="85">
        <v>70.0</v>
      </c>
      <c r="V97" s="86">
        <v>70.0</v>
      </c>
      <c r="X97" s="86">
        <v>0.0</v>
      </c>
      <c r="Z97" s="86">
        <v>0.0</v>
      </c>
      <c r="AB97" s="86">
        <v>0.0</v>
      </c>
      <c r="AD97" s="86">
        <v>0.0</v>
      </c>
      <c r="AE97" s="43"/>
      <c r="AF97" s="86">
        <v>0.0</v>
      </c>
      <c r="AH97" s="86">
        <v>0.0</v>
      </c>
      <c r="AJ97" s="86">
        <v>0.0</v>
      </c>
      <c r="AL97" s="85">
        <v>0.0</v>
      </c>
      <c r="AM97" s="43"/>
      <c r="AN97" s="72">
        <v>0.0</v>
      </c>
      <c r="AO97" s="43"/>
      <c r="AP97" s="85">
        <v>0.0</v>
      </c>
      <c r="AQ97" s="43"/>
      <c r="AR97" s="85">
        <v>0.0</v>
      </c>
      <c r="AS97" s="43"/>
      <c r="AT97" s="85">
        <v>175.0</v>
      </c>
      <c r="AU97" s="43"/>
      <c r="AV97" s="86">
        <v>0.0</v>
      </c>
      <c r="AX97" s="86">
        <v>0.0</v>
      </c>
      <c r="AY97" s="43"/>
      <c r="AZ97" s="86">
        <v>0.0</v>
      </c>
      <c r="BB97" s="54">
        <f t="shared" si="1"/>
        <v>1843.8</v>
      </c>
      <c r="BC97" s="52">
        <f t="shared" si="2"/>
        <v>315</v>
      </c>
      <c r="BD97" s="52">
        <f t="shared" si="3"/>
        <v>0</v>
      </c>
      <c r="BE97" s="52">
        <f t="shared" si="4"/>
        <v>315</v>
      </c>
      <c r="BF97" s="49">
        <f t="shared" si="5"/>
        <v>5.853333333</v>
      </c>
      <c r="BG97" s="78"/>
    </row>
    <row r="98" ht="15.75" customHeight="1">
      <c r="A98" s="50" t="s">
        <v>53</v>
      </c>
      <c r="B98" s="51">
        <f t="shared" si="6"/>
        <v>45751</v>
      </c>
      <c r="C98" s="52">
        <v>4.0</v>
      </c>
      <c r="D98" s="52" t="s">
        <v>65</v>
      </c>
      <c r="E98" s="92"/>
      <c r="F98" s="85">
        <v>0.0</v>
      </c>
      <c r="H98" s="86">
        <v>0.0</v>
      </c>
      <c r="J98" s="86">
        <v>0.0</v>
      </c>
      <c r="L98" s="86">
        <v>0.0</v>
      </c>
      <c r="N98" s="86">
        <v>0.0</v>
      </c>
      <c r="P98" s="86">
        <v>0.0</v>
      </c>
      <c r="Q98" s="43"/>
      <c r="R98" s="86">
        <v>0.0</v>
      </c>
      <c r="T98" s="85">
        <v>70.0</v>
      </c>
      <c r="V98" s="86">
        <v>70.0</v>
      </c>
      <c r="X98" s="86">
        <v>0.0</v>
      </c>
      <c r="Z98" s="86">
        <v>0.0</v>
      </c>
      <c r="AB98" s="86">
        <v>0.0</v>
      </c>
      <c r="AD98" s="86">
        <v>0.0</v>
      </c>
      <c r="AE98" s="43"/>
      <c r="AF98" s="86">
        <v>0.0</v>
      </c>
      <c r="AH98" s="86">
        <v>0.0</v>
      </c>
      <c r="AJ98" s="86">
        <v>0.0</v>
      </c>
      <c r="AL98" s="85">
        <v>0.0</v>
      </c>
      <c r="AM98" s="43"/>
      <c r="AN98" s="72">
        <v>0.0</v>
      </c>
      <c r="AO98" s="43"/>
      <c r="AP98" s="85">
        <v>0.0</v>
      </c>
      <c r="AQ98" s="43"/>
      <c r="AR98" s="85">
        <v>0.0</v>
      </c>
      <c r="AS98" s="43"/>
      <c r="AT98" s="85">
        <v>0.0</v>
      </c>
      <c r="AU98" s="43"/>
      <c r="AV98" s="86">
        <v>0.0</v>
      </c>
      <c r="AX98" s="86">
        <v>0.0</v>
      </c>
      <c r="AY98" s="43"/>
      <c r="AZ98" s="86">
        <v>0.0</v>
      </c>
      <c r="BB98" s="54">
        <f t="shared" si="1"/>
        <v>1556.8</v>
      </c>
      <c r="BC98" s="52">
        <f t="shared" si="2"/>
        <v>140</v>
      </c>
      <c r="BD98" s="52">
        <f t="shared" si="3"/>
        <v>0</v>
      </c>
      <c r="BE98" s="52">
        <f t="shared" si="4"/>
        <v>140</v>
      </c>
      <c r="BF98" s="49">
        <f t="shared" si="5"/>
        <v>11.12</v>
      </c>
      <c r="BG98" s="78"/>
    </row>
    <row r="99" ht="15.75" customHeight="1">
      <c r="A99" s="50" t="s">
        <v>54</v>
      </c>
      <c r="B99" s="51">
        <f t="shared" si="6"/>
        <v>45752</v>
      </c>
      <c r="C99" s="52">
        <v>4.0</v>
      </c>
      <c r="D99" s="52" t="s">
        <v>65</v>
      </c>
      <c r="E99" s="53"/>
      <c r="F99" s="85">
        <v>0.0</v>
      </c>
      <c r="H99" s="86">
        <v>0.0</v>
      </c>
      <c r="J99" s="86">
        <v>0.0</v>
      </c>
      <c r="L99" s="86">
        <v>0.0</v>
      </c>
      <c r="N99" s="86">
        <v>0.0</v>
      </c>
      <c r="P99" s="86">
        <v>0.0</v>
      </c>
      <c r="Q99" s="43"/>
      <c r="R99" s="86">
        <v>0.0</v>
      </c>
      <c r="T99" s="85">
        <v>70.0</v>
      </c>
      <c r="V99" s="86">
        <v>70.0</v>
      </c>
      <c r="X99" s="86">
        <v>7.0</v>
      </c>
      <c r="Z99" s="86">
        <v>0.0</v>
      </c>
      <c r="AB99" s="86">
        <v>0.0</v>
      </c>
      <c r="AD99" s="86">
        <v>0.0</v>
      </c>
      <c r="AE99" s="43"/>
      <c r="AF99" s="86">
        <v>0.0</v>
      </c>
      <c r="AH99" s="86">
        <v>50.0</v>
      </c>
      <c r="AJ99" s="86">
        <v>50.0</v>
      </c>
      <c r="AL99" s="85">
        <v>25.0</v>
      </c>
      <c r="AM99" s="43"/>
      <c r="AN99" s="72">
        <v>0.0</v>
      </c>
      <c r="AO99" s="43"/>
      <c r="AP99" s="85">
        <v>0.0</v>
      </c>
      <c r="AQ99" s="43"/>
      <c r="AR99" s="85">
        <v>0.0</v>
      </c>
      <c r="AS99" s="43"/>
      <c r="AT99" s="85">
        <v>0.0</v>
      </c>
      <c r="AU99" s="43"/>
      <c r="AV99" s="86">
        <v>0.0</v>
      </c>
      <c r="AX99" s="86">
        <v>0.0</v>
      </c>
      <c r="AY99" s="43"/>
      <c r="AZ99" s="86">
        <v>0.0</v>
      </c>
      <c r="BB99" s="54">
        <f t="shared" si="1"/>
        <v>3620.89</v>
      </c>
      <c r="BC99" s="52">
        <f t="shared" si="2"/>
        <v>272</v>
      </c>
      <c r="BD99" s="52">
        <f t="shared" si="3"/>
        <v>0</v>
      </c>
      <c r="BE99" s="52">
        <f t="shared" si="4"/>
        <v>272</v>
      </c>
      <c r="BF99" s="49">
        <f t="shared" si="5"/>
        <v>13.31209559</v>
      </c>
      <c r="BG99" s="78"/>
    </row>
    <row r="100" ht="15.75" customHeight="1">
      <c r="A100" s="59" t="s">
        <v>61</v>
      </c>
      <c r="B100" s="61">
        <f t="shared" si="6"/>
        <v>45753</v>
      </c>
      <c r="C100" s="63">
        <v>4.0</v>
      </c>
      <c r="D100" s="63" t="s">
        <v>65</v>
      </c>
      <c r="E100" s="64"/>
      <c r="F100" s="87">
        <v>0.0</v>
      </c>
      <c r="G100" s="66"/>
      <c r="H100" s="88">
        <v>0.0</v>
      </c>
      <c r="I100" s="66"/>
      <c r="J100" s="88">
        <v>0.0</v>
      </c>
      <c r="K100" s="66"/>
      <c r="L100" s="88">
        <v>0.0</v>
      </c>
      <c r="M100" s="66"/>
      <c r="N100" s="88">
        <v>0.0</v>
      </c>
      <c r="O100" s="66"/>
      <c r="P100" s="88">
        <v>0.0</v>
      </c>
      <c r="Q100" s="68"/>
      <c r="R100" s="88">
        <v>0.0</v>
      </c>
      <c r="S100" s="66"/>
      <c r="T100" s="87">
        <v>0.0</v>
      </c>
      <c r="U100" s="66"/>
      <c r="V100" s="88">
        <v>0.0</v>
      </c>
      <c r="W100" s="66"/>
      <c r="X100" s="88">
        <v>0.0</v>
      </c>
      <c r="Y100" s="66"/>
      <c r="Z100" s="88">
        <v>0.0</v>
      </c>
      <c r="AA100" s="66"/>
      <c r="AB100" s="88">
        <v>0.0</v>
      </c>
      <c r="AC100" s="66"/>
      <c r="AD100" s="88">
        <v>0.0</v>
      </c>
      <c r="AE100" s="68"/>
      <c r="AF100" s="88">
        <v>0.0</v>
      </c>
      <c r="AG100" s="66"/>
      <c r="AH100" s="88">
        <v>50.0</v>
      </c>
      <c r="AI100" s="66"/>
      <c r="AJ100" s="88">
        <v>0.0</v>
      </c>
      <c r="AK100" s="66"/>
      <c r="AL100" s="87">
        <v>25.0</v>
      </c>
      <c r="AM100" s="68"/>
      <c r="AN100" s="84">
        <v>0.0</v>
      </c>
      <c r="AO100" s="68"/>
      <c r="AP100" s="87">
        <v>0.0</v>
      </c>
      <c r="AQ100" s="68"/>
      <c r="AR100" s="87">
        <v>0.0</v>
      </c>
      <c r="AS100" s="68"/>
      <c r="AT100" s="87">
        <v>0.0</v>
      </c>
      <c r="AU100" s="68"/>
      <c r="AV100" s="88">
        <v>0.0</v>
      </c>
      <c r="AW100" s="66"/>
      <c r="AX100" s="88">
        <v>0.0</v>
      </c>
      <c r="AY100" s="68"/>
      <c r="AZ100" s="88">
        <v>0.0</v>
      </c>
      <c r="BA100" s="66"/>
      <c r="BB100" s="73">
        <f t="shared" si="1"/>
        <v>1191.75</v>
      </c>
      <c r="BC100" s="63">
        <f t="shared" si="2"/>
        <v>75</v>
      </c>
      <c r="BD100" s="63">
        <f t="shared" si="3"/>
        <v>0</v>
      </c>
      <c r="BE100" s="63">
        <f t="shared" si="4"/>
        <v>75</v>
      </c>
      <c r="BF100" s="74">
        <f t="shared" si="5"/>
        <v>15.89</v>
      </c>
      <c r="BG100" s="78"/>
    </row>
    <row r="101" ht="15.75" customHeight="1">
      <c r="A101" s="36" t="s">
        <v>46</v>
      </c>
      <c r="B101" s="75">
        <f t="shared" si="6"/>
        <v>45754</v>
      </c>
      <c r="C101" s="38">
        <v>4.0</v>
      </c>
      <c r="D101" s="38" t="s">
        <v>69</v>
      </c>
      <c r="E101" s="40"/>
      <c r="F101" s="85">
        <v>0.0</v>
      </c>
      <c r="H101" s="86">
        <v>0.0</v>
      </c>
      <c r="J101" s="86">
        <v>0.0</v>
      </c>
      <c r="L101" s="86">
        <v>0.0</v>
      </c>
      <c r="N101" s="86">
        <v>0.0</v>
      </c>
      <c r="P101" s="86">
        <v>0.0</v>
      </c>
      <c r="Q101" s="43"/>
      <c r="R101" s="86">
        <v>0.0</v>
      </c>
      <c r="T101" s="85">
        <v>135.0</v>
      </c>
      <c r="V101" s="86">
        <v>135.0</v>
      </c>
      <c r="X101" s="86">
        <v>0.0</v>
      </c>
      <c r="Z101" s="86">
        <v>0.0</v>
      </c>
      <c r="AB101" s="86">
        <v>0.0</v>
      </c>
      <c r="AD101" s="86">
        <v>0.0</v>
      </c>
      <c r="AE101" s="43"/>
      <c r="AF101" s="86">
        <v>0.0</v>
      </c>
      <c r="AH101" s="86">
        <v>0.0</v>
      </c>
      <c r="AJ101" s="86">
        <v>0.0</v>
      </c>
      <c r="AL101" s="85">
        <v>0.0</v>
      </c>
      <c r="AM101" s="43"/>
      <c r="AN101" s="72">
        <v>0.0</v>
      </c>
      <c r="AO101" s="43"/>
      <c r="AP101" s="85">
        <v>0.0</v>
      </c>
      <c r="AQ101" s="43"/>
      <c r="AR101" s="85">
        <v>0.0</v>
      </c>
      <c r="AS101" s="43"/>
      <c r="AT101" s="85">
        <v>0.0</v>
      </c>
      <c r="AU101" s="43"/>
      <c r="AV101" s="86">
        <v>0.0</v>
      </c>
      <c r="AX101" s="86">
        <v>0.0</v>
      </c>
      <c r="AY101" s="43"/>
      <c r="AZ101" s="86">
        <v>0.0</v>
      </c>
      <c r="BB101" s="47">
        <f t="shared" si="1"/>
        <v>3002.4</v>
      </c>
      <c r="BC101" s="38">
        <f t="shared" si="2"/>
        <v>270</v>
      </c>
      <c r="BD101" s="38">
        <f t="shared" si="3"/>
        <v>0</v>
      </c>
      <c r="BE101" s="38">
        <f t="shared" si="4"/>
        <v>270</v>
      </c>
      <c r="BF101" s="76">
        <f t="shared" si="5"/>
        <v>11.12</v>
      </c>
      <c r="BG101" s="78"/>
    </row>
    <row r="102" ht="15.75" customHeight="1">
      <c r="A102" s="50" t="s">
        <v>48</v>
      </c>
      <c r="B102" s="51">
        <f t="shared" si="6"/>
        <v>45755</v>
      </c>
      <c r="C102" s="52">
        <v>4.0</v>
      </c>
      <c r="D102" s="52" t="s">
        <v>69</v>
      </c>
      <c r="E102" s="53"/>
      <c r="F102" s="85">
        <v>0.0</v>
      </c>
      <c r="H102" s="86">
        <v>0.0</v>
      </c>
      <c r="J102" s="86">
        <v>0.0</v>
      </c>
      <c r="L102" s="86">
        <v>0.0</v>
      </c>
      <c r="N102" s="86">
        <v>0.0</v>
      </c>
      <c r="P102" s="86">
        <v>0.0</v>
      </c>
      <c r="Q102" s="43"/>
      <c r="R102" s="86">
        <v>0.0</v>
      </c>
      <c r="T102" s="85">
        <v>135.0</v>
      </c>
      <c r="V102" s="86">
        <v>135.0</v>
      </c>
      <c r="X102" s="86">
        <v>0.0</v>
      </c>
      <c r="Z102" s="86">
        <v>0.0</v>
      </c>
      <c r="AB102" s="86">
        <v>0.0</v>
      </c>
      <c r="AD102" s="86">
        <v>0.0</v>
      </c>
      <c r="AE102" s="43"/>
      <c r="AF102" s="86">
        <v>0.0</v>
      </c>
      <c r="AH102" s="86">
        <v>0.0</v>
      </c>
      <c r="AJ102" s="86">
        <v>0.0</v>
      </c>
      <c r="AL102" s="85">
        <v>0.0</v>
      </c>
      <c r="AM102" s="43"/>
      <c r="AN102" s="72">
        <v>0.0</v>
      </c>
      <c r="AO102" s="43"/>
      <c r="AP102" s="85">
        <v>0.0</v>
      </c>
      <c r="AQ102" s="43"/>
      <c r="AR102" s="85">
        <v>0.0</v>
      </c>
      <c r="AS102" s="43"/>
      <c r="AT102" s="85">
        <v>0.0</v>
      </c>
      <c r="AU102" s="43"/>
      <c r="AV102" s="86">
        <v>0.0</v>
      </c>
      <c r="AX102" s="86">
        <v>0.0</v>
      </c>
      <c r="AY102" s="43"/>
      <c r="AZ102" s="86">
        <v>0.0</v>
      </c>
      <c r="BB102" s="54">
        <f t="shared" si="1"/>
        <v>3002.4</v>
      </c>
      <c r="BC102" s="52">
        <f t="shared" si="2"/>
        <v>270</v>
      </c>
      <c r="BD102" s="52">
        <f t="shared" si="3"/>
        <v>0</v>
      </c>
      <c r="BE102" s="52">
        <f t="shared" si="4"/>
        <v>270</v>
      </c>
      <c r="BF102" s="49">
        <f t="shared" si="5"/>
        <v>11.12</v>
      </c>
      <c r="BG102" s="78"/>
    </row>
    <row r="103" ht="15.75" customHeight="1">
      <c r="A103" s="50" t="s">
        <v>49</v>
      </c>
      <c r="B103" s="51">
        <f t="shared" si="6"/>
        <v>45756</v>
      </c>
      <c r="C103" s="52">
        <v>4.0</v>
      </c>
      <c r="D103" s="52" t="s">
        <v>69</v>
      </c>
      <c r="E103" s="53"/>
      <c r="F103" s="85">
        <v>0.0</v>
      </c>
      <c r="H103" s="86">
        <v>0.0</v>
      </c>
      <c r="J103" s="86">
        <v>0.0</v>
      </c>
      <c r="L103" s="86">
        <v>0.0</v>
      </c>
      <c r="N103" s="86">
        <v>0.0</v>
      </c>
      <c r="P103" s="86">
        <v>0.0</v>
      </c>
      <c r="Q103" s="43"/>
      <c r="R103" s="86">
        <v>0.0</v>
      </c>
      <c r="T103" s="85">
        <v>135.0</v>
      </c>
      <c r="V103" s="86">
        <v>135.0</v>
      </c>
      <c r="X103" s="86">
        <v>0.0</v>
      </c>
      <c r="Z103" s="86">
        <v>0.0</v>
      </c>
      <c r="AB103" s="86">
        <v>0.0</v>
      </c>
      <c r="AD103" s="86">
        <v>0.0</v>
      </c>
      <c r="AE103" s="43"/>
      <c r="AF103" s="86">
        <v>0.0</v>
      </c>
      <c r="AH103" s="86">
        <v>0.0</v>
      </c>
      <c r="AJ103" s="86">
        <v>0.0</v>
      </c>
      <c r="AL103" s="85">
        <v>0.0</v>
      </c>
      <c r="AM103" s="43"/>
      <c r="AN103" s="72">
        <v>0.0</v>
      </c>
      <c r="AO103" s="43"/>
      <c r="AP103" s="85">
        <v>0.0</v>
      </c>
      <c r="AQ103" s="43"/>
      <c r="AR103" s="85">
        <v>0.0</v>
      </c>
      <c r="AS103" s="43"/>
      <c r="AT103" s="85">
        <v>0.0</v>
      </c>
      <c r="AU103" s="43"/>
      <c r="AV103" s="86">
        <v>0.0</v>
      </c>
      <c r="AX103" s="86">
        <v>0.0</v>
      </c>
      <c r="AY103" s="43"/>
      <c r="AZ103" s="86">
        <v>0.0</v>
      </c>
      <c r="BB103" s="54">
        <f t="shared" si="1"/>
        <v>3002.4</v>
      </c>
      <c r="BC103" s="52">
        <f t="shared" si="2"/>
        <v>270</v>
      </c>
      <c r="BD103" s="52">
        <f t="shared" si="3"/>
        <v>0</v>
      </c>
      <c r="BE103" s="52">
        <f t="shared" si="4"/>
        <v>270</v>
      </c>
      <c r="BF103" s="49">
        <f t="shared" si="5"/>
        <v>11.12</v>
      </c>
      <c r="BG103" s="78"/>
    </row>
    <row r="104" ht="15.75" customHeight="1">
      <c r="A104" s="50" t="s">
        <v>50</v>
      </c>
      <c r="B104" s="51">
        <f t="shared" si="6"/>
        <v>45757</v>
      </c>
      <c r="C104" s="52">
        <v>4.0</v>
      </c>
      <c r="D104" s="52" t="s">
        <v>69</v>
      </c>
      <c r="E104" s="53"/>
      <c r="F104" s="85">
        <v>0.0</v>
      </c>
      <c r="H104" s="86">
        <v>0.0</v>
      </c>
      <c r="J104" s="86">
        <v>0.0</v>
      </c>
      <c r="L104" s="86">
        <v>0.0</v>
      </c>
      <c r="N104" s="86">
        <v>0.0</v>
      </c>
      <c r="P104" s="86">
        <v>0.0</v>
      </c>
      <c r="Q104" s="43"/>
      <c r="R104" s="86">
        <v>0.0</v>
      </c>
      <c r="T104" s="85">
        <v>135.0</v>
      </c>
      <c r="V104" s="86">
        <v>135.0</v>
      </c>
      <c r="X104" s="86">
        <v>0.0</v>
      </c>
      <c r="Z104" s="86">
        <v>0.0</v>
      </c>
      <c r="AB104" s="86">
        <v>0.0</v>
      </c>
      <c r="AD104" s="86">
        <v>0.0</v>
      </c>
      <c r="AE104" s="43"/>
      <c r="AF104" s="86">
        <v>0.0</v>
      </c>
      <c r="AH104" s="86">
        <v>0.0</v>
      </c>
      <c r="AJ104" s="86">
        <v>0.0</v>
      </c>
      <c r="AL104" s="85">
        <v>0.0</v>
      </c>
      <c r="AM104" s="43"/>
      <c r="AN104" s="72">
        <v>0.0</v>
      </c>
      <c r="AO104" s="43"/>
      <c r="AP104" s="85">
        <v>0.0</v>
      </c>
      <c r="AQ104" s="43"/>
      <c r="AR104" s="85">
        <v>0.0</v>
      </c>
      <c r="AS104" s="43"/>
      <c r="AT104" s="85">
        <v>0.0</v>
      </c>
      <c r="AU104" s="43"/>
      <c r="AV104" s="86">
        <v>0.0</v>
      </c>
      <c r="AX104" s="86">
        <v>0.0</v>
      </c>
      <c r="AY104" s="43"/>
      <c r="AZ104" s="86">
        <v>0.0</v>
      </c>
      <c r="BB104" s="54">
        <f t="shared" si="1"/>
        <v>3002.4</v>
      </c>
      <c r="BC104" s="52">
        <f t="shared" si="2"/>
        <v>270</v>
      </c>
      <c r="BD104" s="52">
        <f t="shared" si="3"/>
        <v>0</v>
      </c>
      <c r="BE104" s="52">
        <f t="shared" si="4"/>
        <v>270</v>
      </c>
      <c r="BF104" s="49">
        <f t="shared" si="5"/>
        <v>11.12</v>
      </c>
      <c r="BG104" s="78"/>
    </row>
    <row r="105" ht="15.75" customHeight="1">
      <c r="A105" s="50" t="s">
        <v>53</v>
      </c>
      <c r="B105" s="51">
        <f t="shared" si="6"/>
        <v>45758</v>
      </c>
      <c r="C105" s="52">
        <v>4.0</v>
      </c>
      <c r="D105" s="52" t="s">
        <v>69</v>
      </c>
      <c r="E105" s="53"/>
      <c r="F105" s="85">
        <v>0.0</v>
      </c>
      <c r="H105" s="86">
        <v>0.0</v>
      </c>
      <c r="J105" s="86">
        <v>0.0</v>
      </c>
      <c r="L105" s="86">
        <v>0.0</v>
      </c>
      <c r="N105" s="86">
        <v>0.0</v>
      </c>
      <c r="P105" s="86">
        <v>0.0</v>
      </c>
      <c r="Q105" s="43"/>
      <c r="R105" s="86">
        <v>0.0</v>
      </c>
      <c r="T105" s="85">
        <v>135.0</v>
      </c>
      <c r="V105" s="86">
        <v>135.0</v>
      </c>
      <c r="X105" s="86">
        <v>6.0</v>
      </c>
      <c r="Z105" s="86">
        <v>0.0</v>
      </c>
      <c r="AB105" s="86">
        <v>0.0</v>
      </c>
      <c r="AD105" s="86">
        <v>0.0</v>
      </c>
      <c r="AE105" s="43"/>
      <c r="AF105" s="86">
        <v>0.0</v>
      </c>
      <c r="AH105" s="86">
        <v>0.0</v>
      </c>
      <c r="AJ105" s="86">
        <v>0.0</v>
      </c>
      <c r="AL105" s="85">
        <v>0.0</v>
      </c>
      <c r="AM105" s="43"/>
      <c r="AN105" s="72">
        <v>0.0</v>
      </c>
      <c r="AO105" s="43"/>
      <c r="AP105" s="85">
        <v>0.0</v>
      </c>
      <c r="AQ105" s="43"/>
      <c r="AR105" s="85">
        <v>0.0</v>
      </c>
      <c r="AS105" s="43"/>
      <c r="AT105" s="85">
        <v>0.0</v>
      </c>
      <c r="AU105" s="43"/>
      <c r="AV105" s="86">
        <v>0.0</v>
      </c>
      <c r="AX105" s="86">
        <v>0.0</v>
      </c>
      <c r="AY105" s="43"/>
      <c r="AZ105" s="86">
        <v>0.0</v>
      </c>
      <c r="BB105" s="54">
        <f t="shared" si="1"/>
        <v>3069.12</v>
      </c>
      <c r="BC105" s="52">
        <f t="shared" si="2"/>
        <v>276</v>
      </c>
      <c r="BD105" s="52">
        <f t="shared" si="3"/>
        <v>0</v>
      </c>
      <c r="BE105" s="52">
        <f t="shared" si="4"/>
        <v>276</v>
      </c>
      <c r="BF105" s="49">
        <f t="shared" si="5"/>
        <v>11.12</v>
      </c>
      <c r="BG105" s="78"/>
    </row>
    <row r="106" ht="15.75" customHeight="1">
      <c r="A106" s="50" t="s">
        <v>54</v>
      </c>
      <c r="B106" s="51">
        <f t="shared" si="6"/>
        <v>45759</v>
      </c>
      <c r="C106" s="52">
        <v>4.0</v>
      </c>
      <c r="D106" s="52" t="s">
        <v>69</v>
      </c>
      <c r="E106" s="53"/>
      <c r="F106" s="85">
        <v>0.0</v>
      </c>
      <c r="H106" s="86">
        <v>0.0</v>
      </c>
      <c r="J106" s="86">
        <v>0.0</v>
      </c>
      <c r="L106" s="86">
        <v>0.0</v>
      </c>
      <c r="N106" s="86">
        <v>0.0</v>
      </c>
      <c r="P106" s="86">
        <v>0.0</v>
      </c>
      <c r="Q106" s="43"/>
      <c r="R106" s="86">
        <v>0.0</v>
      </c>
      <c r="T106" s="85">
        <v>135.0</v>
      </c>
      <c r="V106" s="86">
        <v>135.0</v>
      </c>
      <c r="X106" s="86">
        <v>21.0</v>
      </c>
      <c r="Z106" s="86">
        <v>0.0</v>
      </c>
      <c r="AB106" s="86">
        <v>0.0</v>
      </c>
      <c r="AD106" s="86">
        <v>0.0</v>
      </c>
      <c r="AE106" s="43"/>
      <c r="AF106" s="86">
        <v>0.0</v>
      </c>
      <c r="AH106" s="86">
        <v>0.0</v>
      </c>
      <c r="AJ106" s="86">
        <v>0.0</v>
      </c>
      <c r="AL106" s="85">
        <v>0.0</v>
      </c>
      <c r="AM106" s="43"/>
      <c r="AN106" s="72">
        <v>0.0</v>
      </c>
      <c r="AO106" s="43"/>
      <c r="AP106" s="85">
        <v>0.0</v>
      </c>
      <c r="AQ106" s="43"/>
      <c r="AR106" s="85">
        <v>0.0</v>
      </c>
      <c r="AS106" s="43"/>
      <c r="AT106" s="85">
        <v>0.0</v>
      </c>
      <c r="AU106" s="43"/>
      <c r="AV106" s="86">
        <v>0.0</v>
      </c>
      <c r="AX106" s="86">
        <v>0.0</v>
      </c>
      <c r="AY106" s="43"/>
      <c r="AZ106" s="86">
        <v>0.0</v>
      </c>
      <c r="BB106" s="54">
        <f t="shared" si="1"/>
        <v>3235.92</v>
      </c>
      <c r="BC106" s="52">
        <f t="shared" si="2"/>
        <v>291</v>
      </c>
      <c r="BD106" s="52">
        <f t="shared" si="3"/>
        <v>0</v>
      </c>
      <c r="BE106" s="52">
        <f t="shared" si="4"/>
        <v>291</v>
      </c>
      <c r="BF106" s="49">
        <f t="shared" si="5"/>
        <v>11.12</v>
      </c>
      <c r="BG106" s="78"/>
    </row>
    <row r="107" ht="15.75" customHeight="1">
      <c r="A107" s="59" t="s">
        <v>61</v>
      </c>
      <c r="B107" s="61">
        <f t="shared" si="6"/>
        <v>45760</v>
      </c>
      <c r="C107" s="63">
        <v>4.0</v>
      </c>
      <c r="D107" s="63" t="s">
        <v>69</v>
      </c>
      <c r="E107" s="64"/>
      <c r="F107" s="87">
        <v>0.0</v>
      </c>
      <c r="G107" s="66"/>
      <c r="H107" s="88">
        <v>0.0</v>
      </c>
      <c r="I107" s="66"/>
      <c r="J107" s="88">
        <v>0.0</v>
      </c>
      <c r="K107" s="66"/>
      <c r="L107" s="88">
        <v>0.0</v>
      </c>
      <c r="M107" s="66"/>
      <c r="N107" s="88">
        <v>0.0</v>
      </c>
      <c r="O107" s="66"/>
      <c r="P107" s="88">
        <v>0.0</v>
      </c>
      <c r="Q107" s="68"/>
      <c r="R107" s="88">
        <v>0.0</v>
      </c>
      <c r="S107" s="66"/>
      <c r="T107" s="87">
        <v>0.0</v>
      </c>
      <c r="U107" s="66"/>
      <c r="V107" s="88">
        <v>0.0</v>
      </c>
      <c r="W107" s="66"/>
      <c r="X107" s="88">
        <v>0.0</v>
      </c>
      <c r="Y107" s="66"/>
      <c r="Z107" s="88">
        <v>0.0</v>
      </c>
      <c r="AA107" s="66"/>
      <c r="AB107" s="88">
        <v>0.0</v>
      </c>
      <c r="AC107" s="66"/>
      <c r="AD107" s="88">
        <v>0.0</v>
      </c>
      <c r="AE107" s="68"/>
      <c r="AF107" s="88">
        <v>0.0</v>
      </c>
      <c r="AG107" s="66"/>
      <c r="AH107" s="88">
        <v>0.0</v>
      </c>
      <c r="AI107" s="66"/>
      <c r="AJ107" s="88">
        <v>0.0</v>
      </c>
      <c r="AK107" s="66"/>
      <c r="AL107" s="87">
        <v>0.0</v>
      </c>
      <c r="AM107" s="68"/>
      <c r="AN107" s="84">
        <v>0.0</v>
      </c>
      <c r="AO107" s="68"/>
      <c r="AP107" s="87">
        <v>0.0</v>
      </c>
      <c r="AQ107" s="68"/>
      <c r="AR107" s="87">
        <v>0.0</v>
      </c>
      <c r="AS107" s="68"/>
      <c r="AT107" s="87">
        <v>0.0</v>
      </c>
      <c r="AU107" s="68"/>
      <c r="AV107" s="88">
        <v>0.0</v>
      </c>
      <c r="AW107" s="66"/>
      <c r="AX107" s="88">
        <v>0.0</v>
      </c>
      <c r="AY107" s="68"/>
      <c r="AZ107" s="88">
        <v>0.0</v>
      </c>
      <c r="BA107" s="66"/>
      <c r="BB107" s="73">
        <f t="shared" si="1"/>
        <v>0</v>
      </c>
      <c r="BC107" s="63">
        <f t="shared" si="2"/>
        <v>0</v>
      </c>
      <c r="BD107" s="63">
        <f t="shared" si="3"/>
        <v>0</v>
      </c>
      <c r="BE107" s="63">
        <f t="shared" si="4"/>
        <v>0</v>
      </c>
      <c r="BF107" s="74" t="str">
        <f t="shared" si="5"/>
        <v/>
      </c>
      <c r="BG107" s="78"/>
    </row>
    <row r="108" ht="15.75" customHeight="1">
      <c r="A108" s="36" t="s">
        <v>46</v>
      </c>
      <c r="B108" s="75">
        <f t="shared" si="6"/>
        <v>45761</v>
      </c>
      <c r="C108" s="38">
        <v>4.0</v>
      </c>
      <c r="D108" s="38" t="s">
        <v>72</v>
      </c>
      <c r="E108" s="40"/>
      <c r="F108" s="85">
        <v>0.0</v>
      </c>
      <c r="H108" s="86">
        <v>0.0</v>
      </c>
      <c r="J108" s="86">
        <v>0.0</v>
      </c>
      <c r="L108" s="86">
        <v>0.0</v>
      </c>
      <c r="N108" s="86">
        <v>0.0</v>
      </c>
      <c r="P108" s="86">
        <v>0.0</v>
      </c>
      <c r="Q108" s="43"/>
      <c r="R108" s="86">
        <v>0.0</v>
      </c>
      <c r="T108" s="85">
        <v>135.0</v>
      </c>
      <c r="V108" s="86">
        <v>135.0</v>
      </c>
      <c r="X108" s="86">
        <v>0.0</v>
      </c>
      <c r="Z108" s="86">
        <v>0.0</v>
      </c>
      <c r="AB108" s="86">
        <v>0.0</v>
      </c>
      <c r="AD108" s="86">
        <v>0.0</v>
      </c>
      <c r="AE108" s="43"/>
      <c r="AF108" s="86">
        <v>0.0</v>
      </c>
      <c r="AH108" s="86">
        <v>0.0</v>
      </c>
      <c r="AJ108" s="86">
        <v>0.0</v>
      </c>
      <c r="AL108" s="85">
        <v>0.0</v>
      </c>
      <c r="AM108" s="43"/>
      <c r="AN108" s="72">
        <v>0.0</v>
      </c>
      <c r="AO108" s="43"/>
      <c r="AP108" s="85">
        <v>0.0</v>
      </c>
      <c r="AQ108" s="43"/>
      <c r="AR108" s="85">
        <v>0.0</v>
      </c>
      <c r="AS108" s="43"/>
      <c r="AT108" s="85">
        <v>0.0</v>
      </c>
      <c r="AU108" s="43"/>
      <c r="AV108" s="86">
        <v>0.0</v>
      </c>
      <c r="AX108" s="86">
        <v>0.0</v>
      </c>
      <c r="AY108" s="43"/>
      <c r="AZ108" s="86">
        <v>0.0</v>
      </c>
      <c r="BB108" s="47">
        <f t="shared" si="1"/>
        <v>3002.4</v>
      </c>
      <c r="BC108" s="38">
        <f t="shared" si="2"/>
        <v>270</v>
      </c>
      <c r="BD108" s="38">
        <f t="shared" si="3"/>
        <v>0</v>
      </c>
      <c r="BE108" s="38">
        <f t="shared" si="4"/>
        <v>270</v>
      </c>
      <c r="BF108" s="76">
        <f t="shared" si="5"/>
        <v>11.12</v>
      </c>
      <c r="BG108" s="78"/>
    </row>
    <row r="109" ht="15.75" customHeight="1">
      <c r="A109" s="50" t="s">
        <v>48</v>
      </c>
      <c r="B109" s="51">
        <f t="shared" si="6"/>
        <v>45762</v>
      </c>
      <c r="C109" s="52">
        <v>4.0</v>
      </c>
      <c r="D109" s="52" t="s">
        <v>72</v>
      </c>
      <c r="E109" s="92"/>
      <c r="F109" s="85">
        <v>0.0</v>
      </c>
      <c r="H109" s="86">
        <v>0.0</v>
      </c>
      <c r="J109" s="86">
        <v>0.0</v>
      </c>
      <c r="L109" s="86">
        <v>0.0</v>
      </c>
      <c r="N109" s="86">
        <v>0.0</v>
      </c>
      <c r="P109" s="86">
        <v>0.0</v>
      </c>
      <c r="Q109" s="43"/>
      <c r="R109" s="86">
        <v>0.0</v>
      </c>
      <c r="T109" s="85">
        <v>135.0</v>
      </c>
      <c r="V109" s="86">
        <v>135.0</v>
      </c>
      <c r="X109" s="86">
        <v>0.0</v>
      </c>
      <c r="Z109" s="86">
        <v>0.0</v>
      </c>
      <c r="AB109" s="86">
        <v>0.0</v>
      </c>
      <c r="AD109" s="86">
        <v>0.0</v>
      </c>
      <c r="AE109" s="43"/>
      <c r="AF109" s="86">
        <v>0.0</v>
      </c>
      <c r="AH109" s="86">
        <v>50.0</v>
      </c>
      <c r="AJ109" s="86">
        <v>50.0</v>
      </c>
      <c r="AL109" s="85">
        <v>25.0</v>
      </c>
      <c r="AM109" s="43"/>
      <c r="AN109" s="72">
        <v>0.0</v>
      </c>
      <c r="AO109" s="43"/>
      <c r="AP109" s="85">
        <v>0.0</v>
      </c>
      <c r="AQ109" s="43"/>
      <c r="AR109" s="85">
        <v>0.0</v>
      </c>
      <c r="AS109" s="43"/>
      <c r="AT109" s="85">
        <v>0.0</v>
      </c>
      <c r="AU109" s="43"/>
      <c r="AV109" s="86">
        <v>0.0</v>
      </c>
      <c r="AX109" s="86">
        <v>0.0</v>
      </c>
      <c r="AY109" s="43"/>
      <c r="AZ109" s="86">
        <v>0.0</v>
      </c>
      <c r="BB109" s="54">
        <f t="shared" si="1"/>
        <v>4988.65</v>
      </c>
      <c r="BC109" s="52">
        <f t="shared" si="2"/>
        <v>395</v>
      </c>
      <c r="BD109" s="52">
        <f t="shared" si="3"/>
        <v>0</v>
      </c>
      <c r="BE109" s="52">
        <f t="shared" si="4"/>
        <v>395</v>
      </c>
      <c r="BF109" s="49">
        <f t="shared" si="5"/>
        <v>12.62949367</v>
      </c>
      <c r="BG109" s="78"/>
    </row>
    <row r="110" ht="15.75" customHeight="1">
      <c r="A110" s="50" t="s">
        <v>49</v>
      </c>
      <c r="B110" s="51">
        <f t="shared" si="6"/>
        <v>45763</v>
      </c>
      <c r="C110" s="52">
        <v>4.0</v>
      </c>
      <c r="D110" s="52" t="s">
        <v>72</v>
      </c>
      <c r="E110" s="92"/>
      <c r="F110" s="85">
        <v>0.0</v>
      </c>
      <c r="H110" s="86">
        <v>0.0</v>
      </c>
      <c r="J110" s="86">
        <v>0.0</v>
      </c>
      <c r="L110" s="86">
        <v>0.0</v>
      </c>
      <c r="N110" s="86">
        <v>0.0</v>
      </c>
      <c r="P110" s="86">
        <v>0.0</v>
      </c>
      <c r="Q110" s="43"/>
      <c r="R110" s="86">
        <v>0.0</v>
      </c>
      <c r="T110" s="85">
        <v>135.0</v>
      </c>
      <c r="V110" s="86">
        <v>135.0</v>
      </c>
      <c r="X110" s="86">
        <v>0.0</v>
      </c>
      <c r="Z110" s="86">
        <v>0.0</v>
      </c>
      <c r="AB110" s="86">
        <v>0.0</v>
      </c>
      <c r="AD110" s="86">
        <v>0.0</v>
      </c>
      <c r="AE110" s="43"/>
      <c r="AF110" s="86">
        <v>0.0</v>
      </c>
      <c r="AH110" s="86">
        <v>50.0</v>
      </c>
      <c r="AJ110" s="86">
        <v>50.0</v>
      </c>
      <c r="AL110" s="85">
        <v>25.0</v>
      </c>
      <c r="AM110" s="43"/>
      <c r="AN110" s="72">
        <v>0.0</v>
      </c>
      <c r="AO110" s="43"/>
      <c r="AP110" s="85">
        <v>0.0</v>
      </c>
      <c r="AQ110" s="43"/>
      <c r="AR110" s="85">
        <v>0.0</v>
      </c>
      <c r="AS110" s="43"/>
      <c r="AT110" s="85">
        <v>0.0</v>
      </c>
      <c r="AU110" s="43"/>
      <c r="AV110" s="86">
        <v>0.0</v>
      </c>
      <c r="AX110" s="86">
        <v>0.0</v>
      </c>
      <c r="AY110" s="43"/>
      <c r="AZ110" s="86">
        <v>0.0</v>
      </c>
      <c r="BB110" s="54">
        <f t="shared" si="1"/>
        <v>4988.65</v>
      </c>
      <c r="BC110" s="52">
        <f t="shared" si="2"/>
        <v>395</v>
      </c>
      <c r="BD110" s="52">
        <f t="shared" si="3"/>
        <v>0</v>
      </c>
      <c r="BE110" s="52">
        <f t="shared" si="4"/>
        <v>395</v>
      </c>
      <c r="BF110" s="49">
        <f t="shared" si="5"/>
        <v>12.62949367</v>
      </c>
      <c r="BG110" s="78"/>
    </row>
    <row r="111" ht="15.75" customHeight="1">
      <c r="A111" s="50" t="s">
        <v>50</v>
      </c>
      <c r="B111" s="51">
        <f t="shared" si="6"/>
        <v>45764</v>
      </c>
      <c r="C111" s="52">
        <v>4.0</v>
      </c>
      <c r="D111" s="52" t="s">
        <v>72</v>
      </c>
      <c r="E111" s="53"/>
      <c r="F111" s="85">
        <v>0.0</v>
      </c>
      <c r="H111" s="86">
        <v>0.0</v>
      </c>
      <c r="J111" s="86">
        <v>0.0</v>
      </c>
      <c r="L111" s="86">
        <v>0.0</v>
      </c>
      <c r="N111" s="86">
        <v>0.0</v>
      </c>
      <c r="P111" s="86">
        <v>0.0</v>
      </c>
      <c r="Q111" s="43"/>
      <c r="R111" s="86">
        <v>0.0</v>
      </c>
      <c r="T111" s="85">
        <v>135.0</v>
      </c>
      <c r="V111" s="86">
        <v>135.0</v>
      </c>
      <c r="X111" s="86">
        <v>0.0</v>
      </c>
      <c r="Z111" s="86">
        <v>0.0</v>
      </c>
      <c r="AB111" s="86">
        <v>0.0</v>
      </c>
      <c r="AD111" s="86">
        <v>4.0</v>
      </c>
      <c r="AE111" s="43"/>
      <c r="AF111" s="86">
        <v>0.0</v>
      </c>
      <c r="AH111" s="86">
        <v>50.0</v>
      </c>
      <c r="AJ111" s="86">
        <v>50.0</v>
      </c>
      <c r="AL111" s="85">
        <v>25.0</v>
      </c>
      <c r="AM111" s="43"/>
      <c r="AN111" s="72">
        <v>0.0</v>
      </c>
      <c r="AO111" s="43"/>
      <c r="AP111" s="85">
        <v>0.0</v>
      </c>
      <c r="AQ111" s="43"/>
      <c r="AR111" s="85">
        <v>0.0</v>
      </c>
      <c r="AS111" s="43"/>
      <c r="AT111" s="85">
        <v>0.0</v>
      </c>
      <c r="AU111" s="43"/>
      <c r="AV111" s="86">
        <v>0.0</v>
      </c>
      <c r="AX111" s="86">
        <v>39.0</v>
      </c>
      <c r="AY111" s="43"/>
      <c r="AZ111" s="86">
        <v>0.0</v>
      </c>
      <c r="BB111" s="54">
        <f t="shared" si="1"/>
        <v>5466.81</v>
      </c>
      <c r="BC111" s="52">
        <f t="shared" si="2"/>
        <v>438</v>
      </c>
      <c r="BD111" s="52">
        <f t="shared" si="3"/>
        <v>0</v>
      </c>
      <c r="BE111" s="52">
        <f t="shared" si="4"/>
        <v>438</v>
      </c>
      <c r="BF111" s="49">
        <f t="shared" si="5"/>
        <v>12.48130137</v>
      </c>
      <c r="BG111" s="78"/>
    </row>
    <row r="112" ht="15.75" customHeight="1">
      <c r="A112" s="50" t="s">
        <v>53</v>
      </c>
      <c r="B112" s="51">
        <f t="shared" si="6"/>
        <v>45765</v>
      </c>
      <c r="C112" s="52">
        <v>4.0</v>
      </c>
      <c r="D112" s="52" t="s">
        <v>72</v>
      </c>
      <c r="E112" s="53"/>
      <c r="F112" s="85">
        <v>0.0</v>
      </c>
      <c r="H112" s="86">
        <v>0.0</v>
      </c>
      <c r="J112" s="86">
        <v>0.0</v>
      </c>
      <c r="L112" s="86">
        <v>0.0</v>
      </c>
      <c r="N112" s="86">
        <v>0.0</v>
      </c>
      <c r="P112" s="86">
        <v>0.0</v>
      </c>
      <c r="Q112" s="43"/>
      <c r="R112" s="86">
        <v>0.0</v>
      </c>
      <c r="T112" s="85">
        <v>135.0</v>
      </c>
      <c r="V112" s="86">
        <v>135.0</v>
      </c>
      <c r="X112" s="86">
        <v>6.0</v>
      </c>
      <c r="Z112" s="86">
        <v>0.0</v>
      </c>
      <c r="AB112" s="86">
        <v>0.0</v>
      </c>
      <c r="AD112" s="86">
        <v>4.0</v>
      </c>
      <c r="AE112" s="43"/>
      <c r="AF112" s="86">
        <v>0.0</v>
      </c>
      <c r="AH112" s="86">
        <v>50.0</v>
      </c>
      <c r="AJ112" s="86">
        <v>50.0</v>
      </c>
      <c r="AL112" s="85">
        <v>25.0</v>
      </c>
      <c r="AM112" s="43"/>
      <c r="AN112" s="72">
        <v>0.0</v>
      </c>
      <c r="AO112" s="43"/>
      <c r="AP112" s="85">
        <v>0.0</v>
      </c>
      <c r="AQ112" s="43"/>
      <c r="AR112" s="85">
        <v>0.0</v>
      </c>
      <c r="AS112" s="43"/>
      <c r="AT112" s="85">
        <v>0.0</v>
      </c>
      <c r="AU112" s="43"/>
      <c r="AV112" s="86">
        <v>0.0</v>
      </c>
      <c r="AX112" s="86">
        <v>40.0</v>
      </c>
      <c r="AY112" s="43"/>
      <c r="AZ112" s="86">
        <v>0.0</v>
      </c>
      <c r="BB112" s="54">
        <f t="shared" si="1"/>
        <v>5544.65</v>
      </c>
      <c r="BC112" s="52">
        <f t="shared" si="2"/>
        <v>445</v>
      </c>
      <c r="BD112" s="52">
        <f t="shared" si="3"/>
        <v>0</v>
      </c>
      <c r="BE112" s="52">
        <f t="shared" si="4"/>
        <v>445</v>
      </c>
      <c r="BF112" s="49">
        <f t="shared" si="5"/>
        <v>12.45988764</v>
      </c>
      <c r="BG112" s="78"/>
    </row>
    <row r="113" ht="15.75" customHeight="1">
      <c r="A113" s="50" t="s">
        <v>54</v>
      </c>
      <c r="B113" s="51">
        <f t="shared" si="6"/>
        <v>45766</v>
      </c>
      <c r="C113" s="52">
        <v>4.0</v>
      </c>
      <c r="D113" s="52" t="s">
        <v>72</v>
      </c>
      <c r="E113" s="53"/>
      <c r="F113" s="85">
        <v>0.0</v>
      </c>
      <c r="H113" s="86">
        <v>0.0</v>
      </c>
      <c r="J113" s="86">
        <v>0.0</v>
      </c>
      <c r="L113" s="86">
        <v>0.0</v>
      </c>
      <c r="N113" s="86">
        <v>0.0</v>
      </c>
      <c r="P113" s="86">
        <v>0.0</v>
      </c>
      <c r="Q113" s="43"/>
      <c r="R113" s="86">
        <v>0.0</v>
      </c>
      <c r="T113" s="85">
        <v>135.0</v>
      </c>
      <c r="V113" s="86">
        <v>135.0</v>
      </c>
      <c r="X113" s="86">
        <v>12.0</v>
      </c>
      <c r="Z113" s="86">
        <v>0.0</v>
      </c>
      <c r="AB113" s="86">
        <v>0.0</v>
      </c>
      <c r="AD113" s="86">
        <v>0.0</v>
      </c>
      <c r="AE113" s="43"/>
      <c r="AF113" s="86">
        <v>0.0</v>
      </c>
      <c r="AH113" s="86">
        <v>50.0</v>
      </c>
      <c r="AJ113" s="86">
        <v>0.0</v>
      </c>
      <c r="AL113" s="85">
        <v>25.0</v>
      </c>
      <c r="AM113" s="43"/>
      <c r="AN113" s="72">
        <v>0.0</v>
      </c>
      <c r="AO113" s="43"/>
      <c r="AP113" s="85">
        <v>0.0</v>
      </c>
      <c r="AQ113" s="43"/>
      <c r="AR113" s="85">
        <v>0.0</v>
      </c>
      <c r="AS113" s="43"/>
      <c r="AT113" s="85">
        <v>0.0</v>
      </c>
      <c r="AU113" s="43"/>
      <c r="AV113" s="86">
        <v>0.0</v>
      </c>
      <c r="AX113" s="86">
        <v>0.0</v>
      </c>
      <c r="AY113" s="43"/>
      <c r="AZ113" s="86">
        <v>40.0</v>
      </c>
      <c r="BB113" s="54">
        <f t="shared" si="1"/>
        <v>4327.59</v>
      </c>
      <c r="BC113" s="52">
        <f t="shared" si="2"/>
        <v>357</v>
      </c>
      <c r="BD113" s="52">
        <f t="shared" si="3"/>
        <v>0</v>
      </c>
      <c r="BE113" s="52">
        <f t="shared" si="4"/>
        <v>357</v>
      </c>
      <c r="BF113" s="49">
        <f t="shared" si="5"/>
        <v>12.12210084</v>
      </c>
      <c r="BG113" s="78"/>
    </row>
    <row r="114" ht="15.75" customHeight="1">
      <c r="A114" s="59" t="s">
        <v>61</v>
      </c>
      <c r="B114" s="61">
        <f t="shared" si="6"/>
        <v>45767</v>
      </c>
      <c r="C114" s="63">
        <v>4.0</v>
      </c>
      <c r="D114" s="63" t="s">
        <v>72</v>
      </c>
      <c r="E114" s="64"/>
      <c r="F114" s="87">
        <v>0.0</v>
      </c>
      <c r="G114" s="66"/>
      <c r="H114" s="88">
        <v>0.0</v>
      </c>
      <c r="I114" s="66"/>
      <c r="J114" s="88">
        <v>0.0</v>
      </c>
      <c r="K114" s="66"/>
      <c r="L114" s="88">
        <v>0.0</v>
      </c>
      <c r="M114" s="66"/>
      <c r="N114" s="88">
        <v>0.0</v>
      </c>
      <c r="O114" s="66"/>
      <c r="P114" s="88">
        <v>0.0</v>
      </c>
      <c r="Q114" s="68"/>
      <c r="R114" s="88">
        <v>0.0</v>
      </c>
      <c r="S114" s="66"/>
      <c r="T114" s="87">
        <v>0.0</v>
      </c>
      <c r="U114" s="66"/>
      <c r="V114" s="88">
        <v>0.0</v>
      </c>
      <c r="W114" s="66"/>
      <c r="X114" s="88">
        <v>0.0</v>
      </c>
      <c r="Y114" s="66"/>
      <c r="Z114" s="88">
        <v>0.0</v>
      </c>
      <c r="AA114" s="66"/>
      <c r="AB114" s="88">
        <v>0.0</v>
      </c>
      <c r="AC114" s="66"/>
      <c r="AD114" s="88">
        <v>0.0</v>
      </c>
      <c r="AE114" s="68"/>
      <c r="AF114" s="88">
        <v>0.0</v>
      </c>
      <c r="AG114" s="66"/>
      <c r="AH114" s="88">
        <v>0.0</v>
      </c>
      <c r="AI114" s="66"/>
      <c r="AJ114" s="88">
        <v>0.0</v>
      </c>
      <c r="AK114" s="66"/>
      <c r="AL114" s="87">
        <v>0.0</v>
      </c>
      <c r="AM114" s="68"/>
      <c r="AN114" s="84">
        <v>0.0</v>
      </c>
      <c r="AO114" s="68"/>
      <c r="AP114" s="87">
        <v>0.0</v>
      </c>
      <c r="AQ114" s="68"/>
      <c r="AR114" s="87">
        <v>0.0</v>
      </c>
      <c r="AS114" s="68"/>
      <c r="AT114" s="87">
        <v>0.0</v>
      </c>
      <c r="AU114" s="68"/>
      <c r="AV114" s="88">
        <v>0.0</v>
      </c>
      <c r="AW114" s="66"/>
      <c r="AX114" s="88">
        <v>0.0</v>
      </c>
      <c r="AY114" s="68"/>
      <c r="AZ114" s="88">
        <v>0.0</v>
      </c>
      <c r="BA114" s="66"/>
      <c r="BB114" s="73">
        <f t="shared" si="1"/>
        <v>0</v>
      </c>
      <c r="BC114" s="63">
        <f t="shared" si="2"/>
        <v>0</v>
      </c>
      <c r="BD114" s="63">
        <f t="shared" si="3"/>
        <v>0</v>
      </c>
      <c r="BE114" s="63">
        <f t="shared" si="4"/>
        <v>0</v>
      </c>
      <c r="BF114" s="74" t="str">
        <f t="shared" si="5"/>
        <v/>
      </c>
      <c r="BG114" s="78"/>
    </row>
    <row r="115" ht="15.75" customHeight="1">
      <c r="A115" s="36" t="s">
        <v>46</v>
      </c>
      <c r="B115" s="75">
        <f t="shared" si="6"/>
        <v>45768</v>
      </c>
      <c r="C115" s="38">
        <v>5.0</v>
      </c>
      <c r="D115" s="38" t="s">
        <v>47</v>
      </c>
      <c r="E115" s="40"/>
      <c r="F115" s="97"/>
      <c r="G115" s="98">
        <v>0.0</v>
      </c>
      <c r="H115" s="86">
        <v>0.0</v>
      </c>
      <c r="J115" s="86">
        <v>0.0</v>
      </c>
      <c r="L115" s="86">
        <v>0.0</v>
      </c>
      <c r="N115" s="86">
        <v>0.0</v>
      </c>
      <c r="P115" s="86">
        <v>0.0</v>
      </c>
      <c r="Q115" s="43"/>
      <c r="R115" s="86">
        <v>0.0</v>
      </c>
      <c r="T115" s="85">
        <v>135.0</v>
      </c>
      <c r="V115" s="86">
        <v>135.0</v>
      </c>
      <c r="X115" s="86">
        <v>0.0</v>
      </c>
      <c r="Z115" s="86">
        <v>0.0</v>
      </c>
      <c r="AB115" s="86">
        <v>0.0</v>
      </c>
      <c r="AD115" s="86">
        <v>0.0</v>
      </c>
      <c r="AE115" s="43"/>
      <c r="AF115" s="86">
        <v>0.0</v>
      </c>
      <c r="AH115" s="86">
        <v>0.0</v>
      </c>
      <c r="AJ115" s="86">
        <v>0.0</v>
      </c>
      <c r="AL115" s="85">
        <v>0.0</v>
      </c>
      <c r="AM115" s="43"/>
      <c r="AN115" s="72">
        <v>0.0</v>
      </c>
      <c r="AO115" s="43"/>
      <c r="AP115" s="85">
        <v>0.0</v>
      </c>
      <c r="AQ115" s="43"/>
      <c r="AR115" s="85">
        <v>0.0</v>
      </c>
      <c r="AS115" s="43"/>
      <c r="AT115" s="85">
        <v>0.0</v>
      </c>
      <c r="AU115" s="43"/>
      <c r="AV115" s="86">
        <v>0.0</v>
      </c>
      <c r="AX115" s="86">
        <v>46.0</v>
      </c>
      <c r="AY115" s="43"/>
      <c r="AZ115" s="86">
        <v>0.0</v>
      </c>
      <c r="BB115" s="47">
        <f>(P119*G$2)+(H115*I$2)+(J115*K$2)+(L115*M$2)+(N115*O$2)+(P115*Q$2)+(T115*U$2)+(V115*W$2)+(X115*Y$2)+(Z115*AA$2)+(AB115*AC$2)+(AD115*AE$2)+(AP115*AQ$2)+(AR115*AS$2)+(AT115*AU$2)+(AV115*AW$2)+(AX115*AY$2)+(AF115*AG$2)+(AH115*AI$2)+(AJ115*AK$2)+(AL115*$AM$2)+(R115*$S$2)</f>
        <v>3513.92</v>
      </c>
      <c r="BC115" s="38">
        <f t="shared" si="2"/>
        <v>316</v>
      </c>
      <c r="BD115" s="38">
        <f t="shared" si="3"/>
        <v>0</v>
      </c>
      <c r="BE115" s="38">
        <f t="shared" si="4"/>
        <v>316</v>
      </c>
      <c r="BF115" s="76">
        <f t="shared" si="5"/>
        <v>11.12</v>
      </c>
      <c r="BG115" s="78"/>
    </row>
    <row r="116" ht="15.75" customHeight="1">
      <c r="A116" s="50" t="s">
        <v>48</v>
      </c>
      <c r="B116" s="51">
        <f t="shared" si="6"/>
        <v>45769</v>
      </c>
      <c r="C116" s="52">
        <v>5.0</v>
      </c>
      <c r="D116" s="52" t="s">
        <v>47</v>
      </c>
      <c r="E116" s="53"/>
      <c r="F116" s="85">
        <v>0.0</v>
      </c>
      <c r="H116" s="86">
        <v>0.0</v>
      </c>
      <c r="J116" s="86">
        <v>0.0</v>
      </c>
      <c r="L116" s="86">
        <v>0.0</v>
      </c>
      <c r="N116" s="86">
        <v>0.0</v>
      </c>
      <c r="P116" s="86">
        <v>0.0</v>
      </c>
      <c r="Q116" s="43"/>
      <c r="R116" s="86">
        <v>0.0</v>
      </c>
      <c r="T116" s="85">
        <v>135.0</v>
      </c>
      <c r="V116" s="86">
        <v>135.0</v>
      </c>
      <c r="X116" s="86">
        <v>0.0</v>
      </c>
      <c r="Z116" s="86">
        <v>0.0</v>
      </c>
      <c r="AB116" s="86">
        <v>0.0</v>
      </c>
      <c r="AD116" s="86">
        <v>0.0</v>
      </c>
      <c r="AE116" s="43"/>
      <c r="AF116" s="86">
        <v>0.0</v>
      </c>
      <c r="AH116" s="86">
        <v>0.0</v>
      </c>
      <c r="AJ116" s="86">
        <v>0.0</v>
      </c>
      <c r="AL116" s="85">
        <v>0.0</v>
      </c>
      <c r="AM116" s="43"/>
      <c r="AN116" s="72">
        <v>0.0</v>
      </c>
      <c r="AO116" s="43"/>
      <c r="AP116" s="85">
        <v>0.0</v>
      </c>
      <c r="AQ116" s="43"/>
      <c r="AR116" s="85">
        <v>0.0</v>
      </c>
      <c r="AS116" s="43"/>
      <c r="AT116" s="85">
        <v>0.0</v>
      </c>
      <c r="AU116" s="43"/>
      <c r="AV116" s="86">
        <v>0.0</v>
      </c>
      <c r="AX116" s="86">
        <v>0.0</v>
      </c>
      <c r="AY116" s="43"/>
      <c r="AZ116" s="86">
        <v>39.0</v>
      </c>
      <c r="BB116" s="54">
        <f t="shared" ref="BB116:BB119" si="7">(F116*G$2)+(H116*I$2)+(J116*K$2)+(L116*M$2)+(N116*O$2)+(P116*Q$2)+(T116*U$2)+(V116*W$2)+(X116*Y$2)+(Z116*AA$2)+(AB116*AC$2)+(AD116*AE$2)+(AP116*AQ$2)+(AR116*AS$2)+(AT116*AU$2)+(AV116*AW$2)+(AX116*AY$2)+(AF116*AG$2)+(AH116*AI$2)+(AJ116*AK$2)+(AL116*$AM$2)+(R116*$S$2)</f>
        <v>3002.4</v>
      </c>
      <c r="BC116" s="52">
        <f t="shared" si="2"/>
        <v>270</v>
      </c>
      <c r="BD116" s="52">
        <f t="shared" si="3"/>
        <v>0</v>
      </c>
      <c r="BE116" s="52">
        <f t="shared" si="4"/>
        <v>270</v>
      </c>
      <c r="BF116" s="49">
        <f t="shared" si="5"/>
        <v>11.12</v>
      </c>
      <c r="BG116" s="78"/>
    </row>
    <row r="117" ht="15.75" customHeight="1">
      <c r="A117" s="50" t="s">
        <v>49</v>
      </c>
      <c r="B117" s="51">
        <f t="shared" si="6"/>
        <v>45770</v>
      </c>
      <c r="C117" s="52">
        <v>5.0</v>
      </c>
      <c r="D117" s="52" t="s">
        <v>47</v>
      </c>
      <c r="E117" s="53"/>
      <c r="F117" s="85">
        <v>0.0</v>
      </c>
      <c r="H117" s="86">
        <v>0.0</v>
      </c>
      <c r="J117" s="86">
        <v>0.0</v>
      </c>
      <c r="L117" s="86">
        <v>0.0</v>
      </c>
      <c r="N117" s="86">
        <v>0.0</v>
      </c>
      <c r="P117" s="86">
        <v>0.0</v>
      </c>
      <c r="Q117" s="43"/>
      <c r="R117" s="86">
        <v>0.0</v>
      </c>
      <c r="T117" s="85">
        <v>135.0</v>
      </c>
      <c r="V117" s="86">
        <v>135.0</v>
      </c>
      <c r="X117" s="86">
        <v>0.0</v>
      </c>
      <c r="Z117" s="86">
        <v>0.0</v>
      </c>
      <c r="AB117" s="86">
        <v>3.0</v>
      </c>
      <c r="AD117" s="86">
        <v>0.0</v>
      </c>
      <c r="AE117" s="43"/>
      <c r="AF117" s="86">
        <v>0.0</v>
      </c>
      <c r="AH117" s="86">
        <v>0.0</v>
      </c>
      <c r="AJ117" s="86">
        <v>0.0</v>
      </c>
      <c r="AL117" s="85">
        <v>0.0</v>
      </c>
      <c r="AM117" s="43"/>
      <c r="AN117" s="72">
        <v>0.0</v>
      </c>
      <c r="AO117" s="43"/>
      <c r="AP117" s="85">
        <v>0.0</v>
      </c>
      <c r="AQ117" s="43"/>
      <c r="AR117" s="85">
        <v>0.0</v>
      </c>
      <c r="AS117" s="43"/>
      <c r="AT117" s="85">
        <v>0.0</v>
      </c>
      <c r="AU117" s="43"/>
      <c r="AV117" s="86">
        <v>0.0</v>
      </c>
      <c r="AX117" s="86">
        <v>39.0</v>
      </c>
      <c r="AY117" s="43"/>
      <c r="AZ117" s="86">
        <v>0.0</v>
      </c>
      <c r="BB117" s="54">
        <f t="shared" si="7"/>
        <v>3469.44</v>
      </c>
      <c r="BC117" s="52">
        <f t="shared" si="2"/>
        <v>312</v>
      </c>
      <c r="BD117" s="52">
        <f t="shared" si="3"/>
        <v>0</v>
      </c>
      <c r="BE117" s="52">
        <f t="shared" si="4"/>
        <v>312</v>
      </c>
      <c r="BF117" s="49">
        <f t="shared" si="5"/>
        <v>11.12</v>
      </c>
      <c r="BG117" s="78"/>
    </row>
    <row r="118" ht="15.75" customHeight="1">
      <c r="A118" s="50" t="s">
        <v>50</v>
      </c>
      <c r="B118" s="51">
        <f t="shared" si="6"/>
        <v>45771</v>
      </c>
      <c r="C118" s="52">
        <v>5.0</v>
      </c>
      <c r="D118" s="52" t="s">
        <v>47</v>
      </c>
      <c r="E118" s="53"/>
      <c r="F118" s="85">
        <v>0.0</v>
      </c>
      <c r="H118" s="86">
        <v>0.0</v>
      </c>
      <c r="J118" s="86">
        <v>0.0</v>
      </c>
      <c r="L118" s="86">
        <v>0.0</v>
      </c>
      <c r="N118" s="86">
        <v>0.0</v>
      </c>
      <c r="P118" s="86">
        <v>0.0</v>
      </c>
      <c r="Q118" s="43"/>
      <c r="R118" s="86">
        <v>0.0</v>
      </c>
      <c r="T118" s="85">
        <v>135.0</v>
      </c>
      <c r="V118" s="86">
        <v>135.0</v>
      </c>
      <c r="X118" s="86">
        <v>0.0</v>
      </c>
      <c r="Z118" s="86">
        <v>0.0</v>
      </c>
      <c r="AB118" s="86">
        <v>0.0</v>
      </c>
      <c r="AD118" s="86">
        <v>0.0</v>
      </c>
      <c r="AE118" s="43"/>
      <c r="AF118" s="86">
        <v>0.0</v>
      </c>
      <c r="AH118" s="86">
        <v>0.0</v>
      </c>
      <c r="AJ118" s="86">
        <v>0.0</v>
      </c>
      <c r="AL118" s="85">
        <v>0.0</v>
      </c>
      <c r="AM118" s="43"/>
      <c r="AN118" s="72">
        <v>0.0</v>
      </c>
      <c r="AO118" s="43"/>
      <c r="AP118" s="85">
        <v>0.0</v>
      </c>
      <c r="AQ118" s="43"/>
      <c r="AR118" s="85">
        <v>0.0</v>
      </c>
      <c r="AS118" s="43"/>
      <c r="AT118" s="85">
        <v>0.0</v>
      </c>
      <c r="AU118" s="43"/>
      <c r="AV118" s="86">
        <v>0.0</v>
      </c>
      <c r="AX118" s="86">
        <v>39.0</v>
      </c>
      <c r="AY118" s="43"/>
      <c r="AZ118" s="86">
        <v>0.0</v>
      </c>
      <c r="BB118" s="54">
        <f t="shared" si="7"/>
        <v>3436.08</v>
      </c>
      <c r="BC118" s="52">
        <f t="shared" si="2"/>
        <v>309</v>
      </c>
      <c r="BD118" s="52">
        <f t="shared" si="3"/>
        <v>0</v>
      </c>
      <c r="BE118" s="52">
        <f t="shared" si="4"/>
        <v>309</v>
      </c>
      <c r="BF118" s="49">
        <f t="shared" si="5"/>
        <v>11.12</v>
      </c>
      <c r="BG118" s="78"/>
    </row>
    <row r="119" ht="15.75" customHeight="1">
      <c r="A119" s="50" t="s">
        <v>53</v>
      </c>
      <c r="B119" s="51">
        <f t="shared" si="6"/>
        <v>45772</v>
      </c>
      <c r="C119" s="52">
        <v>5.0</v>
      </c>
      <c r="D119" s="52" t="s">
        <v>47</v>
      </c>
      <c r="E119" s="53"/>
      <c r="F119" s="85">
        <v>0.0</v>
      </c>
      <c r="H119" s="86">
        <v>0.0</v>
      </c>
      <c r="J119" s="86">
        <v>0.0</v>
      </c>
      <c r="L119" s="86">
        <v>0.0</v>
      </c>
      <c r="N119" s="86">
        <v>0.0</v>
      </c>
      <c r="P119" s="85">
        <v>0.0</v>
      </c>
      <c r="R119" s="86">
        <v>0.0</v>
      </c>
      <c r="T119" s="85">
        <v>135.0</v>
      </c>
      <c r="V119" s="86">
        <v>135.0</v>
      </c>
      <c r="X119" s="86">
        <v>0.0</v>
      </c>
      <c r="Z119" s="86">
        <v>0.0</v>
      </c>
      <c r="AB119" s="86">
        <v>0.0</v>
      </c>
      <c r="AD119" s="86">
        <v>0.0</v>
      </c>
      <c r="AE119" s="43"/>
      <c r="AF119" s="86">
        <v>0.0</v>
      </c>
      <c r="AH119" s="86">
        <v>0.0</v>
      </c>
      <c r="AJ119" s="86">
        <v>0.0</v>
      </c>
      <c r="AL119" s="85">
        <v>0.0</v>
      </c>
      <c r="AM119" s="43"/>
      <c r="AN119" s="72">
        <v>0.0</v>
      </c>
      <c r="AO119" s="43"/>
      <c r="AP119" s="85">
        <v>0.0</v>
      </c>
      <c r="AQ119" s="43"/>
      <c r="AR119" s="85">
        <v>0.0</v>
      </c>
      <c r="AS119" s="43"/>
      <c r="AT119" s="85">
        <v>0.0</v>
      </c>
      <c r="AU119" s="43"/>
      <c r="AV119" s="86">
        <v>0.0</v>
      </c>
      <c r="AX119" s="86">
        <v>0.0</v>
      </c>
      <c r="AY119" s="43"/>
      <c r="AZ119" s="86">
        <v>0.0</v>
      </c>
      <c r="BB119" s="54">
        <f t="shared" si="7"/>
        <v>3002.4</v>
      </c>
      <c r="BC119" s="52">
        <f t="shared" si="2"/>
        <v>270</v>
      </c>
      <c r="BD119" s="52">
        <f t="shared" si="3"/>
        <v>0</v>
      </c>
      <c r="BE119" s="52">
        <f t="shared" si="4"/>
        <v>270</v>
      </c>
      <c r="BF119" s="49">
        <f t="shared" si="5"/>
        <v>11.12</v>
      </c>
      <c r="BG119" s="78"/>
    </row>
    <row r="120" ht="15.75" customHeight="1">
      <c r="A120" s="50" t="s">
        <v>54</v>
      </c>
      <c r="B120" s="51">
        <f t="shared" si="6"/>
        <v>45773</v>
      </c>
      <c r="C120" s="52">
        <v>5.0</v>
      </c>
      <c r="D120" s="52" t="s">
        <v>47</v>
      </c>
      <c r="E120" s="53"/>
      <c r="F120" s="85">
        <v>0.0</v>
      </c>
      <c r="H120" s="86">
        <v>0.0</v>
      </c>
      <c r="J120" s="86">
        <v>0.0</v>
      </c>
      <c r="L120" s="86">
        <v>0.0</v>
      </c>
      <c r="N120" s="86">
        <v>0.0</v>
      </c>
      <c r="P120" s="86">
        <v>0.0</v>
      </c>
      <c r="Q120" s="43"/>
      <c r="R120" s="86">
        <v>0.0</v>
      </c>
      <c r="T120" s="85">
        <v>135.0</v>
      </c>
      <c r="V120" s="86">
        <v>135.0</v>
      </c>
      <c r="X120" s="86">
        <v>21.0</v>
      </c>
      <c r="Z120" s="86">
        <v>0.0</v>
      </c>
      <c r="AB120" s="86">
        <v>0.0</v>
      </c>
      <c r="AD120" s="86">
        <v>0.0</v>
      </c>
      <c r="AE120" s="43"/>
      <c r="AF120" s="86">
        <v>0.0</v>
      </c>
      <c r="AH120" s="86">
        <v>0.0</v>
      </c>
      <c r="AJ120" s="86">
        <v>0.0</v>
      </c>
      <c r="AL120" s="85">
        <v>0.0</v>
      </c>
      <c r="AM120" s="43"/>
      <c r="AN120" s="72">
        <v>0.0</v>
      </c>
      <c r="AO120" s="43"/>
      <c r="AP120" s="85">
        <v>0.0</v>
      </c>
      <c r="AQ120" s="43"/>
      <c r="AR120" s="85">
        <v>0.0</v>
      </c>
      <c r="AS120" s="43"/>
      <c r="AT120" s="85">
        <v>0.0</v>
      </c>
      <c r="AU120" s="43"/>
      <c r="AV120" s="86">
        <v>0.0</v>
      </c>
      <c r="AX120" s="86">
        <v>0.0</v>
      </c>
      <c r="AY120" s="43"/>
      <c r="AZ120" s="86">
        <v>0.0</v>
      </c>
      <c r="BB120" s="99">
        <v>0.0</v>
      </c>
      <c r="BC120" s="52">
        <f t="shared" si="2"/>
        <v>291</v>
      </c>
      <c r="BD120" s="52">
        <f t="shared" si="3"/>
        <v>0</v>
      </c>
      <c r="BE120" s="52">
        <f t="shared" si="4"/>
        <v>291</v>
      </c>
      <c r="BF120" s="49">
        <f t="shared" si="5"/>
        <v>0</v>
      </c>
      <c r="BG120" s="78"/>
    </row>
    <row r="121" ht="15.75" customHeight="1">
      <c r="A121" s="59" t="s">
        <v>61</v>
      </c>
      <c r="B121" s="61">
        <f t="shared" si="6"/>
        <v>45774</v>
      </c>
      <c r="C121" s="63">
        <v>5.0</v>
      </c>
      <c r="D121" s="63" t="s">
        <v>47</v>
      </c>
      <c r="E121" s="64"/>
      <c r="F121" s="87">
        <v>0.0</v>
      </c>
      <c r="G121" s="66"/>
      <c r="H121" s="88">
        <v>0.0</v>
      </c>
      <c r="I121" s="66"/>
      <c r="J121" s="88">
        <v>0.0</v>
      </c>
      <c r="K121" s="66"/>
      <c r="L121" s="88">
        <v>0.0</v>
      </c>
      <c r="M121" s="66"/>
      <c r="N121" s="88">
        <v>0.0</v>
      </c>
      <c r="O121" s="66"/>
      <c r="P121" s="88">
        <v>0.0</v>
      </c>
      <c r="Q121" s="68"/>
      <c r="R121" s="88">
        <v>0.0</v>
      </c>
      <c r="S121" s="66"/>
      <c r="T121" s="87">
        <v>0.0</v>
      </c>
      <c r="U121" s="66"/>
      <c r="V121" s="88">
        <v>0.0</v>
      </c>
      <c r="W121" s="66"/>
      <c r="X121" s="88">
        <v>0.0</v>
      </c>
      <c r="Y121" s="66"/>
      <c r="Z121" s="88">
        <v>0.0</v>
      </c>
      <c r="AA121" s="66"/>
      <c r="AB121" s="88">
        <v>0.0</v>
      </c>
      <c r="AC121" s="66"/>
      <c r="AD121" s="88">
        <v>0.0</v>
      </c>
      <c r="AE121" s="68"/>
      <c r="AF121" s="88">
        <v>0.0</v>
      </c>
      <c r="AG121" s="66"/>
      <c r="AH121" s="88">
        <v>0.0</v>
      </c>
      <c r="AI121" s="66"/>
      <c r="AJ121" s="88">
        <v>0.0</v>
      </c>
      <c r="AK121" s="66"/>
      <c r="AL121" s="87">
        <v>0.0</v>
      </c>
      <c r="AM121" s="68"/>
      <c r="AN121" s="84">
        <v>0.0</v>
      </c>
      <c r="AO121" s="68"/>
      <c r="AP121" s="87">
        <v>0.0</v>
      </c>
      <c r="AQ121" s="68"/>
      <c r="AR121" s="87">
        <v>0.0</v>
      </c>
      <c r="AS121" s="68"/>
      <c r="AT121" s="87">
        <v>0.0</v>
      </c>
      <c r="AU121" s="68"/>
      <c r="AV121" s="88">
        <v>0.0</v>
      </c>
      <c r="AW121" s="66"/>
      <c r="AX121" s="88">
        <v>0.0</v>
      </c>
      <c r="AY121" s="68"/>
      <c r="AZ121" s="88">
        <v>0.0</v>
      </c>
      <c r="BA121" s="66"/>
      <c r="BB121" s="73">
        <f t="shared" ref="BB121:BB366" si="8">(F121*G$2)+(H121*I$2)+(J121*K$2)+(L121*M$2)+(N121*O$2)+(P121*Q$2)+(T121*U$2)+(V121*W$2)+(X121*Y$2)+(Z121*AA$2)+(AB121*AC$2)+(AD121*AE$2)+(AP121*AQ$2)+(AR121*AS$2)+(AT121*AU$2)+(AV121*AW$2)+(AX121*AY$2)+(AF121*AG$2)+(AH121*AI$2)+(AJ121*AK$2)+(AL121*$AM$2)+(R121*$S$2)</f>
        <v>0</v>
      </c>
      <c r="BC121" s="63">
        <f t="shared" si="2"/>
        <v>0</v>
      </c>
      <c r="BD121" s="63">
        <f t="shared" si="3"/>
        <v>0</v>
      </c>
      <c r="BE121" s="63">
        <f t="shared" si="4"/>
        <v>0</v>
      </c>
      <c r="BF121" s="74" t="str">
        <f t="shared" si="5"/>
        <v/>
      </c>
      <c r="BG121" s="78"/>
    </row>
    <row r="122" ht="15.75" customHeight="1">
      <c r="A122" s="36" t="s">
        <v>46</v>
      </c>
      <c r="B122" s="75">
        <f t="shared" si="6"/>
        <v>45775</v>
      </c>
      <c r="C122" s="38">
        <v>5.0</v>
      </c>
      <c r="D122" s="38" t="s">
        <v>65</v>
      </c>
      <c r="E122" s="40"/>
      <c r="F122" s="85">
        <v>0.0</v>
      </c>
      <c r="H122" s="86">
        <v>0.0</v>
      </c>
      <c r="J122" s="86">
        <v>0.0</v>
      </c>
      <c r="L122" s="86">
        <v>0.0</v>
      </c>
      <c r="N122" s="86">
        <v>0.0</v>
      </c>
      <c r="P122" s="86">
        <v>0.0</v>
      </c>
      <c r="Q122" s="43"/>
      <c r="R122" s="86">
        <v>0.0</v>
      </c>
      <c r="T122" s="85">
        <v>135.0</v>
      </c>
      <c r="V122" s="86">
        <v>135.0</v>
      </c>
      <c r="X122" s="86">
        <v>0.0</v>
      </c>
      <c r="Z122" s="86">
        <v>0.0</v>
      </c>
      <c r="AB122" s="86">
        <v>0.0</v>
      </c>
      <c r="AD122" s="86">
        <v>0.0</v>
      </c>
      <c r="AE122" s="43"/>
      <c r="AF122" s="86">
        <v>0.0</v>
      </c>
      <c r="AH122" s="86">
        <v>0.0</v>
      </c>
      <c r="AJ122" s="86">
        <v>0.0</v>
      </c>
      <c r="AL122" s="85">
        <v>0.0</v>
      </c>
      <c r="AM122" s="43"/>
      <c r="AN122" s="72">
        <v>1978.05</v>
      </c>
      <c r="AO122" s="43"/>
      <c r="AP122" s="85">
        <v>0.0</v>
      </c>
      <c r="AQ122" s="43"/>
      <c r="AR122" s="85">
        <v>0.0</v>
      </c>
      <c r="AS122" s="43"/>
      <c r="AT122" s="85">
        <v>0.0</v>
      </c>
      <c r="AU122" s="43"/>
      <c r="AV122" s="86">
        <v>0.0</v>
      </c>
      <c r="AX122" s="86">
        <v>0.0</v>
      </c>
      <c r="AY122" s="43"/>
      <c r="AZ122" s="86">
        <v>0.0</v>
      </c>
      <c r="BB122" s="47">
        <f t="shared" si="8"/>
        <v>3002.4</v>
      </c>
      <c r="BC122" s="38">
        <f t="shared" si="2"/>
        <v>270</v>
      </c>
      <c r="BD122" s="38">
        <f t="shared" si="3"/>
        <v>0</v>
      </c>
      <c r="BE122" s="38">
        <f t="shared" si="4"/>
        <v>270</v>
      </c>
      <c r="BF122" s="76">
        <f t="shared" si="5"/>
        <v>11.12</v>
      </c>
      <c r="BG122" s="78"/>
    </row>
    <row r="123" ht="15.75" customHeight="1">
      <c r="A123" s="50" t="s">
        <v>48</v>
      </c>
      <c r="B123" s="51">
        <f t="shared" si="6"/>
        <v>45776</v>
      </c>
      <c r="C123" s="52">
        <v>5.0</v>
      </c>
      <c r="D123" s="52" t="s">
        <v>65</v>
      </c>
      <c r="E123" s="53"/>
      <c r="F123" s="85">
        <v>0.0</v>
      </c>
      <c r="H123" s="86">
        <v>0.0</v>
      </c>
      <c r="J123" s="86">
        <v>0.0</v>
      </c>
      <c r="L123" s="86">
        <v>0.0</v>
      </c>
      <c r="N123" s="86">
        <v>0.0</v>
      </c>
      <c r="P123" s="86">
        <v>0.0</v>
      </c>
      <c r="Q123" s="43"/>
      <c r="R123" s="86">
        <v>0.0</v>
      </c>
      <c r="T123" s="85">
        <v>135.0</v>
      </c>
      <c r="V123" s="86">
        <v>135.0</v>
      </c>
      <c r="X123" s="86">
        <v>0.0</v>
      </c>
      <c r="Z123" s="86">
        <v>0.0</v>
      </c>
      <c r="AB123" s="86">
        <v>0.0</v>
      </c>
      <c r="AD123" s="86">
        <v>0.0</v>
      </c>
      <c r="AE123" s="43"/>
      <c r="AF123" s="86">
        <v>0.0</v>
      </c>
      <c r="AH123" s="86">
        <v>50.0</v>
      </c>
      <c r="AJ123" s="86">
        <v>50.0</v>
      </c>
      <c r="AL123" s="85">
        <v>18.0</v>
      </c>
      <c r="AM123" s="43"/>
      <c r="AN123" s="72">
        <v>0.0</v>
      </c>
      <c r="AO123" s="43"/>
      <c r="AP123" s="85">
        <v>0.0</v>
      </c>
      <c r="AQ123" s="43"/>
      <c r="AR123" s="85">
        <v>0.0</v>
      </c>
      <c r="AS123" s="43"/>
      <c r="AT123" s="85">
        <v>0.0</v>
      </c>
      <c r="AU123" s="43"/>
      <c r="AV123" s="86">
        <v>0.0</v>
      </c>
      <c r="AX123" s="86">
        <v>0.0</v>
      </c>
      <c r="AY123" s="43"/>
      <c r="AZ123" s="86">
        <v>0.0</v>
      </c>
      <c r="BB123" s="54">
        <f t="shared" si="8"/>
        <v>4877.42</v>
      </c>
      <c r="BC123" s="52">
        <f t="shared" si="2"/>
        <v>388</v>
      </c>
      <c r="BD123" s="52">
        <f t="shared" si="3"/>
        <v>0</v>
      </c>
      <c r="BE123" s="52">
        <f t="shared" si="4"/>
        <v>388</v>
      </c>
      <c r="BF123" s="49">
        <f t="shared" si="5"/>
        <v>12.5706701</v>
      </c>
      <c r="BG123" s="78"/>
    </row>
    <row r="124" ht="15.75" customHeight="1">
      <c r="A124" s="50" t="s">
        <v>49</v>
      </c>
      <c r="B124" s="51">
        <f t="shared" si="6"/>
        <v>45777</v>
      </c>
      <c r="C124" s="52">
        <v>5.0</v>
      </c>
      <c r="D124" s="52" t="s">
        <v>65</v>
      </c>
      <c r="E124" s="53"/>
      <c r="F124" s="85">
        <v>0.0</v>
      </c>
      <c r="H124" s="86">
        <v>0.0</v>
      </c>
      <c r="J124" s="86">
        <v>0.0</v>
      </c>
      <c r="L124" s="86">
        <v>0.0</v>
      </c>
      <c r="N124" s="86">
        <v>0.0</v>
      </c>
      <c r="P124" s="86">
        <v>0.0</v>
      </c>
      <c r="Q124" s="43"/>
      <c r="R124" s="86">
        <v>0.0</v>
      </c>
      <c r="T124" s="85">
        <v>135.0</v>
      </c>
      <c r="V124" s="86">
        <v>135.0</v>
      </c>
      <c r="X124" s="86">
        <v>0.0</v>
      </c>
      <c r="Z124" s="86">
        <v>0.0</v>
      </c>
      <c r="AB124" s="86">
        <v>0.0</v>
      </c>
      <c r="AD124" s="86">
        <v>0.0</v>
      </c>
      <c r="AE124" s="43"/>
      <c r="AF124" s="86">
        <v>0.0</v>
      </c>
      <c r="AH124" s="86">
        <v>50.0</v>
      </c>
      <c r="AJ124" s="86">
        <v>50.0</v>
      </c>
      <c r="AL124" s="85">
        <v>18.0</v>
      </c>
      <c r="AM124" s="43"/>
      <c r="AN124" s="72">
        <v>0.0</v>
      </c>
      <c r="AO124" s="43"/>
      <c r="AP124" s="85">
        <v>0.0</v>
      </c>
      <c r="AQ124" s="43"/>
      <c r="AR124" s="85">
        <v>0.0</v>
      </c>
      <c r="AS124" s="43"/>
      <c r="AT124" s="85">
        <v>0.0</v>
      </c>
      <c r="AU124" s="43"/>
      <c r="AV124" s="86">
        <v>0.0</v>
      </c>
      <c r="AX124" s="86">
        <v>0.0</v>
      </c>
      <c r="AY124" s="43"/>
      <c r="AZ124" s="86">
        <v>0.0</v>
      </c>
      <c r="BB124" s="54">
        <f t="shared" si="8"/>
        <v>4877.42</v>
      </c>
      <c r="BC124" s="52">
        <f t="shared" si="2"/>
        <v>388</v>
      </c>
      <c r="BD124" s="52">
        <f t="shared" si="3"/>
        <v>0</v>
      </c>
      <c r="BE124" s="52">
        <f t="shared" si="4"/>
        <v>388</v>
      </c>
      <c r="BF124" s="49">
        <f t="shared" si="5"/>
        <v>12.5706701</v>
      </c>
      <c r="BG124" s="78"/>
    </row>
    <row r="125" ht="15.75" customHeight="1">
      <c r="A125" s="50" t="s">
        <v>50</v>
      </c>
      <c r="B125" s="51">
        <f t="shared" si="6"/>
        <v>45778</v>
      </c>
      <c r="C125" s="52">
        <v>5.0</v>
      </c>
      <c r="D125" s="52" t="s">
        <v>65</v>
      </c>
      <c r="E125" s="53"/>
      <c r="F125" s="85">
        <v>0.0</v>
      </c>
      <c r="H125" s="86">
        <v>0.0</v>
      </c>
      <c r="J125" s="86">
        <v>0.0</v>
      </c>
      <c r="L125" s="86">
        <v>0.0</v>
      </c>
      <c r="N125" s="86">
        <v>0.0</v>
      </c>
      <c r="P125" s="86">
        <v>0.0</v>
      </c>
      <c r="Q125" s="43"/>
      <c r="R125" s="86">
        <v>0.0</v>
      </c>
      <c r="T125" s="85">
        <v>135.0</v>
      </c>
      <c r="V125" s="86">
        <v>85.0</v>
      </c>
      <c r="X125" s="86">
        <v>0.0</v>
      </c>
      <c r="Z125" s="86">
        <v>0.0</v>
      </c>
      <c r="AB125" s="86">
        <v>0.0</v>
      </c>
      <c r="AD125" s="86">
        <v>0.0</v>
      </c>
      <c r="AE125" s="43"/>
      <c r="AF125" s="86">
        <v>0.0</v>
      </c>
      <c r="AH125" s="86">
        <v>50.0</v>
      </c>
      <c r="AJ125" s="86">
        <v>50.0</v>
      </c>
      <c r="AL125" s="85">
        <v>18.0</v>
      </c>
      <c r="AM125" s="43"/>
      <c r="AN125" s="72">
        <v>0.0</v>
      </c>
      <c r="AO125" s="43"/>
      <c r="AP125" s="85">
        <v>0.0</v>
      </c>
      <c r="AQ125" s="43"/>
      <c r="AR125" s="85">
        <v>0.0</v>
      </c>
      <c r="AS125" s="43"/>
      <c r="AT125" s="85">
        <v>0.0</v>
      </c>
      <c r="AU125" s="43"/>
      <c r="AV125" s="86">
        <v>0.0</v>
      </c>
      <c r="AX125" s="86">
        <v>0.0</v>
      </c>
      <c r="AY125" s="43"/>
      <c r="AZ125" s="86">
        <v>0.0</v>
      </c>
      <c r="BB125" s="54">
        <f t="shared" si="8"/>
        <v>4321.42</v>
      </c>
      <c r="BC125" s="52">
        <f t="shared" si="2"/>
        <v>338</v>
      </c>
      <c r="BD125" s="52">
        <f t="shared" si="3"/>
        <v>0</v>
      </c>
      <c r="BE125" s="52">
        <f t="shared" si="4"/>
        <v>338</v>
      </c>
      <c r="BF125" s="49">
        <f t="shared" si="5"/>
        <v>12.78526627</v>
      </c>
      <c r="BG125" s="78"/>
    </row>
    <row r="126" ht="15.75" customHeight="1">
      <c r="A126" s="50" t="s">
        <v>53</v>
      </c>
      <c r="B126" s="51">
        <f t="shared" si="6"/>
        <v>45779</v>
      </c>
      <c r="C126" s="52">
        <v>5.0</v>
      </c>
      <c r="D126" s="52" t="s">
        <v>65</v>
      </c>
      <c r="E126" s="53"/>
      <c r="F126" s="85">
        <v>0.0</v>
      </c>
      <c r="H126" s="86">
        <v>0.0</v>
      </c>
      <c r="J126" s="86">
        <v>0.0</v>
      </c>
      <c r="L126" s="86">
        <v>0.0</v>
      </c>
      <c r="N126" s="86">
        <v>0.0</v>
      </c>
      <c r="P126" s="86">
        <v>0.0</v>
      </c>
      <c r="Q126" s="43"/>
      <c r="R126" s="86">
        <v>0.0</v>
      </c>
      <c r="T126" s="85">
        <v>135.0</v>
      </c>
      <c r="V126" s="86">
        <v>135.0</v>
      </c>
      <c r="X126" s="86">
        <v>0.0</v>
      </c>
      <c r="Z126" s="86">
        <v>0.0</v>
      </c>
      <c r="AB126" s="86">
        <v>0.0</v>
      </c>
      <c r="AD126" s="86">
        <v>0.0</v>
      </c>
      <c r="AE126" s="43"/>
      <c r="AF126" s="86">
        <v>0.0</v>
      </c>
      <c r="AH126" s="86">
        <v>50.0</v>
      </c>
      <c r="AJ126" s="86">
        <v>50.0</v>
      </c>
      <c r="AL126" s="85">
        <v>18.0</v>
      </c>
      <c r="AM126" s="43"/>
      <c r="AN126" s="72">
        <v>0.0</v>
      </c>
      <c r="AO126" s="43"/>
      <c r="AP126" s="85">
        <v>0.0</v>
      </c>
      <c r="AQ126" s="43"/>
      <c r="AR126" s="85">
        <v>0.0</v>
      </c>
      <c r="AS126" s="43"/>
      <c r="AT126" s="85">
        <v>175.0</v>
      </c>
      <c r="AU126" s="43"/>
      <c r="AV126" s="86">
        <v>0.0</v>
      </c>
      <c r="AX126" s="86">
        <v>0.0</v>
      </c>
      <c r="AY126" s="43"/>
      <c r="AZ126" s="86">
        <v>0.0</v>
      </c>
      <c r="BB126" s="54">
        <f t="shared" si="8"/>
        <v>5164.42</v>
      </c>
      <c r="BC126" s="52">
        <f t="shared" si="2"/>
        <v>563</v>
      </c>
      <c r="BD126" s="52">
        <f t="shared" si="3"/>
        <v>0</v>
      </c>
      <c r="BE126" s="52">
        <f t="shared" si="4"/>
        <v>563</v>
      </c>
      <c r="BF126" s="49">
        <f t="shared" si="5"/>
        <v>9.1730373</v>
      </c>
      <c r="BG126" s="78"/>
    </row>
    <row r="127" ht="15.75" customHeight="1">
      <c r="A127" s="50" t="s">
        <v>54</v>
      </c>
      <c r="B127" s="51">
        <f t="shared" si="6"/>
        <v>45780</v>
      </c>
      <c r="C127" s="52">
        <v>5.0</v>
      </c>
      <c r="D127" s="52" t="s">
        <v>65</v>
      </c>
      <c r="E127" s="53"/>
      <c r="F127" s="85">
        <v>0.0</v>
      </c>
      <c r="H127" s="86">
        <v>0.0</v>
      </c>
      <c r="J127" s="86">
        <v>0.0</v>
      </c>
      <c r="L127" s="86">
        <v>0.0</v>
      </c>
      <c r="N127" s="86">
        <v>0.0</v>
      </c>
      <c r="P127" s="86">
        <v>0.0</v>
      </c>
      <c r="Q127" s="43"/>
      <c r="R127" s="86">
        <v>0.0</v>
      </c>
      <c r="T127" s="85">
        <v>135.0</v>
      </c>
      <c r="V127" s="86">
        <v>135.0</v>
      </c>
      <c r="X127" s="86">
        <v>9.0</v>
      </c>
      <c r="Z127" s="86">
        <v>0.0</v>
      </c>
      <c r="AB127" s="86">
        <v>0.0</v>
      </c>
      <c r="AD127" s="86">
        <v>0.0</v>
      </c>
      <c r="AE127" s="43"/>
      <c r="AF127" s="86">
        <v>0.0</v>
      </c>
      <c r="AH127" s="86">
        <v>50.0</v>
      </c>
      <c r="AJ127" s="86">
        <v>0.0</v>
      </c>
      <c r="AL127" s="85">
        <v>20.0</v>
      </c>
      <c r="AM127" s="43"/>
      <c r="AN127" s="72">
        <v>0.0</v>
      </c>
      <c r="AO127" s="43"/>
      <c r="AP127" s="85">
        <v>0.0</v>
      </c>
      <c r="AQ127" s="43"/>
      <c r="AR127" s="85">
        <v>0.0</v>
      </c>
      <c r="AS127" s="43"/>
      <c r="AT127" s="85">
        <v>0.0</v>
      </c>
      <c r="AU127" s="43"/>
      <c r="AV127" s="86">
        <v>0.0</v>
      </c>
      <c r="AX127" s="86">
        <v>0.0</v>
      </c>
      <c r="AY127" s="43"/>
      <c r="AZ127" s="86">
        <v>0.0</v>
      </c>
      <c r="BB127" s="54">
        <f t="shared" si="8"/>
        <v>4214.78</v>
      </c>
      <c r="BC127" s="52">
        <f t="shared" si="2"/>
        <v>349</v>
      </c>
      <c r="BD127" s="52">
        <f t="shared" si="3"/>
        <v>0</v>
      </c>
      <c r="BE127" s="52">
        <f t="shared" si="4"/>
        <v>349</v>
      </c>
      <c r="BF127" s="49">
        <f t="shared" si="5"/>
        <v>12.07673352</v>
      </c>
      <c r="BG127" s="78"/>
    </row>
    <row r="128" ht="15.75" customHeight="1">
      <c r="A128" s="59" t="s">
        <v>61</v>
      </c>
      <c r="B128" s="61">
        <f t="shared" si="6"/>
        <v>45781</v>
      </c>
      <c r="C128" s="63">
        <v>5.0</v>
      </c>
      <c r="D128" s="63" t="s">
        <v>65</v>
      </c>
      <c r="E128" s="64"/>
      <c r="F128" s="87">
        <v>0.0</v>
      </c>
      <c r="G128" s="66"/>
      <c r="H128" s="88">
        <v>0.0</v>
      </c>
      <c r="I128" s="66"/>
      <c r="J128" s="88">
        <v>0.0</v>
      </c>
      <c r="K128" s="66"/>
      <c r="L128" s="88">
        <v>0.0</v>
      </c>
      <c r="M128" s="66"/>
      <c r="N128" s="88">
        <v>0.0</v>
      </c>
      <c r="O128" s="66"/>
      <c r="P128" s="88">
        <v>0.0</v>
      </c>
      <c r="Q128" s="68"/>
      <c r="R128" s="88">
        <v>0.0</v>
      </c>
      <c r="S128" s="66"/>
      <c r="T128" s="87">
        <v>0.0</v>
      </c>
      <c r="U128" s="66"/>
      <c r="V128" s="88">
        <v>0.0</v>
      </c>
      <c r="W128" s="66"/>
      <c r="X128" s="88">
        <v>1.0</v>
      </c>
      <c r="Y128" s="66"/>
      <c r="Z128" s="88">
        <v>0.0</v>
      </c>
      <c r="AA128" s="66"/>
      <c r="AB128" s="88">
        <v>0.0</v>
      </c>
      <c r="AC128" s="66"/>
      <c r="AD128" s="88">
        <v>0.0</v>
      </c>
      <c r="AE128" s="68"/>
      <c r="AF128" s="88">
        <v>0.0</v>
      </c>
      <c r="AG128" s="66"/>
      <c r="AH128" s="88">
        <v>0.0</v>
      </c>
      <c r="AI128" s="66"/>
      <c r="AJ128" s="88">
        <v>0.0</v>
      </c>
      <c r="AK128" s="66"/>
      <c r="AL128" s="87">
        <v>0.0</v>
      </c>
      <c r="AM128" s="68"/>
      <c r="AN128" s="84">
        <v>0.0</v>
      </c>
      <c r="AO128" s="68"/>
      <c r="AP128" s="87">
        <v>0.0</v>
      </c>
      <c r="AQ128" s="68"/>
      <c r="AR128" s="87">
        <v>0.0</v>
      </c>
      <c r="AS128" s="68"/>
      <c r="AT128" s="87">
        <v>0.0</v>
      </c>
      <c r="AU128" s="68"/>
      <c r="AV128" s="88">
        <v>0.0</v>
      </c>
      <c r="AW128" s="66"/>
      <c r="AX128" s="88">
        <v>0.0</v>
      </c>
      <c r="AY128" s="68"/>
      <c r="AZ128" s="88">
        <v>0.0</v>
      </c>
      <c r="BA128" s="66"/>
      <c r="BB128" s="73">
        <f t="shared" si="8"/>
        <v>11.12</v>
      </c>
      <c r="BC128" s="63">
        <f t="shared" si="2"/>
        <v>1</v>
      </c>
      <c r="BD128" s="63">
        <f t="shared" si="3"/>
        <v>0</v>
      </c>
      <c r="BE128" s="63">
        <f t="shared" si="4"/>
        <v>1</v>
      </c>
      <c r="BF128" s="74">
        <f t="shared" si="5"/>
        <v>11.12</v>
      </c>
      <c r="BG128" s="78"/>
    </row>
    <row r="129" ht="15.75" customHeight="1">
      <c r="A129" s="36" t="s">
        <v>46</v>
      </c>
      <c r="B129" s="75">
        <f t="shared" si="6"/>
        <v>45782</v>
      </c>
      <c r="C129" s="38">
        <v>5.0</v>
      </c>
      <c r="D129" s="38" t="s">
        <v>69</v>
      </c>
      <c r="E129" s="40"/>
      <c r="F129" s="85">
        <v>0.0</v>
      </c>
      <c r="H129" s="86">
        <v>0.0</v>
      </c>
      <c r="J129" s="86">
        <v>0.0</v>
      </c>
      <c r="L129" s="86">
        <v>0.0</v>
      </c>
      <c r="N129" s="86">
        <v>0.0</v>
      </c>
      <c r="P129" s="86">
        <v>0.0</v>
      </c>
      <c r="Q129" s="43"/>
      <c r="R129" s="86">
        <v>0.0</v>
      </c>
      <c r="T129" s="85">
        <v>135.0</v>
      </c>
      <c r="V129" s="86">
        <v>135.0</v>
      </c>
      <c r="X129" s="86">
        <v>0.0</v>
      </c>
      <c r="Z129" s="86">
        <v>0.0</v>
      </c>
      <c r="AB129" s="86">
        <v>0.0</v>
      </c>
      <c r="AD129" s="86">
        <v>0.0</v>
      </c>
      <c r="AE129" s="43"/>
      <c r="AF129" s="86">
        <v>0.0</v>
      </c>
      <c r="AH129" s="86">
        <v>0.0</v>
      </c>
      <c r="AJ129" s="86">
        <v>0.0</v>
      </c>
      <c r="AL129" s="85">
        <v>0.0</v>
      </c>
      <c r="AM129" s="43"/>
      <c r="AN129" s="72">
        <v>0.0</v>
      </c>
      <c r="AO129" s="43"/>
      <c r="AP129" s="85">
        <v>0.0</v>
      </c>
      <c r="AQ129" s="43"/>
      <c r="AR129" s="85">
        <v>0.0</v>
      </c>
      <c r="AS129" s="43"/>
      <c r="AT129" s="85">
        <v>0.0</v>
      </c>
      <c r="AU129" s="43"/>
      <c r="AV129" s="86">
        <v>0.0</v>
      </c>
      <c r="AX129" s="86">
        <v>0.0</v>
      </c>
      <c r="AY129" s="43"/>
      <c r="AZ129" s="86">
        <v>0.0</v>
      </c>
      <c r="BB129" s="47">
        <f t="shared" si="8"/>
        <v>3002.4</v>
      </c>
      <c r="BC129" s="38">
        <f t="shared" si="2"/>
        <v>270</v>
      </c>
      <c r="BD129" s="38">
        <f t="shared" si="3"/>
        <v>0</v>
      </c>
      <c r="BE129" s="38">
        <f t="shared" si="4"/>
        <v>270</v>
      </c>
      <c r="BF129" s="76">
        <f t="shared" si="5"/>
        <v>11.12</v>
      </c>
      <c r="BG129" s="78"/>
    </row>
    <row r="130" ht="15.75" customHeight="1">
      <c r="A130" s="50" t="s">
        <v>48</v>
      </c>
      <c r="B130" s="51">
        <f t="shared" si="6"/>
        <v>45783</v>
      </c>
      <c r="C130" s="52">
        <v>5.0</v>
      </c>
      <c r="D130" s="52" t="s">
        <v>69</v>
      </c>
      <c r="E130" s="53"/>
      <c r="F130" s="85">
        <v>0.0</v>
      </c>
      <c r="H130" s="86">
        <v>0.0</v>
      </c>
      <c r="J130" s="86">
        <v>0.0</v>
      </c>
      <c r="L130" s="86">
        <v>0.0</v>
      </c>
      <c r="N130" s="86">
        <v>0.0</v>
      </c>
      <c r="P130" s="86">
        <v>0.0</v>
      </c>
      <c r="Q130" s="43"/>
      <c r="R130" s="86">
        <v>0.0</v>
      </c>
      <c r="T130" s="85">
        <v>135.0</v>
      </c>
      <c r="V130" s="86">
        <v>135.0</v>
      </c>
      <c r="X130" s="86">
        <v>0.0</v>
      </c>
      <c r="Z130" s="86">
        <v>0.0</v>
      </c>
      <c r="AB130" s="86">
        <v>0.0</v>
      </c>
      <c r="AD130" s="86">
        <v>0.0</v>
      </c>
      <c r="AE130" s="43"/>
      <c r="AF130" s="86">
        <v>0.0</v>
      </c>
      <c r="AH130" s="86">
        <v>0.0</v>
      </c>
      <c r="AJ130" s="86">
        <v>0.0</v>
      </c>
      <c r="AL130" s="85">
        <v>0.0</v>
      </c>
      <c r="AM130" s="43"/>
      <c r="AN130" s="72">
        <v>0.0</v>
      </c>
      <c r="AO130" s="43"/>
      <c r="AP130" s="85">
        <v>0.0</v>
      </c>
      <c r="AQ130" s="43"/>
      <c r="AR130" s="85">
        <v>0.0</v>
      </c>
      <c r="AS130" s="43"/>
      <c r="AT130" s="85">
        <v>0.0</v>
      </c>
      <c r="AU130" s="43"/>
      <c r="AV130" s="86">
        <v>0.0</v>
      </c>
      <c r="AX130" s="86">
        <v>0.0</v>
      </c>
      <c r="AY130" s="43"/>
      <c r="AZ130" s="86">
        <v>0.0</v>
      </c>
      <c r="BB130" s="54">
        <f t="shared" si="8"/>
        <v>3002.4</v>
      </c>
      <c r="BC130" s="52">
        <f t="shared" si="2"/>
        <v>270</v>
      </c>
      <c r="BD130" s="52">
        <f t="shared" si="3"/>
        <v>0</v>
      </c>
      <c r="BE130" s="52">
        <f t="shared" si="4"/>
        <v>270</v>
      </c>
      <c r="BF130" s="49">
        <f t="shared" si="5"/>
        <v>11.12</v>
      </c>
      <c r="BG130" s="78"/>
    </row>
    <row r="131" ht="15.75" customHeight="1">
      <c r="A131" s="50" t="s">
        <v>49</v>
      </c>
      <c r="B131" s="51">
        <f t="shared" si="6"/>
        <v>45784</v>
      </c>
      <c r="C131" s="52">
        <v>5.0</v>
      </c>
      <c r="D131" s="52" t="s">
        <v>69</v>
      </c>
      <c r="E131" s="53"/>
      <c r="F131" s="85">
        <v>0.0</v>
      </c>
      <c r="H131" s="86">
        <v>0.0</v>
      </c>
      <c r="J131" s="86">
        <v>0.0</v>
      </c>
      <c r="L131" s="86">
        <v>0.0</v>
      </c>
      <c r="N131" s="86">
        <v>0.0</v>
      </c>
      <c r="P131" s="86"/>
      <c r="Q131" s="43"/>
      <c r="R131" s="86">
        <v>0.0</v>
      </c>
      <c r="T131" s="85">
        <v>135.0</v>
      </c>
      <c r="V131" s="86">
        <v>135.0</v>
      </c>
      <c r="X131" s="86">
        <v>0.0</v>
      </c>
      <c r="Z131" s="100"/>
      <c r="AB131" s="86">
        <v>0.0</v>
      </c>
      <c r="AD131" s="86">
        <v>0.0</v>
      </c>
      <c r="AE131" s="43"/>
      <c r="AF131" s="86">
        <v>0.0</v>
      </c>
      <c r="AH131" s="86">
        <v>0.0</v>
      </c>
      <c r="AJ131" s="86">
        <v>0.0</v>
      </c>
      <c r="AL131" s="85">
        <v>0.0</v>
      </c>
      <c r="AM131" s="43"/>
      <c r="AN131" s="72">
        <v>0.0</v>
      </c>
      <c r="AO131" s="43"/>
      <c r="AP131" s="85">
        <v>0.0</v>
      </c>
      <c r="AQ131" s="43"/>
      <c r="AR131" s="85">
        <v>0.0</v>
      </c>
      <c r="AS131" s="43"/>
      <c r="AT131" s="85">
        <v>0.0</v>
      </c>
      <c r="AU131" s="43"/>
      <c r="AV131" s="86">
        <v>0.0</v>
      </c>
      <c r="AX131" s="86">
        <v>0.0</v>
      </c>
      <c r="AY131" s="43"/>
      <c r="AZ131" s="86">
        <v>0.0</v>
      </c>
      <c r="BB131" s="54">
        <f t="shared" si="8"/>
        <v>3002.4</v>
      </c>
      <c r="BC131" s="52">
        <f t="shared" si="2"/>
        <v>270</v>
      </c>
      <c r="BD131" s="52">
        <f t="shared" si="3"/>
        <v>0</v>
      </c>
      <c r="BE131" s="52">
        <f t="shared" si="4"/>
        <v>270</v>
      </c>
      <c r="BF131" s="49">
        <f t="shared" si="5"/>
        <v>11.12</v>
      </c>
      <c r="BG131" s="78"/>
    </row>
    <row r="132" ht="15.75" customHeight="1">
      <c r="A132" s="50" t="s">
        <v>50</v>
      </c>
      <c r="B132" s="51">
        <f t="shared" si="6"/>
        <v>45785</v>
      </c>
      <c r="C132" s="52">
        <v>5.0</v>
      </c>
      <c r="D132" s="52" t="s">
        <v>69</v>
      </c>
      <c r="E132" s="53"/>
      <c r="F132" s="85">
        <v>0.0</v>
      </c>
      <c r="H132" s="86">
        <v>0.0</v>
      </c>
      <c r="J132" s="86">
        <v>0.0</v>
      </c>
      <c r="L132" s="86">
        <v>0.0</v>
      </c>
      <c r="N132" s="86">
        <v>0.0</v>
      </c>
      <c r="P132" s="86">
        <v>0.0</v>
      </c>
      <c r="Q132" s="43"/>
      <c r="R132" s="86">
        <v>0.0</v>
      </c>
      <c r="T132" s="85">
        <v>135.0</v>
      </c>
      <c r="V132" s="86">
        <v>135.0</v>
      </c>
      <c r="X132" s="86">
        <v>0.0</v>
      </c>
      <c r="Z132" s="100"/>
      <c r="AB132" s="86">
        <v>0.0</v>
      </c>
      <c r="AD132" s="86">
        <v>0.0</v>
      </c>
      <c r="AE132" s="43"/>
      <c r="AF132" s="86">
        <v>0.0</v>
      </c>
      <c r="AH132" s="86">
        <v>0.0</v>
      </c>
      <c r="AJ132" s="86">
        <v>0.0</v>
      </c>
      <c r="AL132" s="85">
        <v>0.0</v>
      </c>
      <c r="AM132" s="43"/>
      <c r="AN132" s="72">
        <v>0.0</v>
      </c>
      <c r="AO132" s="43"/>
      <c r="AP132" s="85">
        <v>0.0</v>
      </c>
      <c r="AQ132" s="43"/>
      <c r="AR132" s="85">
        <v>0.0</v>
      </c>
      <c r="AS132" s="43"/>
      <c r="AT132" s="85">
        <v>0.0</v>
      </c>
      <c r="AU132" s="43"/>
      <c r="AV132" s="86">
        <v>0.0</v>
      </c>
      <c r="AX132" s="86">
        <v>0.0</v>
      </c>
      <c r="AY132" s="43"/>
      <c r="AZ132" s="86">
        <v>0.0</v>
      </c>
      <c r="BB132" s="54">
        <f t="shared" si="8"/>
        <v>3002.4</v>
      </c>
      <c r="BC132" s="52">
        <f t="shared" si="2"/>
        <v>270</v>
      </c>
      <c r="BD132" s="52">
        <f t="shared" si="3"/>
        <v>0</v>
      </c>
      <c r="BE132" s="52">
        <f t="shared" si="4"/>
        <v>270</v>
      </c>
      <c r="BF132" s="49">
        <f t="shared" si="5"/>
        <v>11.12</v>
      </c>
      <c r="BG132" s="78"/>
    </row>
    <row r="133" ht="15.75" customHeight="1">
      <c r="A133" s="50" t="s">
        <v>53</v>
      </c>
      <c r="B133" s="51">
        <f t="shared" si="6"/>
        <v>45786</v>
      </c>
      <c r="C133" s="52">
        <v>5.0</v>
      </c>
      <c r="D133" s="52" t="s">
        <v>69</v>
      </c>
      <c r="E133" s="53"/>
      <c r="F133" s="85">
        <v>0.0</v>
      </c>
      <c r="H133" s="86">
        <v>0.0</v>
      </c>
      <c r="J133" s="86">
        <v>0.0</v>
      </c>
      <c r="L133" s="86">
        <v>0.0</v>
      </c>
      <c r="N133" s="86">
        <v>0.0</v>
      </c>
      <c r="P133" s="86">
        <v>0.0</v>
      </c>
      <c r="Q133" s="43"/>
      <c r="R133" s="86">
        <v>0.0</v>
      </c>
      <c r="T133" s="85">
        <v>135.0</v>
      </c>
      <c r="V133" s="86">
        <v>135.0</v>
      </c>
      <c r="X133" s="86">
        <v>0.0</v>
      </c>
      <c r="Z133" s="86">
        <v>0.0</v>
      </c>
      <c r="AB133" s="86">
        <v>0.0</v>
      </c>
      <c r="AD133" s="86">
        <v>0.0</v>
      </c>
      <c r="AE133" s="43"/>
      <c r="AF133" s="86">
        <v>0.0</v>
      </c>
      <c r="AH133" s="86">
        <v>0.0</v>
      </c>
      <c r="AJ133" s="86">
        <v>0.0</v>
      </c>
      <c r="AL133" s="85">
        <v>0.0</v>
      </c>
      <c r="AM133" s="43"/>
      <c r="AN133" s="72">
        <v>0.0</v>
      </c>
      <c r="AO133" s="43"/>
      <c r="AP133" s="85">
        <v>0.0</v>
      </c>
      <c r="AQ133" s="43"/>
      <c r="AR133" s="85">
        <v>0.0</v>
      </c>
      <c r="AS133" s="43"/>
      <c r="AT133" s="85">
        <v>0.0</v>
      </c>
      <c r="AU133" s="43"/>
      <c r="AV133" s="86">
        <v>0.0</v>
      </c>
      <c r="AX133" s="86">
        <v>0.0</v>
      </c>
      <c r="AY133" s="43"/>
      <c r="AZ133" s="86">
        <v>0.0</v>
      </c>
      <c r="BB133" s="54">
        <f t="shared" si="8"/>
        <v>3002.4</v>
      </c>
      <c r="BC133" s="52">
        <f t="shared" si="2"/>
        <v>270</v>
      </c>
      <c r="BD133" s="52">
        <f t="shared" si="3"/>
        <v>0</v>
      </c>
      <c r="BE133" s="52">
        <f t="shared" si="4"/>
        <v>270</v>
      </c>
      <c r="BF133" s="49">
        <f t="shared" si="5"/>
        <v>11.12</v>
      </c>
      <c r="BG133" s="78"/>
    </row>
    <row r="134" ht="15.75" customHeight="1">
      <c r="A134" s="50" t="s">
        <v>54</v>
      </c>
      <c r="B134" s="51">
        <f t="shared" si="6"/>
        <v>45787</v>
      </c>
      <c r="C134" s="52">
        <v>5.0</v>
      </c>
      <c r="D134" s="52" t="s">
        <v>69</v>
      </c>
      <c r="E134" s="53"/>
      <c r="F134" s="85">
        <v>0.0</v>
      </c>
      <c r="H134" s="86">
        <v>0.0</v>
      </c>
      <c r="J134" s="86">
        <v>0.0</v>
      </c>
      <c r="L134" s="86">
        <v>0.0</v>
      </c>
      <c r="N134" s="86">
        <v>0.0</v>
      </c>
      <c r="P134" s="86">
        <v>0.0</v>
      </c>
      <c r="Q134" s="43"/>
      <c r="R134" s="86">
        <v>0.0</v>
      </c>
      <c r="T134" s="85">
        <v>135.0</v>
      </c>
      <c r="V134" s="86">
        <v>135.0</v>
      </c>
      <c r="X134" s="86">
        <v>11.0</v>
      </c>
      <c r="Z134" s="86">
        <v>0.0</v>
      </c>
      <c r="AB134" s="86">
        <v>0.0</v>
      </c>
      <c r="AD134" s="86">
        <v>0.0</v>
      </c>
      <c r="AE134" s="43"/>
      <c r="AF134" s="86">
        <v>0.0</v>
      </c>
      <c r="AH134" s="86">
        <v>0.0</v>
      </c>
      <c r="AJ134" s="86">
        <v>0.0</v>
      </c>
      <c r="AL134" s="85">
        <v>0.0</v>
      </c>
      <c r="AM134" s="43"/>
      <c r="AN134" s="72">
        <v>0.0</v>
      </c>
      <c r="AO134" s="43"/>
      <c r="AP134" s="85">
        <v>0.0</v>
      </c>
      <c r="AQ134" s="43"/>
      <c r="AR134" s="85">
        <v>0.0</v>
      </c>
      <c r="AS134" s="43"/>
      <c r="AT134" s="85">
        <v>0.0</v>
      </c>
      <c r="AU134" s="43"/>
      <c r="AV134" s="86">
        <v>0.0</v>
      </c>
      <c r="AX134" s="86">
        <v>0.0</v>
      </c>
      <c r="AY134" s="43"/>
      <c r="AZ134" s="86">
        <v>0.0</v>
      </c>
      <c r="BB134" s="54">
        <f t="shared" si="8"/>
        <v>3124.72</v>
      </c>
      <c r="BC134" s="52">
        <f t="shared" si="2"/>
        <v>281</v>
      </c>
      <c r="BD134" s="52">
        <f t="shared" si="3"/>
        <v>0</v>
      </c>
      <c r="BE134" s="52">
        <f t="shared" si="4"/>
        <v>281</v>
      </c>
      <c r="BF134" s="49">
        <f t="shared" si="5"/>
        <v>11.12</v>
      </c>
      <c r="BG134" s="78"/>
    </row>
    <row r="135" ht="15.75" customHeight="1">
      <c r="A135" s="59" t="s">
        <v>61</v>
      </c>
      <c r="B135" s="61">
        <f t="shared" si="6"/>
        <v>45788</v>
      </c>
      <c r="C135" s="63">
        <v>5.0</v>
      </c>
      <c r="D135" s="63" t="s">
        <v>69</v>
      </c>
      <c r="E135" s="64"/>
      <c r="F135" s="87">
        <v>0.0</v>
      </c>
      <c r="G135" s="66"/>
      <c r="H135" s="88">
        <v>0.0</v>
      </c>
      <c r="I135" s="66"/>
      <c r="J135" s="88">
        <v>0.0</v>
      </c>
      <c r="K135" s="66"/>
      <c r="L135" s="88">
        <v>0.0</v>
      </c>
      <c r="M135" s="66"/>
      <c r="N135" s="88">
        <v>0.0</v>
      </c>
      <c r="O135" s="66"/>
      <c r="P135" s="88">
        <v>0.0</v>
      </c>
      <c r="Q135" s="68"/>
      <c r="R135" s="88">
        <v>0.0</v>
      </c>
      <c r="S135" s="66"/>
      <c r="T135" s="87">
        <v>0.0</v>
      </c>
      <c r="U135" s="66"/>
      <c r="V135" s="88">
        <v>0.0</v>
      </c>
      <c r="W135" s="66"/>
      <c r="X135" s="88">
        <v>0.0</v>
      </c>
      <c r="Y135" s="66"/>
      <c r="Z135" s="88">
        <v>0.0</v>
      </c>
      <c r="AA135" s="66"/>
      <c r="AB135" s="88">
        <v>0.0</v>
      </c>
      <c r="AC135" s="66"/>
      <c r="AD135" s="88">
        <v>0.0</v>
      </c>
      <c r="AE135" s="68"/>
      <c r="AF135" s="88">
        <v>0.0</v>
      </c>
      <c r="AG135" s="66"/>
      <c r="AH135" s="88">
        <v>0.0</v>
      </c>
      <c r="AI135" s="66"/>
      <c r="AJ135" s="88">
        <v>0.0</v>
      </c>
      <c r="AK135" s="66"/>
      <c r="AL135" s="87">
        <v>0.0</v>
      </c>
      <c r="AM135" s="68"/>
      <c r="AN135" s="84">
        <v>0.0</v>
      </c>
      <c r="AO135" s="68"/>
      <c r="AP135" s="87">
        <v>0.0</v>
      </c>
      <c r="AQ135" s="68"/>
      <c r="AR135" s="87">
        <v>0.0</v>
      </c>
      <c r="AS135" s="68"/>
      <c r="AT135" s="87">
        <v>0.0</v>
      </c>
      <c r="AU135" s="68"/>
      <c r="AV135" s="88">
        <v>0.0</v>
      </c>
      <c r="AW135" s="66"/>
      <c r="AX135" s="88">
        <v>0.0</v>
      </c>
      <c r="AY135" s="68"/>
      <c r="AZ135" s="88">
        <v>0.0</v>
      </c>
      <c r="BA135" s="66"/>
      <c r="BB135" s="73">
        <f t="shared" si="8"/>
        <v>0</v>
      </c>
      <c r="BC135" s="63">
        <f t="shared" si="2"/>
        <v>0</v>
      </c>
      <c r="BD135" s="63">
        <f t="shared" si="3"/>
        <v>0</v>
      </c>
      <c r="BE135" s="63">
        <f t="shared" si="4"/>
        <v>0</v>
      </c>
      <c r="BF135" s="74" t="str">
        <f t="shared" si="5"/>
        <v/>
      </c>
      <c r="BG135" s="78"/>
    </row>
    <row r="136" ht="15.75" customHeight="1">
      <c r="A136" s="36" t="s">
        <v>46</v>
      </c>
      <c r="B136" s="75">
        <f t="shared" si="6"/>
        <v>45789</v>
      </c>
      <c r="C136" s="38">
        <v>5.0</v>
      </c>
      <c r="D136" s="38" t="s">
        <v>72</v>
      </c>
      <c r="E136" s="40"/>
      <c r="F136" s="85">
        <v>0.0</v>
      </c>
      <c r="H136" s="86">
        <v>0.0</v>
      </c>
      <c r="J136" s="86">
        <v>0.0</v>
      </c>
      <c r="L136" s="86">
        <v>0.0</v>
      </c>
      <c r="N136" s="86">
        <v>0.0</v>
      </c>
      <c r="P136" s="86">
        <v>0.0</v>
      </c>
      <c r="Q136" s="43"/>
      <c r="R136" s="86">
        <v>0.0</v>
      </c>
      <c r="T136" s="85">
        <v>135.0</v>
      </c>
      <c r="V136" s="86">
        <v>135.0</v>
      </c>
      <c r="X136" s="86">
        <v>0.0</v>
      </c>
      <c r="Z136" s="86">
        <v>0.0</v>
      </c>
      <c r="AB136" s="86">
        <v>0.0</v>
      </c>
      <c r="AD136" s="86">
        <v>0.0</v>
      </c>
      <c r="AE136" s="43"/>
      <c r="AF136" s="86">
        <v>0.0</v>
      </c>
      <c r="AH136" s="86">
        <v>0.0</v>
      </c>
      <c r="AJ136" s="86">
        <v>0.0</v>
      </c>
      <c r="AL136" s="85">
        <v>0.0</v>
      </c>
      <c r="AM136" s="43"/>
      <c r="AN136" s="72">
        <v>0.0</v>
      </c>
      <c r="AO136" s="43"/>
      <c r="AP136" s="85">
        <v>0.0</v>
      </c>
      <c r="AQ136" s="43"/>
      <c r="AR136" s="85">
        <v>0.0</v>
      </c>
      <c r="AS136" s="43"/>
      <c r="AT136" s="85">
        <v>0.0</v>
      </c>
      <c r="AU136" s="43"/>
      <c r="AV136" s="86">
        <v>0.0</v>
      </c>
      <c r="AX136" s="86">
        <v>0.0</v>
      </c>
      <c r="AY136" s="43"/>
      <c r="AZ136" s="86">
        <v>0.0</v>
      </c>
      <c r="BB136" s="47">
        <f t="shared" si="8"/>
        <v>3002.4</v>
      </c>
      <c r="BC136" s="38">
        <f t="shared" si="2"/>
        <v>270</v>
      </c>
      <c r="BD136" s="38">
        <f t="shared" si="3"/>
        <v>0</v>
      </c>
      <c r="BE136" s="38">
        <f t="shared" si="4"/>
        <v>270</v>
      </c>
      <c r="BF136" s="76">
        <f t="shared" si="5"/>
        <v>11.12</v>
      </c>
      <c r="BG136" s="78"/>
    </row>
    <row r="137" ht="15.75" customHeight="1">
      <c r="A137" s="50" t="s">
        <v>48</v>
      </c>
      <c r="B137" s="51">
        <f t="shared" si="6"/>
        <v>45790</v>
      </c>
      <c r="C137" s="52">
        <v>5.0</v>
      </c>
      <c r="D137" s="52" t="s">
        <v>72</v>
      </c>
      <c r="E137" s="53"/>
      <c r="F137" s="85">
        <v>0.0</v>
      </c>
      <c r="H137" s="86">
        <v>0.0</v>
      </c>
      <c r="J137" s="86">
        <v>0.0</v>
      </c>
      <c r="L137" s="86">
        <v>0.0</v>
      </c>
      <c r="N137" s="86">
        <v>0.0</v>
      </c>
      <c r="P137" s="86">
        <v>0.0</v>
      </c>
      <c r="Q137" s="43"/>
      <c r="R137" s="86">
        <v>0.0</v>
      </c>
      <c r="T137" s="85">
        <v>135.0</v>
      </c>
      <c r="V137" s="86">
        <v>135.0</v>
      </c>
      <c r="X137" s="86">
        <v>0.0</v>
      </c>
      <c r="Z137" s="86">
        <v>0.0</v>
      </c>
      <c r="AB137" s="86">
        <v>0.0</v>
      </c>
      <c r="AD137" s="86">
        <v>0.0</v>
      </c>
      <c r="AE137" s="43"/>
      <c r="AF137" s="86">
        <v>0.0</v>
      </c>
      <c r="AH137" s="86">
        <v>50.0</v>
      </c>
      <c r="AJ137" s="86">
        <v>50.0</v>
      </c>
      <c r="AL137" s="85">
        <v>18.0</v>
      </c>
      <c r="AM137" s="43"/>
      <c r="AN137" s="72">
        <v>0.0</v>
      </c>
      <c r="AO137" s="43"/>
      <c r="AP137" s="85">
        <v>0.0</v>
      </c>
      <c r="AQ137" s="43"/>
      <c r="AR137" s="85">
        <v>0.0</v>
      </c>
      <c r="AS137" s="43"/>
      <c r="AT137" s="85">
        <v>0.0</v>
      </c>
      <c r="AU137" s="43"/>
      <c r="AV137" s="86">
        <v>0.0</v>
      </c>
      <c r="AX137" s="86">
        <v>0.0</v>
      </c>
      <c r="AY137" s="43"/>
      <c r="AZ137" s="86">
        <v>0.0</v>
      </c>
      <c r="BB137" s="54">
        <f t="shared" si="8"/>
        <v>4877.42</v>
      </c>
      <c r="BC137" s="52">
        <f t="shared" si="2"/>
        <v>388</v>
      </c>
      <c r="BD137" s="52">
        <f t="shared" si="3"/>
        <v>0</v>
      </c>
      <c r="BE137" s="52">
        <f t="shared" si="4"/>
        <v>388</v>
      </c>
      <c r="BF137" s="49">
        <f t="shared" si="5"/>
        <v>12.5706701</v>
      </c>
      <c r="BG137" s="78"/>
    </row>
    <row r="138" ht="15.75" customHeight="1">
      <c r="A138" s="50" t="s">
        <v>49</v>
      </c>
      <c r="B138" s="51">
        <f t="shared" si="6"/>
        <v>45791</v>
      </c>
      <c r="C138" s="52">
        <v>5.0</v>
      </c>
      <c r="D138" s="52" t="s">
        <v>72</v>
      </c>
      <c r="E138" s="53"/>
      <c r="F138" s="85">
        <v>0.0</v>
      </c>
      <c r="H138" s="86">
        <v>0.0</v>
      </c>
      <c r="J138" s="86">
        <v>0.0</v>
      </c>
      <c r="L138" s="86">
        <v>0.0</v>
      </c>
      <c r="N138" s="86">
        <v>0.0</v>
      </c>
      <c r="P138" s="86">
        <v>0.0</v>
      </c>
      <c r="Q138" s="43"/>
      <c r="R138" s="86">
        <v>0.0</v>
      </c>
      <c r="T138" s="85">
        <v>135.0</v>
      </c>
      <c r="V138" s="86">
        <v>135.0</v>
      </c>
      <c r="X138" s="86">
        <v>0.0</v>
      </c>
      <c r="Z138" s="86">
        <v>0.0</v>
      </c>
      <c r="AB138" s="86">
        <v>0.0</v>
      </c>
      <c r="AD138" s="86">
        <v>0.0</v>
      </c>
      <c r="AE138" s="43"/>
      <c r="AF138" s="86">
        <v>0.0</v>
      </c>
      <c r="AH138" s="86">
        <v>50.0</v>
      </c>
      <c r="AJ138" s="86">
        <v>50.0</v>
      </c>
      <c r="AL138" s="85">
        <v>21.0</v>
      </c>
      <c r="AM138" s="43"/>
      <c r="AN138" s="72">
        <v>0.0</v>
      </c>
      <c r="AO138" s="43"/>
      <c r="AP138" s="85">
        <v>0.0</v>
      </c>
      <c r="AQ138" s="43"/>
      <c r="AR138" s="85">
        <v>0.0</v>
      </c>
      <c r="AS138" s="43"/>
      <c r="AT138" s="85">
        <v>0.0</v>
      </c>
      <c r="AU138" s="43"/>
      <c r="AV138" s="86">
        <v>0.0</v>
      </c>
      <c r="AX138" s="86">
        <v>0.0</v>
      </c>
      <c r="AY138" s="43"/>
      <c r="AZ138" s="86">
        <v>0.0</v>
      </c>
      <c r="BB138" s="54">
        <f t="shared" si="8"/>
        <v>4925.09</v>
      </c>
      <c r="BC138" s="52">
        <f t="shared" si="2"/>
        <v>391</v>
      </c>
      <c r="BD138" s="52">
        <f t="shared" si="3"/>
        <v>0</v>
      </c>
      <c r="BE138" s="52">
        <f t="shared" si="4"/>
        <v>391</v>
      </c>
      <c r="BF138" s="49">
        <f t="shared" si="5"/>
        <v>12.59613811</v>
      </c>
      <c r="BG138" s="78"/>
    </row>
    <row r="139" ht="15.75" customHeight="1">
      <c r="A139" s="50" t="s">
        <v>50</v>
      </c>
      <c r="B139" s="51">
        <f t="shared" si="6"/>
        <v>45792</v>
      </c>
      <c r="C139" s="52">
        <v>5.0</v>
      </c>
      <c r="D139" s="52" t="s">
        <v>72</v>
      </c>
      <c r="E139" s="53"/>
      <c r="F139" s="85">
        <v>0.0</v>
      </c>
      <c r="H139" s="86">
        <v>0.0</v>
      </c>
      <c r="J139" s="86">
        <v>0.0</v>
      </c>
      <c r="L139" s="86">
        <v>0.0</v>
      </c>
      <c r="N139" s="86">
        <v>0.0</v>
      </c>
      <c r="P139" s="86">
        <v>0.0</v>
      </c>
      <c r="Q139" s="43"/>
      <c r="R139" s="86">
        <v>0.0</v>
      </c>
      <c r="T139" s="85">
        <v>135.0</v>
      </c>
      <c r="V139" s="86">
        <v>135.0</v>
      </c>
      <c r="X139" s="86">
        <v>0.0</v>
      </c>
      <c r="Z139" s="86">
        <v>0.0</v>
      </c>
      <c r="AB139" s="86">
        <v>0.0</v>
      </c>
      <c r="AD139" s="86">
        <v>0.0</v>
      </c>
      <c r="AE139" s="43"/>
      <c r="AF139" s="86">
        <v>0.0</v>
      </c>
      <c r="AH139" s="86">
        <v>50.0</v>
      </c>
      <c r="AJ139" s="86">
        <v>50.0</v>
      </c>
      <c r="AL139" s="85">
        <v>21.0</v>
      </c>
      <c r="AM139" s="43"/>
      <c r="AN139" s="72">
        <v>0.0</v>
      </c>
      <c r="AO139" s="43"/>
      <c r="AP139" s="85">
        <v>0.0</v>
      </c>
      <c r="AQ139" s="43"/>
      <c r="AR139" s="85">
        <v>0.0</v>
      </c>
      <c r="AS139" s="43"/>
      <c r="AT139" s="85">
        <v>0.0</v>
      </c>
      <c r="AU139" s="43"/>
      <c r="AV139" s="86">
        <v>0.0</v>
      </c>
      <c r="AX139" s="86"/>
      <c r="AY139" s="43"/>
      <c r="AZ139" s="86">
        <v>0.0</v>
      </c>
      <c r="BB139" s="54">
        <f t="shared" si="8"/>
        <v>4925.09</v>
      </c>
      <c r="BC139" s="52">
        <f t="shared" si="2"/>
        <v>391</v>
      </c>
      <c r="BD139" s="52">
        <f t="shared" si="3"/>
        <v>0</v>
      </c>
      <c r="BE139" s="52">
        <f t="shared" si="4"/>
        <v>391</v>
      </c>
      <c r="BF139" s="49">
        <f t="shared" si="5"/>
        <v>12.59613811</v>
      </c>
      <c r="BG139" s="78"/>
    </row>
    <row r="140" ht="15.75" customHeight="1">
      <c r="A140" s="50" t="s">
        <v>53</v>
      </c>
      <c r="B140" s="51">
        <f t="shared" si="6"/>
        <v>45793</v>
      </c>
      <c r="C140" s="52">
        <v>5.0</v>
      </c>
      <c r="D140" s="52" t="s">
        <v>72</v>
      </c>
      <c r="E140" s="53"/>
      <c r="F140" s="85">
        <v>0.0</v>
      </c>
      <c r="H140" s="86">
        <v>0.0</v>
      </c>
      <c r="J140" s="86">
        <v>0.0</v>
      </c>
      <c r="L140" s="86">
        <v>0.0</v>
      </c>
      <c r="N140" s="86">
        <v>0.0</v>
      </c>
      <c r="P140" s="86">
        <v>0.0</v>
      </c>
      <c r="Q140" s="43"/>
      <c r="R140" s="86">
        <v>0.0</v>
      </c>
      <c r="T140" s="85">
        <v>135.0</v>
      </c>
      <c r="V140" s="86">
        <v>135.0</v>
      </c>
      <c r="X140" s="86">
        <v>0.0</v>
      </c>
      <c r="Z140" s="86">
        <v>0.0</v>
      </c>
      <c r="AB140" s="86">
        <v>0.0</v>
      </c>
      <c r="AD140" s="86">
        <v>0.0</v>
      </c>
      <c r="AE140" s="43"/>
      <c r="AF140" s="86">
        <v>0.0</v>
      </c>
      <c r="AH140" s="86">
        <v>50.0</v>
      </c>
      <c r="AJ140" s="86">
        <v>50.0</v>
      </c>
      <c r="AL140" s="85">
        <v>21.0</v>
      </c>
      <c r="AM140" s="43"/>
      <c r="AN140" s="72">
        <v>0.0</v>
      </c>
      <c r="AO140" s="43"/>
      <c r="AP140" s="85">
        <v>0.0</v>
      </c>
      <c r="AQ140" s="43"/>
      <c r="AR140" s="85">
        <v>0.0</v>
      </c>
      <c r="AS140" s="43"/>
      <c r="AT140" s="85">
        <v>0.0</v>
      </c>
      <c r="AU140" s="43"/>
      <c r="AV140" s="86">
        <v>0.0</v>
      </c>
      <c r="AX140" s="86">
        <v>0.0</v>
      </c>
      <c r="AY140" s="43"/>
      <c r="AZ140" s="86">
        <v>0.0</v>
      </c>
      <c r="BB140" s="54">
        <f t="shared" si="8"/>
        <v>4925.09</v>
      </c>
      <c r="BC140" s="52">
        <f t="shared" si="2"/>
        <v>391</v>
      </c>
      <c r="BD140" s="52">
        <f t="shared" si="3"/>
        <v>0</v>
      </c>
      <c r="BE140" s="52">
        <f t="shared" si="4"/>
        <v>391</v>
      </c>
      <c r="BF140" s="49">
        <f t="shared" si="5"/>
        <v>12.59613811</v>
      </c>
      <c r="BG140" s="78"/>
    </row>
    <row r="141" ht="15.75" customHeight="1">
      <c r="A141" s="50" t="s">
        <v>54</v>
      </c>
      <c r="B141" s="51">
        <f t="shared" si="6"/>
        <v>45794</v>
      </c>
      <c r="C141" s="52">
        <v>5.0</v>
      </c>
      <c r="D141" s="52" t="s">
        <v>72</v>
      </c>
      <c r="E141" s="53"/>
      <c r="F141" s="85">
        <v>0.0</v>
      </c>
      <c r="H141" s="86">
        <v>0.0</v>
      </c>
      <c r="J141" s="86">
        <v>0.0</v>
      </c>
      <c r="L141" s="86">
        <v>0.0</v>
      </c>
      <c r="N141" s="86">
        <v>0.0</v>
      </c>
      <c r="P141" s="86">
        <v>0.0</v>
      </c>
      <c r="Q141" s="43"/>
      <c r="R141" s="86">
        <v>0.0</v>
      </c>
      <c r="T141" s="85">
        <v>135.0</v>
      </c>
      <c r="V141" s="86">
        <v>135.0</v>
      </c>
      <c r="X141" s="86">
        <v>9.0</v>
      </c>
      <c r="Z141" s="86">
        <v>0.0</v>
      </c>
      <c r="AB141" s="86">
        <v>0.0</v>
      </c>
      <c r="AD141" s="86">
        <v>0.0</v>
      </c>
      <c r="AE141" s="43"/>
      <c r="AF141" s="86">
        <v>0.0</v>
      </c>
      <c r="AH141" s="86">
        <v>50.0</v>
      </c>
      <c r="AJ141" s="86">
        <v>0.0</v>
      </c>
      <c r="AL141" s="85">
        <v>21.0</v>
      </c>
      <c r="AM141" s="43"/>
      <c r="AN141" s="72">
        <v>0.0</v>
      </c>
      <c r="AO141" s="43"/>
      <c r="AP141" s="85">
        <v>0.0</v>
      </c>
      <c r="AQ141" s="43"/>
      <c r="AR141" s="85">
        <v>0.0</v>
      </c>
      <c r="AS141" s="43"/>
      <c r="AT141" s="85">
        <v>0.0</v>
      </c>
      <c r="AU141" s="43"/>
      <c r="AV141" s="86">
        <v>0.0</v>
      </c>
      <c r="AX141" s="86">
        <v>0.0</v>
      </c>
      <c r="AY141" s="43"/>
      <c r="AZ141" s="86">
        <v>0.0</v>
      </c>
      <c r="BB141" s="54">
        <f t="shared" si="8"/>
        <v>4230.67</v>
      </c>
      <c r="BC141" s="52">
        <f t="shared" si="2"/>
        <v>350</v>
      </c>
      <c r="BD141" s="52">
        <f t="shared" si="3"/>
        <v>0</v>
      </c>
      <c r="BE141" s="52">
        <f t="shared" si="4"/>
        <v>350</v>
      </c>
      <c r="BF141" s="49">
        <f t="shared" si="5"/>
        <v>12.08762857</v>
      </c>
      <c r="BG141" s="78"/>
    </row>
    <row r="142" ht="15.75" customHeight="1">
      <c r="A142" s="59" t="s">
        <v>61</v>
      </c>
      <c r="B142" s="61">
        <f t="shared" si="6"/>
        <v>45795</v>
      </c>
      <c r="C142" s="63">
        <v>5.0</v>
      </c>
      <c r="D142" s="63" t="s">
        <v>72</v>
      </c>
      <c r="E142" s="64"/>
      <c r="F142" s="87">
        <v>0.0</v>
      </c>
      <c r="G142" s="66"/>
      <c r="H142" s="88">
        <v>0.0</v>
      </c>
      <c r="I142" s="66"/>
      <c r="J142" s="88">
        <v>0.0</v>
      </c>
      <c r="K142" s="66"/>
      <c r="L142" s="88">
        <v>0.0</v>
      </c>
      <c r="M142" s="66"/>
      <c r="N142" s="88">
        <v>0.0</v>
      </c>
      <c r="O142" s="66"/>
      <c r="P142" s="88">
        <v>0.0</v>
      </c>
      <c r="Q142" s="68"/>
      <c r="R142" s="88">
        <v>0.0</v>
      </c>
      <c r="S142" s="66"/>
      <c r="T142" s="87">
        <v>0.0</v>
      </c>
      <c r="U142" s="66"/>
      <c r="V142" s="88">
        <v>0.0</v>
      </c>
      <c r="W142" s="66"/>
      <c r="X142" s="88">
        <v>0.0</v>
      </c>
      <c r="Y142" s="66"/>
      <c r="Z142" s="88">
        <v>0.0</v>
      </c>
      <c r="AA142" s="66"/>
      <c r="AB142" s="88">
        <v>0.0</v>
      </c>
      <c r="AC142" s="66"/>
      <c r="AD142" s="88">
        <v>0.0</v>
      </c>
      <c r="AE142" s="68"/>
      <c r="AF142" s="88">
        <v>0.0</v>
      </c>
      <c r="AG142" s="66"/>
      <c r="AH142" s="88">
        <v>0.0</v>
      </c>
      <c r="AI142" s="66"/>
      <c r="AJ142" s="88">
        <v>0.0</v>
      </c>
      <c r="AK142" s="66"/>
      <c r="AL142" s="87">
        <v>0.0</v>
      </c>
      <c r="AM142" s="68"/>
      <c r="AN142" s="84">
        <v>0.0</v>
      </c>
      <c r="AO142" s="68"/>
      <c r="AP142" s="87">
        <v>0.0</v>
      </c>
      <c r="AQ142" s="68"/>
      <c r="AR142" s="87">
        <v>0.0</v>
      </c>
      <c r="AS142" s="68"/>
      <c r="AT142" s="87">
        <v>0.0</v>
      </c>
      <c r="AU142" s="68"/>
      <c r="AV142" s="88">
        <v>0.0</v>
      </c>
      <c r="AW142" s="66"/>
      <c r="AX142" s="88">
        <v>0.0</v>
      </c>
      <c r="AY142" s="68"/>
      <c r="AZ142" s="88">
        <v>0.0</v>
      </c>
      <c r="BA142" s="66"/>
      <c r="BB142" s="73">
        <f t="shared" si="8"/>
        <v>0</v>
      </c>
      <c r="BC142" s="63">
        <f t="shared" si="2"/>
        <v>0</v>
      </c>
      <c r="BD142" s="63">
        <f t="shared" si="3"/>
        <v>0</v>
      </c>
      <c r="BE142" s="63">
        <f t="shared" si="4"/>
        <v>0</v>
      </c>
      <c r="BF142" s="74" t="str">
        <f t="shared" si="5"/>
        <v/>
      </c>
      <c r="BG142" s="78"/>
    </row>
    <row r="143" ht="15.75" customHeight="1">
      <c r="A143" s="36" t="s">
        <v>46</v>
      </c>
      <c r="B143" s="75">
        <f t="shared" si="6"/>
        <v>45796</v>
      </c>
      <c r="C143" s="38">
        <v>6.0</v>
      </c>
      <c r="D143" s="38" t="s">
        <v>47</v>
      </c>
      <c r="E143" s="40"/>
      <c r="F143" s="85">
        <v>0.0</v>
      </c>
      <c r="H143" s="86">
        <v>0.0</v>
      </c>
      <c r="J143" s="86">
        <v>0.0</v>
      </c>
      <c r="L143" s="86">
        <v>0.0</v>
      </c>
      <c r="N143" s="86">
        <v>0.0</v>
      </c>
      <c r="P143" s="86">
        <v>0.0</v>
      </c>
      <c r="Q143" s="43"/>
      <c r="R143" s="86">
        <v>0.0</v>
      </c>
      <c r="T143" s="85">
        <v>135.0</v>
      </c>
      <c r="V143" s="86">
        <v>135.0</v>
      </c>
      <c r="X143" s="86">
        <v>0.0</v>
      </c>
      <c r="Z143" s="86">
        <v>0.0</v>
      </c>
      <c r="AB143" s="86">
        <v>0.0</v>
      </c>
      <c r="AD143" s="86">
        <v>0.0</v>
      </c>
      <c r="AE143" s="43"/>
      <c r="AF143" s="86">
        <v>0.0</v>
      </c>
      <c r="AH143" s="86">
        <v>0.0</v>
      </c>
      <c r="AJ143" s="86">
        <v>0.0</v>
      </c>
      <c r="AL143" s="85">
        <v>0.0</v>
      </c>
      <c r="AM143" s="43"/>
      <c r="AN143" s="72">
        <v>0.0</v>
      </c>
      <c r="AO143" s="43"/>
      <c r="AP143" s="85"/>
      <c r="AQ143" s="43"/>
      <c r="AR143" s="85"/>
      <c r="AS143" s="43"/>
      <c r="AT143" s="85"/>
      <c r="AU143" s="43"/>
      <c r="AV143" s="86"/>
      <c r="AX143" s="86"/>
      <c r="AY143" s="43"/>
      <c r="AZ143" s="86"/>
      <c r="BB143" s="47">
        <f t="shared" si="8"/>
        <v>3002.4</v>
      </c>
      <c r="BC143" s="38">
        <f t="shared" si="2"/>
        <v>270</v>
      </c>
      <c r="BD143" s="38">
        <f t="shared" si="3"/>
        <v>0</v>
      </c>
      <c r="BE143" s="38">
        <f t="shared" si="4"/>
        <v>270</v>
      </c>
      <c r="BF143" s="76">
        <f t="shared" si="5"/>
        <v>11.12</v>
      </c>
      <c r="BG143" s="78"/>
    </row>
    <row r="144" ht="15.75" customHeight="1">
      <c r="A144" s="50" t="s">
        <v>48</v>
      </c>
      <c r="B144" s="51">
        <f t="shared" si="6"/>
        <v>45797</v>
      </c>
      <c r="C144" s="52">
        <v>6.0</v>
      </c>
      <c r="D144" s="52" t="s">
        <v>47</v>
      </c>
      <c r="E144" s="53"/>
      <c r="F144" s="85">
        <v>0.0</v>
      </c>
      <c r="H144" s="86">
        <v>0.0</v>
      </c>
      <c r="J144" s="86">
        <v>0.0</v>
      </c>
      <c r="L144" s="86">
        <v>0.0</v>
      </c>
      <c r="N144" s="86">
        <v>0.0</v>
      </c>
      <c r="P144" s="86">
        <v>0.0</v>
      </c>
      <c r="Q144" s="43"/>
      <c r="R144" s="86">
        <v>0.0</v>
      </c>
      <c r="T144" s="85">
        <v>135.0</v>
      </c>
      <c r="V144" s="86">
        <v>135.0</v>
      </c>
      <c r="X144" s="86">
        <v>0.0</v>
      </c>
      <c r="Z144" s="86">
        <v>0.0</v>
      </c>
      <c r="AB144" s="86">
        <v>0.0</v>
      </c>
      <c r="AD144" s="86">
        <v>0.0</v>
      </c>
      <c r="AE144" s="43"/>
      <c r="AF144" s="86">
        <v>0.0</v>
      </c>
      <c r="AH144" s="86">
        <v>50.0</v>
      </c>
      <c r="AJ144" s="86">
        <v>50.0</v>
      </c>
      <c r="AL144" s="85">
        <v>19.0</v>
      </c>
      <c r="AM144" s="43"/>
      <c r="AN144" s="72">
        <v>0.0</v>
      </c>
      <c r="AO144" s="43"/>
      <c r="AP144" s="85"/>
      <c r="AQ144" s="43"/>
      <c r="AR144" s="85"/>
      <c r="AS144" s="43"/>
      <c r="AT144" s="85">
        <v>180.0</v>
      </c>
      <c r="AU144" s="43"/>
      <c r="AV144" s="86"/>
      <c r="AX144" s="86"/>
      <c r="AY144" s="43"/>
      <c r="AZ144" s="86"/>
      <c r="BB144" s="54">
        <f t="shared" si="8"/>
        <v>5188.51</v>
      </c>
      <c r="BC144" s="52">
        <f t="shared" si="2"/>
        <v>569</v>
      </c>
      <c r="BD144" s="52">
        <f t="shared" si="3"/>
        <v>0</v>
      </c>
      <c r="BE144" s="52">
        <f t="shared" si="4"/>
        <v>569</v>
      </c>
      <c r="BF144" s="49">
        <f t="shared" si="5"/>
        <v>9.118646749</v>
      </c>
      <c r="BG144" s="78"/>
    </row>
    <row r="145" ht="15.75" customHeight="1">
      <c r="A145" s="50" t="s">
        <v>49</v>
      </c>
      <c r="B145" s="51">
        <f t="shared" si="6"/>
        <v>45798</v>
      </c>
      <c r="C145" s="52">
        <v>6.0</v>
      </c>
      <c r="D145" s="52" t="s">
        <v>47</v>
      </c>
      <c r="E145" s="53"/>
      <c r="F145" s="85">
        <v>0.0</v>
      </c>
      <c r="H145" s="86">
        <v>0.0</v>
      </c>
      <c r="J145" s="86">
        <v>0.0</v>
      </c>
      <c r="L145" s="86">
        <v>0.0</v>
      </c>
      <c r="N145" s="86">
        <v>0.0</v>
      </c>
      <c r="P145" s="86">
        <v>0.0</v>
      </c>
      <c r="Q145" s="43"/>
      <c r="R145" s="86">
        <v>0.0</v>
      </c>
      <c r="T145" s="85">
        <v>135.0</v>
      </c>
      <c r="V145" s="86">
        <v>135.0</v>
      </c>
      <c r="X145" s="86">
        <v>0.0</v>
      </c>
      <c r="Z145" s="86">
        <v>0.0</v>
      </c>
      <c r="AB145" s="86">
        <v>0.0</v>
      </c>
      <c r="AD145" s="86">
        <v>0.0</v>
      </c>
      <c r="AE145" s="43"/>
      <c r="AF145" s="86">
        <v>0.0</v>
      </c>
      <c r="AH145" s="86">
        <v>50.0</v>
      </c>
      <c r="AJ145" s="86">
        <v>0.0</v>
      </c>
      <c r="AL145" s="85">
        <v>19.0</v>
      </c>
      <c r="AM145" s="43"/>
      <c r="AN145" s="72">
        <v>4761.0</v>
      </c>
      <c r="AO145" s="43"/>
      <c r="AP145" s="85"/>
      <c r="AQ145" s="43"/>
      <c r="AR145" s="85"/>
      <c r="AS145" s="43"/>
      <c r="AT145" s="85"/>
      <c r="AU145" s="43"/>
      <c r="AV145" s="86"/>
      <c r="AX145" s="86"/>
      <c r="AY145" s="43"/>
      <c r="AZ145" s="86"/>
      <c r="BB145" s="54">
        <f t="shared" si="8"/>
        <v>4098.81</v>
      </c>
      <c r="BC145" s="52">
        <f t="shared" si="2"/>
        <v>339</v>
      </c>
      <c r="BD145" s="52">
        <f t="shared" si="3"/>
        <v>0</v>
      </c>
      <c r="BE145" s="52">
        <f t="shared" si="4"/>
        <v>339</v>
      </c>
      <c r="BF145" s="49">
        <f t="shared" si="5"/>
        <v>12.09088496</v>
      </c>
      <c r="BG145" s="78"/>
    </row>
    <row r="146" ht="15.75" customHeight="1">
      <c r="A146" s="50" t="s">
        <v>50</v>
      </c>
      <c r="B146" s="51">
        <f t="shared" si="6"/>
        <v>45799</v>
      </c>
      <c r="C146" s="52">
        <v>6.0</v>
      </c>
      <c r="D146" s="52" t="s">
        <v>47</v>
      </c>
      <c r="E146" s="53"/>
      <c r="F146" s="85">
        <v>0.0</v>
      </c>
      <c r="H146" s="86">
        <v>0.0</v>
      </c>
      <c r="J146" s="86">
        <v>0.0</v>
      </c>
      <c r="L146" s="86">
        <v>0.0</v>
      </c>
      <c r="N146" s="86">
        <v>0.0</v>
      </c>
      <c r="P146" s="86">
        <v>0.0</v>
      </c>
      <c r="Q146" s="43"/>
      <c r="R146" s="86">
        <v>0.0</v>
      </c>
      <c r="T146" s="85">
        <v>135.0</v>
      </c>
      <c r="V146" s="86">
        <v>135.0</v>
      </c>
      <c r="X146" s="86">
        <v>0.0</v>
      </c>
      <c r="Z146" s="86">
        <v>0.0</v>
      </c>
      <c r="AB146" s="86">
        <v>0.0</v>
      </c>
      <c r="AD146" s="86">
        <v>0.0</v>
      </c>
      <c r="AE146" s="43"/>
      <c r="AF146" s="86">
        <v>0.0</v>
      </c>
      <c r="AH146" s="86">
        <v>50.0</v>
      </c>
      <c r="AJ146" s="86">
        <v>0.0</v>
      </c>
      <c r="AL146" s="85">
        <v>20.0</v>
      </c>
      <c r="AM146" s="43"/>
      <c r="AN146" s="72">
        <v>0.0</v>
      </c>
      <c r="AO146" s="43"/>
      <c r="AP146" s="85"/>
      <c r="AQ146" s="43"/>
      <c r="AR146" s="85"/>
      <c r="AS146" s="43"/>
      <c r="AT146" s="85"/>
      <c r="AU146" s="43"/>
      <c r="AV146" s="86"/>
      <c r="AX146" s="86"/>
      <c r="AY146" s="43"/>
      <c r="AZ146" s="86"/>
      <c r="BB146" s="54">
        <f t="shared" si="8"/>
        <v>4114.7</v>
      </c>
      <c r="BC146" s="52">
        <f t="shared" si="2"/>
        <v>340</v>
      </c>
      <c r="BD146" s="52">
        <f t="shared" si="3"/>
        <v>0</v>
      </c>
      <c r="BE146" s="52">
        <f t="shared" si="4"/>
        <v>340</v>
      </c>
      <c r="BF146" s="49">
        <f t="shared" si="5"/>
        <v>12.10205882</v>
      </c>
      <c r="BG146" s="78"/>
    </row>
    <row r="147" ht="15.75" customHeight="1">
      <c r="A147" s="50" t="s">
        <v>53</v>
      </c>
      <c r="B147" s="51">
        <f t="shared" si="6"/>
        <v>45800</v>
      </c>
      <c r="C147" s="52">
        <v>6.0</v>
      </c>
      <c r="D147" s="52" t="s">
        <v>47</v>
      </c>
      <c r="E147" s="53"/>
      <c r="F147" s="85">
        <v>0.0</v>
      </c>
      <c r="H147" s="86">
        <v>0.0</v>
      </c>
      <c r="J147" s="86">
        <v>0.0</v>
      </c>
      <c r="L147" s="86">
        <v>0.0</v>
      </c>
      <c r="N147" s="86">
        <v>0.0</v>
      </c>
      <c r="P147" s="86">
        <v>0.0</v>
      </c>
      <c r="Q147" s="43"/>
      <c r="R147" s="86">
        <v>0.0</v>
      </c>
      <c r="T147" s="85">
        <v>135.0</v>
      </c>
      <c r="V147" s="86">
        <v>135.0</v>
      </c>
      <c r="X147" s="86">
        <v>0.0</v>
      </c>
      <c r="Z147" s="86">
        <v>0.0</v>
      </c>
      <c r="AB147" s="86">
        <v>0.0</v>
      </c>
      <c r="AD147" s="86">
        <v>0.0</v>
      </c>
      <c r="AE147" s="43"/>
      <c r="AF147" s="86">
        <v>0.0</v>
      </c>
      <c r="AH147" s="86">
        <v>50.0</v>
      </c>
      <c r="AJ147" s="86">
        <v>50.0</v>
      </c>
      <c r="AL147" s="85">
        <v>20.0</v>
      </c>
      <c r="AM147" s="43"/>
      <c r="AN147" s="72">
        <v>0.0</v>
      </c>
      <c r="AO147" s="43"/>
      <c r="AP147" s="85"/>
      <c r="AQ147" s="43"/>
      <c r="AR147" s="85"/>
      <c r="AS147" s="43"/>
      <c r="AT147" s="85">
        <v>180.0</v>
      </c>
      <c r="AU147" s="43"/>
      <c r="AV147" s="86"/>
      <c r="AX147" s="86"/>
      <c r="AY147" s="43"/>
      <c r="AZ147" s="86"/>
      <c r="BB147" s="54">
        <f t="shared" si="8"/>
        <v>5204.4</v>
      </c>
      <c r="BC147" s="52">
        <f t="shared" si="2"/>
        <v>570</v>
      </c>
      <c r="BD147" s="52">
        <f t="shared" si="3"/>
        <v>0</v>
      </c>
      <c r="BE147" s="52">
        <f t="shared" si="4"/>
        <v>570</v>
      </c>
      <c r="BF147" s="49">
        <f t="shared" si="5"/>
        <v>9.130526316</v>
      </c>
      <c r="BG147" s="78"/>
    </row>
    <row r="148" ht="15.75" customHeight="1">
      <c r="A148" s="50" t="s">
        <v>54</v>
      </c>
      <c r="B148" s="51">
        <f t="shared" si="6"/>
        <v>45801</v>
      </c>
      <c r="C148" s="52">
        <v>6.0</v>
      </c>
      <c r="D148" s="52" t="s">
        <v>47</v>
      </c>
      <c r="E148" s="53"/>
      <c r="F148" s="85">
        <v>0.0</v>
      </c>
      <c r="H148" s="86">
        <v>0.0</v>
      </c>
      <c r="J148" s="86">
        <v>0.0</v>
      </c>
      <c r="L148" s="86">
        <v>0.0</v>
      </c>
      <c r="N148" s="86">
        <v>0.0</v>
      </c>
      <c r="P148" s="86">
        <v>0.0</v>
      </c>
      <c r="Q148" s="43"/>
      <c r="R148" s="86">
        <v>0.0</v>
      </c>
      <c r="T148" s="85">
        <v>135.0</v>
      </c>
      <c r="V148" s="86">
        <v>100.0</v>
      </c>
      <c r="X148" s="86">
        <v>12.0</v>
      </c>
      <c r="Z148" s="86">
        <v>0.0</v>
      </c>
      <c r="AB148" s="86">
        <v>0.0</v>
      </c>
      <c r="AD148" s="86">
        <v>0.0</v>
      </c>
      <c r="AE148" s="43"/>
      <c r="AF148" s="86">
        <v>0.0</v>
      </c>
      <c r="AH148" s="86">
        <v>50.0</v>
      </c>
      <c r="AJ148" s="86">
        <v>0.0</v>
      </c>
      <c r="AL148" s="85">
        <v>19.0</v>
      </c>
      <c r="AM148" s="43"/>
      <c r="AN148" s="72">
        <v>813.46</v>
      </c>
      <c r="AO148" s="43"/>
      <c r="AP148" s="85"/>
      <c r="AQ148" s="43"/>
      <c r="AR148" s="85"/>
      <c r="AS148" s="43"/>
      <c r="AT148" s="85"/>
      <c r="AU148" s="43"/>
      <c r="AV148" s="86"/>
      <c r="AX148" s="86"/>
      <c r="AY148" s="43"/>
      <c r="AZ148" s="86"/>
      <c r="BB148" s="54">
        <f t="shared" si="8"/>
        <v>3843.05</v>
      </c>
      <c r="BC148" s="52">
        <f t="shared" si="2"/>
        <v>316</v>
      </c>
      <c r="BD148" s="52">
        <f t="shared" si="3"/>
        <v>0</v>
      </c>
      <c r="BE148" s="52">
        <f t="shared" si="4"/>
        <v>316</v>
      </c>
      <c r="BF148" s="49">
        <f t="shared" si="5"/>
        <v>12.16155063</v>
      </c>
      <c r="BG148" s="78"/>
    </row>
    <row r="149" ht="15.75" customHeight="1">
      <c r="A149" s="59" t="s">
        <v>61</v>
      </c>
      <c r="B149" s="61">
        <f t="shared" si="6"/>
        <v>45802</v>
      </c>
      <c r="C149" s="63">
        <v>6.0</v>
      </c>
      <c r="D149" s="63" t="s">
        <v>47</v>
      </c>
      <c r="E149" s="64"/>
      <c r="F149" s="87">
        <v>0.0</v>
      </c>
      <c r="G149" s="66"/>
      <c r="H149" s="88">
        <v>0.0</v>
      </c>
      <c r="I149" s="66"/>
      <c r="J149" s="88">
        <v>0.0</v>
      </c>
      <c r="K149" s="66"/>
      <c r="L149" s="88">
        <v>0.0</v>
      </c>
      <c r="M149" s="66"/>
      <c r="N149" s="88">
        <v>0.0</v>
      </c>
      <c r="O149" s="66"/>
      <c r="P149" s="88">
        <v>0.0</v>
      </c>
      <c r="Q149" s="68"/>
      <c r="R149" s="88">
        <v>0.0</v>
      </c>
      <c r="S149" s="66"/>
      <c r="T149" s="87">
        <v>0.0</v>
      </c>
      <c r="U149" s="66"/>
      <c r="V149" s="88">
        <v>0.0</v>
      </c>
      <c r="W149" s="66"/>
      <c r="X149" s="88">
        <v>0.0</v>
      </c>
      <c r="Y149" s="66"/>
      <c r="Z149" s="88">
        <v>0.0</v>
      </c>
      <c r="AA149" s="66"/>
      <c r="AB149" s="88">
        <v>0.0</v>
      </c>
      <c r="AC149" s="66"/>
      <c r="AD149" s="88">
        <v>0.0</v>
      </c>
      <c r="AE149" s="68"/>
      <c r="AF149" s="88">
        <v>0.0</v>
      </c>
      <c r="AG149" s="66"/>
      <c r="AH149" s="88">
        <v>0.0</v>
      </c>
      <c r="AI149" s="66"/>
      <c r="AJ149" s="88">
        <v>0.0</v>
      </c>
      <c r="AK149" s="66"/>
      <c r="AL149" s="87">
        <v>0.0</v>
      </c>
      <c r="AM149" s="68"/>
      <c r="AN149" s="84">
        <v>0.0</v>
      </c>
      <c r="AO149" s="68"/>
      <c r="AP149" s="87"/>
      <c r="AQ149" s="68"/>
      <c r="AR149" s="87"/>
      <c r="AS149" s="68"/>
      <c r="AT149" s="87"/>
      <c r="AU149" s="68"/>
      <c r="AV149" s="88"/>
      <c r="AW149" s="66"/>
      <c r="AX149" s="88"/>
      <c r="AY149" s="68"/>
      <c r="AZ149" s="88"/>
      <c r="BA149" s="66"/>
      <c r="BB149" s="73">
        <f t="shared" si="8"/>
        <v>0</v>
      </c>
      <c r="BC149" s="63">
        <f t="shared" si="2"/>
        <v>0</v>
      </c>
      <c r="BD149" s="63">
        <f t="shared" si="3"/>
        <v>0</v>
      </c>
      <c r="BE149" s="63">
        <f t="shared" si="4"/>
        <v>0</v>
      </c>
      <c r="BF149" s="74" t="str">
        <f t="shared" si="5"/>
        <v/>
      </c>
      <c r="BG149" s="78"/>
    </row>
    <row r="150" ht="15.75" customHeight="1">
      <c r="A150" s="36" t="s">
        <v>46</v>
      </c>
      <c r="B150" s="75">
        <f t="shared" si="6"/>
        <v>45803</v>
      </c>
      <c r="C150" s="38">
        <v>6.0</v>
      </c>
      <c r="D150" s="38" t="s">
        <v>65</v>
      </c>
      <c r="E150" s="40"/>
      <c r="F150" s="85">
        <v>0.0</v>
      </c>
      <c r="H150" s="86">
        <v>0.0</v>
      </c>
      <c r="J150" s="86">
        <v>0.0</v>
      </c>
      <c r="L150" s="86">
        <v>0.0</v>
      </c>
      <c r="N150" s="86">
        <v>0.0</v>
      </c>
      <c r="P150" s="86">
        <v>0.0</v>
      </c>
      <c r="Q150" s="43"/>
      <c r="R150" s="86">
        <v>0.0</v>
      </c>
      <c r="T150" s="85">
        <v>135.0</v>
      </c>
      <c r="V150" s="86">
        <v>135.0</v>
      </c>
      <c r="X150" s="86">
        <v>0.0</v>
      </c>
      <c r="Z150" s="86">
        <v>0.0</v>
      </c>
      <c r="AB150" s="86">
        <v>0.0</v>
      </c>
      <c r="AD150" s="86">
        <v>0.0</v>
      </c>
      <c r="AE150" s="43"/>
      <c r="AF150" s="86">
        <v>0.0</v>
      </c>
      <c r="AH150" s="86">
        <v>0.0</v>
      </c>
      <c r="AJ150" s="86">
        <v>0.0</v>
      </c>
      <c r="AL150" s="85">
        <v>0.0</v>
      </c>
      <c r="AM150" s="43"/>
      <c r="AN150" s="72">
        <v>0.0</v>
      </c>
      <c r="AO150" s="43"/>
      <c r="AP150" s="85"/>
      <c r="AQ150" s="43"/>
      <c r="AR150" s="85"/>
      <c r="AS150" s="43"/>
      <c r="AT150" s="85">
        <v>180.0</v>
      </c>
      <c r="AU150" s="43"/>
      <c r="AV150" s="86"/>
      <c r="AX150" s="86"/>
      <c r="AY150" s="43"/>
      <c r="AZ150" s="86"/>
      <c r="BB150" s="47">
        <f t="shared" si="8"/>
        <v>3297.6</v>
      </c>
      <c r="BC150" s="38">
        <f t="shared" si="2"/>
        <v>450</v>
      </c>
      <c r="BD150" s="38">
        <f t="shared" si="3"/>
        <v>0</v>
      </c>
      <c r="BE150" s="38">
        <f t="shared" si="4"/>
        <v>450</v>
      </c>
      <c r="BF150" s="76">
        <f t="shared" si="5"/>
        <v>7.328</v>
      </c>
      <c r="BG150" s="78"/>
    </row>
    <row r="151" ht="15.75" customHeight="1">
      <c r="A151" s="50" t="s">
        <v>48</v>
      </c>
      <c r="B151" s="51">
        <f t="shared" si="6"/>
        <v>45804</v>
      </c>
      <c r="C151" s="52">
        <v>6.0</v>
      </c>
      <c r="D151" s="52" t="s">
        <v>65</v>
      </c>
      <c r="E151" s="53"/>
      <c r="F151" s="85">
        <v>0.0</v>
      </c>
      <c r="H151" s="86">
        <v>0.0</v>
      </c>
      <c r="J151" s="86">
        <v>0.0</v>
      </c>
      <c r="L151" s="86">
        <v>0.0</v>
      </c>
      <c r="N151" s="86">
        <v>0.0</v>
      </c>
      <c r="P151" s="86">
        <v>0.0</v>
      </c>
      <c r="Q151" s="43"/>
      <c r="R151" s="86">
        <v>0.0</v>
      </c>
      <c r="T151" s="85">
        <v>135.0</v>
      </c>
      <c r="V151" s="86">
        <v>135.0</v>
      </c>
      <c r="X151" s="86">
        <v>0.0</v>
      </c>
      <c r="Z151" s="86">
        <v>0.0</v>
      </c>
      <c r="AB151" s="86">
        <v>0.0</v>
      </c>
      <c r="AD151" s="86">
        <v>0.0</v>
      </c>
      <c r="AE151" s="43"/>
      <c r="AF151" s="86">
        <v>0.0</v>
      </c>
      <c r="AH151" s="86">
        <v>0.0</v>
      </c>
      <c r="AJ151" s="86">
        <v>0.0</v>
      </c>
      <c r="AL151" s="85">
        <v>0.0</v>
      </c>
      <c r="AM151" s="43"/>
      <c r="AN151" s="72">
        <v>0.0</v>
      </c>
      <c r="AO151" s="43"/>
      <c r="AP151" s="85"/>
      <c r="AQ151" s="43"/>
      <c r="AR151" s="85"/>
      <c r="AS151" s="43"/>
      <c r="AT151" s="85"/>
      <c r="AU151" s="43"/>
      <c r="AV151" s="86"/>
      <c r="AX151" s="86"/>
      <c r="AY151" s="43"/>
      <c r="AZ151" s="86"/>
      <c r="BB151" s="54">
        <f t="shared" si="8"/>
        <v>3002.4</v>
      </c>
      <c r="BC151" s="52">
        <f t="shared" si="2"/>
        <v>270</v>
      </c>
      <c r="BD151" s="52">
        <f t="shared" si="3"/>
        <v>0</v>
      </c>
      <c r="BE151" s="52">
        <f t="shared" si="4"/>
        <v>270</v>
      </c>
      <c r="BF151" s="49">
        <f t="shared" si="5"/>
        <v>11.12</v>
      </c>
      <c r="BG151" s="78"/>
    </row>
    <row r="152" ht="15.75" customHeight="1">
      <c r="A152" s="50" t="s">
        <v>49</v>
      </c>
      <c r="B152" s="51">
        <f t="shared" si="6"/>
        <v>45805</v>
      </c>
      <c r="C152" s="52">
        <v>6.0</v>
      </c>
      <c r="D152" s="52" t="s">
        <v>65</v>
      </c>
      <c r="E152" s="53"/>
      <c r="F152" s="85">
        <v>0.0</v>
      </c>
      <c r="H152" s="86">
        <v>0.0</v>
      </c>
      <c r="J152" s="86">
        <v>0.0</v>
      </c>
      <c r="L152" s="86">
        <v>0.0</v>
      </c>
      <c r="N152" s="86">
        <v>0.0</v>
      </c>
      <c r="P152" s="86">
        <v>0.0</v>
      </c>
      <c r="Q152" s="43"/>
      <c r="R152" s="86">
        <v>0.0</v>
      </c>
      <c r="T152" s="85">
        <v>135.0</v>
      </c>
      <c r="V152" s="86">
        <v>135.0</v>
      </c>
      <c r="X152" s="86">
        <v>0.0</v>
      </c>
      <c r="Z152" s="86">
        <v>0.0</v>
      </c>
      <c r="AB152" s="86">
        <v>0.0</v>
      </c>
      <c r="AD152" s="86">
        <v>0.0</v>
      </c>
      <c r="AE152" s="43"/>
      <c r="AF152" s="86">
        <v>0.0</v>
      </c>
      <c r="AH152" s="86">
        <v>0.0</v>
      </c>
      <c r="AJ152" s="86">
        <v>0.0</v>
      </c>
      <c r="AL152" s="85">
        <v>0.0</v>
      </c>
      <c r="AM152" s="43"/>
      <c r="AN152" s="72">
        <v>0.0</v>
      </c>
      <c r="AO152" s="43"/>
      <c r="AP152" s="85"/>
      <c r="AQ152" s="43"/>
      <c r="AR152" s="85"/>
      <c r="AS152" s="43"/>
      <c r="AT152" s="85"/>
      <c r="AU152" s="43"/>
      <c r="AV152" s="86"/>
      <c r="AX152" s="86"/>
      <c r="AY152" s="43"/>
      <c r="AZ152" s="86"/>
      <c r="BB152" s="54">
        <f t="shared" si="8"/>
        <v>3002.4</v>
      </c>
      <c r="BC152" s="52">
        <f t="shared" si="2"/>
        <v>270</v>
      </c>
      <c r="BD152" s="52">
        <f t="shared" si="3"/>
        <v>0</v>
      </c>
      <c r="BE152" s="52">
        <f t="shared" si="4"/>
        <v>270</v>
      </c>
      <c r="BF152" s="49">
        <f t="shared" si="5"/>
        <v>11.12</v>
      </c>
      <c r="BG152" s="78"/>
    </row>
    <row r="153" ht="15.75" customHeight="1">
      <c r="A153" s="50" t="s">
        <v>50</v>
      </c>
      <c r="B153" s="51">
        <f t="shared" si="6"/>
        <v>45806</v>
      </c>
      <c r="C153" s="52">
        <v>6.0</v>
      </c>
      <c r="D153" s="52" t="s">
        <v>65</v>
      </c>
      <c r="E153" s="53"/>
      <c r="F153" s="85">
        <v>0.0</v>
      </c>
      <c r="H153" s="86">
        <v>0.0</v>
      </c>
      <c r="J153" s="86">
        <v>0.0</v>
      </c>
      <c r="L153" s="86">
        <v>0.0</v>
      </c>
      <c r="N153" s="86">
        <v>0.0</v>
      </c>
      <c r="P153" s="86">
        <v>0.0</v>
      </c>
      <c r="Q153" s="43"/>
      <c r="R153" s="86">
        <v>0.0</v>
      </c>
      <c r="T153" s="85">
        <v>135.0</v>
      </c>
      <c r="V153" s="86">
        <v>135.0</v>
      </c>
      <c r="X153" s="86">
        <v>0.0</v>
      </c>
      <c r="Z153" s="86">
        <v>0.0</v>
      </c>
      <c r="AB153" s="86">
        <v>0.0</v>
      </c>
      <c r="AD153" s="86">
        <v>0.0</v>
      </c>
      <c r="AE153" s="43"/>
      <c r="AF153" s="86">
        <v>0.0</v>
      </c>
      <c r="AH153" s="86">
        <v>0.0</v>
      </c>
      <c r="AJ153" s="86">
        <v>0.0</v>
      </c>
      <c r="AL153" s="85">
        <v>0.0</v>
      </c>
      <c r="AM153" s="43"/>
      <c r="AN153" s="72">
        <v>0.0</v>
      </c>
      <c r="AO153" s="43"/>
      <c r="AP153" s="85"/>
      <c r="AQ153" s="43"/>
      <c r="AR153" s="85"/>
      <c r="AS153" s="43"/>
      <c r="AT153" s="85"/>
      <c r="AU153" s="43"/>
      <c r="AV153" s="86"/>
      <c r="AX153" s="86"/>
      <c r="AY153" s="43"/>
      <c r="AZ153" s="86"/>
      <c r="BB153" s="54">
        <f t="shared" si="8"/>
        <v>3002.4</v>
      </c>
      <c r="BC153" s="52">
        <f t="shared" si="2"/>
        <v>270</v>
      </c>
      <c r="BD153" s="52">
        <f t="shared" si="3"/>
        <v>0</v>
      </c>
      <c r="BE153" s="52">
        <f t="shared" si="4"/>
        <v>270</v>
      </c>
      <c r="BF153" s="49">
        <f t="shared" si="5"/>
        <v>11.12</v>
      </c>
      <c r="BG153" s="78"/>
    </row>
    <row r="154" ht="15.75" customHeight="1">
      <c r="A154" s="50" t="s">
        <v>53</v>
      </c>
      <c r="B154" s="51">
        <f t="shared" si="6"/>
        <v>45807</v>
      </c>
      <c r="C154" s="52">
        <v>6.0</v>
      </c>
      <c r="D154" s="52" t="s">
        <v>65</v>
      </c>
      <c r="E154" s="53"/>
      <c r="F154" s="85">
        <v>0.0</v>
      </c>
      <c r="H154" s="86">
        <v>0.0</v>
      </c>
      <c r="J154" s="86">
        <v>0.0</v>
      </c>
      <c r="L154" s="86">
        <v>0.0</v>
      </c>
      <c r="N154" s="86">
        <v>0.0</v>
      </c>
      <c r="P154" s="86">
        <v>0.0</v>
      </c>
      <c r="Q154" s="43"/>
      <c r="R154" s="86">
        <v>0.0</v>
      </c>
      <c r="T154" s="85">
        <v>135.0</v>
      </c>
      <c r="V154" s="86">
        <v>135.0</v>
      </c>
      <c r="X154" s="86">
        <v>0.0</v>
      </c>
      <c r="Z154" s="86">
        <v>0.0</v>
      </c>
      <c r="AB154" s="86">
        <v>0.0</v>
      </c>
      <c r="AD154" s="86">
        <v>0.0</v>
      </c>
      <c r="AE154" s="43"/>
      <c r="AF154" s="86">
        <v>0.0</v>
      </c>
      <c r="AH154" s="86">
        <v>50.0</v>
      </c>
      <c r="AJ154" s="86">
        <v>50.0</v>
      </c>
      <c r="AL154" s="85">
        <v>21.0</v>
      </c>
      <c r="AM154" s="43"/>
      <c r="AN154" s="72">
        <v>0.0</v>
      </c>
      <c r="AO154" s="43"/>
      <c r="AP154" s="85"/>
      <c r="AQ154" s="43"/>
      <c r="AR154" s="101"/>
      <c r="AS154" s="43"/>
      <c r="AT154" s="85"/>
      <c r="AU154" s="43"/>
      <c r="AV154" s="86"/>
      <c r="AX154" s="86"/>
      <c r="AY154" s="43"/>
      <c r="AZ154" s="86"/>
      <c r="BB154" s="54">
        <f t="shared" si="8"/>
        <v>4925.09</v>
      </c>
      <c r="BC154" s="52">
        <f t="shared" si="2"/>
        <v>391</v>
      </c>
      <c r="BD154" s="52">
        <f t="shared" si="3"/>
        <v>0</v>
      </c>
      <c r="BE154" s="52">
        <f t="shared" si="4"/>
        <v>391</v>
      </c>
      <c r="BF154" s="49">
        <f t="shared" si="5"/>
        <v>12.59613811</v>
      </c>
      <c r="BG154" s="78"/>
    </row>
    <row r="155" ht="15.75" customHeight="1">
      <c r="A155" s="50" t="s">
        <v>54</v>
      </c>
      <c r="B155" s="51">
        <f t="shared" si="6"/>
        <v>45808</v>
      </c>
      <c r="C155" s="52">
        <v>6.0</v>
      </c>
      <c r="D155" s="52" t="s">
        <v>65</v>
      </c>
      <c r="E155" s="53"/>
      <c r="F155" s="85">
        <v>0.0</v>
      </c>
      <c r="H155" s="86">
        <v>0.0</v>
      </c>
      <c r="J155" s="86">
        <v>0.0</v>
      </c>
      <c r="L155" s="86">
        <v>0.0</v>
      </c>
      <c r="N155" s="86">
        <v>0.0</v>
      </c>
      <c r="P155" s="86">
        <v>0.0</v>
      </c>
      <c r="Q155" s="43"/>
      <c r="R155" s="86">
        <v>0.0</v>
      </c>
      <c r="T155" s="85">
        <v>135.0</v>
      </c>
      <c r="V155" s="86">
        <v>135.0</v>
      </c>
      <c r="X155" s="86">
        <v>15.0</v>
      </c>
      <c r="Z155" s="86">
        <v>0.0</v>
      </c>
      <c r="AB155" s="86">
        <v>0.0</v>
      </c>
      <c r="AD155" s="86">
        <v>0.0</v>
      </c>
      <c r="AE155" s="43"/>
      <c r="AF155" s="86">
        <v>0.0</v>
      </c>
      <c r="AH155" s="86">
        <v>50.0</v>
      </c>
      <c r="AJ155" s="86">
        <v>0.0</v>
      </c>
      <c r="AL155" s="85">
        <v>21.0</v>
      </c>
      <c r="AM155" s="43"/>
      <c r="AN155" s="72">
        <v>0.0</v>
      </c>
      <c r="AO155" s="43"/>
      <c r="AP155" s="85"/>
      <c r="AQ155" s="43"/>
      <c r="AR155" s="101"/>
      <c r="AS155" s="43"/>
      <c r="AT155" s="85"/>
      <c r="AU155" s="43"/>
      <c r="AV155" s="86"/>
      <c r="AX155" s="86"/>
      <c r="AY155" s="43"/>
      <c r="AZ155" s="86"/>
      <c r="BB155" s="54">
        <f t="shared" si="8"/>
        <v>4297.39</v>
      </c>
      <c r="BC155" s="52">
        <f t="shared" si="2"/>
        <v>356</v>
      </c>
      <c r="BD155" s="52">
        <f t="shared" si="3"/>
        <v>0</v>
      </c>
      <c r="BE155" s="52">
        <f t="shared" si="4"/>
        <v>356</v>
      </c>
      <c r="BF155" s="49">
        <f t="shared" si="5"/>
        <v>12.07132022</v>
      </c>
      <c r="BG155" s="78"/>
    </row>
    <row r="156" ht="15.75" customHeight="1">
      <c r="A156" s="59" t="s">
        <v>61</v>
      </c>
      <c r="B156" s="61">
        <f t="shared" si="6"/>
        <v>45809</v>
      </c>
      <c r="C156" s="63">
        <v>6.0</v>
      </c>
      <c r="D156" s="63" t="s">
        <v>65</v>
      </c>
      <c r="E156" s="64"/>
      <c r="F156" s="87">
        <v>0.0</v>
      </c>
      <c r="G156" s="66"/>
      <c r="H156" s="88">
        <v>0.0</v>
      </c>
      <c r="I156" s="66"/>
      <c r="J156" s="88">
        <v>0.0</v>
      </c>
      <c r="K156" s="66"/>
      <c r="L156" s="88">
        <v>0.0</v>
      </c>
      <c r="M156" s="66"/>
      <c r="N156" s="88">
        <v>0.0</v>
      </c>
      <c r="O156" s="66"/>
      <c r="P156" s="88">
        <v>0.0</v>
      </c>
      <c r="Q156" s="68"/>
      <c r="R156" s="88">
        <v>0.0</v>
      </c>
      <c r="S156" s="66"/>
      <c r="T156" s="87">
        <v>0.0</v>
      </c>
      <c r="U156" s="66"/>
      <c r="V156" s="88">
        <v>0.0</v>
      </c>
      <c r="W156" s="66"/>
      <c r="X156" s="88">
        <v>0.0</v>
      </c>
      <c r="Y156" s="66"/>
      <c r="Z156" s="88">
        <v>0.0</v>
      </c>
      <c r="AA156" s="66"/>
      <c r="AB156" s="88">
        <v>0.0</v>
      </c>
      <c r="AC156" s="66"/>
      <c r="AD156" s="88">
        <v>0.0</v>
      </c>
      <c r="AE156" s="68"/>
      <c r="AF156" s="88">
        <v>0.0</v>
      </c>
      <c r="AG156" s="66"/>
      <c r="AH156" s="88">
        <v>0.0</v>
      </c>
      <c r="AI156" s="66"/>
      <c r="AJ156" s="88">
        <v>0.0</v>
      </c>
      <c r="AK156" s="66"/>
      <c r="AL156" s="87">
        <v>0.0</v>
      </c>
      <c r="AM156" s="68"/>
      <c r="AN156" s="84">
        <v>0.0</v>
      </c>
      <c r="AO156" s="68"/>
      <c r="AP156" s="87"/>
      <c r="AQ156" s="68"/>
      <c r="AR156" s="87"/>
      <c r="AS156" s="68"/>
      <c r="AT156" s="87"/>
      <c r="AU156" s="68"/>
      <c r="AV156" s="88"/>
      <c r="AW156" s="66"/>
      <c r="AX156" s="88"/>
      <c r="AY156" s="68"/>
      <c r="AZ156" s="88"/>
      <c r="BA156" s="66"/>
      <c r="BB156" s="73">
        <f t="shared" si="8"/>
        <v>0</v>
      </c>
      <c r="BC156" s="63">
        <f t="shared" si="2"/>
        <v>0</v>
      </c>
      <c r="BD156" s="63">
        <f t="shared" si="3"/>
        <v>0</v>
      </c>
      <c r="BE156" s="63">
        <f t="shared" si="4"/>
        <v>0</v>
      </c>
      <c r="BF156" s="74" t="str">
        <f t="shared" si="5"/>
        <v/>
      </c>
      <c r="BG156" s="78"/>
    </row>
    <row r="157" ht="15.75" customHeight="1">
      <c r="A157" s="36" t="s">
        <v>46</v>
      </c>
      <c r="B157" s="75">
        <f t="shared" si="6"/>
        <v>45810</v>
      </c>
      <c r="C157" s="38">
        <v>6.0</v>
      </c>
      <c r="D157" s="38" t="s">
        <v>69</v>
      </c>
      <c r="E157" s="40"/>
      <c r="F157" s="85">
        <v>0.0</v>
      </c>
      <c r="H157" s="86">
        <v>0.0</v>
      </c>
      <c r="J157" s="86">
        <v>0.0</v>
      </c>
      <c r="L157" s="86">
        <v>0.0</v>
      </c>
      <c r="N157" s="86">
        <v>0.0</v>
      </c>
      <c r="P157" s="86">
        <v>0.0</v>
      </c>
      <c r="Q157" s="43"/>
      <c r="R157" s="86">
        <v>0.0</v>
      </c>
      <c r="T157" s="85">
        <v>135.0</v>
      </c>
      <c r="V157" s="86">
        <v>135.0</v>
      </c>
      <c r="X157" s="86">
        <v>0.0</v>
      </c>
      <c r="Z157" s="86">
        <v>0.0</v>
      </c>
      <c r="AB157" s="86">
        <v>0.0</v>
      </c>
      <c r="AD157" s="86">
        <v>20.0</v>
      </c>
      <c r="AE157" s="43"/>
      <c r="AF157" s="86"/>
      <c r="AH157" s="86">
        <v>0.0</v>
      </c>
      <c r="AJ157" s="86">
        <v>0.0</v>
      </c>
      <c r="AL157" s="85">
        <v>0.0</v>
      </c>
      <c r="AM157" s="43"/>
      <c r="AN157" s="72">
        <v>0.0</v>
      </c>
      <c r="AO157" s="43"/>
      <c r="AP157" s="85"/>
      <c r="AQ157" s="43"/>
      <c r="AR157" s="85"/>
      <c r="AS157" s="43"/>
      <c r="AT157" s="85"/>
      <c r="AU157" s="43"/>
      <c r="AV157" s="86"/>
      <c r="AX157" s="86"/>
      <c r="AY157" s="43"/>
      <c r="AZ157" s="86"/>
      <c r="BB157" s="47">
        <f t="shared" si="8"/>
        <v>3224.8</v>
      </c>
      <c r="BC157" s="38">
        <f t="shared" si="2"/>
        <v>290</v>
      </c>
      <c r="BD157" s="38">
        <f t="shared" si="3"/>
        <v>0</v>
      </c>
      <c r="BE157" s="38">
        <f t="shared" si="4"/>
        <v>290</v>
      </c>
      <c r="BF157" s="76">
        <f t="shared" si="5"/>
        <v>11.12</v>
      </c>
      <c r="BG157" s="78"/>
    </row>
    <row r="158" ht="15.75" customHeight="1">
      <c r="A158" s="50" t="s">
        <v>48</v>
      </c>
      <c r="B158" s="51">
        <f t="shared" si="6"/>
        <v>45811</v>
      </c>
      <c r="C158" s="52">
        <v>6.0</v>
      </c>
      <c r="D158" s="52" t="s">
        <v>69</v>
      </c>
      <c r="E158" s="92"/>
      <c r="F158" s="85">
        <v>0.0</v>
      </c>
      <c r="H158" s="86">
        <v>0.0</v>
      </c>
      <c r="J158" s="86">
        <v>0.0</v>
      </c>
      <c r="L158" s="86">
        <v>0.0</v>
      </c>
      <c r="N158" s="86">
        <v>0.0</v>
      </c>
      <c r="P158" s="86">
        <v>0.0</v>
      </c>
      <c r="Q158" s="43"/>
      <c r="R158" s="86">
        <v>0.0</v>
      </c>
      <c r="T158" s="85">
        <v>135.0</v>
      </c>
      <c r="V158" s="86">
        <v>135.0</v>
      </c>
      <c r="X158" s="86">
        <v>0.0</v>
      </c>
      <c r="Z158" s="86">
        <v>0.0</v>
      </c>
      <c r="AB158" s="86">
        <v>0.0</v>
      </c>
      <c r="AD158" s="86">
        <v>20.0</v>
      </c>
      <c r="AE158" s="43"/>
      <c r="AF158" s="86"/>
      <c r="AH158" s="86">
        <v>0.0</v>
      </c>
      <c r="AJ158" s="86">
        <v>0.0</v>
      </c>
      <c r="AL158" s="85">
        <v>0.0</v>
      </c>
      <c r="AM158" s="43"/>
      <c r="AN158" s="72">
        <v>0.0</v>
      </c>
      <c r="AO158" s="43"/>
      <c r="AP158" s="85"/>
      <c r="AQ158" s="43"/>
      <c r="AR158" s="85"/>
      <c r="AS158" s="43"/>
      <c r="AT158" s="85"/>
      <c r="AU158" s="43"/>
      <c r="AV158" s="86"/>
      <c r="AX158" s="86"/>
      <c r="AY158" s="43"/>
      <c r="AZ158" s="86"/>
      <c r="BB158" s="54">
        <f t="shared" si="8"/>
        <v>3224.8</v>
      </c>
      <c r="BC158" s="52">
        <f t="shared" si="2"/>
        <v>290</v>
      </c>
      <c r="BD158" s="52">
        <f t="shared" si="3"/>
        <v>0</v>
      </c>
      <c r="BE158" s="52">
        <f t="shared" si="4"/>
        <v>290</v>
      </c>
      <c r="BF158" s="49">
        <f t="shared" si="5"/>
        <v>11.12</v>
      </c>
      <c r="BG158" s="78"/>
    </row>
    <row r="159" ht="15.75" customHeight="1">
      <c r="A159" s="50" t="s">
        <v>49</v>
      </c>
      <c r="B159" s="51">
        <f t="shared" si="6"/>
        <v>45812</v>
      </c>
      <c r="C159" s="52">
        <v>6.0</v>
      </c>
      <c r="D159" s="52" t="s">
        <v>69</v>
      </c>
      <c r="E159" s="53"/>
      <c r="F159" s="85">
        <v>0.0</v>
      </c>
      <c r="H159" s="86">
        <v>0.0</v>
      </c>
      <c r="J159" s="86">
        <v>0.0</v>
      </c>
      <c r="L159" s="86">
        <v>0.0</v>
      </c>
      <c r="N159" s="86">
        <v>0.0</v>
      </c>
      <c r="P159" s="86">
        <v>0.0</v>
      </c>
      <c r="Q159" s="43"/>
      <c r="R159" s="86">
        <v>0.0</v>
      </c>
      <c r="T159" s="85">
        <v>135.0</v>
      </c>
      <c r="V159" s="86">
        <v>135.0</v>
      </c>
      <c r="X159" s="86">
        <v>0.0</v>
      </c>
      <c r="Z159" s="86">
        <v>0.0</v>
      </c>
      <c r="AB159" s="86">
        <v>0.0</v>
      </c>
      <c r="AD159" s="86">
        <v>20.0</v>
      </c>
      <c r="AE159" s="43"/>
      <c r="AF159" s="86"/>
      <c r="AH159" s="86">
        <v>0.0</v>
      </c>
      <c r="AJ159" s="86">
        <v>0.0</v>
      </c>
      <c r="AL159" s="85">
        <v>0.0</v>
      </c>
      <c r="AM159" s="43"/>
      <c r="AN159" s="72">
        <v>0.0</v>
      </c>
      <c r="AO159" s="43"/>
      <c r="AP159" s="85"/>
      <c r="AQ159" s="43"/>
      <c r="AR159" s="85"/>
      <c r="AS159" s="43"/>
      <c r="AT159" s="85"/>
      <c r="AU159" s="43"/>
      <c r="AV159" s="86"/>
      <c r="AX159" s="86"/>
      <c r="AY159" s="43"/>
      <c r="AZ159" s="86"/>
      <c r="BB159" s="54">
        <f t="shared" si="8"/>
        <v>3224.8</v>
      </c>
      <c r="BC159" s="52">
        <f t="shared" si="2"/>
        <v>290</v>
      </c>
      <c r="BD159" s="52">
        <f t="shared" si="3"/>
        <v>0</v>
      </c>
      <c r="BE159" s="52">
        <f t="shared" si="4"/>
        <v>290</v>
      </c>
      <c r="BF159" s="49">
        <f t="shared" si="5"/>
        <v>11.12</v>
      </c>
      <c r="BG159" s="78"/>
    </row>
    <row r="160" ht="15.75" customHeight="1">
      <c r="A160" s="50" t="s">
        <v>50</v>
      </c>
      <c r="B160" s="51">
        <f t="shared" si="6"/>
        <v>45813</v>
      </c>
      <c r="C160" s="52">
        <v>6.0</v>
      </c>
      <c r="D160" s="52" t="s">
        <v>69</v>
      </c>
      <c r="E160" s="53"/>
      <c r="F160" s="85">
        <v>0.0</v>
      </c>
      <c r="H160" s="86">
        <v>0.0</v>
      </c>
      <c r="J160" s="86">
        <v>0.0</v>
      </c>
      <c r="L160" s="86">
        <v>0.0</v>
      </c>
      <c r="N160" s="86">
        <v>0.0</v>
      </c>
      <c r="P160" s="86">
        <v>0.0</v>
      </c>
      <c r="Q160" s="43"/>
      <c r="R160" s="86">
        <v>0.0</v>
      </c>
      <c r="T160" s="85">
        <v>135.0</v>
      </c>
      <c r="V160" s="86">
        <v>135.0</v>
      </c>
      <c r="X160" s="86">
        <v>0.0</v>
      </c>
      <c r="Z160" s="86">
        <v>0.0</v>
      </c>
      <c r="AB160" s="86">
        <v>0.0</v>
      </c>
      <c r="AD160" s="86">
        <v>0.0</v>
      </c>
      <c r="AE160" s="43"/>
      <c r="AF160" s="86"/>
      <c r="AH160" s="86">
        <v>0.0</v>
      </c>
      <c r="AJ160" s="86">
        <v>0.0</v>
      </c>
      <c r="AL160" s="85">
        <v>0.0</v>
      </c>
      <c r="AM160" s="43"/>
      <c r="AN160" s="72">
        <v>0.0</v>
      </c>
      <c r="AO160" s="43"/>
      <c r="AP160" s="85"/>
      <c r="AQ160" s="43"/>
      <c r="AR160" s="85"/>
      <c r="AS160" s="43"/>
      <c r="AT160" s="85"/>
      <c r="AU160" s="43"/>
      <c r="AV160" s="86"/>
      <c r="AX160" s="86"/>
      <c r="AY160" s="43"/>
      <c r="AZ160" s="86"/>
      <c r="BB160" s="54">
        <f t="shared" si="8"/>
        <v>3002.4</v>
      </c>
      <c r="BC160" s="52">
        <f t="shared" si="2"/>
        <v>270</v>
      </c>
      <c r="BD160" s="52">
        <f t="shared" si="3"/>
        <v>0</v>
      </c>
      <c r="BE160" s="52">
        <f t="shared" si="4"/>
        <v>270</v>
      </c>
      <c r="BF160" s="49">
        <f t="shared" si="5"/>
        <v>11.12</v>
      </c>
      <c r="BG160" s="78"/>
    </row>
    <row r="161" ht="15.75" customHeight="1">
      <c r="A161" s="50" t="s">
        <v>53</v>
      </c>
      <c r="B161" s="51">
        <f t="shared" si="6"/>
        <v>45814</v>
      </c>
      <c r="C161" s="52">
        <v>6.0</v>
      </c>
      <c r="D161" s="52" t="s">
        <v>69</v>
      </c>
      <c r="E161" s="53"/>
      <c r="F161" s="85">
        <v>0.0</v>
      </c>
      <c r="H161" s="86">
        <v>0.0</v>
      </c>
      <c r="J161" s="86">
        <v>0.0</v>
      </c>
      <c r="L161" s="86">
        <v>0.0</v>
      </c>
      <c r="N161" s="86">
        <v>0.0</v>
      </c>
      <c r="P161" s="86">
        <v>0.0</v>
      </c>
      <c r="Q161" s="43"/>
      <c r="R161" s="86">
        <v>0.0</v>
      </c>
      <c r="T161" s="85">
        <v>135.0</v>
      </c>
      <c r="V161" s="86">
        <v>135.0</v>
      </c>
      <c r="X161" s="86">
        <v>0.0</v>
      </c>
      <c r="Z161" s="86">
        <v>0.0</v>
      </c>
      <c r="AB161" s="86">
        <v>0.0</v>
      </c>
      <c r="AD161" s="86">
        <v>0.0</v>
      </c>
      <c r="AE161" s="43"/>
      <c r="AF161" s="86"/>
      <c r="AH161" s="86">
        <v>0.0</v>
      </c>
      <c r="AJ161" s="86">
        <v>0.0</v>
      </c>
      <c r="AL161" s="85">
        <v>0.0</v>
      </c>
      <c r="AM161" s="43"/>
      <c r="AN161" s="72">
        <v>0.0</v>
      </c>
      <c r="AO161" s="43"/>
      <c r="AP161" s="85"/>
      <c r="AQ161" s="43"/>
      <c r="AR161" s="85"/>
      <c r="AS161" s="43"/>
      <c r="AT161" s="85"/>
      <c r="AU161" s="43"/>
      <c r="AV161" s="86"/>
      <c r="AX161" s="86"/>
      <c r="AY161" s="43"/>
      <c r="AZ161" s="86"/>
      <c r="BB161" s="54">
        <f t="shared" si="8"/>
        <v>3002.4</v>
      </c>
      <c r="BC161" s="52">
        <f t="shared" si="2"/>
        <v>270</v>
      </c>
      <c r="BD161" s="52">
        <f t="shared" si="3"/>
        <v>0</v>
      </c>
      <c r="BE161" s="52">
        <f t="shared" si="4"/>
        <v>270</v>
      </c>
      <c r="BF161" s="49">
        <f t="shared" si="5"/>
        <v>11.12</v>
      </c>
      <c r="BG161" s="78"/>
    </row>
    <row r="162" ht="15.75" customHeight="1">
      <c r="A162" s="50" t="s">
        <v>54</v>
      </c>
      <c r="B162" s="51">
        <f t="shared" si="6"/>
        <v>45815</v>
      </c>
      <c r="C162" s="52">
        <v>6.0</v>
      </c>
      <c r="D162" s="52" t="s">
        <v>69</v>
      </c>
      <c r="E162" s="92"/>
      <c r="F162" s="85">
        <v>0.0</v>
      </c>
      <c r="H162" s="86">
        <v>0.0</v>
      </c>
      <c r="J162" s="86">
        <v>0.0</v>
      </c>
      <c r="L162" s="86">
        <v>0.0</v>
      </c>
      <c r="N162" s="86">
        <v>0.0</v>
      </c>
      <c r="P162" s="86">
        <v>0.0</v>
      </c>
      <c r="Q162" s="43"/>
      <c r="R162" s="86">
        <v>0.0</v>
      </c>
      <c r="T162" s="85">
        <v>135.0</v>
      </c>
      <c r="V162" s="86">
        <v>135.0</v>
      </c>
      <c r="X162" s="86">
        <v>15.0</v>
      </c>
      <c r="Z162" s="86">
        <v>0.0</v>
      </c>
      <c r="AB162" s="86">
        <v>0.0</v>
      </c>
      <c r="AD162" s="86">
        <v>0.0</v>
      </c>
      <c r="AE162" s="43"/>
      <c r="AF162" s="86"/>
      <c r="AH162" s="86">
        <v>0.0</v>
      </c>
      <c r="AJ162" s="86">
        <v>0.0</v>
      </c>
      <c r="AL162" s="85">
        <v>0.0</v>
      </c>
      <c r="AM162" s="43"/>
      <c r="AN162" s="72">
        <v>0.0</v>
      </c>
      <c r="AO162" s="43"/>
      <c r="AP162" s="85"/>
      <c r="AQ162" s="43"/>
      <c r="AR162" s="85"/>
      <c r="AS162" s="43"/>
      <c r="AT162" s="85"/>
      <c r="AU162" s="43"/>
      <c r="AV162" s="86"/>
      <c r="AX162" s="86"/>
      <c r="AY162" s="43"/>
      <c r="AZ162" s="86"/>
      <c r="BB162" s="54">
        <f t="shared" si="8"/>
        <v>3169.2</v>
      </c>
      <c r="BC162" s="52">
        <f t="shared" si="2"/>
        <v>285</v>
      </c>
      <c r="BD162" s="52">
        <f t="shared" si="3"/>
        <v>0</v>
      </c>
      <c r="BE162" s="52">
        <f t="shared" si="4"/>
        <v>285</v>
      </c>
      <c r="BF162" s="49">
        <f t="shared" si="5"/>
        <v>11.12</v>
      </c>
      <c r="BG162" s="78"/>
    </row>
    <row r="163" ht="15.75" customHeight="1">
      <c r="A163" s="59" t="s">
        <v>61</v>
      </c>
      <c r="B163" s="61">
        <f t="shared" si="6"/>
        <v>45816</v>
      </c>
      <c r="C163" s="63">
        <v>6.0</v>
      </c>
      <c r="D163" s="63" t="s">
        <v>69</v>
      </c>
      <c r="E163" s="94"/>
      <c r="F163" s="87">
        <v>0.0</v>
      </c>
      <c r="G163" s="66"/>
      <c r="H163" s="88">
        <v>0.0</v>
      </c>
      <c r="I163" s="66"/>
      <c r="J163" s="88">
        <v>0.0</v>
      </c>
      <c r="K163" s="66"/>
      <c r="L163" s="88">
        <v>0.0</v>
      </c>
      <c r="M163" s="66"/>
      <c r="N163" s="88">
        <v>0.0</v>
      </c>
      <c r="O163" s="66"/>
      <c r="P163" s="88">
        <v>0.0</v>
      </c>
      <c r="Q163" s="68"/>
      <c r="R163" s="88">
        <v>0.0</v>
      </c>
      <c r="S163" s="66"/>
      <c r="T163" s="87">
        <v>0.0</v>
      </c>
      <c r="U163" s="66"/>
      <c r="V163" s="88">
        <v>0.0</v>
      </c>
      <c r="W163" s="66"/>
      <c r="X163" s="88">
        <v>0.0</v>
      </c>
      <c r="Y163" s="66"/>
      <c r="Z163" s="88">
        <v>0.0</v>
      </c>
      <c r="AA163" s="66"/>
      <c r="AB163" s="88">
        <v>0.0</v>
      </c>
      <c r="AC163" s="66"/>
      <c r="AD163" s="88">
        <v>0.0</v>
      </c>
      <c r="AE163" s="68"/>
      <c r="AF163" s="88"/>
      <c r="AG163" s="66"/>
      <c r="AH163" s="88">
        <v>0.0</v>
      </c>
      <c r="AI163" s="66"/>
      <c r="AJ163" s="88">
        <v>0.0</v>
      </c>
      <c r="AK163" s="66"/>
      <c r="AL163" s="87">
        <v>0.0</v>
      </c>
      <c r="AM163" s="68"/>
      <c r="AN163" s="84">
        <v>0.0</v>
      </c>
      <c r="AO163" s="68"/>
      <c r="AP163" s="87"/>
      <c r="AQ163" s="68"/>
      <c r="AR163" s="87"/>
      <c r="AS163" s="68"/>
      <c r="AT163" s="87"/>
      <c r="AU163" s="68"/>
      <c r="AV163" s="88"/>
      <c r="AW163" s="66"/>
      <c r="AX163" s="88"/>
      <c r="AY163" s="68"/>
      <c r="AZ163" s="88"/>
      <c r="BA163" s="66"/>
      <c r="BB163" s="73">
        <f t="shared" si="8"/>
        <v>0</v>
      </c>
      <c r="BC163" s="63">
        <f t="shared" si="2"/>
        <v>0</v>
      </c>
      <c r="BD163" s="63">
        <f t="shared" si="3"/>
        <v>0</v>
      </c>
      <c r="BE163" s="63">
        <f t="shared" si="4"/>
        <v>0</v>
      </c>
      <c r="BF163" s="74" t="str">
        <f t="shared" si="5"/>
        <v/>
      </c>
      <c r="BG163" s="78"/>
    </row>
    <row r="164" ht="15.75" customHeight="1">
      <c r="A164" s="36" t="s">
        <v>46</v>
      </c>
      <c r="B164" s="75">
        <f t="shared" si="6"/>
        <v>45817</v>
      </c>
      <c r="C164" s="38">
        <v>6.0</v>
      </c>
      <c r="D164" s="38" t="s">
        <v>72</v>
      </c>
      <c r="E164" s="103"/>
      <c r="F164" s="85"/>
      <c r="H164" s="86"/>
      <c r="J164" s="86"/>
      <c r="L164" s="86"/>
      <c r="N164" s="86"/>
      <c r="P164" s="86"/>
      <c r="Q164" s="43"/>
      <c r="R164" s="86"/>
      <c r="T164" s="85">
        <v>135.0</v>
      </c>
      <c r="V164" s="86">
        <v>135.0</v>
      </c>
      <c r="X164" s="86">
        <v>0.0</v>
      </c>
      <c r="Z164" s="86">
        <v>0.0</v>
      </c>
      <c r="AB164" s="86">
        <v>0.0</v>
      </c>
      <c r="AD164" s="86">
        <v>0.0</v>
      </c>
      <c r="AE164" s="43"/>
      <c r="AF164" s="86">
        <v>0.0</v>
      </c>
      <c r="AH164" s="86">
        <v>0.0</v>
      </c>
      <c r="AJ164" s="86">
        <v>0.0</v>
      </c>
      <c r="AL164" s="85">
        <v>0.0</v>
      </c>
      <c r="AM164" s="43"/>
      <c r="AN164" s="72">
        <v>0.0</v>
      </c>
      <c r="AO164" s="43"/>
      <c r="AP164" s="85"/>
      <c r="AQ164" s="43"/>
      <c r="AR164" s="85"/>
      <c r="AS164" s="43"/>
      <c r="AT164" s="85"/>
      <c r="AU164" s="43"/>
      <c r="AV164" s="86"/>
      <c r="AX164" s="86"/>
      <c r="AY164" s="43"/>
      <c r="AZ164" s="86"/>
      <c r="BB164" s="47">
        <f t="shared" si="8"/>
        <v>3002.4</v>
      </c>
      <c r="BC164" s="38">
        <f t="shared" si="2"/>
        <v>270</v>
      </c>
      <c r="BD164" s="38">
        <f t="shared" si="3"/>
        <v>0</v>
      </c>
      <c r="BE164" s="38">
        <f t="shared" si="4"/>
        <v>270</v>
      </c>
      <c r="BF164" s="76">
        <f t="shared" si="5"/>
        <v>11.12</v>
      </c>
      <c r="BG164" s="78"/>
    </row>
    <row r="165" ht="15.75" customHeight="1">
      <c r="A165" s="50" t="s">
        <v>48</v>
      </c>
      <c r="B165" s="51">
        <f t="shared" si="6"/>
        <v>45818</v>
      </c>
      <c r="C165" s="52">
        <v>6.0</v>
      </c>
      <c r="D165" s="52" t="s">
        <v>72</v>
      </c>
      <c r="E165" s="104"/>
      <c r="F165" s="85"/>
      <c r="H165" s="86"/>
      <c r="J165" s="86"/>
      <c r="L165" s="86"/>
      <c r="N165" s="86"/>
      <c r="P165" s="86"/>
      <c r="Q165" s="43"/>
      <c r="R165" s="86"/>
      <c r="T165" s="85">
        <v>135.0</v>
      </c>
      <c r="V165" s="86">
        <v>135.0</v>
      </c>
      <c r="X165" s="86">
        <v>0.0</v>
      </c>
      <c r="Z165" s="86">
        <v>0.0</v>
      </c>
      <c r="AB165" s="86">
        <v>0.0</v>
      </c>
      <c r="AD165" s="86">
        <v>0.0</v>
      </c>
      <c r="AE165" s="43"/>
      <c r="AF165" s="86">
        <v>0.0</v>
      </c>
      <c r="AH165" s="86">
        <v>50.0</v>
      </c>
      <c r="AJ165" s="86">
        <v>50.0</v>
      </c>
      <c r="AL165" s="85">
        <v>21.0</v>
      </c>
      <c r="AM165" s="43"/>
      <c r="AN165" s="72">
        <v>0.0</v>
      </c>
      <c r="AO165" s="43"/>
      <c r="AP165" s="85"/>
      <c r="AQ165" s="43"/>
      <c r="AR165" s="85"/>
      <c r="AS165" s="43"/>
      <c r="AT165" s="85"/>
      <c r="AU165" s="43"/>
      <c r="AV165" s="86"/>
      <c r="AX165" s="86"/>
      <c r="AY165" s="43"/>
      <c r="AZ165" s="86"/>
      <c r="BB165" s="54">
        <f t="shared" si="8"/>
        <v>4925.09</v>
      </c>
      <c r="BC165" s="52">
        <f t="shared" si="2"/>
        <v>391</v>
      </c>
      <c r="BD165" s="52">
        <f t="shared" si="3"/>
        <v>0</v>
      </c>
      <c r="BE165" s="52">
        <f t="shared" si="4"/>
        <v>391</v>
      </c>
      <c r="BF165" s="49">
        <f t="shared" si="5"/>
        <v>12.59613811</v>
      </c>
      <c r="BG165" s="78"/>
    </row>
    <row r="166" ht="15.75" customHeight="1">
      <c r="A166" s="50" t="s">
        <v>49</v>
      </c>
      <c r="B166" s="51">
        <f t="shared" si="6"/>
        <v>45819</v>
      </c>
      <c r="C166" s="52">
        <v>6.0</v>
      </c>
      <c r="D166" s="52" t="s">
        <v>72</v>
      </c>
      <c r="E166" s="104"/>
      <c r="F166" s="85"/>
      <c r="H166" s="86"/>
      <c r="J166" s="86"/>
      <c r="L166" s="86"/>
      <c r="N166" s="86"/>
      <c r="P166" s="86"/>
      <c r="Q166" s="43"/>
      <c r="R166" s="86"/>
      <c r="T166" s="85">
        <v>135.0</v>
      </c>
      <c r="V166" s="86">
        <v>135.0</v>
      </c>
      <c r="X166" s="86">
        <v>0.0</v>
      </c>
      <c r="Z166" s="86">
        <v>0.0</v>
      </c>
      <c r="AB166" s="86">
        <v>0.0</v>
      </c>
      <c r="AD166" s="86">
        <v>0.0</v>
      </c>
      <c r="AE166" s="43"/>
      <c r="AF166" s="86">
        <v>0.0</v>
      </c>
      <c r="AH166" s="86">
        <v>50.0</v>
      </c>
      <c r="AJ166" s="86">
        <v>50.0</v>
      </c>
      <c r="AL166" s="85">
        <v>21.0</v>
      </c>
      <c r="AM166" s="43"/>
      <c r="AN166" s="72">
        <v>0.0</v>
      </c>
      <c r="AO166" s="43"/>
      <c r="AP166" s="85"/>
      <c r="AQ166" s="43"/>
      <c r="AR166" s="85"/>
      <c r="AS166" s="43"/>
      <c r="AT166" s="85"/>
      <c r="AU166" s="43"/>
      <c r="AV166" s="86"/>
      <c r="AX166" s="86"/>
      <c r="AY166" s="43"/>
      <c r="AZ166" s="86"/>
      <c r="BB166" s="54">
        <f t="shared" si="8"/>
        <v>4925.09</v>
      </c>
      <c r="BC166" s="52">
        <f t="shared" si="2"/>
        <v>391</v>
      </c>
      <c r="BD166" s="52">
        <f t="shared" si="3"/>
        <v>0</v>
      </c>
      <c r="BE166" s="52">
        <f t="shared" si="4"/>
        <v>391</v>
      </c>
      <c r="BF166" s="49">
        <f t="shared" si="5"/>
        <v>12.59613811</v>
      </c>
      <c r="BG166" s="78"/>
    </row>
    <row r="167" ht="15.75" customHeight="1">
      <c r="A167" s="50" t="s">
        <v>50</v>
      </c>
      <c r="B167" s="51">
        <f t="shared" si="6"/>
        <v>45820</v>
      </c>
      <c r="C167" s="52">
        <v>6.0</v>
      </c>
      <c r="D167" s="52" t="s">
        <v>72</v>
      </c>
      <c r="E167" s="104"/>
      <c r="F167" s="85"/>
      <c r="H167" s="86"/>
      <c r="J167" s="86"/>
      <c r="L167" s="86"/>
      <c r="N167" s="86"/>
      <c r="P167" s="86"/>
      <c r="Q167" s="43"/>
      <c r="R167" s="86"/>
      <c r="T167" s="85">
        <v>135.0</v>
      </c>
      <c r="V167" s="86">
        <v>135.0</v>
      </c>
      <c r="X167" s="86">
        <v>0.0</v>
      </c>
      <c r="Z167" s="86">
        <v>0.0</v>
      </c>
      <c r="AB167" s="86">
        <v>0.0</v>
      </c>
      <c r="AD167" s="86">
        <v>0.0</v>
      </c>
      <c r="AE167" s="43"/>
      <c r="AF167" s="86">
        <v>0.0</v>
      </c>
      <c r="AH167" s="86">
        <v>50.0</v>
      </c>
      <c r="AJ167" s="86">
        <v>50.0</v>
      </c>
      <c r="AL167" s="85">
        <v>21.0</v>
      </c>
      <c r="AM167" s="43"/>
      <c r="AN167" s="72">
        <v>0.0</v>
      </c>
      <c r="AO167" s="43"/>
      <c r="AP167" s="85"/>
      <c r="AQ167" s="43"/>
      <c r="AR167" s="85"/>
      <c r="AS167" s="43"/>
      <c r="AT167" s="85"/>
      <c r="AU167" s="43"/>
      <c r="AV167" s="86"/>
      <c r="AX167" s="86"/>
      <c r="AY167" s="43"/>
      <c r="AZ167" s="86"/>
      <c r="BB167" s="54">
        <f t="shared" si="8"/>
        <v>4925.09</v>
      </c>
      <c r="BC167" s="52">
        <f t="shared" si="2"/>
        <v>391</v>
      </c>
      <c r="BD167" s="52">
        <f t="shared" si="3"/>
        <v>0</v>
      </c>
      <c r="BE167" s="52">
        <f t="shared" si="4"/>
        <v>391</v>
      </c>
      <c r="BF167" s="49">
        <f t="shared" si="5"/>
        <v>12.59613811</v>
      </c>
      <c r="BG167" s="78"/>
    </row>
    <row r="168" ht="15.75" customHeight="1">
      <c r="A168" s="50" t="s">
        <v>53</v>
      </c>
      <c r="B168" s="51">
        <f t="shared" si="6"/>
        <v>45821</v>
      </c>
      <c r="C168" s="52">
        <v>6.0</v>
      </c>
      <c r="D168" s="52" t="s">
        <v>72</v>
      </c>
      <c r="E168" s="104"/>
      <c r="F168" s="85"/>
      <c r="H168" s="86"/>
      <c r="J168" s="86"/>
      <c r="L168" s="86"/>
      <c r="N168" s="86"/>
      <c r="P168" s="86"/>
      <c r="Q168" s="43"/>
      <c r="R168" s="86"/>
      <c r="T168" s="85">
        <v>135.0</v>
      </c>
      <c r="V168" s="86">
        <v>135.0</v>
      </c>
      <c r="X168" s="86">
        <v>0.0</v>
      </c>
      <c r="Z168" s="86">
        <v>0.0</v>
      </c>
      <c r="AB168" s="86">
        <v>0.0</v>
      </c>
      <c r="AD168" s="86">
        <v>0.0</v>
      </c>
      <c r="AE168" s="43"/>
      <c r="AF168" s="86">
        <v>0.0</v>
      </c>
      <c r="AH168" s="86">
        <v>50.0</v>
      </c>
      <c r="AJ168" s="86">
        <v>50.0</v>
      </c>
      <c r="AL168" s="85">
        <v>21.0</v>
      </c>
      <c r="AM168" s="43"/>
      <c r="AN168" s="72">
        <v>0.0</v>
      </c>
      <c r="AO168" s="43"/>
      <c r="AP168" s="85"/>
      <c r="AQ168" s="43"/>
      <c r="AR168" s="85"/>
      <c r="AS168" s="43"/>
      <c r="AT168" s="85"/>
      <c r="AU168" s="43"/>
      <c r="AV168" s="86"/>
      <c r="AX168" s="86"/>
      <c r="AY168" s="43"/>
      <c r="AZ168" s="86"/>
      <c r="BB168" s="54">
        <f t="shared" si="8"/>
        <v>4925.09</v>
      </c>
      <c r="BC168" s="52">
        <f t="shared" si="2"/>
        <v>391</v>
      </c>
      <c r="BD168" s="52">
        <f t="shared" si="3"/>
        <v>0</v>
      </c>
      <c r="BE168" s="52">
        <f t="shared" si="4"/>
        <v>391</v>
      </c>
      <c r="BF168" s="49">
        <f t="shared" si="5"/>
        <v>12.59613811</v>
      </c>
      <c r="BG168" s="78"/>
    </row>
    <row r="169" ht="15.75" customHeight="1">
      <c r="A169" s="50" t="s">
        <v>54</v>
      </c>
      <c r="B169" s="51">
        <f t="shared" si="6"/>
        <v>45822</v>
      </c>
      <c r="C169" s="52">
        <v>6.0</v>
      </c>
      <c r="D169" s="52" t="s">
        <v>72</v>
      </c>
      <c r="E169" s="104"/>
      <c r="F169" s="85"/>
      <c r="H169" s="86"/>
      <c r="J169" s="86"/>
      <c r="L169" s="86"/>
      <c r="N169" s="86"/>
      <c r="P169" s="86"/>
      <c r="Q169" s="43"/>
      <c r="R169" s="86"/>
      <c r="T169" s="85">
        <v>135.0</v>
      </c>
      <c r="V169" s="86">
        <v>135.0</v>
      </c>
      <c r="X169" s="86">
        <v>12.0</v>
      </c>
      <c r="Z169" s="86">
        <v>0.0</v>
      </c>
      <c r="AB169" s="86">
        <v>0.0</v>
      </c>
      <c r="AD169" s="86">
        <v>0.0</v>
      </c>
      <c r="AE169" s="43"/>
      <c r="AF169" s="86">
        <v>0.0</v>
      </c>
      <c r="AH169" s="86">
        <v>50.0</v>
      </c>
      <c r="AJ169" s="86">
        <v>0.0</v>
      </c>
      <c r="AL169" s="85">
        <v>21.0</v>
      </c>
      <c r="AM169" s="43"/>
      <c r="AN169" s="72">
        <v>0.0</v>
      </c>
      <c r="AO169" s="43"/>
      <c r="AP169" s="85"/>
      <c r="AQ169" s="43"/>
      <c r="AR169" s="85"/>
      <c r="AS169" s="43"/>
      <c r="AT169" s="85"/>
      <c r="AU169" s="43"/>
      <c r="AV169" s="86"/>
      <c r="AX169" s="86"/>
      <c r="AY169" s="43"/>
      <c r="AZ169" s="86"/>
      <c r="BB169" s="54">
        <f t="shared" si="8"/>
        <v>4264.03</v>
      </c>
      <c r="BC169" s="52">
        <f t="shared" si="2"/>
        <v>353</v>
      </c>
      <c r="BD169" s="52">
        <f t="shared" si="3"/>
        <v>0</v>
      </c>
      <c r="BE169" s="52">
        <f t="shared" si="4"/>
        <v>353</v>
      </c>
      <c r="BF169" s="49">
        <f t="shared" si="5"/>
        <v>12.0794051</v>
      </c>
      <c r="BG169" s="78"/>
    </row>
    <row r="170" ht="15.75" customHeight="1">
      <c r="A170" s="59" t="s">
        <v>61</v>
      </c>
      <c r="B170" s="61">
        <f t="shared" si="6"/>
        <v>45823</v>
      </c>
      <c r="C170" s="63">
        <v>6.0</v>
      </c>
      <c r="D170" s="63" t="s">
        <v>72</v>
      </c>
      <c r="E170" s="105"/>
      <c r="F170" s="87"/>
      <c r="G170" s="66"/>
      <c r="H170" s="88"/>
      <c r="I170" s="66"/>
      <c r="J170" s="88"/>
      <c r="K170" s="66"/>
      <c r="L170" s="88"/>
      <c r="M170" s="66"/>
      <c r="N170" s="88"/>
      <c r="O170" s="66"/>
      <c r="P170" s="88"/>
      <c r="Q170" s="68"/>
      <c r="R170" s="88"/>
      <c r="S170" s="66"/>
      <c r="T170" s="87">
        <v>0.0</v>
      </c>
      <c r="U170" s="66"/>
      <c r="V170" s="88">
        <v>0.0</v>
      </c>
      <c r="W170" s="66"/>
      <c r="X170" s="88">
        <v>0.0</v>
      </c>
      <c r="Y170" s="66"/>
      <c r="Z170" s="88">
        <v>0.0</v>
      </c>
      <c r="AA170" s="66"/>
      <c r="AB170" s="88">
        <v>0.0</v>
      </c>
      <c r="AC170" s="66"/>
      <c r="AD170" s="88">
        <v>0.0</v>
      </c>
      <c r="AE170" s="68"/>
      <c r="AF170" s="88">
        <v>0.0</v>
      </c>
      <c r="AG170" s="66"/>
      <c r="AH170" s="88">
        <v>0.0</v>
      </c>
      <c r="AI170" s="66"/>
      <c r="AJ170" s="88">
        <v>0.0</v>
      </c>
      <c r="AK170" s="66"/>
      <c r="AL170" s="87">
        <v>0.0</v>
      </c>
      <c r="AM170" s="68"/>
      <c r="AN170" s="84">
        <v>0.0</v>
      </c>
      <c r="AO170" s="68"/>
      <c r="AP170" s="87"/>
      <c r="AQ170" s="68"/>
      <c r="AR170" s="87"/>
      <c r="AS170" s="68"/>
      <c r="AT170" s="87"/>
      <c r="AU170" s="68"/>
      <c r="AV170" s="88"/>
      <c r="AW170" s="66"/>
      <c r="AX170" s="88"/>
      <c r="AY170" s="68"/>
      <c r="AZ170" s="88"/>
      <c r="BA170" s="66"/>
      <c r="BB170" s="73">
        <f t="shared" si="8"/>
        <v>0</v>
      </c>
      <c r="BC170" s="63">
        <f t="shared" si="2"/>
        <v>0</v>
      </c>
      <c r="BD170" s="63">
        <f t="shared" si="3"/>
        <v>0</v>
      </c>
      <c r="BE170" s="63">
        <f t="shared" si="4"/>
        <v>0</v>
      </c>
      <c r="BF170" s="74" t="str">
        <f t="shared" si="5"/>
        <v/>
      </c>
      <c r="BG170" s="78"/>
    </row>
    <row r="171" ht="15.75" customHeight="1">
      <c r="A171" s="36" t="s">
        <v>46</v>
      </c>
      <c r="B171" s="75">
        <f t="shared" si="6"/>
        <v>45824</v>
      </c>
      <c r="C171" s="38">
        <v>7.0</v>
      </c>
      <c r="D171" s="38" t="s">
        <v>47</v>
      </c>
      <c r="E171" s="40"/>
      <c r="F171" s="85">
        <v>0.0</v>
      </c>
      <c r="H171" s="86">
        <v>0.0</v>
      </c>
      <c r="J171" s="86">
        <v>0.0</v>
      </c>
      <c r="L171" s="86">
        <v>0.0</v>
      </c>
      <c r="N171" s="86">
        <v>0.0</v>
      </c>
      <c r="P171" s="86">
        <v>0.0</v>
      </c>
      <c r="Q171" s="43"/>
      <c r="R171" s="86">
        <v>0.0</v>
      </c>
      <c r="T171" s="85">
        <v>135.0</v>
      </c>
      <c r="V171" s="86">
        <v>135.0</v>
      </c>
      <c r="X171" s="86">
        <v>0.0</v>
      </c>
      <c r="Z171" s="86">
        <v>0.0</v>
      </c>
      <c r="AB171" s="86">
        <v>0.0</v>
      </c>
      <c r="AD171" s="86">
        <v>0.0</v>
      </c>
      <c r="AE171" s="43"/>
      <c r="AF171" s="86">
        <v>0.0</v>
      </c>
      <c r="AH171" s="86">
        <v>0.0</v>
      </c>
      <c r="AJ171" s="86">
        <v>0.0</v>
      </c>
      <c r="AL171" s="85">
        <v>0.0</v>
      </c>
      <c r="AM171" s="43"/>
      <c r="AN171" s="72"/>
      <c r="AO171" s="43"/>
      <c r="AP171" s="85">
        <v>0.0</v>
      </c>
      <c r="AQ171" s="43"/>
      <c r="AR171" s="85">
        <v>0.0</v>
      </c>
      <c r="AS171" s="43"/>
      <c r="AT171" s="85">
        <v>0.0</v>
      </c>
      <c r="AU171" s="43"/>
      <c r="AV171" s="86">
        <v>0.0</v>
      </c>
      <c r="AX171" s="86">
        <v>0.0</v>
      </c>
      <c r="AY171" s="43"/>
      <c r="AZ171" s="86">
        <v>0.0</v>
      </c>
      <c r="BB171" s="47">
        <f t="shared" si="8"/>
        <v>3002.4</v>
      </c>
      <c r="BC171" s="38">
        <f t="shared" si="2"/>
        <v>270</v>
      </c>
      <c r="BD171" s="38">
        <f t="shared" si="3"/>
        <v>0</v>
      </c>
      <c r="BE171" s="38">
        <f t="shared" si="4"/>
        <v>270</v>
      </c>
      <c r="BF171" s="76">
        <f t="shared" si="5"/>
        <v>11.12</v>
      </c>
      <c r="BG171" s="78"/>
    </row>
    <row r="172" ht="15.75" customHeight="1">
      <c r="A172" s="50" t="s">
        <v>48</v>
      </c>
      <c r="B172" s="51">
        <f t="shared" si="6"/>
        <v>45825</v>
      </c>
      <c r="C172" s="52">
        <v>7.0</v>
      </c>
      <c r="D172" s="52" t="s">
        <v>47</v>
      </c>
      <c r="E172" s="53"/>
      <c r="F172" s="85">
        <v>0.0</v>
      </c>
      <c r="H172" s="86">
        <v>0.0</v>
      </c>
      <c r="J172" s="86">
        <v>0.0</v>
      </c>
      <c r="L172" s="86">
        <v>0.0</v>
      </c>
      <c r="N172" s="86">
        <v>0.0</v>
      </c>
      <c r="P172" s="86">
        <v>0.0</v>
      </c>
      <c r="Q172" s="43"/>
      <c r="R172" s="86">
        <v>0.0</v>
      </c>
      <c r="T172" s="85">
        <v>135.0</v>
      </c>
      <c r="V172" s="86">
        <v>135.0</v>
      </c>
      <c r="X172" s="86">
        <v>0.0</v>
      </c>
      <c r="Z172" s="86">
        <v>0.0</v>
      </c>
      <c r="AB172" s="86">
        <v>0.0</v>
      </c>
      <c r="AD172" s="86">
        <v>0.0</v>
      </c>
      <c r="AE172" s="43"/>
      <c r="AF172" s="86">
        <v>0.0</v>
      </c>
      <c r="AH172" s="86">
        <v>0.0</v>
      </c>
      <c r="AJ172" s="86">
        <v>0.0</v>
      </c>
      <c r="AL172" s="85">
        <v>0.0</v>
      </c>
      <c r="AM172" s="43"/>
      <c r="AN172" s="72"/>
      <c r="AO172" s="43"/>
      <c r="AP172" s="85">
        <v>0.0</v>
      </c>
      <c r="AQ172" s="43"/>
      <c r="AR172" s="85">
        <v>0.0</v>
      </c>
      <c r="AS172" s="43"/>
      <c r="AT172" s="85">
        <v>0.0</v>
      </c>
      <c r="AU172" s="43"/>
      <c r="AV172" s="86">
        <v>0.0</v>
      </c>
      <c r="AX172" s="86">
        <v>0.0</v>
      </c>
      <c r="AY172" s="43"/>
      <c r="AZ172" s="86">
        <v>0.0</v>
      </c>
      <c r="BB172" s="54">
        <f t="shared" si="8"/>
        <v>3002.4</v>
      </c>
      <c r="BC172" s="52">
        <f t="shared" si="2"/>
        <v>270</v>
      </c>
      <c r="BD172" s="52">
        <f t="shared" si="3"/>
        <v>0</v>
      </c>
      <c r="BE172" s="52">
        <f t="shared" si="4"/>
        <v>270</v>
      </c>
      <c r="BF172" s="49">
        <f t="shared" si="5"/>
        <v>11.12</v>
      </c>
      <c r="BG172" s="78"/>
    </row>
    <row r="173" ht="15.75" customHeight="1">
      <c r="A173" s="50" t="s">
        <v>49</v>
      </c>
      <c r="B173" s="51">
        <f t="shared" si="6"/>
        <v>45826</v>
      </c>
      <c r="C173" s="52">
        <v>7.0</v>
      </c>
      <c r="D173" s="52" t="s">
        <v>47</v>
      </c>
      <c r="E173" s="53"/>
      <c r="F173" s="85">
        <v>0.0</v>
      </c>
      <c r="H173" s="86">
        <v>0.0</v>
      </c>
      <c r="J173" s="86">
        <v>0.0</v>
      </c>
      <c r="L173" s="86">
        <v>0.0</v>
      </c>
      <c r="N173" s="86">
        <v>0.0</v>
      </c>
      <c r="P173" s="86">
        <v>0.0</v>
      </c>
      <c r="Q173" s="43"/>
      <c r="R173" s="86">
        <v>0.0</v>
      </c>
      <c r="T173" s="85">
        <v>135.0</v>
      </c>
      <c r="V173" s="86">
        <v>100.0</v>
      </c>
      <c r="X173" s="86">
        <v>0.0</v>
      </c>
      <c r="Z173" s="86">
        <v>0.0</v>
      </c>
      <c r="AB173" s="86">
        <v>0.0</v>
      </c>
      <c r="AD173" s="86">
        <v>0.0</v>
      </c>
      <c r="AE173" s="43"/>
      <c r="AF173" s="86">
        <v>0.0</v>
      </c>
      <c r="AH173" s="86">
        <v>0.0</v>
      </c>
      <c r="AJ173" s="86">
        <v>0.0</v>
      </c>
      <c r="AL173" s="85">
        <v>0.0</v>
      </c>
      <c r="AM173" s="43"/>
      <c r="AN173" s="72">
        <v>4266.26</v>
      </c>
      <c r="AO173" s="43"/>
      <c r="AP173" s="85">
        <v>0.0</v>
      </c>
      <c r="AQ173" s="43"/>
      <c r="AR173" s="85">
        <v>0.0</v>
      </c>
      <c r="AS173" s="43"/>
      <c r="AT173" s="85">
        <v>0.0</v>
      </c>
      <c r="AU173" s="43"/>
      <c r="AV173" s="86">
        <v>0.0</v>
      </c>
      <c r="AX173" s="86">
        <v>0.0</v>
      </c>
      <c r="AY173" s="43"/>
      <c r="AZ173" s="86">
        <v>0.0</v>
      </c>
      <c r="BB173" s="54">
        <f t="shared" si="8"/>
        <v>2613.2</v>
      </c>
      <c r="BC173" s="52">
        <f t="shared" si="2"/>
        <v>235</v>
      </c>
      <c r="BD173" s="52">
        <f t="shared" si="3"/>
        <v>0</v>
      </c>
      <c r="BE173" s="52">
        <f t="shared" si="4"/>
        <v>235</v>
      </c>
      <c r="BF173" s="49">
        <f t="shared" si="5"/>
        <v>11.12</v>
      </c>
      <c r="BG173" s="78"/>
    </row>
    <row r="174" ht="15.75" customHeight="1">
      <c r="A174" s="50" t="s">
        <v>50</v>
      </c>
      <c r="B174" s="51">
        <f t="shared" si="6"/>
        <v>45827</v>
      </c>
      <c r="C174" s="52">
        <v>7.0</v>
      </c>
      <c r="D174" s="52" t="s">
        <v>47</v>
      </c>
      <c r="E174" s="53"/>
      <c r="F174" s="85">
        <v>0.0</v>
      </c>
      <c r="H174" s="86">
        <v>0.0</v>
      </c>
      <c r="J174" s="86">
        <v>0.0</v>
      </c>
      <c r="L174" s="86">
        <v>0.0</v>
      </c>
      <c r="N174" s="86">
        <v>0.0</v>
      </c>
      <c r="P174" s="86">
        <v>0.0</v>
      </c>
      <c r="Q174" s="43"/>
      <c r="R174" s="86">
        <v>0.0</v>
      </c>
      <c r="T174" s="85">
        <v>135.0</v>
      </c>
      <c r="V174" s="86">
        <v>135.0</v>
      </c>
      <c r="X174" s="86">
        <v>0.0</v>
      </c>
      <c r="Z174" s="86">
        <v>0.0</v>
      </c>
      <c r="AB174" s="86">
        <v>0.0</v>
      </c>
      <c r="AD174" s="86">
        <v>0.0</v>
      </c>
      <c r="AE174" s="43"/>
      <c r="AF174" s="86">
        <v>0.0</v>
      </c>
      <c r="AH174" s="86">
        <v>0.0</v>
      </c>
      <c r="AJ174" s="86">
        <v>0.0</v>
      </c>
      <c r="AL174" s="85">
        <v>0.0</v>
      </c>
      <c r="AM174" s="43"/>
      <c r="AN174" s="72"/>
      <c r="AO174" s="43"/>
      <c r="AP174" s="85">
        <v>0.0</v>
      </c>
      <c r="AQ174" s="43"/>
      <c r="AR174" s="85">
        <v>0.0</v>
      </c>
      <c r="AS174" s="43"/>
      <c r="AT174" s="85">
        <v>0.0</v>
      </c>
      <c r="AU174" s="43"/>
      <c r="AV174" s="86">
        <v>0.0</v>
      </c>
      <c r="AX174" s="86">
        <v>0.0</v>
      </c>
      <c r="AY174" s="43"/>
      <c r="AZ174" s="86">
        <v>0.0</v>
      </c>
      <c r="BB174" s="54">
        <f t="shared" si="8"/>
        <v>3002.4</v>
      </c>
      <c r="BC174" s="52">
        <f t="shared" si="2"/>
        <v>270</v>
      </c>
      <c r="BD174" s="52">
        <f t="shared" si="3"/>
        <v>0</v>
      </c>
      <c r="BE174" s="52">
        <f t="shared" si="4"/>
        <v>270</v>
      </c>
      <c r="BF174" s="49">
        <f t="shared" si="5"/>
        <v>11.12</v>
      </c>
      <c r="BG174" s="78"/>
    </row>
    <row r="175" ht="15.75" customHeight="1">
      <c r="A175" s="50" t="s">
        <v>53</v>
      </c>
      <c r="B175" s="51">
        <f t="shared" si="6"/>
        <v>45828</v>
      </c>
      <c r="C175" s="52">
        <v>7.0</v>
      </c>
      <c r="D175" s="52" t="s">
        <v>47</v>
      </c>
      <c r="E175" s="53"/>
      <c r="F175" s="85">
        <v>0.0</v>
      </c>
      <c r="H175" s="86">
        <v>0.0</v>
      </c>
      <c r="J175" s="86">
        <v>0.0</v>
      </c>
      <c r="L175" s="86">
        <v>0.0</v>
      </c>
      <c r="N175" s="86">
        <v>0.0</v>
      </c>
      <c r="P175" s="86">
        <v>0.0</v>
      </c>
      <c r="Q175" s="43"/>
      <c r="R175" s="86">
        <v>0.0</v>
      </c>
      <c r="T175" s="85">
        <v>135.0</v>
      </c>
      <c r="V175" s="86">
        <v>135.0</v>
      </c>
      <c r="X175" s="86">
        <v>0.0</v>
      </c>
      <c r="Z175" s="86">
        <v>0.0</v>
      </c>
      <c r="AB175" s="86">
        <v>0.0</v>
      </c>
      <c r="AD175" s="86">
        <v>0.0</v>
      </c>
      <c r="AE175" s="43"/>
      <c r="AF175" s="86">
        <v>0.0</v>
      </c>
      <c r="AH175" s="86">
        <v>0.0</v>
      </c>
      <c r="AJ175" s="86">
        <v>0.0</v>
      </c>
      <c r="AL175" s="85">
        <v>0.0</v>
      </c>
      <c r="AM175" s="43"/>
      <c r="AN175" s="72"/>
      <c r="AO175" s="43"/>
      <c r="AP175" s="85">
        <v>0.0</v>
      </c>
      <c r="AQ175" s="43"/>
      <c r="AR175" s="85">
        <v>0.0</v>
      </c>
      <c r="AS175" s="43"/>
      <c r="AT175" s="85">
        <v>0.0</v>
      </c>
      <c r="AU175" s="43"/>
      <c r="AV175" s="86">
        <v>0.0</v>
      </c>
      <c r="AX175" s="86">
        <v>0.0</v>
      </c>
      <c r="AY175" s="43"/>
      <c r="AZ175" s="86">
        <v>0.0</v>
      </c>
      <c r="BB175" s="54">
        <f t="shared" si="8"/>
        <v>3002.4</v>
      </c>
      <c r="BC175" s="52">
        <f t="shared" si="2"/>
        <v>270</v>
      </c>
      <c r="BD175" s="52">
        <f t="shared" si="3"/>
        <v>0</v>
      </c>
      <c r="BE175" s="52">
        <f t="shared" si="4"/>
        <v>270</v>
      </c>
      <c r="BF175" s="49">
        <f t="shared" si="5"/>
        <v>11.12</v>
      </c>
      <c r="BG175" s="78"/>
    </row>
    <row r="176" ht="15.75" customHeight="1">
      <c r="A176" s="50" t="s">
        <v>54</v>
      </c>
      <c r="B176" s="51">
        <f t="shared" si="6"/>
        <v>45829</v>
      </c>
      <c r="C176" s="52">
        <v>7.0</v>
      </c>
      <c r="D176" s="52" t="s">
        <v>47</v>
      </c>
      <c r="E176" s="53"/>
      <c r="F176" s="85">
        <v>0.0</v>
      </c>
      <c r="H176" s="86">
        <v>0.0</v>
      </c>
      <c r="J176" s="86">
        <v>0.0</v>
      </c>
      <c r="L176" s="86">
        <v>0.0</v>
      </c>
      <c r="N176" s="86">
        <v>0.0</v>
      </c>
      <c r="P176" s="86">
        <v>0.0</v>
      </c>
      <c r="Q176" s="43"/>
      <c r="R176" s="86">
        <v>0.0</v>
      </c>
      <c r="T176" s="85">
        <v>135.0</v>
      </c>
      <c r="V176" s="86">
        <v>135.0</v>
      </c>
      <c r="X176" s="86">
        <v>12.0</v>
      </c>
      <c r="Z176" s="86">
        <v>0.0</v>
      </c>
      <c r="AB176" s="86">
        <v>0.0</v>
      </c>
      <c r="AD176" s="86">
        <v>0.0</v>
      </c>
      <c r="AE176" s="43"/>
      <c r="AF176" s="86">
        <v>0.0</v>
      </c>
      <c r="AH176" s="86">
        <v>0.0</v>
      </c>
      <c r="AJ176" s="86">
        <v>0.0</v>
      </c>
      <c r="AL176" s="85">
        <v>0.0</v>
      </c>
      <c r="AM176" s="43"/>
      <c r="AN176" s="72"/>
      <c r="AO176" s="43"/>
      <c r="AP176" s="85">
        <v>0.0</v>
      </c>
      <c r="AQ176" s="43"/>
      <c r="AR176" s="85">
        <v>0.0</v>
      </c>
      <c r="AS176" s="43"/>
      <c r="AT176" s="85">
        <v>0.0</v>
      </c>
      <c r="AU176" s="43"/>
      <c r="AV176" s="86">
        <v>0.0</v>
      </c>
      <c r="AX176" s="86">
        <v>0.0</v>
      </c>
      <c r="AY176" s="43"/>
      <c r="AZ176" s="86">
        <v>0.0</v>
      </c>
      <c r="BB176" s="54">
        <f t="shared" si="8"/>
        <v>3135.84</v>
      </c>
      <c r="BC176" s="52">
        <f t="shared" si="2"/>
        <v>282</v>
      </c>
      <c r="BD176" s="52">
        <f t="shared" si="3"/>
        <v>0</v>
      </c>
      <c r="BE176" s="52">
        <f t="shared" si="4"/>
        <v>282</v>
      </c>
      <c r="BF176" s="49">
        <f t="shared" si="5"/>
        <v>11.12</v>
      </c>
      <c r="BG176" s="78"/>
    </row>
    <row r="177" ht="15.75" customHeight="1">
      <c r="A177" s="59" t="s">
        <v>61</v>
      </c>
      <c r="B177" s="61">
        <f t="shared" si="6"/>
        <v>45830</v>
      </c>
      <c r="C177" s="63">
        <v>7.0</v>
      </c>
      <c r="D177" s="63" t="s">
        <v>47</v>
      </c>
      <c r="E177" s="64"/>
      <c r="F177" s="87">
        <v>0.0</v>
      </c>
      <c r="G177" s="66"/>
      <c r="H177" s="88">
        <v>0.0</v>
      </c>
      <c r="I177" s="66"/>
      <c r="J177" s="88">
        <v>0.0</v>
      </c>
      <c r="K177" s="66"/>
      <c r="L177" s="88">
        <v>0.0</v>
      </c>
      <c r="M177" s="66"/>
      <c r="N177" s="88">
        <v>0.0</v>
      </c>
      <c r="O177" s="66"/>
      <c r="P177" s="88">
        <v>0.0</v>
      </c>
      <c r="Q177" s="68"/>
      <c r="R177" s="88">
        <v>0.0</v>
      </c>
      <c r="S177" s="66"/>
      <c r="T177" s="87">
        <v>0.0</v>
      </c>
      <c r="U177" s="66"/>
      <c r="V177" s="88">
        <v>0.0</v>
      </c>
      <c r="W177" s="66"/>
      <c r="X177" s="88">
        <v>0.0</v>
      </c>
      <c r="Y177" s="66"/>
      <c r="Z177" s="88">
        <v>0.0</v>
      </c>
      <c r="AA177" s="66"/>
      <c r="AB177" s="88">
        <v>0.0</v>
      </c>
      <c r="AC177" s="66"/>
      <c r="AD177" s="88">
        <v>0.0</v>
      </c>
      <c r="AE177" s="68"/>
      <c r="AF177" s="88">
        <v>0.0</v>
      </c>
      <c r="AG177" s="66"/>
      <c r="AH177" s="88">
        <v>0.0</v>
      </c>
      <c r="AI177" s="66"/>
      <c r="AJ177" s="88">
        <v>0.0</v>
      </c>
      <c r="AK177" s="66"/>
      <c r="AL177" s="87">
        <v>0.0</v>
      </c>
      <c r="AM177" s="68"/>
      <c r="AN177" s="84"/>
      <c r="AO177" s="68"/>
      <c r="AP177" s="87">
        <v>0.0</v>
      </c>
      <c r="AQ177" s="68"/>
      <c r="AR177" s="87">
        <v>0.0</v>
      </c>
      <c r="AS177" s="68"/>
      <c r="AT177" s="87">
        <v>0.0</v>
      </c>
      <c r="AU177" s="68"/>
      <c r="AV177" s="88">
        <v>0.0</v>
      </c>
      <c r="AW177" s="66"/>
      <c r="AX177" s="88">
        <v>0.0</v>
      </c>
      <c r="AY177" s="68"/>
      <c r="AZ177" s="88">
        <v>0.0</v>
      </c>
      <c r="BA177" s="66"/>
      <c r="BB177" s="73">
        <f t="shared" si="8"/>
        <v>0</v>
      </c>
      <c r="BC177" s="63">
        <f t="shared" si="2"/>
        <v>0</v>
      </c>
      <c r="BD177" s="63">
        <f t="shared" si="3"/>
        <v>0</v>
      </c>
      <c r="BE177" s="63">
        <f t="shared" si="4"/>
        <v>0</v>
      </c>
      <c r="BF177" s="74" t="str">
        <f t="shared" si="5"/>
        <v/>
      </c>
      <c r="BG177" s="78"/>
    </row>
    <row r="178" ht="15.75" customHeight="1">
      <c r="A178" s="36" t="s">
        <v>46</v>
      </c>
      <c r="B178" s="75">
        <f t="shared" si="6"/>
        <v>45831</v>
      </c>
      <c r="C178" s="38">
        <v>7.0</v>
      </c>
      <c r="D178" s="38" t="s">
        <v>65</v>
      </c>
      <c r="E178" s="40"/>
      <c r="F178" s="85"/>
      <c r="H178" s="86"/>
      <c r="J178" s="86"/>
      <c r="L178" s="86"/>
      <c r="N178" s="86"/>
      <c r="P178" s="86"/>
      <c r="Q178" s="43"/>
      <c r="R178" s="86"/>
      <c r="T178" s="85">
        <v>135.0</v>
      </c>
      <c r="V178" s="86"/>
      <c r="X178" s="86">
        <v>135.0</v>
      </c>
      <c r="Z178" s="86"/>
      <c r="AB178" s="86"/>
      <c r="AD178" s="86">
        <v>35.0</v>
      </c>
      <c r="AE178" s="43"/>
      <c r="AF178" s="86"/>
      <c r="AH178" s="86"/>
      <c r="AJ178" s="86"/>
      <c r="AL178" s="85"/>
      <c r="AM178" s="43"/>
      <c r="AN178" s="72"/>
      <c r="AO178" s="43"/>
      <c r="AP178" s="85"/>
      <c r="AQ178" s="43"/>
      <c r="AR178" s="85"/>
      <c r="AS178" s="43"/>
      <c r="AT178" s="85"/>
      <c r="AU178" s="43"/>
      <c r="AV178" s="86"/>
      <c r="AX178" s="86"/>
      <c r="AY178" s="43"/>
      <c r="AZ178" s="86"/>
      <c r="BB178" s="47">
        <f t="shared" si="8"/>
        <v>3391.6</v>
      </c>
      <c r="BC178" s="38">
        <f t="shared" si="2"/>
        <v>305</v>
      </c>
      <c r="BD178" s="38">
        <f t="shared" si="3"/>
        <v>0</v>
      </c>
      <c r="BE178" s="38">
        <f t="shared" si="4"/>
        <v>305</v>
      </c>
      <c r="BF178" s="76">
        <f t="shared" si="5"/>
        <v>11.12</v>
      </c>
      <c r="BG178" s="78"/>
    </row>
    <row r="179" ht="15.75" customHeight="1">
      <c r="A179" s="50" t="s">
        <v>48</v>
      </c>
      <c r="B179" s="51">
        <f t="shared" si="6"/>
        <v>45832</v>
      </c>
      <c r="C179" s="52">
        <v>7.0</v>
      </c>
      <c r="D179" s="52" t="s">
        <v>65</v>
      </c>
      <c r="E179" s="53"/>
      <c r="F179" s="85"/>
      <c r="H179" s="86"/>
      <c r="J179" s="86"/>
      <c r="L179" s="86"/>
      <c r="N179" s="86"/>
      <c r="P179" s="86"/>
      <c r="Q179" s="43"/>
      <c r="R179" s="86"/>
      <c r="T179" s="85">
        <v>135.0</v>
      </c>
      <c r="V179" s="86"/>
      <c r="X179" s="86">
        <v>135.0</v>
      </c>
      <c r="Z179" s="86"/>
      <c r="AB179" s="86"/>
      <c r="AD179" s="86">
        <v>35.0</v>
      </c>
      <c r="AE179" s="43"/>
      <c r="AF179" s="86"/>
      <c r="AH179" s="86">
        <v>50.0</v>
      </c>
      <c r="AJ179" s="86">
        <v>50.0</v>
      </c>
      <c r="AL179" s="85">
        <v>22.0</v>
      </c>
      <c r="AM179" s="43"/>
      <c r="AN179" s="72"/>
      <c r="AO179" s="43"/>
      <c r="AP179" s="85"/>
      <c r="AQ179" s="43"/>
      <c r="AR179" s="85"/>
      <c r="AS179" s="43"/>
      <c r="AT179" s="85"/>
      <c r="AU179" s="43"/>
      <c r="AV179" s="86"/>
      <c r="AX179" s="86"/>
      <c r="AY179" s="43"/>
      <c r="AZ179" s="86"/>
      <c r="BB179" s="54">
        <f t="shared" si="8"/>
        <v>5330.18</v>
      </c>
      <c r="BC179" s="52">
        <f t="shared" si="2"/>
        <v>427</v>
      </c>
      <c r="BD179" s="52">
        <f t="shared" si="3"/>
        <v>0</v>
      </c>
      <c r="BE179" s="52">
        <f t="shared" si="4"/>
        <v>427</v>
      </c>
      <c r="BF179" s="49">
        <f t="shared" si="5"/>
        <v>12.48285714</v>
      </c>
      <c r="BG179" s="78"/>
    </row>
    <row r="180" ht="15.75" customHeight="1">
      <c r="A180" s="50" t="s">
        <v>49</v>
      </c>
      <c r="B180" s="51">
        <f t="shared" si="6"/>
        <v>45833</v>
      </c>
      <c r="C180" s="52">
        <v>7.0</v>
      </c>
      <c r="D180" s="52" t="s">
        <v>65</v>
      </c>
      <c r="E180" s="53"/>
      <c r="F180" s="85"/>
      <c r="H180" s="86"/>
      <c r="J180" s="86"/>
      <c r="L180" s="86"/>
      <c r="N180" s="86"/>
      <c r="P180" s="86"/>
      <c r="Q180" s="43"/>
      <c r="R180" s="86"/>
      <c r="T180" s="85">
        <v>135.0</v>
      </c>
      <c r="V180" s="86"/>
      <c r="X180" s="86">
        <v>135.0</v>
      </c>
      <c r="Z180" s="86"/>
      <c r="AB180" s="86"/>
      <c r="AD180" s="86">
        <v>40.0</v>
      </c>
      <c r="AE180" s="43"/>
      <c r="AF180" s="86"/>
      <c r="AH180" s="86">
        <v>50.0</v>
      </c>
      <c r="AJ180" s="86">
        <v>50.0</v>
      </c>
      <c r="AL180" s="85">
        <v>22.0</v>
      </c>
      <c r="AM180" s="43"/>
      <c r="AN180" s="72"/>
      <c r="AO180" s="43"/>
      <c r="AP180" s="85"/>
      <c r="AQ180" s="43"/>
      <c r="AR180" s="85"/>
      <c r="AS180" s="43"/>
      <c r="AT180" s="85"/>
      <c r="AU180" s="43"/>
      <c r="AV180" s="86"/>
      <c r="AX180" s="86"/>
      <c r="AY180" s="43"/>
      <c r="AZ180" s="86"/>
      <c r="BB180" s="54">
        <f t="shared" si="8"/>
        <v>5385.78</v>
      </c>
      <c r="BC180" s="52">
        <f t="shared" si="2"/>
        <v>432</v>
      </c>
      <c r="BD180" s="52">
        <f t="shared" si="3"/>
        <v>0</v>
      </c>
      <c r="BE180" s="52">
        <f t="shared" si="4"/>
        <v>432</v>
      </c>
      <c r="BF180" s="49">
        <f t="shared" si="5"/>
        <v>12.46708333</v>
      </c>
      <c r="BG180" s="78"/>
    </row>
    <row r="181" ht="15.75" customHeight="1">
      <c r="A181" s="50" t="s">
        <v>50</v>
      </c>
      <c r="B181" s="51">
        <f t="shared" si="6"/>
        <v>45834</v>
      </c>
      <c r="C181" s="52">
        <v>7.0</v>
      </c>
      <c r="D181" s="52" t="s">
        <v>65</v>
      </c>
      <c r="E181" s="53"/>
      <c r="F181" s="85"/>
      <c r="H181" s="86"/>
      <c r="J181" s="86"/>
      <c r="L181" s="86"/>
      <c r="N181" s="86"/>
      <c r="P181" s="86"/>
      <c r="Q181" s="43"/>
      <c r="R181" s="86"/>
      <c r="T181" s="85">
        <v>135.0</v>
      </c>
      <c r="V181" s="86"/>
      <c r="X181" s="86">
        <v>135.0</v>
      </c>
      <c r="Z181" s="86"/>
      <c r="AB181" s="86"/>
      <c r="AD181" s="86">
        <v>40.0</v>
      </c>
      <c r="AE181" s="43"/>
      <c r="AF181" s="86"/>
      <c r="AH181" s="86">
        <v>50.0</v>
      </c>
      <c r="AJ181" s="86">
        <v>50.0</v>
      </c>
      <c r="AL181" s="85">
        <v>22.0</v>
      </c>
      <c r="AM181" s="43"/>
      <c r="AN181" s="72"/>
      <c r="AO181" s="43"/>
      <c r="AP181" s="85"/>
      <c r="AQ181" s="43"/>
      <c r="AR181" s="85"/>
      <c r="AS181" s="43"/>
      <c r="AT181" s="85"/>
      <c r="AU181" s="43"/>
      <c r="AV181" s="86"/>
      <c r="AX181" s="86"/>
      <c r="AY181" s="43"/>
      <c r="AZ181" s="86"/>
      <c r="BB181" s="54">
        <f t="shared" si="8"/>
        <v>5385.78</v>
      </c>
      <c r="BC181" s="52">
        <f t="shared" si="2"/>
        <v>432</v>
      </c>
      <c r="BD181" s="52">
        <f t="shared" si="3"/>
        <v>0</v>
      </c>
      <c r="BE181" s="52">
        <f t="shared" si="4"/>
        <v>432</v>
      </c>
      <c r="BF181" s="49">
        <f t="shared" si="5"/>
        <v>12.46708333</v>
      </c>
      <c r="BG181" s="78"/>
    </row>
    <row r="182" ht="15.75" customHeight="1">
      <c r="A182" s="50" t="s">
        <v>53</v>
      </c>
      <c r="B182" s="51">
        <f t="shared" si="6"/>
        <v>45835</v>
      </c>
      <c r="C182" s="52">
        <v>7.0</v>
      </c>
      <c r="D182" s="52" t="s">
        <v>65</v>
      </c>
      <c r="E182" s="53"/>
      <c r="F182" s="85"/>
      <c r="H182" s="86"/>
      <c r="J182" s="86"/>
      <c r="L182" s="86"/>
      <c r="N182" s="86"/>
      <c r="P182" s="86"/>
      <c r="Q182" s="43"/>
      <c r="R182" s="86"/>
      <c r="T182" s="85">
        <v>135.0</v>
      </c>
      <c r="V182" s="86"/>
      <c r="X182" s="86">
        <v>130.0</v>
      </c>
      <c r="Z182" s="86"/>
      <c r="AB182" s="86"/>
      <c r="AD182" s="86">
        <v>40.0</v>
      </c>
      <c r="AE182" s="43"/>
      <c r="AF182" s="86"/>
      <c r="AH182" s="86">
        <v>50.0</v>
      </c>
      <c r="AJ182" s="86">
        <v>50.0</v>
      </c>
      <c r="AL182" s="85">
        <v>22.0</v>
      </c>
      <c r="AM182" s="43"/>
      <c r="AN182" s="72"/>
      <c r="AO182" s="43"/>
      <c r="AP182" s="85"/>
      <c r="AQ182" s="43"/>
      <c r="AR182" s="85"/>
      <c r="AS182" s="43"/>
      <c r="AT182" s="85"/>
      <c r="AU182" s="43"/>
      <c r="AV182" s="86"/>
      <c r="AX182" s="86"/>
      <c r="AY182" s="43"/>
      <c r="AZ182" s="86"/>
      <c r="BB182" s="54">
        <f t="shared" si="8"/>
        <v>5330.18</v>
      </c>
      <c r="BC182" s="52">
        <f t="shared" si="2"/>
        <v>427</v>
      </c>
      <c r="BD182" s="52">
        <f t="shared" si="3"/>
        <v>0</v>
      </c>
      <c r="BE182" s="52">
        <f t="shared" si="4"/>
        <v>427</v>
      </c>
      <c r="BF182" s="49">
        <f t="shared" si="5"/>
        <v>12.48285714</v>
      </c>
      <c r="BG182" s="78"/>
    </row>
    <row r="183" ht="15.75" customHeight="1">
      <c r="A183" s="50" t="s">
        <v>54</v>
      </c>
      <c r="B183" s="51">
        <f t="shared" si="6"/>
        <v>45836</v>
      </c>
      <c r="C183" s="52">
        <v>7.0</v>
      </c>
      <c r="D183" s="52" t="s">
        <v>65</v>
      </c>
      <c r="E183" s="53"/>
      <c r="F183" s="85"/>
      <c r="H183" s="86"/>
      <c r="J183" s="86"/>
      <c r="L183" s="86"/>
      <c r="N183" s="86"/>
      <c r="P183" s="86"/>
      <c r="Q183" s="43"/>
      <c r="R183" s="86"/>
      <c r="T183" s="85">
        <v>135.0</v>
      </c>
      <c r="V183" s="86"/>
      <c r="X183" s="86">
        <v>135.0</v>
      </c>
      <c r="Z183" s="86"/>
      <c r="AB183" s="86"/>
      <c r="AD183" s="86">
        <v>40.0</v>
      </c>
      <c r="AE183" s="43"/>
      <c r="AF183" s="86"/>
      <c r="AH183" s="86">
        <v>50.0</v>
      </c>
      <c r="AJ183" s="86">
        <v>0.0</v>
      </c>
      <c r="AL183" s="85">
        <v>22.0</v>
      </c>
      <c r="AM183" s="43"/>
      <c r="AN183" s="72"/>
      <c r="AO183" s="43"/>
      <c r="AP183" s="85"/>
      <c r="AQ183" s="43"/>
      <c r="AR183" s="85"/>
      <c r="AS183" s="43"/>
      <c r="AT183" s="85"/>
      <c r="AU183" s="43"/>
      <c r="AV183" s="86"/>
      <c r="AX183" s="86"/>
      <c r="AY183" s="43"/>
      <c r="AZ183" s="86"/>
      <c r="BB183" s="54">
        <f t="shared" si="8"/>
        <v>4591.28</v>
      </c>
      <c r="BC183" s="52">
        <f t="shared" si="2"/>
        <v>382</v>
      </c>
      <c r="BD183" s="52">
        <f t="shared" si="3"/>
        <v>0</v>
      </c>
      <c r="BE183" s="52">
        <f t="shared" si="4"/>
        <v>382</v>
      </c>
      <c r="BF183" s="49">
        <f t="shared" si="5"/>
        <v>12.01905759</v>
      </c>
      <c r="BG183" s="78"/>
    </row>
    <row r="184" ht="15.75" customHeight="1">
      <c r="A184" s="59" t="s">
        <v>61</v>
      </c>
      <c r="B184" s="61">
        <f t="shared" si="6"/>
        <v>45837</v>
      </c>
      <c r="C184" s="63">
        <v>7.0</v>
      </c>
      <c r="D184" s="63" t="s">
        <v>65</v>
      </c>
      <c r="E184" s="64"/>
      <c r="F184" s="87"/>
      <c r="G184" s="66"/>
      <c r="H184" s="88"/>
      <c r="I184" s="66"/>
      <c r="J184" s="88"/>
      <c r="K184" s="66"/>
      <c r="L184" s="88"/>
      <c r="M184" s="66"/>
      <c r="N184" s="88"/>
      <c r="O184" s="66"/>
      <c r="P184" s="88"/>
      <c r="Q184" s="68"/>
      <c r="R184" s="88"/>
      <c r="S184" s="66"/>
      <c r="T184" s="87">
        <v>0.0</v>
      </c>
      <c r="U184" s="66"/>
      <c r="V184" s="88"/>
      <c r="W184" s="66"/>
      <c r="X184" s="88">
        <v>0.0</v>
      </c>
      <c r="Y184" s="66"/>
      <c r="Z184" s="88"/>
      <c r="AA184" s="66"/>
      <c r="AB184" s="88"/>
      <c r="AC184" s="66"/>
      <c r="AD184" s="88">
        <v>0.0</v>
      </c>
      <c r="AE184" s="68"/>
      <c r="AF184" s="88"/>
      <c r="AG184" s="66"/>
      <c r="AH184" s="88"/>
      <c r="AI184" s="66"/>
      <c r="AJ184" s="88"/>
      <c r="AK184" s="66"/>
      <c r="AL184" s="87"/>
      <c r="AM184" s="68"/>
      <c r="AN184" s="84"/>
      <c r="AO184" s="68"/>
      <c r="AP184" s="87"/>
      <c r="AQ184" s="68"/>
      <c r="AR184" s="87"/>
      <c r="AS184" s="68"/>
      <c r="AT184" s="87"/>
      <c r="AU184" s="68"/>
      <c r="AV184" s="88"/>
      <c r="AW184" s="66"/>
      <c r="AX184" s="88"/>
      <c r="AY184" s="68"/>
      <c r="AZ184" s="88"/>
      <c r="BA184" s="66"/>
      <c r="BB184" s="73">
        <f t="shared" si="8"/>
        <v>0</v>
      </c>
      <c r="BC184" s="63">
        <f t="shared" si="2"/>
        <v>0</v>
      </c>
      <c r="BD184" s="63">
        <f t="shared" si="3"/>
        <v>0</v>
      </c>
      <c r="BE184" s="63">
        <f t="shared" si="4"/>
        <v>0</v>
      </c>
      <c r="BF184" s="74" t="str">
        <f t="shared" si="5"/>
        <v/>
      </c>
      <c r="BG184" s="78"/>
    </row>
    <row r="185" ht="15.75" customHeight="1">
      <c r="A185" s="36" t="s">
        <v>46</v>
      </c>
      <c r="B185" s="75">
        <f t="shared" si="6"/>
        <v>45838</v>
      </c>
      <c r="C185" s="38">
        <v>7.0</v>
      </c>
      <c r="D185" s="38" t="s">
        <v>69</v>
      </c>
      <c r="E185" s="40"/>
      <c r="F185" s="85"/>
      <c r="H185" s="86"/>
      <c r="J185" s="86"/>
      <c r="L185" s="86"/>
      <c r="N185" s="86"/>
      <c r="P185" s="86"/>
      <c r="Q185" s="43"/>
      <c r="R185" s="86"/>
      <c r="T185" s="85">
        <v>135.0</v>
      </c>
      <c r="V185" s="86"/>
      <c r="X185" s="86">
        <v>135.0</v>
      </c>
      <c r="Z185" s="86"/>
      <c r="AB185" s="86"/>
      <c r="AD185" s="86"/>
      <c r="AE185" s="43"/>
      <c r="AF185" s="86"/>
      <c r="AH185" s="86">
        <v>0.0</v>
      </c>
      <c r="AJ185" s="86">
        <v>0.0</v>
      </c>
      <c r="AL185" s="85">
        <v>0.0</v>
      </c>
      <c r="AM185" s="43"/>
      <c r="AN185" s="72"/>
      <c r="AO185" s="43"/>
      <c r="AP185" s="85"/>
      <c r="AQ185" s="43"/>
      <c r="AR185" s="85"/>
      <c r="AS185" s="43"/>
      <c r="AT185" s="85"/>
      <c r="AU185" s="43"/>
      <c r="AV185" s="86"/>
      <c r="AX185" s="86"/>
      <c r="AY185" s="43"/>
      <c r="AZ185" s="86"/>
      <c r="BB185" s="54">
        <f t="shared" si="8"/>
        <v>3002.4</v>
      </c>
      <c r="BC185" s="38">
        <f t="shared" si="2"/>
        <v>270</v>
      </c>
      <c r="BD185" s="38">
        <f t="shared" si="3"/>
        <v>0</v>
      </c>
      <c r="BE185" s="38">
        <f t="shared" si="4"/>
        <v>270</v>
      </c>
      <c r="BF185" s="76">
        <f t="shared" si="5"/>
        <v>11.12</v>
      </c>
      <c r="BG185" s="78"/>
    </row>
    <row r="186" ht="15.75" customHeight="1">
      <c r="A186" s="50" t="s">
        <v>48</v>
      </c>
      <c r="B186" s="51">
        <f t="shared" si="6"/>
        <v>45839</v>
      </c>
      <c r="C186" s="52">
        <v>7.0</v>
      </c>
      <c r="D186" s="52" t="s">
        <v>69</v>
      </c>
      <c r="E186" s="53"/>
      <c r="F186" s="85"/>
      <c r="H186" s="86"/>
      <c r="J186" s="86"/>
      <c r="L186" s="86"/>
      <c r="N186" s="86"/>
      <c r="P186" s="86"/>
      <c r="Q186" s="43"/>
      <c r="R186" s="86"/>
      <c r="T186" s="85">
        <v>135.0</v>
      </c>
      <c r="V186" s="86"/>
      <c r="X186" s="86">
        <v>135.0</v>
      </c>
      <c r="Z186" s="86"/>
      <c r="AB186" s="86"/>
      <c r="AD186" s="86"/>
      <c r="AE186" s="43"/>
      <c r="AF186" s="86"/>
      <c r="AH186" s="86">
        <v>50.0</v>
      </c>
      <c r="AJ186" s="86">
        <v>50.0</v>
      </c>
      <c r="AL186" s="85">
        <v>23.0</v>
      </c>
      <c r="AM186" s="43"/>
      <c r="AN186" s="72"/>
      <c r="AO186" s="43"/>
      <c r="AP186" s="85"/>
      <c r="AQ186" s="43"/>
      <c r="AR186" s="85"/>
      <c r="AS186" s="43"/>
      <c r="AT186" s="85"/>
      <c r="AU186" s="43"/>
      <c r="AV186" s="86"/>
      <c r="AX186" s="86"/>
      <c r="AY186" s="43"/>
      <c r="AZ186" s="86"/>
      <c r="BB186" s="54">
        <f t="shared" si="8"/>
        <v>4956.87</v>
      </c>
      <c r="BC186" s="52">
        <f t="shared" si="2"/>
        <v>393</v>
      </c>
      <c r="BD186" s="52">
        <f t="shared" si="3"/>
        <v>0</v>
      </c>
      <c r="BE186" s="52">
        <f t="shared" si="4"/>
        <v>393</v>
      </c>
      <c r="BF186" s="49">
        <f t="shared" si="5"/>
        <v>12.61290076</v>
      </c>
      <c r="BG186" s="78"/>
    </row>
    <row r="187" ht="15.75" customHeight="1">
      <c r="A187" s="50" t="s">
        <v>49</v>
      </c>
      <c r="B187" s="51">
        <f t="shared" si="6"/>
        <v>45840</v>
      </c>
      <c r="C187" s="52">
        <v>7.0</v>
      </c>
      <c r="D187" s="52" t="s">
        <v>69</v>
      </c>
      <c r="E187" s="92"/>
      <c r="F187" s="85"/>
      <c r="H187" s="86"/>
      <c r="J187" s="86"/>
      <c r="L187" s="86"/>
      <c r="N187" s="86"/>
      <c r="P187" s="86"/>
      <c r="Q187" s="43"/>
      <c r="R187" s="86"/>
      <c r="T187" s="85">
        <v>135.0</v>
      </c>
      <c r="V187" s="86"/>
      <c r="X187" s="86">
        <v>135.0</v>
      </c>
      <c r="Z187" s="86"/>
      <c r="AB187" s="86"/>
      <c r="AD187" s="86"/>
      <c r="AE187" s="43"/>
      <c r="AF187" s="86"/>
      <c r="AH187" s="86">
        <v>50.0</v>
      </c>
      <c r="AJ187" s="86">
        <v>50.0</v>
      </c>
      <c r="AL187" s="85">
        <v>23.0</v>
      </c>
      <c r="AM187" s="43"/>
      <c r="AN187" s="72">
        <v>5088.2</v>
      </c>
      <c r="AO187" s="43"/>
      <c r="AP187" s="85"/>
      <c r="AQ187" s="43"/>
      <c r="AR187" s="85">
        <v>180.0</v>
      </c>
      <c r="AS187" s="43"/>
      <c r="AT187" s="85"/>
      <c r="AU187" s="43"/>
      <c r="AV187" s="86"/>
      <c r="AX187" s="86"/>
      <c r="AY187" s="43"/>
      <c r="AZ187" s="86"/>
      <c r="BB187" s="54">
        <f t="shared" si="8"/>
        <v>5252.07</v>
      </c>
      <c r="BC187" s="52">
        <f t="shared" si="2"/>
        <v>573</v>
      </c>
      <c r="BD187" s="52">
        <f t="shared" si="3"/>
        <v>0</v>
      </c>
      <c r="BE187" s="52">
        <f t="shared" si="4"/>
        <v>573</v>
      </c>
      <c r="BF187" s="49">
        <f t="shared" si="5"/>
        <v>9.16591623</v>
      </c>
      <c r="BG187" s="78"/>
    </row>
    <row r="188" ht="15.75" customHeight="1">
      <c r="A188" s="50" t="s">
        <v>50</v>
      </c>
      <c r="B188" s="51">
        <f t="shared" si="6"/>
        <v>45841</v>
      </c>
      <c r="C188" s="52">
        <v>7.0</v>
      </c>
      <c r="D188" s="52" t="s">
        <v>69</v>
      </c>
      <c r="E188" s="92"/>
      <c r="F188" s="85"/>
      <c r="H188" s="86"/>
      <c r="J188" s="86"/>
      <c r="L188" s="86"/>
      <c r="N188" s="86"/>
      <c r="P188" s="86"/>
      <c r="Q188" s="43"/>
      <c r="R188" s="86"/>
      <c r="T188" s="85">
        <v>135.0</v>
      </c>
      <c r="V188" s="86"/>
      <c r="X188" s="86">
        <v>135.0</v>
      </c>
      <c r="Z188" s="86"/>
      <c r="AB188" s="86"/>
      <c r="AD188" s="86"/>
      <c r="AE188" s="43"/>
      <c r="AF188" s="86"/>
      <c r="AH188" s="86">
        <v>50.0</v>
      </c>
      <c r="AJ188" s="86">
        <v>50.0</v>
      </c>
      <c r="AL188" s="85">
        <v>23.0</v>
      </c>
      <c r="AM188" s="43"/>
      <c r="AN188" s="72">
        <v>1545.0</v>
      </c>
      <c r="AO188" s="43"/>
      <c r="AP188" s="85"/>
      <c r="AQ188" s="43"/>
      <c r="AR188" s="85"/>
      <c r="AS188" s="43"/>
      <c r="AT188" s="85"/>
      <c r="AU188" s="43"/>
      <c r="AV188" s="86"/>
      <c r="AX188" s="86"/>
      <c r="AY188" s="43"/>
      <c r="AZ188" s="86"/>
      <c r="BB188" s="54">
        <f t="shared" si="8"/>
        <v>4956.87</v>
      </c>
      <c r="BC188" s="52">
        <f t="shared" si="2"/>
        <v>393</v>
      </c>
      <c r="BD188" s="52">
        <f t="shared" si="3"/>
        <v>0</v>
      </c>
      <c r="BE188" s="52">
        <f t="shared" si="4"/>
        <v>393</v>
      </c>
      <c r="BF188" s="49">
        <f t="shared" si="5"/>
        <v>12.61290076</v>
      </c>
      <c r="BG188" s="78"/>
    </row>
    <row r="189" ht="15.75" customHeight="1">
      <c r="A189" s="50" t="s">
        <v>53</v>
      </c>
      <c r="B189" s="51">
        <f t="shared" si="6"/>
        <v>45842</v>
      </c>
      <c r="C189" s="52">
        <v>7.0</v>
      </c>
      <c r="D189" s="52" t="s">
        <v>69</v>
      </c>
      <c r="E189" s="53"/>
      <c r="F189" s="85"/>
      <c r="H189" s="86"/>
      <c r="J189" s="86"/>
      <c r="L189" s="86"/>
      <c r="N189" s="86"/>
      <c r="P189" s="86"/>
      <c r="Q189" s="43"/>
      <c r="R189" s="86"/>
      <c r="T189" s="85">
        <v>135.0</v>
      </c>
      <c r="V189" s="86"/>
      <c r="X189" s="86">
        <v>95.0</v>
      </c>
      <c r="Z189" s="86"/>
      <c r="AB189" s="86"/>
      <c r="AD189" s="86"/>
      <c r="AE189" s="43"/>
      <c r="AF189" s="86"/>
      <c r="AH189" s="86">
        <v>0.0</v>
      </c>
      <c r="AJ189" s="86">
        <v>0.0</v>
      </c>
      <c r="AL189" s="85">
        <v>0.0</v>
      </c>
      <c r="AM189" s="43"/>
      <c r="AN189" s="72"/>
      <c r="AO189" s="43"/>
      <c r="AP189" s="85"/>
      <c r="AQ189" s="43"/>
      <c r="AR189" s="85"/>
      <c r="AS189" s="43"/>
      <c r="AT189" s="85"/>
      <c r="AU189" s="43"/>
      <c r="AV189" s="86"/>
      <c r="AX189" s="86"/>
      <c r="AY189" s="43"/>
      <c r="AZ189" s="86"/>
      <c r="BB189" s="54">
        <f t="shared" si="8"/>
        <v>2557.6</v>
      </c>
      <c r="BC189" s="52">
        <f t="shared" si="2"/>
        <v>230</v>
      </c>
      <c r="BD189" s="52">
        <f t="shared" si="3"/>
        <v>0</v>
      </c>
      <c r="BE189" s="52">
        <f t="shared" si="4"/>
        <v>230</v>
      </c>
      <c r="BF189" s="49">
        <f t="shared" si="5"/>
        <v>11.12</v>
      </c>
      <c r="BG189" s="78"/>
    </row>
    <row r="190" ht="15.75" customHeight="1">
      <c r="A190" s="50" t="s">
        <v>54</v>
      </c>
      <c r="B190" s="51">
        <f t="shared" si="6"/>
        <v>45843</v>
      </c>
      <c r="C190" s="52">
        <v>7.0</v>
      </c>
      <c r="D190" s="52" t="s">
        <v>69</v>
      </c>
      <c r="E190" s="53"/>
      <c r="F190" s="85"/>
      <c r="H190" s="86"/>
      <c r="J190" s="86"/>
      <c r="L190" s="86"/>
      <c r="N190" s="86"/>
      <c r="P190" s="86"/>
      <c r="Q190" s="43"/>
      <c r="R190" s="86"/>
      <c r="T190" s="85">
        <v>135.0</v>
      </c>
      <c r="V190" s="86"/>
      <c r="X190" s="86">
        <v>135.0</v>
      </c>
      <c r="Z190" s="86"/>
      <c r="AB190" s="86"/>
      <c r="AD190" s="86"/>
      <c r="AE190" s="43"/>
      <c r="AF190" s="86"/>
      <c r="AH190" s="86">
        <v>0.0</v>
      </c>
      <c r="AJ190" s="86">
        <v>0.0</v>
      </c>
      <c r="AL190" s="85">
        <v>0.0</v>
      </c>
      <c r="AM190" s="43"/>
      <c r="AN190" s="72"/>
      <c r="AO190" s="43"/>
      <c r="AP190" s="85"/>
      <c r="AQ190" s="43"/>
      <c r="AR190" s="85"/>
      <c r="AS190" s="43"/>
      <c r="AT190" s="85"/>
      <c r="AU190" s="43"/>
      <c r="AV190" s="86"/>
      <c r="AX190" s="86"/>
      <c r="AY190" s="43"/>
      <c r="AZ190" s="86"/>
      <c r="BB190" s="54">
        <f t="shared" si="8"/>
        <v>3002.4</v>
      </c>
      <c r="BC190" s="52">
        <f t="shared" si="2"/>
        <v>270</v>
      </c>
      <c r="BD190" s="52">
        <f t="shared" si="3"/>
        <v>0</v>
      </c>
      <c r="BE190" s="52">
        <f t="shared" si="4"/>
        <v>270</v>
      </c>
      <c r="BF190" s="49">
        <f t="shared" si="5"/>
        <v>11.12</v>
      </c>
      <c r="BG190" s="78"/>
    </row>
    <row r="191" ht="15.75" customHeight="1">
      <c r="A191" s="59" t="s">
        <v>61</v>
      </c>
      <c r="B191" s="61">
        <f t="shared" si="6"/>
        <v>45844</v>
      </c>
      <c r="C191" s="63">
        <v>7.0</v>
      </c>
      <c r="D191" s="63" t="s">
        <v>69</v>
      </c>
      <c r="E191" s="64"/>
      <c r="F191" s="87"/>
      <c r="G191" s="66"/>
      <c r="H191" s="88"/>
      <c r="I191" s="66"/>
      <c r="J191" s="88"/>
      <c r="K191" s="66"/>
      <c r="L191" s="88"/>
      <c r="M191" s="66"/>
      <c r="N191" s="88"/>
      <c r="O191" s="66"/>
      <c r="P191" s="88"/>
      <c r="Q191" s="68"/>
      <c r="R191" s="88"/>
      <c r="S191" s="66"/>
      <c r="T191" s="87">
        <v>0.0</v>
      </c>
      <c r="U191" s="66"/>
      <c r="V191" s="88"/>
      <c r="W191" s="66"/>
      <c r="X191" s="88">
        <v>0.0</v>
      </c>
      <c r="Y191" s="66"/>
      <c r="Z191" s="88"/>
      <c r="AA191" s="66"/>
      <c r="AB191" s="88"/>
      <c r="AC191" s="66"/>
      <c r="AD191" s="88"/>
      <c r="AE191" s="68"/>
      <c r="AF191" s="88"/>
      <c r="AG191" s="66"/>
      <c r="AH191" s="88">
        <v>0.0</v>
      </c>
      <c r="AI191" s="66"/>
      <c r="AJ191" s="88">
        <v>0.0</v>
      </c>
      <c r="AK191" s="66"/>
      <c r="AL191" s="87">
        <v>0.0</v>
      </c>
      <c r="AM191" s="68"/>
      <c r="AN191" s="84"/>
      <c r="AO191" s="68"/>
      <c r="AP191" s="87"/>
      <c r="AQ191" s="68"/>
      <c r="AR191" s="87"/>
      <c r="AS191" s="68"/>
      <c r="AT191" s="87"/>
      <c r="AU191" s="68"/>
      <c r="AV191" s="88"/>
      <c r="AW191" s="66"/>
      <c r="AX191" s="88"/>
      <c r="AY191" s="68"/>
      <c r="AZ191" s="88"/>
      <c r="BA191" s="66"/>
      <c r="BB191" s="73">
        <f t="shared" si="8"/>
        <v>0</v>
      </c>
      <c r="BC191" s="63">
        <f t="shared" si="2"/>
        <v>0</v>
      </c>
      <c r="BD191" s="63">
        <f t="shared" si="3"/>
        <v>0</v>
      </c>
      <c r="BE191" s="63">
        <f t="shared" si="4"/>
        <v>0</v>
      </c>
      <c r="BF191" s="74" t="str">
        <f t="shared" si="5"/>
        <v/>
      </c>
      <c r="BG191" s="78"/>
    </row>
    <row r="192" ht="15.75" customHeight="1">
      <c r="A192" s="36" t="s">
        <v>46</v>
      </c>
      <c r="B192" s="75">
        <f t="shared" si="6"/>
        <v>45845</v>
      </c>
      <c r="C192" s="38">
        <v>7.0</v>
      </c>
      <c r="D192" s="38" t="s">
        <v>72</v>
      </c>
      <c r="E192" s="82">
        <v>0.0</v>
      </c>
      <c r="F192" s="85">
        <v>0.0</v>
      </c>
      <c r="H192" s="86">
        <v>0.0</v>
      </c>
      <c r="J192" s="86">
        <v>0.0</v>
      </c>
      <c r="L192" s="86">
        <v>0.0</v>
      </c>
      <c r="N192" s="86">
        <v>0.0</v>
      </c>
      <c r="P192" s="86">
        <v>0.0</v>
      </c>
      <c r="Q192" s="43"/>
      <c r="R192" s="86">
        <v>0.0</v>
      </c>
      <c r="T192" s="85">
        <v>135.0</v>
      </c>
      <c r="V192" s="86">
        <v>135.0</v>
      </c>
      <c r="X192" s="86">
        <v>0.0</v>
      </c>
      <c r="Z192" s="86">
        <v>0.0</v>
      </c>
      <c r="AB192" s="86">
        <v>0.0</v>
      </c>
      <c r="AD192" s="86">
        <v>0.0</v>
      </c>
      <c r="AE192" s="43"/>
      <c r="AF192" s="86">
        <v>0.0</v>
      </c>
      <c r="AH192" s="86">
        <v>0.0</v>
      </c>
      <c r="AJ192" s="86">
        <v>0.0</v>
      </c>
      <c r="AL192" s="85">
        <v>0.0</v>
      </c>
      <c r="AM192" s="43"/>
      <c r="AN192" s="72"/>
      <c r="AO192" s="43"/>
      <c r="AP192" s="85"/>
      <c r="AQ192" s="43"/>
      <c r="AR192" s="85"/>
      <c r="AS192" s="43"/>
      <c r="AT192" s="85"/>
      <c r="AU192" s="43"/>
      <c r="AV192" s="86"/>
      <c r="AX192" s="86"/>
      <c r="AY192" s="43"/>
      <c r="AZ192" s="86"/>
      <c r="BB192" s="47">
        <f t="shared" si="8"/>
        <v>3002.4</v>
      </c>
      <c r="BC192" s="38">
        <f t="shared" si="2"/>
        <v>270</v>
      </c>
      <c r="BD192" s="38">
        <f t="shared" si="3"/>
        <v>0</v>
      </c>
      <c r="BE192" s="38">
        <f t="shared" si="4"/>
        <v>270</v>
      </c>
      <c r="BF192" s="76">
        <f t="shared" si="5"/>
        <v>11.12</v>
      </c>
      <c r="BG192" s="78"/>
    </row>
    <row r="193" ht="15.75" customHeight="1">
      <c r="A193" s="50" t="s">
        <v>48</v>
      </c>
      <c r="B193" s="51">
        <f t="shared" si="6"/>
        <v>45846</v>
      </c>
      <c r="C193" s="52">
        <v>7.0</v>
      </c>
      <c r="D193" s="52" t="s">
        <v>72</v>
      </c>
      <c r="E193" s="53"/>
      <c r="F193" s="85">
        <v>0.0</v>
      </c>
      <c r="H193" s="86">
        <v>0.0</v>
      </c>
      <c r="J193" s="86">
        <v>0.0</v>
      </c>
      <c r="L193" s="86">
        <v>0.0</v>
      </c>
      <c r="N193" s="86">
        <v>0.0</v>
      </c>
      <c r="P193" s="86">
        <v>0.0</v>
      </c>
      <c r="Q193" s="43"/>
      <c r="R193" s="86">
        <v>0.0</v>
      </c>
      <c r="T193" s="85">
        <v>135.0</v>
      </c>
      <c r="V193" s="109">
        <v>65.0</v>
      </c>
      <c r="X193" s="86">
        <v>0.0</v>
      </c>
      <c r="Z193" s="86">
        <v>0.0</v>
      </c>
      <c r="AB193" s="86">
        <v>0.0</v>
      </c>
      <c r="AD193" s="86">
        <v>0.0</v>
      </c>
      <c r="AE193" s="43"/>
      <c r="AF193" s="86">
        <v>0.0</v>
      </c>
      <c r="AH193" s="86">
        <v>0.0</v>
      </c>
      <c r="AJ193" s="86">
        <v>0.0</v>
      </c>
      <c r="AL193" s="85">
        <v>0.0</v>
      </c>
      <c r="AM193" s="43"/>
      <c r="AN193" s="72"/>
      <c r="AO193" s="43"/>
      <c r="AP193" s="85"/>
      <c r="AQ193" s="43"/>
      <c r="AR193" s="85"/>
      <c r="AS193" s="43"/>
      <c r="AT193" s="85"/>
      <c r="AU193" s="43"/>
      <c r="AV193" s="86"/>
      <c r="AX193" s="86"/>
      <c r="AY193" s="43"/>
      <c r="AZ193" s="86"/>
      <c r="BB193" s="54">
        <f t="shared" si="8"/>
        <v>2224</v>
      </c>
      <c r="BC193" s="52">
        <f t="shared" si="2"/>
        <v>200</v>
      </c>
      <c r="BD193" s="52">
        <f t="shared" si="3"/>
        <v>0</v>
      </c>
      <c r="BE193" s="52">
        <f t="shared" si="4"/>
        <v>200</v>
      </c>
      <c r="BF193" s="49">
        <f t="shared" si="5"/>
        <v>11.12</v>
      </c>
      <c r="BG193" s="78"/>
    </row>
    <row r="194" ht="15.75" customHeight="1">
      <c r="A194" s="50" t="s">
        <v>49</v>
      </c>
      <c r="B194" s="51">
        <f t="shared" si="6"/>
        <v>45847</v>
      </c>
      <c r="C194" s="52">
        <v>7.0</v>
      </c>
      <c r="D194" s="52" t="s">
        <v>72</v>
      </c>
      <c r="E194" s="53"/>
      <c r="F194" s="85">
        <v>0.0</v>
      </c>
      <c r="H194" s="86">
        <v>0.0</v>
      </c>
      <c r="J194" s="86">
        <v>0.0</v>
      </c>
      <c r="L194" s="86">
        <v>0.0</v>
      </c>
      <c r="N194" s="86">
        <v>0.0</v>
      </c>
      <c r="P194" s="86">
        <v>0.0</v>
      </c>
      <c r="Q194" s="43"/>
      <c r="R194" s="86">
        <v>0.0</v>
      </c>
      <c r="T194" s="85">
        <v>135.0</v>
      </c>
      <c r="V194" s="86">
        <v>135.0</v>
      </c>
      <c r="X194" s="86">
        <v>0.0</v>
      </c>
      <c r="Z194" s="86">
        <v>0.0</v>
      </c>
      <c r="AB194" s="86">
        <v>0.0</v>
      </c>
      <c r="AD194" s="86">
        <v>0.0</v>
      </c>
      <c r="AE194" s="43"/>
      <c r="AF194" s="86">
        <v>0.0</v>
      </c>
      <c r="AH194" s="86">
        <v>0.0</v>
      </c>
      <c r="AJ194" s="86">
        <v>0.0</v>
      </c>
      <c r="AL194" s="85">
        <v>0.0</v>
      </c>
      <c r="AM194" s="43"/>
      <c r="AN194" s="72"/>
      <c r="AO194" s="43"/>
      <c r="AP194" s="85"/>
      <c r="AQ194" s="43"/>
      <c r="AR194" s="85">
        <v>40.0</v>
      </c>
      <c r="AS194" s="43"/>
      <c r="AT194" s="85"/>
      <c r="AU194" s="43"/>
      <c r="AV194" s="86"/>
      <c r="AX194" s="86"/>
      <c r="AY194" s="43"/>
      <c r="AZ194" s="86"/>
      <c r="BB194" s="54">
        <f t="shared" si="8"/>
        <v>3068</v>
      </c>
      <c r="BC194" s="52">
        <f t="shared" si="2"/>
        <v>310</v>
      </c>
      <c r="BD194" s="52">
        <f t="shared" si="3"/>
        <v>0</v>
      </c>
      <c r="BE194" s="52">
        <f t="shared" si="4"/>
        <v>310</v>
      </c>
      <c r="BF194" s="49">
        <f t="shared" si="5"/>
        <v>9.896774194</v>
      </c>
      <c r="BG194" s="78"/>
    </row>
    <row r="195" ht="15.75" customHeight="1">
      <c r="A195" s="50" t="s">
        <v>50</v>
      </c>
      <c r="B195" s="51">
        <f t="shared" si="6"/>
        <v>45848</v>
      </c>
      <c r="C195" s="52">
        <v>7.0</v>
      </c>
      <c r="D195" s="52" t="s">
        <v>72</v>
      </c>
      <c r="E195" s="53"/>
      <c r="F195" s="85">
        <v>0.0</v>
      </c>
      <c r="H195" s="86">
        <v>0.0</v>
      </c>
      <c r="J195" s="86">
        <v>0.0</v>
      </c>
      <c r="L195" s="86">
        <v>0.0</v>
      </c>
      <c r="N195" s="86">
        <v>0.0</v>
      </c>
      <c r="P195" s="86">
        <v>0.0</v>
      </c>
      <c r="Q195" s="43"/>
      <c r="R195" s="86">
        <v>0.0</v>
      </c>
      <c r="T195" s="85">
        <v>150.0</v>
      </c>
      <c r="V195" s="86">
        <v>150.0</v>
      </c>
      <c r="X195" s="86">
        <v>0.0</v>
      </c>
      <c r="Z195" s="86">
        <v>0.0</v>
      </c>
      <c r="AB195" s="86">
        <v>0.0</v>
      </c>
      <c r="AD195" s="86">
        <v>0.0</v>
      </c>
      <c r="AE195" s="43"/>
      <c r="AF195" s="86">
        <v>0.0</v>
      </c>
      <c r="AH195" s="86">
        <v>0.0</v>
      </c>
      <c r="AJ195" s="86">
        <v>0.0</v>
      </c>
      <c r="AL195" s="85">
        <v>0.0</v>
      </c>
      <c r="AM195" s="43"/>
      <c r="AN195" s="72"/>
      <c r="AO195" s="43"/>
      <c r="AP195" s="85"/>
      <c r="AQ195" s="43"/>
      <c r="AR195" s="85"/>
      <c r="AS195" s="43"/>
      <c r="AT195" s="85"/>
      <c r="AU195" s="43"/>
      <c r="AV195" s="86"/>
      <c r="AX195" s="86"/>
      <c r="AY195" s="43"/>
      <c r="AZ195" s="86"/>
      <c r="BB195" s="54">
        <f t="shared" si="8"/>
        <v>3336</v>
      </c>
      <c r="BC195" s="52">
        <f t="shared" si="2"/>
        <v>300</v>
      </c>
      <c r="BD195" s="52">
        <f t="shared" si="3"/>
        <v>0</v>
      </c>
      <c r="BE195" s="52">
        <f t="shared" si="4"/>
        <v>300</v>
      </c>
      <c r="BF195" s="49">
        <f t="shared" si="5"/>
        <v>11.12</v>
      </c>
      <c r="BG195" s="78"/>
    </row>
    <row r="196" ht="15.75" customHeight="1">
      <c r="A196" s="50" t="s">
        <v>53</v>
      </c>
      <c r="B196" s="51">
        <f t="shared" si="6"/>
        <v>45849</v>
      </c>
      <c r="C196" s="52">
        <v>7.0</v>
      </c>
      <c r="D196" s="52" t="s">
        <v>72</v>
      </c>
      <c r="E196" s="53"/>
      <c r="F196" s="85">
        <v>0.0</v>
      </c>
      <c r="H196" s="86">
        <v>0.0</v>
      </c>
      <c r="J196" s="86">
        <v>0.0</v>
      </c>
      <c r="L196" s="86">
        <v>0.0</v>
      </c>
      <c r="N196" s="86">
        <v>0.0</v>
      </c>
      <c r="P196" s="86">
        <v>0.0</v>
      </c>
      <c r="Q196" s="43"/>
      <c r="R196" s="86">
        <v>0.0</v>
      </c>
      <c r="T196" s="85">
        <v>150.0</v>
      </c>
      <c r="V196" s="86">
        <v>150.0</v>
      </c>
      <c r="X196" s="86">
        <v>0.0</v>
      </c>
      <c r="Z196" s="86">
        <v>0.0</v>
      </c>
      <c r="AB196" s="86">
        <v>0.0</v>
      </c>
      <c r="AD196" s="86">
        <v>0.0</v>
      </c>
      <c r="AE196" s="43"/>
      <c r="AF196" s="86">
        <v>0.0</v>
      </c>
      <c r="AH196" s="86">
        <v>0.0</v>
      </c>
      <c r="AJ196" s="86">
        <v>0.0</v>
      </c>
      <c r="AL196" s="85">
        <v>0.0</v>
      </c>
      <c r="AM196" s="43"/>
      <c r="AN196" s="72"/>
      <c r="AO196" s="43"/>
      <c r="AP196" s="85"/>
      <c r="AQ196" s="43"/>
      <c r="AR196" s="85">
        <v>20.0</v>
      </c>
      <c r="AS196" s="43"/>
      <c r="AT196" s="85"/>
      <c r="AU196" s="43"/>
      <c r="AV196" s="86"/>
      <c r="AX196" s="86"/>
      <c r="AY196" s="43"/>
      <c r="AZ196" s="86"/>
      <c r="BB196" s="54">
        <f t="shared" si="8"/>
        <v>3368.8</v>
      </c>
      <c r="BC196" s="52">
        <f t="shared" si="2"/>
        <v>320</v>
      </c>
      <c r="BD196" s="52">
        <f t="shared" si="3"/>
        <v>0</v>
      </c>
      <c r="BE196" s="52">
        <f t="shared" si="4"/>
        <v>320</v>
      </c>
      <c r="BF196" s="49">
        <f t="shared" si="5"/>
        <v>10.5275</v>
      </c>
      <c r="BG196" s="78"/>
    </row>
    <row r="197" ht="15.75" customHeight="1">
      <c r="A197" s="50" t="s">
        <v>54</v>
      </c>
      <c r="B197" s="51">
        <f t="shared" si="6"/>
        <v>45850</v>
      </c>
      <c r="C197" s="52">
        <v>7.0</v>
      </c>
      <c r="D197" s="52" t="s">
        <v>72</v>
      </c>
      <c r="E197" s="92"/>
      <c r="F197" s="85">
        <v>0.0</v>
      </c>
      <c r="H197" s="86">
        <v>0.0</v>
      </c>
      <c r="J197" s="86">
        <v>0.0</v>
      </c>
      <c r="L197" s="86">
        <v>0.0</v>
      </c>
      <c r="N197" s="86">
        <v>0.0</v>
      </c>
      <c r="P197" s="86">
        <v>0.0</v>
      </c>
      <c r="Q197" s="43"/>
      <c r="R197" s="86">
        <v>0.0</v>
      </c>
      <c r="T197" s="85">
        <v>150.0</v>
      </c>
      <c r="V197" s="86">
        <v>150.0</v>
      </c>
      <c r="X197" s="86">
        <v>0.0</v>
      </c>
      <c r="Z197" s="86">
        <v>0.0</v>
      </c>
      <c r="AB197" s="86">
        <v>0.0</v>
      </c>
      <c r="AD197" s="86">
        <v>0.0</v>
      </c>
      <c r="AE197" s="43"/>
      <c r="AF197" s="86">
        <v>0.0</v>
      </c>
      <c r="AH197" s="86">
        <v>0.0</v>
      </c>
      <c r="AJ197" s="86">
        <v>0.0</v>
      </c>
      <c r="AL197" s="85">
        <v>0.0</v>
      </c>
      <c r="AM197" s="43"/>
      <c r="AN197" s="72"/>
      <c r="AO197" s="43"/>
      <c r="AP197" s="85"/>
      <c r="AQ197" s="43"/>
      <c r="AR197" s="85"/>
      <c r="AS197" s="43"/>
      <c r="AT197" s="85"/>
      <c r="AU197" s="43"/>
      <c r="AV197" s="86"/>
      <c r="AX197" s="86"/>
      <c r="AY197" s="43"/>
      <c r="AZ197" s="86"/>
      <c r="BB197" s="54">
        <f t="shared" si="8"/>
        <v>3336</v>
      </c>
      <c r="BC197" s="52">
        <f t="shared" si="2"/>
        <v>300</v>
      </c>
      <c r="BD197" s="52">
        <f t="shared" si="3"/>
        <v>0</v>
      </c>
      <c r="BE197" s="52">
        <f t="shared" si="4"/>
        <v>300</v>
      </c>
      <c r="BF197" s="49">
        <f t="shared" si="5"/>
        <v>11.12</v>
      </c>
      <c r="BG197" s="78"/>
    </row>
    <row r="198" ht="15.75" customHeight="1">
      <c r="A198" s="59" t="s">
        <v>61</v>
      </c>
      <c r="B198" s="61">
        <f t="shared" si="6"/>
        <v>45851</v>
      </c>
      <c r="C198" s="63">
        <v>7.0</v>
      </c>
      <c r="D198" s="63" t="s">
        <v>72</v>
      </c>
      <c r="E198" s="64"/>
      <c r="F198" s="87">
        <v>0.0</v>
      </c>
      <c r="G198" s="66"/>
      <c r="H198" s="88">
        <v>0.0</v>
      </c>
      <c r="I198" s="66"/>
      <c r="J198" s="88">
        <v>0.0</v>
      </c>
      <c r="K198" s="66"/>
      <c r="L198" s="88">
        <v>0.0</v>
      </c>
      <c r="M198" s="66"/>
      <c r="N198" s="88">
        <v>0.0</v>
      </c>
      <c r="O198" s="66"/>
      <c r="P198" s="88">
        <v>0.0</v>
      </c>
      <c r="Q198" s="68"/>
      <c r="R198" s="88">
        <v>0.0</v>
      </c>
      <c r="S198" s="66"/>
      <c r="T198" s="87">
        <v>0.0</v>
      </c>
      <c r="U198" s="66"/>
      <c r="V198" s="88">
        <v>0.0</v>
      </c>
      <c r="W198" s="66"/>
      <c r="X198" s="88">
        <v>0.0</v>
      </c>
      <c r="Y198" s="66"/>
      <c r="Z198" s="88">
        <v>0.0</v>
      </c>
      <c r="AA198" s="66"/>
      <c r="AB198" s="88">
        <v>0.0</v>
      </c>
      <c r="AC198" s="66"/>
      <c r="AD198" s="88">
        <v>0.0</v>
      </c>
      <c r="AE198" s="68"/>
      <c r="AF198" s="88">
        <v>0.0</v>
      </c>
      <c r="AG198" s="66"/>
      <c r="AH198" s="88">
        <v>0.0</v>
      </c>
      <c r="AI198" s="66"/>
      <c r="AJ198" s="88">
        <v>0.0</v>
      </c>
      <c r="AK198" s="66"/>
      <c r="AL198" s="87">
        <v>0.0</v>
      </c>
      <c r="AM198" s="68"/>
      <c r="AN198" s="84"/>
      <c r="AO198" s="68"/>
      <c r="AP198" s="87"/>
      <c r="AQ198" s="68"/>
      <c r="AR198" s="87"/>
      <c r="AS198" s="68"/>
      <c r="AT198" s="87"/>
      <c r="AU198" s="68"/>
      <c r="AV198" s="88"/>
      <c r="AW198" s="66"/>
      <c r="AX198" s="88"/>
      <c r="AY198" s="68"/>
      <c r="AZ198" s="88"/>
      <c r="BA198" s="66"/>
      <c r="BB198" s="73">
        <f t="shared" si="8"/>
        <v>0</v>
      </c>
      <c r="BC198" s="63">
        <f t="shared" si="2"/>
        <v>0</v>
      </c>
      <c r="BD198" s="63">
        <f t="shared" si="3"/>
        <v>0</v>
      </c>
      <c r="BE198" s="63">
        <f t="shared" si="4"/>
        <v>0</v>
      </c>
      <c r="BF198" s="74" t="str">
        <f t="shared" si="5"/>
        <v/>
      </c>
      <c r="BG198" s="78"/>
    </row>
    <row r="199" ht="15.75" customHeight="1">
      <c r="A199" s="36" t="s">
        <v>46</v>
      </c>
      <c r="B199" s="75">
        <f t="shared" si="6"/>
        <v>45852</v>
      </c>
      <c r="C199" s="38">
        <v>8.0</v>
      </c>
      <c r="D199" s="38" t="s">
        <v>47</v>
      </c>
      <c r="E199" s="40"/>
      <c r="F199" s="85">
        <v>0.0</v>
      </c>
      <c r="H199" s="86">
        <v>0.0</v>
      </c>
      <c r="J199" s="86">
        <v>0.0</v>
      </c>
      <c r="L199" s="86">
        <v>0.0</v>
      </c>
      <c r="N199" s="86">
        <v>0.0</v>
      </c>
      <c r="P199" s="86">
        <v>0.0</v>
      </c>
      <c r="Q199" s="43"/>
      <c r="R199" s="86">
        <v>0.0</v>
      </c>
      <c r="T199" s="85">
        <v>150.0</v>
      </c>
      <c r="V199" s="86">
        <v>150.0</v>
      </c>
      <c r="X199" s="86">
        <v>0.0</v>
      </c>
      <c r="Z199" s="86">
        <v>0.0</v>
      </c>
      <c r="AB199" s="86">
        <v>0.0</v>
      </c>
      <c r="AD199" s="86">
        <v>0.0</v>
      </c>
      <c r="AE199" s="43"/>
      <c r="AF199" s="86">
        <v>0.0</v>
      </c>
      <c r="AH199" s="86">
        <v>0.0</v>
      </c>
      <c r="AJ199" s="86">
        <v>0.0</v>
      </c>
      <c r="AL199" s="85">
        <v>0.0</v>
      </c>
      <c r="AM199" s="43"/>
      <c r="AN199" s="72"/>
      <c r="AO199" s="43"/>
      <c r="AP199" s="85"/>
      <c r="AQ199" s="43"/>
      <c r="AR199" s="85"/>
      <c r="AS199" s="43"/>
      <c r="AT199" s="85"/>
      <c r="AU199" s="43"/>
      <c r="AV199" s="86"/>
      <c r="AX199" s="86"/>
      <c r="AY199" s="43"/>
      <c r="AZ199" s="86"/>
      <c r="BB199" s="47">
        <f t="shared" si="8"/>
        <v>3336</v>
      </c>
      <c r="BC199" s="38">
        <f t="shared" si="2"/>
        <v>300</v>
      </c>
      <c r="BD199" s="38">
        <f t="shared" si="3"/>
        <v>0</v>
      </c>
      <c r="BE199" s="38">
        <f t="shared" si="4"/>
        <v>300</v>
      </c>
      <c r="BF199" s="76">
        <f t="shared" si="5"/>
        <v>11.12</v>
      </c>
      <c r="BG199" s="78"/>
    </row>
    <row r="200" ht="15.75" customHeight="1">
      <c r="A200" s="50" t="s">
        <v>48</v>
      </c>
      <c r="B200" s="51">
        <f t="shared" si="6"/>
        <v>45853</v>
      </c>
      <c r="C200" s="52">
        <v>8.0</v>
      </c>
      <c r="D200" s="52" t="s">
        <v>47</v>
      </c>
      <c r="E200" s="92"/>
      <c r="F200" s="85">
        <v>0.0</v>
      </c>
      <c r="H200" s="86">
        <v>0.0</v>
      </c>
      <c r="J200" s="86">
        <v>0.0</v>
      </c>
      <c r="L200" s="86">
        <v>0.0</v>
      </c>
      <c r="N200" s="86">
        <v>0.0</v>
      </c>
      <c r="P200" s="86">
        <v>0.0</v>
      </c>
      <c r="Q200" s="43"/>
      <c r="R200" s="86">
        <v>0.0</v>
      </c>
      <c r="T200" s="85">
        <v>150.0</v>
      </c>
      <c r="V200" s="86">
        <v>150.0</v>
      </c>
      <c r="X200" s="86">
        <v>0.0</v>
      </c>
      <c r="Z200" s="86">
        <v>0.0</v>
      </c>
      <c r="AB200" s="86">
        <v>0.0</v>
      </c>
      <c r="AD200" s="86">
        <v>0.0</v>
      </c>
      <c r="AE200" s="43"/>
      <c r="AF200" s="86">
        <v>0.0</v>
      </c>
      <c r="AH200" s="86">
        <v>0.0</v>
      </c>
      <c r="AJ200" s="86">
        <v>0.0</v>
      </c>
      <c r="AL200" s="85">
        <v>0.0</v>
      </c>
      <c r="AM200" s="43"/>
      <c r="AN200" s="72"/>
      <c r="AO200" s="43"/>
      <c r="AP200" s="85"/>
      <c r="AQ200" s="43"/>
      <c r="AR200" s="85"/>
      <c r="AS200" s="43"/>
      <c r="AT200" s="85"/>
      <c r="AU200" s="43"/>
      <c r="AV200" s="86"/>
      <c r="AX200" s="86"/>
      <c r="AY200" s="43"/>
      <c r="AZ200" s="86"/>
      <c r="BB200" s="54">
        <f t="shared" si="8"/>
        <v>3336</v>
      </c>
      <c r="BC200" s="52">
        <f t="shared" si="2"/>
        <v>300</v>
      </c>
      <c r="BD200" s="52">
        <f t="shared" si="3"/>
        <v>0</v>
      </c>
      <c r="BE200" s="52">
        <f t="shared" si="4"/>
        <v>300</v>
      </c>
      <c r="BF200" s="49">
        <f t="shared" si="5"/>
        <v>11.12</v>
      </c>
      <c r="BG200" s="78"/>
    </row>
    <row r="201" ht="15.75" customHeight="1">
      <c r="A201" s="50" t="s">
        <v>49</v>
      </c>
      <c r="B201" s="51">
        <f t="shared" si="6"/>
        <v>45854</v>
      </c>
      <c r="C201" s="52">
        <v>8.0</v>
      </c>
      <c r="D201" s="52" t="s">
        <v>47</v>
      </c>
      <c r="E201" s="53"/>
      <c r="F201" s="85">
        <v>0.0</v>
      </c>
      <c r="H201" s="86">
        <v>0.0</v>
      </c>
      <c r="J201" s="86">
        <v>0.0</v>
      </c>
      <c r="L201" s="86">
        <v>0.0</v>
      </c>
      <c r="N201" s="86">
        <v>0.0</v>
      </c>
      <c r="P201" s="86">
        <v>0.0</v>
      </c>
      <c r="Q201" s="43"/>
      <c r="R201" s="86">
        <v>0.0</v>
      </c>
      <c r="T201" s="85">
        <v>150.0</v>
      </c>
      <c r="V201" s="86">
        <v>150.0</v>
      </c>
      <c r="X201" s="86">
        <v>0.0</v>
      </c>
      <c r="Z201" s="86">
        <v>0.0</v>
      </c>
      <c r="AB201" s="86">
        <v>0.0</v>
      </c>
      <c r="AD201" s="86">
        <v>0.0</v>
      </c>
      <c r="AE201" s="43"/>
      <c r="AF201" s="86">
        <v>0.0</v>
      </c>
      <c r="AH201" s="86">
        <v>0.0</v>
      </c>
      <c r="AJ201" s="86">
        <v>0.0</v>
      </c>
      <c r="AL201" s="85">
        <v>0.0</v>
      </c>
      <c r="AM201" s="43"/>
      <c r="AN201" s="72"/>
      <c r="AO201" s="43"/>
      <c r="AP201" s="85"/>
      <c r="AQ201" s="43"/>
      <c r="AR201" s="85"/>
      <c r="AS201" s="43"/>
      <c r="AT201" s="85"/>
      <c r="AU201" s="43"/>
      <c r="AV201" s="86"/>
      <c r="AX201" s="86"/>
      <c r="AY201" s="43"/>
      <c r="AZ201" s="86"/>
      <c r="BB201" s="54">
        <f t="shared" si="8"/>
        <v>3336</v>
      </c>
      <c r="BC201" s="52">
        <f t="shared" si="2"/>
        <v>300</v>
      </c>
      <c r="BD201" s="52">
        <f t="shared" si="3"/>
        <v>0</v>
      </c>
      <c r="BE201" s="52">
        <f t="shared" si="4"/>
        <v>300</v>
      </c>
      <c r="BF201" s="49">
        <f t="shared" si="5"/>
        <v>11.12</v>
      </c>
      <c r="BG201" s="78"/>
    </row>
    <row r="202" ht="15.75" customHeight="1">
      <c r="A202" s="50" t="s">
        <v>50</v>
      </c>
      <c r="B202" s="51">
        <f t="shared" si="6"/>
        <v>45855</v>
      </c>
      <c r="C202" s="52">
        <v>8.0</v>
      </c>
      <c r="D202" s="52" t="s">
        <v>47</v>
      </c>
      <c r="E202" s="53"/>
      <c r="F202" s="85">
        <v>0.0</v>
      </c>
      <c r="H202" s="86">
        <v>0.0</v>
      </c>
      <c r="J202" s="86">
        <v>0.0</v>
      </c>
      <c r="L202" s="86">
        <v>0.0</v>
      </c>
      <c r="N202" s="86">
        <v>0.0</v>
      </c>
      <c r="P202" s="86">
        <v>0.0</v>
      </c>
      <c r="Q202" s="43"/>
      <c r="R202" s="86">
        <v>0.0</v>
      </c>
      <c r="T202" s="85">
        <v>225.0</v>
      </c>
      <c r="V202" s="86">
        <v>225.0</v>
      </c>
      <c r="X202" s="86">
        <v>75.0</v>
      </c>
      <c r="Z202" s="86">
        <v>0.0</v>
      </c>
      <c r="AB202" s="86">
        <v>0.0</v>
      </c>
      <c r="AD202" s="86">
        <v>0.0</v>
      </c>
      <c r="AE202" s="43"/>
      <c r="AF202" s="86">
        <v>0.0</v>
      </c>
      <c r="AH202" s="86">
        <v>0.0</v>
      </c>
      <c r="AJ202" s="86">
        <v>0.0</v>
      </c>
      <c r="AL202" s="85">
        <v>0.0</v>
      </c>
      <c r="AM202" s="43"/>
      <c r="AN202" s="72"/>
      <c r="AO202" s="43"/>
      <c r="AP202" s="85"/>
      <c r="AQ202" s="43"/>
      <c r="AR202" s="85"/>
      <c r="AS202" s="43"/>
      <c r="AT202" s="85"/>
      <c r="AU202" s="43"/>
      <c r="AV202" s="86"/>
      <c r="AX202" s="86"/>
      <c r="AY202" s="43"/>
      <c r="AZ202" s="86"/>
      <c r="BB202" s="54">
        <f t="shared" si="8"/>
        <v>5838</v>
      </c>
      <c r="BC202" s="52">
        <f t="shared" si="2"/>
        <v>525</v>
      </c>
      <c r="BD202" s="52">
        <f t="shared" si="3"/>
        <v>0</v>
      </c>
      <c r="BE202" s="52">
        <f t="shared" si="4"/>
        <v>525</v>
      </c>
      <c r="BF202" s="49">
        <f t="shared" si="5"/>
        <v>11.12</v>
      </c>
      <c r="BG202" s="78"/>
    </row>
    <row r="203" ht="15.75" customHeight="1">
      <c r="A203" s="50" t="s">
        <v>53</v>
      </c>
      <c r="B203" s="51">
        <f t="shared" si="6"/>
        <v>45856</v>
      </c>
      <c r="C203" s="52">
        <v>8.0</v>
      </c>
      <c r="D203" s="52" t="s">
        <v>47</v>
      </c>
      <c r="E203" s="53"/>
      <c r="F203" s="85">
        <v>0.0</v>
      </c>
      <c r="H203" s="86">
        <v>0.0</v>
      </c>
      <c r="J203" s="86">
        <v>0.0</v>
      </c>
      <c r="L203" s="86">
        <v>0.0</v>
      </c>
      <c r="N203" s="86">
        <v>0.0</v>
      </c>
      <c r="P203" s="86">
        <v>0.0</v>
      </c>
      <c r="Q203" s="43"/>
      <c r="R203" s="86">
        <v>0.0</v>
      </c>
      <c r="T203" s="85">
        <v>225.0</v>
      </c>
      <c r="V203" s="86">
        <v>225.0</v>
      </c>
      <c r="X203" s="86">
        <v>0.0</v>
      </c>
      <c r="Z203" s="86">
        <v>0.0</v>
      </c>
      <c r="AB203" s="86">
        <v>0.0</v>
      </c>
      <c r="AD203" s="86">
        <v>0.0</v>
      </c>
      <c r="AE203" s="43"/>
      <c r="AF203" s="86">
        <v>50.0</v>
      </c>
      <c r="AH203" s="86">
        <v>50.0</v>
      </c>
      <c r="AJ203" s="86">
        <v>22.0</v>
      </c>
      <c r="AL203" s="85">
        <v>0.0</v>
      </c>
      <c r="AM203" s="43"/>
      <c r="AN203" s="72"/>
      <c r="AO203" s="43"/>
      <c r="AP203" s="85"/>
      <c r="AQ203" s="43"/>
      <c r="AR203" s="85"/>
      <c r="AS203" s="43"/>
      <c r="AT203" s="85"/>
      <c r="AU203" s="43"/>
      <c r="AV203" s="86"/>
      <c r="AX203" s="86"/>
      <c r="AY203" s="43"/>
      <c r="AZ203" s="86"/>
      <c r="BB203" s="54">
        <f t="shared" si="8"/>
        <v>6942.58</v>
      </c>
      <c r="BC203" s="52">
        <f t="shared" si="2"/>
        <v>572</v>
      </c>
      <c r="BD203" s="52">
        <f t="shared" si="3"/>
        <v>0</v>
      </c>
      <c r="BE203" s="52">
        <f t="shared" si="4"/>
        <v>572</v>
      </c>
      <c r="BF203" s="49">
        <f t="shared" si="5"/>
        <v>12.13737762</v>
      </c>
      <c r="BG203" s="78"/>
    </row>
    <row r="204" ht="15.75" customHeight="1">
      <c r="A204" s="50" t="s">
        <v>54</v>
      </c>
      <c r="B204" s="51">
        <f t="shared" si="6"/>
        <v>45857</v>
      </c>
      <c r="C204" s="52">
        <v>8.0</v>
      </c>
      <c r="D204" s="52" t="s">
        <v>47</v>
      </c>
      <c r="E204" s="92"/>
      <c r="F204" s="85">
        <v>0.0</v>
      </c>
      <c r="H204" s="86">
        <v>0.0</v>
      </c>
      <c r="J204" s="86">
        <v>0.0</v>
      </c>
      <c r="L204" s="86">
        <v>0.0</v>
      </c>
      <c r="N204" s="86">
        <v>0.0</v>
      </c>
      <c r="P204" s="86">
        <v>0.0</v>
      </c>
      <c r="Q204" s="43"/>
      <c r="R204" s="86">
        <v>0.0</v>
      </c>
      <c r="T204" s="85">
        <v>245.0</v>
      </c>
      <c r="V204" s="86">
        <v>225.0</v>
      </c>
      <c r="X204" s="86">
        <v>0.0</v>
      </c>
      <c r="Z204" s="86">
        <v>0.0</v>
      </c>
      <c r="AB204" s="86">
        <v>0.0</v>
      </c>
      <c r="AD204" s="86">
        <v>0.0</v>
      </c>
      <c r="AE204" s="43"/>
      <c r="AF204" s="86">
        <v>50.0</v>
      </c>
      <c r="AH204" s="86">
        <v>0.0</v>
      </c>
      <c r="AJ204" s="86">
        <v>22.0</v>
      </c>
      <c r="AL204" s="85">
        <v>0.0</v>
      </c>
      <c r="AM204" s="43"/>
      <c r="AN204" s="72"/>
      <c r="AO204" s="43"/>
      <c r="AP204" s="85"/>
      <c r="AQ204" s="43"/>
      <c r="AR204" s="85"/>
      <c r="AS204" s="43"/>
      <c r="AT204" s="85"/>
      <c r="AU204" s="43"/>
      <c r="AV204" s="86"/>
      <c r="AX204" s="86"/>
      <c r="AY204" s="43"/>
      <c r="AZ204" s="86"/>
      <c r="BB204" s="54">
        <f t="shared" si="8"/>
        <v>6370.48</v>
      </c>
      <c r="BC204" s="52">
        <f t="shared" si="2"/>
        <v>542</v>
      </c>
      <c r="BD204" s="52">
        <f t="shared" si="3"/>
        <v>0</v>
      </c>
      <c r="BE204" s="52">
        <f t="shared" si="4"/>
        <v>542</v>
      </c>
      <c r="BF204" s="49">
        <f t="shared" si="5"/>
        <v>11.75365314</v>
      </c>
      <c r="BG204" s="78"/>
    </row>
    <row r="205" ht="15.75" customHeight="1">
      <c r="A205" s="59" t="s">
        <v>61</v>
      </c>
      <c r="B205" s="61">
        <f t="shared" si="6"/>
        <v>45858</v>
      </c>
      <c r="C205" s="63">
        <v>8.0</v>
      </c>
      <c r="D205" s="63" t="s">
        <v>47</v>
      </c>
      <c r="E205" s="64"/>
      <c r="F205" s="87">
        <v>0.0</v>
      </c>
      <c r="G205" s="66"/>
      <c r="H205" s="88">
        <v>0.0</v>
      </c>
      <c r="I205" s="66"/>
      <c r="J205" s="88">
        <v>0.0</v>
      </c>
      <c r="K205" s="66"/>
      <c r="L205" s="88">
        <v>0.0</v>
      </c>
      <c r="M205" s="66"/>
      <c r="N205" s="88">
        <v>0.0</v>
      </c>
      <c r="O205" s="66"/>
      <c r="P205" s="88">
        <v>0.0</v>
      </c>
      <c r="Q205" s="68"/>
      <c r="R205" s="88">
        <v>0.0</v>
      </c>
      <c r="S205" s="66"/>
      <c r="T205" s="87">
        <v>85.0</v>
      </c>
      <c r="U205" s="66"/>
      <c r="V205" s="88">
        <v>85.0</v>
      </c>
      <c r="W205" s="66"/>
      <c r="X205" s="88">
        <v>0.0</v>
      </c>
      <c r="Y205" s="66"/>
      <c r="Z205" s="88">
        <v>0.0</v>
      </c>
      <c r="AA205" s="66"/>
      <c r="AB205" s="88">
        <v>0.0</v>
      </c>
      <c r="AC205" s="66"/>
      <c r="AD205" s="88">
        <v>0.0</v>
      </c>
      <c r="AE205" s="68"/>
      <c r="AF205" s="88">
        <v>0.0</v>
      </c>
      <c r="AG205" s="66"/>
      <c r="AH205" s="88">
        <v>0.0</v>
      </c>
      <c r="AI205" s="66"/>
      <c r="AJ205" s="88">
        <v>0.0</v>
      </c>
      <c r="AK205" s="66"/>
      <c r="AL205" s="87">
        <v>0.0</v>
      </c>
      <c r="AM205" s="68"/>
      <c r="AN205" s="84"/>
      <c r="AO205" s="68"/>
      <c r="AP205" s="87"/>
      <c r="AQ205" s="68"/>
      <c r="AR205" s="87"/>
      <c r="AS205" s="68"/>
      <c r="AT205" s="87"/>
      <c r="AU205" s="68"/>
      <c r="AV205" s="88"/>
      <c r="AW205" s="66"/>
      <c r="AX205" s="88"/>
      <c r="AY205" s="68"/>
      <c r="AZ205" s="88"/>
      <c r="BA205" s="66"/>
      <c r="BB205" s="73">
        <f t="shared" si="8"/>
        <v>1890.4</v>
      </c>
      <c r="BC205" s="63">
        <f t="shared" si="2"/>
        <v>170</v>
      </c>
      <c r="BD205" s="63">
        <f t="shared" si="3"/>
        <v>0</v>
      </c>
      <c r="BE205" s="63">
        <f t="shared" si="4"/>
        <v>170</v>
      </c>
      <c r="BF205" s="74">
        <f t="shared" si="5"/>
        <v>11.12</v>
      </c>
      <c r="BG205" s="78"/>
    </row>
    <row r="206" ht="15.75" customHeight="1">
      <c r="A206" s="36" t="s">
        <v>46</v>
      </c>
      <c r="B206" s="75">
        <f t="shared" si="6"/>
        <v>45859</v>
      </c>
      <c r="C206" s="38">
        <v>8.0</v>
      </c>
      <c r="D206" s="38" t="s">
        <v>65</v>
      </c>
      <c r="E206" s="82"/>
      <c r="F206" s="85">
        <v>0.0</v>
      </c>
      <c r="H206" s="86">
        <v>0.0</v>
      </c>
      <c r="J206" s="86">
        <v>0.0</v>
      </c>
      <c r="L206" s="86">
        <v>0.0</v>
      </c>
      <c r="N206" s="86">
        <v>0.0</v>
      </c>
      <c r="P206" s="86">
        <v>0.0</v>
      </c>
      <c r="Q206" s="43"/>
      <c r="R206" s="86">
        <v>0.0</v>
      </c>
      <c r="T206" s="85">
        <v>190.0</v>
      </c>
      <c r="V206" s="86">
        <v>190.0</v>
      </c>
      <c r="X206" s="86">
        <v>0.0</v>
      </c>
      <c r="Z206" s="86">
        <v>0.0</v>
      </c>
      <c r="AB206" s="86">
        <v>0.0</v>
      </c>
      <c r="AD206" s="86">
        <v>0.0</v>
      </c>
      <c r="AE206" s="43"/>
      <c r="AF206" s="86">
        <v>0.0</v>
      </c>
      <c r="AH206" s="86">
        <v>0.0</v>
      </c>
      <c r="AJ206" s="86">
        <v>0.0</v>
      </c>
      <c r="AL206" s="85">
        <v>0.0</v>
      </c>
      <c r="AM206" s="43"/>
      <c r="AN206" s="72"/>
      <c r="AO206" s="43"/>
      <c r="AP206" s="85"/>
      <c r="AQ206" s="43"/>
      <c r="AR206" s="85"/>
      <c r="AS206" s="43"/>
      <c r="AT206" s="85">
        <v>180.0</v>
      </c>
      <c r="AU206" s="43"/>
      <c r="AV206" s="86"/>
      <c r="AX206" s="86"/>
      <c r="AY206" s="43"/>
      <c r="AZ206" s="86"/>
      <c r="BB206" s="47">
        <f t="shared" si="8"/>
        <v>4520.8</v>
      </c>
      <c r="BC206" s="38">
        <f t="shared" si="2"/>
        <v>560</v>
      </c>
      <c r="BD206" s="38">
        <f t="shared" si="3"/>
        <v>0</v>
      </c>
      <c r="BE206" s="38">
        <f t="shared" si="4"/>
        <v>560</v>
      </c>
      <c r="BF206" s="76">
        <f t="shared" si="5"/>
        <v>8.072857143</v>
      </c>
      <c r="BG206" s="78"/>
    </row>
    <row r="207" ht="15.75" customHeight="1">
      <c r="A207" s="50" t="s">
        <v>48</v>
      </c>
      <c r="B207" s="51">
        <f t="shared" si="6"/>
        <v>45860</v>
      </c>
      <c r="C207" s="52">
        <v>8.0</v>
      </c>
      <c r="D207" s="52" t="s">
        <v>65</v>
      </c>
      <c r="E207" s="53"/>
      <c r="F207" s="85">
        <v>0.0</v>
      </c>
      <c r="H207" s="86">
        <v>0.0</v>
      </c>
      <c r="J207" s="86">
        <v>0.0</v>
      </c>
      <c r="L207" s="86">
        <v>0.0</v>
      </c>
      <c r="N207" s="86">
        <v>0.0</v>
      </c>
      <c r="P207" s="86">
        <v>0.0</v>
      </c>
      <c r="Q207" s="43"/>
      <c r="R207" s="86">
        <v>0.0</v>
      </c>
      <c r="T207" s="85">
        <v>190.0</v>
      </c>
      <c r="V207" s="86">
        <v>190.0</v>
      </c>
      <c r="X207" s="86">
        <v>0.0</v>
      </c>
      <c r="Z207" s="86">
        <v>0.0</v>
      </c>
      <c r="AB207" s="86">
        <v>0.0</v>
      </c>
      <c r="AD207" s="86">
        <v>0.0</v>
      </c>
      <c r="AE207" s="43"/>
      <c r="AF207" s="86">
        <v>0.0</v>
      </c>
      <c r="AH207" s="86">
        <v>50.0</v>
      </c>
      <c r="AJ207" s="86">
        <v>50.0</v>
      </c>
      <c r="AL207" s="85">
        <v>20.0</v>
      </c>
      <c r="AM207" s="43"/>
      <c r="AN207" s="72"/>
      <c r="AO207" s="43"/>
      <c r="AP207" s="85"/>
      <c r="AQ207" s="43"/>
      <c r="AR207" s="85"/>
      <c r="AS207" s="43"/>
      <c r="AT207" s="85"/>
      <c r="AU207" s="43"/>
      <c r="AV207" s="86"/>
      <c r="AX207" s="86"/>
      <c r="AY207" s="43"/>
      <c r="AZ207" s="86"/>
      <c r="BB207" s="54">
        <f t="shared" si="8"/>
        <v>6132.4</v>
      </c>
      <c r="BC207" s="52">
        <f t="shared" si="2"/>
        <v>500</v>
      </c>
      <c r="BD207" s="52">
        <f t="shared" si="3"/>
        <v>0</v>
      </c>
      <c r="BE207" s="52">
        <f t="shared" si="4"/>
        <v>500</v>
      </c>
      <c r="BF207" s="49">
        <f t="shared" si="5"/>
        <v>12.2648</v>
      </c>
      <c r="BG207" s="78"/>
    </row>
    <row r="208" ht="15.75" customHeight="1">
      <c r="A208" s="50" t="s">
        <v>49</v>
      </c>
      <c r="B208" s="51">
        <f t="shared" si="6"/>
        <v>45861</v>
      </c>
      <c r="C208" s="52">
        <v>8.0</v>
      </c>
      <c r="D208" s="52" t="s">
        <v>65</v>
      </c>
      <c r="E208" s="53"/>
      <c r="F208" s="85">
        <v>0.0</v>
      </c>
      <c r="H208" s="86">
        <v>0.0</v>
      </c>
      <c r="J208" s="86">
        <v>0.0</v>
      </c>
      <c r="L208" s="86">
        <v>0.0</v>
      </c>
      <c r="N208" s="86">
        <v>0.0</v>
      </c>
      <c r="P208" s="86">
        <v>0.0</v>
      </c>
      <c r="Q208" s="43"/>
      <c r="R208" s="86">
        <v>0.0</v>
      </c>
      <c r="T208" s="85">
        <v>190.0</v>
      </c>
      <c r="V208" s="86">
        <v>190.0</v>
      </c>
      <c r="X208" s="86">
        <v>0.0</v>
      </c>
      <c r="Z208" s="86">
        <v>0.0</v>
      </c>
      <c r="AB208" s="86">
        <v>0.0</v>
      </c>
      <c r="AD208" s="86">
        <v>0.0</v>
      </c>
      <c r="AE208" s="43"/>
      <c r="AF208" s="86">
        <v>0.0</v>
      </c>
      <c r="AH208" s="86">
        <v>50.0</v>
      </c>
      <c r="AJ208" s="86">
        <v>50.0</v>
      </c>
      <c r="AL208" s="85">
        <v>22.0</v>
      </c>
      <c r="AM208" s="43"/>
      <c r="AN208" s="72"/>
      <c r="AO208" s="43"/>
      <c r="AP208" s="85"/>
      <c r="AQ208" s="43"/>
      <c r="AR208" s="85"/>
      <c r="AS208" s="43"/>
      <c r="AT208" s="85"/>
      <c r="AU208" s="43"/>
      <c r="AV208" s="86"/>
      <c r="AX208" s="86"/>
      <c r="AY208" s="43"/>
      <c r="AZ208" s="86"/>
      <c r="BB208" s="54">
        <f t="shared" si="8"/>
        <v>6164.18</v>
      </c>
      <c r="BC208" s="52">
        <f t="shared" si="2"/>
        <v>502</v>
      </c>
      <c r="BD208" s="52">
        <f t="shared" si="3"/>
        <v>0</v>
      </c>
      <c r="BE208" s="52">
        <f t="shared" si="4"/>
        <v>502</v>
      </c>
      <c r="BF208" s="49">
        <f t="shared" si="5"/>
        <v>12.27924303</v>
      </c>
      <c r="BG208" s="78"/>
    </row>
    <row r="209" ht="15.75" customHeight="1">
      <c r="A209" s="50" t="s">
        <v>50</v>
      </c>
      <c r="B209" s="51">
        <f t="shared" si="6"/>
        <v>45862</v>
      </c>
      <c r="C209" s="52">
        <v>8.0</v>
      </c>
      <c r="D209" s="52" t="s">
        <v>65</v>
      </c>
      <c r="E209" s="53"/>
      <c r="F209" s="85">
        <v>0.0</v>
      </c>
      <c r="H209" s="86">
        <v>0.0</v>
      </c>
      <c r="J209" s="86">
        <v>0.0</v>
      </c>
      <c r="L209" s="86">
        <v>0.0</v>
      </c>
      <c r="N209" s="86">
        <v>0.0</v>
      </c>
      <c r="P209" s="86">
        <v>0.0</v>
      </c>
      <c r="Q209" s="43"/>
      <c r="R209" s="86">
        <v>0.0</v>
      </c>
      <c r="T209" s="85">
        <v>190.0</v>
      </c>
      <c r="V209" s="86">
        <v>190.0</v>
      </c>
      <c r="X209" s="86">
        <v>0.0</v>
      </c>
      <c r="Z209" s="86">
        <v>0.0</v>
      </c>
      <c r="AB209" s="86">
        <v>0.0</v>
      </c>
      <c r="AD209" s="86">
        <v>0.0</v>
      </c>
      <c r="AE209" s="43"/>
      <c r="AF209" s="86">
        <v>0.0</v>
      </c>
      <c r="AH209" s="86">
        <v>50.0</v>
      </c>
      <c r="AJ209" s="86">
        <v>50.0</v>
      </c>
      <c r="AL209" s="85">
        <v>21.0</v>
      </c>
      <c r="AM209" s="43"/>
      <c r="AN209" s="72"/>
      <c r="AO209" s="43"/>
      <c r="AP209" s="85"/>
      <c r="AQ209" s="43"/>
      <c r="AR209" s="85"/>
      <c r="AS209" s="43"/>
      <c r="AT209" s="85"/>
      <c r="AU209" s="43"/>
      <c r="AV209" s="86"/>
      <c r="AX209" s="86"/>
      <c r="AY209" s="43"/>
      <c r="AZ209" s="86"/>
      <c r="BB209" s="54">
        <f t="shared" si="8"/>
        <v>6148.29</v>
      </c>
      <c r="BC209" s="52">
        <f t="shared" si="2"/>
        <v>501</v>
      </c>
      <c r="BD209" s="52">
        <f t="shared" si="3"/>
        <v>0</v>
      </c>
      <c r="BE209" s="52">
        <f t="shared" si="4"/>
        <v>501</v>
      </c>
      <c r="BF209" s="49">
        <f t="shared" si="5"/>
        <v>12.27203593</v>
      </c>
      <c r="BG209" s="78"/>
    </row>
    <row r="210" ht="15.75" customHeight="1">
      <c r="A210" s="50" t="s">
        <v>53</v>
      </c>
      <c r="B210" s="51">
        <f t="shared" si="6"/>
        <v>45863</v>
      </c>
      <c r="C210" s="52">
        <v>8.0</v>
      </c>
      <c r="D210" s="52" t="s">
        <v>65</v>
      </c>
      <c r="E210" s="53"/>
      <c r="F210" s="85">
        <v>0.0</v>
      </c>
      <c r="H210" s="86">
        <v>0.0</v>
      </c>
      <c r="J210" s="86">
        <v>0.0</v>
      </c>
      <c r="L210" s="86">
        <v>0.0</v>
      </c>
      <c r="N210" s="86">
        <v>0.0</v>
      </c>
      <c r="P210" s="86">
        <v>0.0</v>
      </c>
      <c r="Q210" s="43"/>
      <c r="R210" s="86">
        <v>0.0</v>
      </c>
      <c r="T210" s="85">
        <v>190.0</v>
      </c>
      <c r="V210" s="86">
        <v>190.0</v>
      </c>
      <c r="X210" s="86">
        <v>0.0</v>
      </c>
      <c r="Z210" s="86">
        <v>0.0</v>
      </c>
      <c r="AB210" s="86">
        <v>0.0</v>
      </c>
      <c r="AD210" s="86">
        <v>0.0</v>
      </c>
      <c r="AE210" s="43"/>
      <c r="AF210" s="86">
        <v>0.0</v>
      </c>
      <c r="AH210" s="86">
        <v>0.0</v>
      </c>
      <c r="AJ210" s="86">
        <v>0.0</v>
      </c>
      <c r="AL210" s="85">
        <v>0.0</v>
      </c>
      <c r="AM210" s="43"/>
      <c r="AN210" s="72"/>
      <c r="AO210" s="43"/>
      <c r="AP210" s="85"/>
      <c r="AQ210" s="43"/>
      <c r="AR210" s="85"/>
      <c r="AS210" s="43"/>
      <c r="AT210" s="85"/>
      <c r="AU210" s="43"/>
      <c r="AV210" s="86"/>
      <c r="AX210" s="86"/>
      <c r="AY210" s="43"/>
      <c r="AZ210" s="86"/>
      <c r="BB210" s="54">
        <f t="shared" si="8"/>
        <v>4225.6</v>
      </c>
      <c r="BC210" s="52">
        <f t="shared" si="2"/>
        <v>380</v>
      </c>
      <c r="BD210" s="52">
        <f t="shared" si="3"/>
        <v>0</v>
      </c>
      <c r="BE210" s="52">
        <f t="shared" si="4"/>
        <v>380</v>
      </c>
      <c r="BF210" s="49">
        <f t="shared" si="5"/>
        <v>11.12</v>
      </c>
      <c r="BG210" s="78"/>
    </row>
    <row r="211" ht="15.75" customHeight="1">
      <c r="A211" s="50" t="s">
        <v>54</v>
      </c>
      <c r="B211" s="51">
        <f t="shared" si="6"/>
        <v>45864</v>
      </c>
      <c r="C211" s="52">
        <v>8.0</v>
      </c>
      <c r="D211" s="52" t="s">
        <v>65</v>
      </c>
      <c r="E211" s="53"/>
      <c r="F211" s="85">
        <v>0.0</v>
      </c>
      <c r="H211" s="86">
        <v>0.0</v>
      </c>
      <c r="J211" s="86">
        <v>0.0</v>
      </c>
      <c r="L211" s="86">
        <v>0.0</v>
      </c>
      <c r="N211" s="86">
        <v>0.0</v>
      </c>
      <c r="P211" s="86">
        <v>0.0</v>
      </c>
      <c r="Q211" s="43"/>
      <c r="R211" s="86">
        <v>0.0</v>
      </c>
      <c r="T211" s="85">
        <v>145.0</v>
      </c>
      <c r="V211" s="86">
        <v>145.0</v>
      </c>
      <c r="X211" s="86">
        <v>0.0</v>
      </c>
      <c r="Z211" s="86">
        <v>0.0</v>
      </c>
      <c r="AB211" s="86">
        <v>0.0</v>
      </c>
      <c r="AD211" s="86">
        <v>0.0</v>
      </c>
      <c r="AE211" s="43"/>
      <c r="AF211" s="86">
        <v>0.0</v>
      </c>
      <c r="AH211" s="86">
        <v>0.0</v>
      </c>
      <c r="AJ211" s="86">
        <v>0.0</v>
      </c>
      <c r="AL211" s="85">
        <v>0.0</v>
      </c>
      <c r="AM211" s="43"/>
      <c r="AN211" s="72"/>
      <c r="AO211" s="43"/>
      <c r="AP211" s="85"/>
      <c r="AQ211" s="43"/>
      <c r="AR211" s="85"/>
      <c r="AS211" s="43"/>
      <c r="AT211" s="85"/>
      <c r="AU211" s="43"/>
      <c r="AV211" s="86"/>
      <c r="AX211" s="86"/>
      <c r="AY211" s="43"/>
      <c r="AZ211" s="86"/>
      <c r="BB211" s="54">
        <f t="shared" si="8"/>
        <v>3224.8</v>
      </c>
      <c r="BC211" s="52">
        <f t="shared" si="2"/>
        <v>290</v>
      </c>
      <c r="BD211" s="52">
        <f t="shared" si="3"/>
        <v>0</v>
      </c>
      <c r="BE211" s="52">
        <f t="shared" si="4"/>
        <v>290</v>
      </c>
      <c r="BF211" s="49">
        <f t="shared" si="5"/>
        <v>11.12</v>
      </c>
      <c r="BG211" s="78"/>
    </row>
    <row r="212" ht="15.75" customHeight="1">
      <c r="A212" s="59" t="s">
        <v>61</v>
      </c>
      <c r="B212" s="61">
        <f t="shared" si="6"/>
        <v>45865</v>
      </c>
      <c r="C212" s="63">
        <v>8.0</v>
      </c>
      <c r="D212" s="63" t="s">
        <v>65</v>
      </c>
      <c r="E212" s="64"/>
      <c r="F212" s="87">
        <v>0.0</v>
      </c>
      <c r="G212" s="66"/>
      <c r="H212" s="88">
        <v>0.0</v>
      </c>
      <c r="I212" s="66"/>
      <c r="J212" s="88">
        <v>0.0</v>
      </c>
      <c r="K212" s="66"/>
      <c r="L212" s="88">
        <v>0.0</v>
      </c>
      <c r="M212" s="66"/>
      <c r="N212" s="88">
        <v>0.0</v>
      </c>
      <c r="O212" s="66"/>
      <c r="P212" s="88">
        <v>0.0</v>
      </c>
      <c r="Q212" s="68"/>
      <c r="R212" s="88">
        <v>0.0</v>
      </c>
      <c r="S212" s="66"/>
      <c r="T212" s="87">
        <v>70.0</v>
      </c>
      <c r="U212" s="66"/>
      <c r="V212" s="88">
        <v>70.0</v>
      </c>
      <c r="W212" s="66"/>
      <c r="X212" s="88">
        <v>0.0</v>
      </c>
      <c r="Y212" s="66"/>
      <c r="Z212" s="88">
        <v>0.0</v>
      </c>
      <c r="AA212" s="66"/>
      <c r="AB212" s="88">
        <v>0.0</v>
      </c>
      <c r="AC212" s="66"/>
      <c r="AD212" s="88">
        <v>0.0</v>
      </c>
      <c r="AE212" s="68"/>
      <c r="AF212" s="88">
        <v>0.0</v>
      </c>
      <c r="AG212" s="66"/>
      <c r="AH212" s="88">
        <v>0.0</v>
      </c>
      <c r="AI212" s="66"/>
      <c r="AJ212" s="88">
        <v>0.0</v>
      </c>
      <c r="AK212" s="66"/>
      <c r="AL212" s="87">
        <v>0.0</v>
      </c>
      <c r="AM212" s="68"/>
      <c r="AN212" s="84"/>
      <c r="AO212" s="68"/>
      <c r="AP212" s="87"/>
      <c r="AQ212" s="68"/>
      <c r="AR212" s="87"/>
      <c r="AS212" s="68"/>
      <c r="AT212" s="87"/>
      <c r="AU212" s="68"/>
      <c r="AV212" s="88"/>
      <c r="AW212" s="66"/>
      <c r="AX212" s="88"/>
      <c r="AY212" s="68"/>
      <c r="AZ212" s="88"/>
      <c r="BA212" s="66"/>
      <c r="BB212" s="73">
        <f t="shared" si="8"/>
        <v>1556.8</v>
      </c>
      <c r="BC212" s="63">
        <f t="shared" si="2"/>
        <v>140</v>
      </c>
      <c r="BD212" s="63">
        <f t="shared" si="3"/>
        <v>0</v>
      </c>
      <c r="BE212" s="63">
        <f t="shared" si="4"/>
        <v>140</v>
      </c>
      <c r="BF212" s="74">
        <f t="shared" si="5"/>
        <v>11.12</v>
      </c>
      <c r="BG212" s="78"/>
    </row>
    <row r="213" ht="15.75" customHeight="1">
      <c r="A213" s="36" t="s">
        <v>46</v>
      </c>
      <c r="B213" s="75">
        <f t="shared" si="6"/>
        <v>45866</v>
      </c>
      <c r="C213" s="38">
        <v>8.0</v>
      </c>
      <c r="D213" s="38" t="s">
        <v>69</v>
      </c>
      <c r="E213" s="40"/>
      <c r="F213" s="85">
        <v>0.0</v>
      </c>
      <c r="H213" s="86">
        <v>0.0</v>
      </c>
      <c r="J213" s="86">
        <v>0.0</v>
      </c>
      <c r="L213" s="86">
        <v>0.0</v>
      </c>
      <c r="N213" s="86">
        <v>0.0</v>
      </c>
      <c r="P213" s="86">
        <v>0.0</v>
      </c>
      <c r="Q213" s="43"/>
      <c r="R213" s="86">
        <v>0.0</v>
      </c>
      <c r="T213" s="85">
        <v>160.0</v>
      </c>
      <c r="V213" s="86">
        <v>160.0</v>
      </c>
      <c r="X213" s="86">
        <v>0.0</v>
      </c>
      <c r="Z213" s="86">
        <v>0.0</v>
      </c>
      <c r="AB213" s="86">
        <v>0.0</v>
      </c>
      <c r="AD213" s="86">
        <v>0.0</v>
      </c>
      <c r="AE213" s="43"/>
      <c r="AF213" s="86">
        <v>0.0</v>
      </c>
      <c r="AH213" s="86">
        <v>0.0</v>
      </c>
      <c r="AJ213" s="86">
        <v>0.0</v>
      </c>
      <c r="AL213" s="85">
        <v>0.0</v>
      </c>
      <c r="AM213" s="43"/>
      <c r="AN213" s="72"/>
      <c r="AO213" s="43"/>
      <c r="AP213" s="85"/>
      <c r="AQ213" s="43"/>
      <c r="AR213" s="85"/>
      <c r="AS213" s="43"/>
      <c r="AT213" s="85"/>
      <c r="AU213" s="43"/>
      <c r="AV213" s="86"/>
      <c r="AX213" s="86"/>
      <c r="AY213" s="43"/>
      <c r="AZ213" s="86"/>
      <c r="BB213" s="47">
        <f t="shared" si="8"/>
        <v>3558.4</v>
      </c>
      <c r="BC213" s="38">
        <f t="shared" si="2"/>
        <v>320</v>
      </c>
      <c r="BD213" s="38">
        <f t="shared" si="3"/>
        <v>0</v>
      </c>
      <c r="BE213" s="38">
        <f t="shared" si="4"/>
        <v>320</v>
      </c>
      <c r="BF213" s="76">
        <f t="shared" si="5"/>
        <v>11.12</v>
      </c>
      <c r="BG213" s="78"/>
    </row>
    <row r="214" ht="15.75" customHeight="1">
      <c r="A214" s="50" t="s">
        <v>48</v>
      </c>
      <c r="B214" s="51">
        <f t="shared" si="6"/>
        <v>45867</v>
      </c>
      <c r="C214" s="52">
        <v>8.0</v>
      </c>
      <c r="D214" s="52" t="s">
        <v>69</v>
      </c>
      <c r="E214" s="53"/>
      <c r="F214" s="85">
        <v>0.0</v>
      </c>
      <c r="H214" s="86">
        <v>0.0</v>
      </c>
      <c r="J214" s="86">
        <v>0.0</v>
      </c>
      <c r="L214" s="86">
        <v>0.0</v>
      </c>
      <c r="N214" s="86">
        <v>0.0</v>
      </c>
      <c r="P214" s="86">
        <v>0.0</v>
      </c>
      <c r="Q214" s="43"/>
      <c r="R214" s="86">
        <v>0.0</v>
      </c>
      <c r="T214" s="85">
        <v>120.0</v>
      </c>
      <c r="V214" s="86">
        <v>120.0</v>
      </c>
      <c r="X214" s="86">
        <v>0.0</v>
      </c>
      <c r="Z214" s="86">
        <v>0.0</v>
      </c>
      <c r="AB214" s="86">
        <v>0.0</v>
      </c>
      <c r="AD214" s="86">
        <v>0.0</v>
      </c>
      <c r="AE214" s="43"/>
      <c r="AF214" s="86">
        <v>0.0</v>
      </c>
      <c r="AH214" s="86">
        <v>50.0</v>
      </c>
      <c r="AJ214" s="86">
        <v>50.0</v>
      </c>
      <c r="AL214" s="85">
        <v>27.0</v>
      </c>
      <c r="AM214" s="43"/>
      <c r="AN214" s="72"/>
      <c r="AO214" s="43"/>
      <c r="AP214" s="85"/>
      <c r="AQ214" s="43"/>
      <c r="AR214" s="85"/>
      <c r="AS214" s="43"/>
      <c r="AT214" s="85"/>
      <c r="AU214" s="43"/>
      <c r="AV214" s="86"/>
      <c r="AX214" s="86"/>
      <c r="AY214" s="43"/>
      <c r="AZ214" s="86"/>
      <c r="BB214" s="54">
        <f t="shared" si="8"/>
        <v>4686.83</v>
      </c>
      <c r="BC214" s="52">
        <f t="shared" si="2"/>
        <v>367</v>
      </c>
      <c r="BD214" s="52">
        <f t="shared" si="3"/>
        <v>0</v>
      </c>
      <c r="BE214" s="52">
        <f t="shared" si="4"/>
        <v>367</v>
      </c>
      <c r="BF214" s="49">
        <f t="shared" si="5"/>
        <v>12.77065395</v>
      </c>
      <c r="BG214" s="78"/>
    </row>
    <row r="215" ht="15.75" customHeight="1">
      <c r="A215" s="50" t="s">
        <v>49</v>
      </c>
      <c r="B215" s="51">
        <f t="shared" si="6"/>
        <v>45868</v>
      </c>
      <c r="C215" s="52">
        <v>8.0</v>
      </c>
      <c r="D215" s="52" t="s">
        <v>69</v>
      </c>
      <c r="E215" s="53"/>
      <c r="F215" s="85">
        <v>0.0</v>
      </c>
      <c r="H215" s="86">
        <v>0.0</v>
      </c>
      <c r="J215" s="86">
        <v>0.0</v>
      </c>
      <c r="L215" s="86">
        <v>0.0</v>
      </c>
      <c r="N215" s="86">
        <v>0.0</v>
      </c>
      <c r="P215" s="86">
        <v>0.0</v>
      </c>
      <c r="Q215" s="43"/>
      <c r="R215" s="86">
        <v>0.0</v>
      </c>
      <c r="T215" s="85">
        <v>120.0</v>
      </c>
      <c r="V215" s="86">
        <v>120.0</v>
      </c>
      <c r="X215" s="86">
        <v>0.0</v>
      </c>
      <c r="Z215" s="86">
        <v>0.0</v>
      </c>
      <c r="AB215" s="86">
        <v>0.0</v>
      </c>
      <c r="AD215" s="86">
        <v>0.0</v>
      </c>
      <c r="AE215" s="43"/>
      <c r="AF215" s="86">
        <v>0.0</v>
      </c>
      <c r="AH215" s="86">
        <v>50.0</v>
      </c>
      <c r="AJ215" s="86">
        <v>50.0</v>
      </c>
      <c r="AL215" s="85">
        <v>27.0</v>
      </c>
      <c r="AM215" s="43"/>
      <c r="AN215" s="72"/>
      <c r="AO215" s="43"/>
      <c r="AP215" s="85"/>
      <c r="AQ215" s="43"/>
      <c r="AR215" s="85"/>
      <c r="AS215" s="43"/>
      <c r="AT215" s="85">
        <v>180.0</v>
      </c>
      <c r="AU215" s="43"/>
      <c r="AV215" s="86"/>
      <c r="AX215" s="86"/>
      <c r="AY215" s="43"/>
      <c r="AZ215" s="86"/>
      <c r="BB215" s="54">
        <f t="shared" si="8"/>
        <v>4982.03</v>
      </c>
      <c r="BC215" s="52">
        <f t="shared" si="2"/>
        <v>547</v>
      </c>
      <c r="BD215" s="52">
        <f t="shared" si="3"/>
        <v>0</v>
      </c>
      <c r="BE215" s="52">
        <f t="shared" si="4"/>
        <v>547</v>
      </c>
      <c r="BF215" s="49">
        <f t="shared" si="5"/>
        <v>9.107915905</v>
      </c>
      <c r="BG215" s="78"/>
    </row>
    <row r="216" ht="15.75" customHeight="1">
      <c r="A216" s="50" t="s">
        <v>50</v>
      </c>
      <c r="B216" s="51">
        <f t="shared" si="6"/>
        <v>45869</v>
      </c>
      <c r="C216" s="52">
        <v>8.0</v>
      </c>
      <c r="D216" s="52" t="s">
        <v>69</v>
      </c>
      <c r="E216" s="53"/>
      <c r="F216" s="85">
        <v>0.0</v>
      </c>
      <c r="H216" s="86">
        <v>0.0</v>
      </c>
      <c r="J216" s="86">
        <v>0.0</v>
      </c>
      <c r="L216" s="86">
        <v>0.0</v>
      </c>
      <c r="N216" s="86">
        <v>0.0</v>
      </c>
      <c r="P216" s="86">
        <v>0.0</v>
      </c>
      <c r="Q216" s="43"/>
      <c r="R216" s="86">
        <v>0.0</v>
      </c>
      <c r="T216" s="85">
        <v>120.0</v>
      </c>
      <c r="V216" s="86">
        <v>120.0</v>
      </c>
      <c r="X216" s="86">
        <v>0.0</v>
      </c>
      <c r="Z216" s="86">
        <v>0.0</v>
      </c>
      <c r="AB216" s="86">
        <v>0.0</v>
      </c>
      <c r="AD216" s="86">
        <v>0.0</v>
      </c>
      <c r="AE216" s="43"/>
      <c r="AF216" s="86">
        <v>0.0</v>
      </c>
      <c r="AH216" s="86">
        <v>50.0</v>
      </c>
      <c r="AJ216" s="86">
        <v>50.0</v>
      </c>
      <c r="AL216" s="85">
        <v>26.0</v>
      </c>
      <c r="AM216" s="43"/>
      <c r="AN216" s="72"/>
      <c r="AO216" s="43"/>
      <c r="AP216" s="85"/>
      <c r="AQ216" s="43"/>
      <c r="AR216" s="85"/>
      <c r="AS216" s="43"/>
      <c r="AT216" s="85"/>
      <c r="AU216" s="43"/>
      <c r="AV216" s="86"/>
      <c r="AX216" s="86"/>
      <c r="AY216" s="43"/>
      <c r="AZ216" s="86"/>
      <c r="BB216" s="54">
        <f t="shared" si="8"/>
        <v>4670.94</v>
      </c>
      <c r="BC216" s="52">
        <f t="shared" si="2"/>
        <v>366</v>
      </c>
      <c r="BD216" s="52">
        <f t="shared" si="3"/>
        <v>0</v>
      </c>
      <c r="BE216" s="52">
        <f t="shared" si="4"/>
        <v>366</v>
      </c>
      <c r="BF216" s="49">
        <f t="shared" si="5"/>
        <v>12.76213115</v>
      </c>
      <c r="BG216" s="78"/>
    </row>
    <row r="217" ht="15.75" customHeight="1">
      <c r="A217" s="50" t="s">
        <v>53</v>
      </c>
      <c r="B217" s="51">
        <f t="shared" si="6"/>
        <v>45870</v>
      </c>
      <c r="C217" s="52">
        <v>8.0</v>
      </c>
      <c r="D217" s="52" t="s">
        <v>69</v>
      </c>
      <c r="E217" s="92"/>
      <c r="F217" s="85">
        <v>0.0</v>
      </c>
      <c r="H217" s="86">
        <v>0.0</v>
      </c>
      <c r="J217" s="86">
        <v>0.0</v>
      </c>
      <c r="L217" s="86">
        <v>0.0</v>
      </c>
      <c r="N217" s="86">
        <v>0.0</v>
      </c>
      <c r="P217" s="86">
        <v>0.0</v>
      </c>
      <c r="Q217" s="43"/>
      <c r="R217" s="86">
        <v>0.0</v>
      </c>
      <c r="T217" s="85">
        <v>160.0</v>
      </c>
      <c r="V217" s="86">
        <v>160.0</v>
      </c>
      <c r="X217" s="86">
        <v>0.0</v>
      </c>
      <c r="Z217" s="86">
        <v>0.0</v>
      </c>
      <c r="AB217" s="86">
        <v>0.0</v>
      </c>
      <c r="AD217" s="86">
        <v>0.0</v>
      </c>
      <c r="AE217" s="43"/>
      <c r="AF217" s="86">
        <v>0.0</v>
      </c>
      <c r="AH217" s="86">
        <v>0.0</v>
      </c>
      <c r="AJ217" s="86">
        <v>0.0</v>
      </c>
      <c r="AL217" s="85">
        <v>0.0</v>
      </c>
      <c r="AM217" s="43"/>
      <c r="AN217" s="72"/>
      <c r="AO217" s="43"/>
      <c r="AP217" s="85"/>
      <c r="AQ217" s="43"/>
      <c r="AR217" s="85"/>
      <c r="AS217" s="43"/>
      <c r="AT217" s="85"/>
      <c r="AU217" s="43"/>
      <c r="AV217" s="86"/>
      <c r="AX217" s="86"/>
      <c r="AY217" s="43"/>
      <c r="AZ217" s="86"/>
      <c r="BB217" s="54">
        <f t="shared" si="8"/>
        <v>3558.4</v>
      </c>
      <c r="BC217" s="52">
        <f t="shared" si="2"/>
        <v>320</v>
      </c>
      <c r="BD217" s="52">
        <f t="shared" si="3"/>
        <v>0</v>
      </c>
      <c r="BE217" s="52">
        <f t="shared" si="4"/>
        <v>320</v>
      </c>
      <c r="BF217" s="49">
        <f t="shared" si="5"/>
        <v>11.12</v>
      </c>
      <c r="BG217" s="78"/>
    </row>
    <row r="218" ht="15.75" customHeight="1">
      <c r="A218" s="50" t="s">
        <v>54</v>
      </c>
      <c r="B218" s="51">
        <f t="shared" si="6"/>
        <v>45871</v>
      </c>
      <c r="C218" s="52">
        <v>8.0</v>
      </c>
      <c r="D218" s="52" t="s">
        <v>69</v>
      </c>
      <c r="E218" s="92"/>
      <c r="F218" s="85">
        <v>0.0</v>
      </c>
      <c r="H218" s="86">
        <v>0.0</v>
      </c>
      <c r="J218" s="86">
        <v>0.0</v>
      </c>
      <c r="L218" s="86">
        <v>0.0</v>
      </c>
      <c r="N218" s="86">
        <v>0.0</v>
      </c>
      <c r="P218" s="86">
        <v>0.0</v>
      </c>
      <c r="Q218" s="43"/>
      <c r="R218" s="86">
        <v>0.0</v>
      </c>
      <c r="T218" s="85">
        <v>160.0</v>
      </c>
      <c r="V218" s="86">
        <v>160.0</v>
      </c>
      <c r="X218" s="86">
        <v>0.0</v>
      </c>
      <c r="Z218" s="86">
        <v>0.0</v>
      </c>
      <c r="AB218" s="86">
        <v>0.0</v>
      </c>
      <c r="AD218" s="86">
        <v>0.0</v>
      </c>
      <c r="AE218" s="43"/>
      <c r="AF218" s="86">
        <v>0.0</v>
      </c>
      <c r="AH218" s="86">
        <v>0.0</v>
      </c>
      <c r="AJ218" s="86">
        <v>0.0</v>
      </c>
      <c r="AL218" s="85">
        <v>0.0</v>
      </c>
      <c r="AM218" s="43"/>
      <c r="AN218" s="72"/>
      <c r="AO218" s="43"/>
      <c r="AP218" s="85"/>
      <c r="AQ218" s="43"/>
      <c r="AR218" s="85"/>
      <c r="AS218" s="43"/>
      <c r="AT218" s="85"/>
      <c r="AU218" s="43"/>
      <c r="AV218" s="86"/>
      <c r="AX218" s="86"/>
      <c r="AY218" s="43"/>
      <c r="AZ218" s="86"/>
      <c r="BB218" s="54">
        <f t="shared" si="8"/>
        <v>3558.4</v>
      </c>
      <c r="BC218" s="52">
        <f t="shared" si="2"/>
        <v>320</v>
      </c>
      <c r="BD218" s="52">
        <f t="shared" si="3"/>
        <v>0</v>
      </c>
      <c r="BE218" s="52">
        <f t="shared" si="4"/>
        <v>320</v>
      </c>
      <c r="BF218" s="49">
        <f t="shared" si="5"/>
        <v>11.12</v>
      </c>
      <c r="BG218" s="78"/>
    </row>
    <row r="219" ht="15.75" customHeight="1">
      <c r="A219" s="59" t="s">
        <v>61</v>
      </c>
      <c r="B219" s="61">
        <f t="shared" si="6"/>
        <v>45872</v>
      </c>
      <c r="C219" s="63">
        <v>8.0</v>
      </c>
      <c r="D219" s="63" t="s">
        <v>69</v>
      </c>
      <c r="E219" s="64"/>
      <c r="F219" s="87">
        <v>0.0</v>
      </c>
      <c r="G219" s="66"/>
      <c r="H219" s="88">
        <v>0.0</v>
      </c>
      <c r="I219" s="66"/>
      <c r="J219" s="88">
        <v>0.0</v>
      </c>
      <c r="K219" s="66"/>
      <c r="L219" s="88">
        <v>0.0</v>
      </c>
      <c r="M219" s="66"/>
      <c r="N219" s="88">
        <v>0.0</v>
      </c>
      <c r="O219" s="66"/>
      <c r="P219" s="88">
        <v>0.0</v>
      </c>
      <c r="Q219" s="68"/>
      <c r="R219" s="88">
        <v>0.0</v>
      </c>
      <c r="S219" s="66"/>
      <c r="T219" s="87">
        <v>0.0</v>
      </c>
      <c r="U219" s="66"/>
      <c r="V219" s="88">
        <v>0.0</v>
      </c>
      <c r="W219" s="66"/>
      <c r="X219" s="88">
        <v>0.0</v>
      </c>
      <c r="Y219" s="66"/>
      <c r="Z219" s="88">
        <v>0.0</v>
      </c>
      <c r="AA219" s="66"/>
      <c r="AB219" s="88">
        <v>0.0</v>
      </c>
      <c r="AC219" s="66"/>
      <c r="AD219" s="88">
        <v>0.0</v>
      </c>
      <c r="AE219" s="68"/>
      <c r="AF219" s="88">
        <v>0.0</v>
      </c>
      <c r="AG219" s="66"/>
      <c r="AH219" s="88">
        <v>0.0</v>
      </c>
      <c r="AI219" s="66"/>
      <c r="AJ219" s="88">
        <v>0.0</v>
      </c>
      <c r="AK219" s="66"/>
      <c r="AL219" s="87">
        <v>0.0</v>
      </c>
      <c r="AM219" s="68"/>
      <c r="AN219" s="84"/>
      <c r="AO219" s="68"/>
      <c r="AP219" s="87"/>
      <c r="AQ219" s="68"/>
      <c r="AR219" s="87"/>
      <c r="AS219" s="68"/>
      <c r="AT219" s="87"/>
      <c r="AU219" s="68"/>
      <c r="AV219" s="88"/>
      <c r="AW219" s="66"/>
      <c r="AX219" s="88"/>
      <c r="AY219" s="68"/>
      <c r="AZ219" s="88"/>
      <c r="BA219" s="66"/>
      <c r="BB219" s="73">
        <f t="shared" si="8"/>
        <v>0</v>
      </c>
      <c r="BC219" s="63">
        <f t="shared" si="2"/>
        <v>0</v>
      </c>
      <c r="BD219" s="63">
        <f t="shared" si="3"/>
        <v>0</v>
      </c>
      <c r="BE219" s="63">
        <f t="shared" si="4"/>
        <v>0</v>
      </c>
      <c r="BF219" s="74" t="str">
        <f t="shared" si="5"/>
        <v/>
      </c>
      <c r="BG219" s="78"/>
    </row>
    <row r="220" ht="15.75" customHeight="1">
      <c r="A220" s="36" t="s">
        <v>46</v>
      </c>
      <c r="B220" s="75">
        <f t="shared" si="6"/>
        <v>45873</v>
      </c>
      <c r="C220" s="38">
        <v>8.0</v>
      </c>
      <c r="D220" s="38" t="s">
        <v>72</v>
      </c>
      <c r="E220" s="82"/>
      <c r="F220" s="85"/>
      <c r="H220" s="86"/>
      <c r="J220" s="86"/>
      <c r="L220" s="86"/>
      <c r="N220" s="86"/>
      <c r="P220" s="86"/>
      <c r="Q220" s="43"/>
      <c r="R220" s="86"/>
      <c r="T220" s="85">
        <v>150.0</v>
      </c>
      <c r="V220" s="86">
        <v>150.0</v>
      </c>
      <c r="X220" s="86">
        <v>0.0</v>
      </c>
      <c r="Z220" s="86">
        <v>0.0</v>
      </c>
      <c r="AB220" s="86">
        <v>0.0</v>
      </c>
      <c r="AD220" s="86"/>
      <c r="AE220" s="43"/>
      <c r="AF220" s="86">
        <v>0.0</v>
      </c>
      <c r="AH220" s="86">
        <v>0.0</v>
      </c>
      <c r="AJ220" s="86">
        <v>0.0</v>
      </c>
      <c r="AL220" s="85">
        <v>0.0</v>
      </c>
      <c r="AM220" s="43"/>
      <c r="AN220" s="72"/>
      <c r="AO220" s="43"/>
      <c r="AP220" s="85"/>
      <c r="AQ220" s="43"/>
      <c r="AR220" s="85"/>
      <c r="AS220" s="43"/>
      <c r="AT220" s="85"/>
      <c r="AU220" s="43"/>
      <c r="AV220" s="86"/>
      <c r="AX220" s="86"/>
      <c r="AY220" s="43"/>
      <c r="AZ220" s="86"/>
      <c r="BB220" s="47">
        <f t="shared" si="8"/>
        <v>3336</v>
      </c>
      <c r="BC220" s="38">
        <f t="shared" si="2"/>
        <v>300</v>
      </c>
      <c r="BD220" s="38">
        <f t="shared" si="3"/>
        <v>0</v>
      </c>
      <c r="BE220" s="38">
        <f t="shared" si="4"/>
        <v>300</v>
      </c>
      <c r="BF220" s="76">
        <f t="shared" si="5"/>
        <v>11.12</v>
      </c>
      <c r="BG220" s="78"/>
    </row>
    <row r="221" ht="15.75" customHeight="1">
      <c r="A221" s="50" t="s">
        <v>48</v>
      </c>
      <c r="B221" s="51">
        <f t="shared" si="6"/>
        <v>45874</v>
      </c>
      <c r="C221" s="52">
        <v>8.0</v>
      </c>
      <c r="D221" s="52" t="s">
        <v>72</v>
      </c>
      <c r="E221" s="53"/>
      <c r="F221" s="85"/>
      <c r="H221" s="86"/>
      <c r="J221" s="86"/>
      <c r="L221" s="86"/>
      <c r="N221" s="86"/>
      <c r="P221" s="86"/>
      <c r="Q221" s="43"/>
      <c r="R221" s="86"/>
      <c r="T221" s="85">
        <v>150.0</v>
      </c>
      <c r="V221" s="86">
        <v>105.0</v>
      </c>
      <c r="X221" s="86"/>
      <c r="Z221" s="86"/>
      <c r="AB221" s="86"/>
      <c r="AD221" s="86"/>
      <c r="AE221" s="43"/>
      <c r="AF221" s="86"/>
      <c r="AH221" s="86">
        <v>50.0</v>
      </c>
      <c r="AJ221" s="86">
        <v>50.0</v>
      </c>
      <c r="AL221" s="85">
        <v>22.0</v>
      </c>
      <c r="AM221" s="43"/>
      <c r="AN221" s="72"/>
      <c r="AO221" s="43"/>
      <c r="AP221" s="85"/>
      <c r="AQ221" s="43"/>
      <c r="AR221" s="85"/>
      <c r="AS221" s="43"/>
      <c r="AT221" s="85"/>
      <c r="AU221" s="43"/>
      <c r="AV221" s="86"/>
      <c r="AX221" s="86"/>
      <c r="AY221" s="43"/>
      <c r="AZ221" s="86"/>
      <c r="BB221" s="54">
        <f t="shared" si="8"/>
        <v>4774.18</v>
      </c>
      <c r="BC221" s="52">
        <f t="shared" si="2"/>
        <v>377</v>
      </c>
      <c r="BD221" s="52">
        <f t="shared" si="3"/>
        <v>0</v>
      </c>
      <c r="BE221" s="52">
        <f t="shared" si="4"/>
        <v>377</v>
      </c>
      <c r="BF221" s="49">
        <f t="shared" si="5"/>
        <v>12.66360743</v>
      </c>
      <c r="BG221" s="78"/>
    </row>
    <row r="222" ht="15.75" customHeight="1">
      <c r="A222" s="50" t="s">
        <v>49</v>
      </c>
      <c r="B222" s="51">
        <f t="shared" si="6"/>
        <v>45875</v>
      </c>
      <c r="C222" s="52">
        <v>8.0</v>
      </c>
      <c r="D222" s="52" t="s">
        <v>72</v>
      </c>
      <c r="E222" s="53"/>
      <c r="F222" s="85"/>
      <c r="H222" s="86"/>
      <c r="J222" s="86"/>
      <c r="L222" s="86"/>
      <c r="N222" s="86"/>
      <c r="P222" s="86"/>
      <c r="Q222" s="43"/>
      <c r="R222" s="86"/>
      <c r="T222" s="85">
        <v>150.0</v>
      </c>
      <c r="V222" s="86">
        <v>150.0</v>
      </c>
      <c r="X222" s="86"/>
      <c r="Z222" s="86"/>
      <c r="AB222" s="86"/>
      <c r="AD222" s="86"/>
      <c r="AE222" s="43"/>
      <c r="AF222" s="86"/>
      <c r="AH222" s="86">
        <v>50.0</v>
      </c>
      <c r="AJ222" s="86">
        <v>50.0</v>
      </c>
      <c r="AL222" s="85">
        <v>22.0</v>
      </c>
      <c r="AM222" s="43"/>
      <c r="AN222" s="72"/>
      <c r="AO222" s="43"/>
      <c r="AP222" s="85"/>
      <c r="AQ222" s="43"/>
      <c r="AR222" s="85"/>
      <c r="AS222" s="43"/>
      <c r="AT222" s="85"/>
      <c r="AU222" s="43"/>
      <c r="AV222" s="86"/>
      <c r="AX222" s="86"/>
      <c r="AY222" s="43"/>
      <c r="AZ222" s="86"/>
      <c r="BB222" s="54">
        <f t="shared" si="8"/>
        <v>5274.58</v>
      </c>
      <c r="BC222" s="52">
        <f t="shared" si="2"/>
        <v>422</v>
      </c>
      <c r="BD222" s="52">
        <f t="shared" si="3"/>
        <v>0</v>
      </c>
      <c r="BE222" s="52">
        <f t="shared" si="4"/>
        <v>422</v>
      </c>
      <c r="BF222" s="49">
        <f t="shared" si="5"/>
        <v>12.49900474</v>
      </c>
      <c r="BG222" s="78"/>
    </row>
    <row r="223" ht="15.75" customHeight="1">
      <c r="A223" s="50" t="s">
        <v>50</v>
      </c>
      <c r="B223" s="51">
        <f t="shared" si="6"/>
        <v>45876</v>
      </c>
      <c r="C223" s="52">
        <v>8.0</v>
      </c>
      <c r="D223" s="52" t="s">
        <v>72</v>
      </c>
      <c r="E223" s="53"/>
      <c r="F223" s="85"/>
      <c r="H223" s="86"/>
      <c r="J223" s="86"/>
      <c r="L223" s="86"/>
      <c r="N223" s="86"/>
      <c r="P223" s="86"/>
      <c r="Q223" s="43"/>
      <c r="R223" s="86"/>
      <c r="T223" s="85">
        <v>150.0</v>
      </c>
      <c r="V223" s="86">
        <v>150.0</v>
      </c>
      <c r="X223" s="86"/>
      <c r="Z223" s="86"/>
      <c r="AB223" s="86"/>
      <c r="AD223" s="86"/>
      <c r="AE223" s="43"/>
      <c r="AF223" s="86"/>
      <c r="AH223" s="86">
        <v>50.0</v>
      </c>
      <c r="AJ223" s="86">
        <v>50.0</v>
      </c>
      <c r="AL223" s="85">
        <v>22.0</v>
      </c>
      <c r="AM223" s="43"/>
      <c r="AN223" s="72"/>
      <c r="AO223" s="43"/>
      <c r="AP223" s="85"/>
      <c r="AQ223" s="43"/>
      <c r="AR223" s="85"/>
      <c r="AS223" s="43"/>
      <c r="AT223" s="85">
        <v>180.0</v>
      </c>
      <c r="AU223" s="43"/>
      <c r="AV223" s="86"/>
      <c r="AX223" s="86"/>
      <c r="AY223" s="43"/>
      <c r="AZ223" s="86"/>
      <c r="BB223" s="54">
        <f t="shared" si="8"/>
        <v>5569.78</v>
      </c>
      <c r="BC223" s="52">
        <f t="shared" si="2"/>
        <v>602</v>
      </c>
      <c r="BD223" s="52">
        <f t="shared" si="3"/>
        <v>0</v>
      </c>
      <c r="BE223" s="52">
        <f t="shared" si="4"/>
        <v>602</v>
      </c>
      <c r="BF223" s="49">
        <f t="shared" si="5"/>
        <v>9.252126246</v>
      </c>
      <c r="BG223" s="78"/>
    </row>
    <row r="224" ht="15.75" customHeight="1">
      <c r="A224" s="50" t="s">
        <v>53</v>
      </c>
      <c r="B224" s="51">
        <f t="shared" si="6"/>
        <v>45877</v>
      </c>
      <c r="C224" s="52">
        <v>8.0</v>
      </c>
      <c r="D224" s="52" t="s">
        <v>72</v>
      </c>
      <c r="E224" s="53"/>
      <c r="F224" s="85"/>
      <c r="H224" s="86"/>
      <c r="J224" s="86"/>
      <c r="L224" s="86"/>
      <c r="N224" s="86"/>
      <c r="P224" s="86"/>
      <c r="Q224" s="43"/>
      <c r="R224" s="86"/>
      <c r="T224" s="85">
        <v>150.0</v>
      </c>
      <c r="V224" s="86">
        <v>150.0</v>
      </c>
      <c r="X224" s="86"/>
      <c r="Z224" s="86"/>
      <c r="AB224" s="86"/>
      <c r="AD224" s="86"/>
      <c r="AE224" s="43"/>
      <c r="AF224" s="86"/>
      <c r="AH224" s="86">
        <v>50.0</v>
      </c>
      <c r="AJ224" s="86">
        <v>50.0</v>
      </c>
      <c r="AL224" s="85">
        <v>22.0</v>
      </c>
      <c r="AM224" s="43"/>
      <c r="AN224" s="72"/>
      <c r="AO224" s="43"/>
      <c r="AP224" s="85"/>
      <c r="AQ224" s="43"/>
      <c r="AR224" s="85"/>
      <c r="AS224" s="43"/>
      <c r="AT224" s="85"/>
      <c r="AU224" s="43"/>
      <c r="AV224" s="86"/>
      <c r="AX224" s="86"/>
      <c r="AY224" s="43"/>
      <c r="AZ224" s="86"/>
      <c r="BB224" s="54">
        <f t="shared" si="8"/>
        <v>5274.58</v>
      </c>
      <c r="BC224" s="52">
        <f t="shared" si="2"/>
        <v>422</v>
      </c>
      <c r="BD224" s="52">
        <f t="shared" si="3"/>
        <v>0</v>
      </c>
      <c r="BE224" s="52">
        <f t="shared" si="4"/>
        <v>422</v>
      </c>
      <c r="BF224" s="49">
        <f t="shared" si="5"/>
        <v>12.49900474</v>
      </c>
      <c r="BG224" s="78"/>
    </row>
    <row r="225" ht="15.75" customHeight="1">
      <c r="A225" s="50" t="s">
        <v>54</v>
      </c>
      <c r="B225" s="51">
        <f t="shared" si="6"/>
        <v>45878</v>
      </c>
      <c r="C225" s="52">
        <v>8.0</v>
      </c>
      <c r="D225" s="52" t="s">
        <v>72</v>
      </c>
      <c r="E225" s="53"/>
      <c r="F225" s="85"/>
      <c r="H225" s="86"/>
      <c r="J225" s="86"/>
      <c r="L225" s="86"/>
      <c r="N225" s="86"/>
      <c r="P225" s="86"/>
      <c r="Q225" s="43"/>
      <c r="R225" s="86"/>
      <c r="T225" s="85">
        <v>150.0</v>
      </c>
      <c r="V225" s="86">
        <v>150.0</v>
      </c>
      <c r="X225" s="86"/>
      <c r="Z225" s="86"/>
      <c r="AB225" s="86"/>
      <c r="AD225" s="86"/>
      <c r="AE225" s="43"/>
      <c r="AF225" s="86"/>
      <c r="AH225" s="86">
        <v>50.0</v>
      </c>
      <c r="AJ225" s="86"/>
      <c r="AL225" s="85">
        <v>21.0</v>
      </c>
      <c r="AM225" s="43"/>
      <c r="AN225" s="72"/>
      <c r="AO225" s="43"/>
      <c r="AP225" s="85"/>
      <c r="AQ225" s="43"/>
      <c r="AR225" s="85"/>
      <c r="AS225" s="43"/>
      <c r="AT225" s="85"/>
      <c r="AU225" s="43"/>
      <c r="AV225" s="86"/>
      <c r="AX225" s="86"/>
      <c r="AY225" s="43"/>
      <c r="AZ225" s="86"/>
      <c r="BB225" s="54">
        <f t="shared" si="8"/>
        <v>4464.19</v>
      </c>
      <c r="BC225" s="52">
        <f t="shared" si="2"/>
        <v>371</v>
      </c>
      <c r="BD225" s="52">
        <f t="shared" si="3"/>
        <v>0</v>
      </c>
      <c r="BE225" s="52">
        <f t="shared" si="4"/>
        <v>371</v>
      </c>
      <c r="BF225" s="49">
        <f t="shared" si="5"/>
        <v>12.03285714</v>
      </c>
      <c r="BG225" s="78"/>
    </row>
    <row r="226" ht="15.75" customHeight="1">
      <c r="A226" s="59" t="s">
        <v>61</v>
      </c>
      <c r="B226" s="61">
        <f t="shared" si="6"/>
        <v>45879</v>
      </c>
      <c r="C226" s="63">
        <v>8.0</v>
      </c>
      <c r="D226" s="63" t="s">
        <v>72</v>
      </c>
      <c r="E226" s="64"/>
      <c r="F226" s="87"/>
      <c r="G226" s="66"/>
      <c r="H226" s="88"/>
      <c r="I226" s="66"/>
      <c r="J226" s="88"/>
      <c r="K226" s="66"/>
      <c r="L226" s="88"/>
      <c r="M226" s="66"/>
      <c r="N226" s="88"/>
      <c r="O226" s="66"/>
      <c r="P226" s="88"/>
      <c r="Q226" s="68"/>
      <c r="R226" s="88"/>
      <c r="S226" s="66"/>
      <c r="T226" s="87"/>
      <c r="U226" s="66"/>
      <c r="V226" s="88"/>
      <c r="W226" s="66"/>
      <c r="X226" s="88"/>
      <c r="Y226" s="66"/>
      <c r="Z226" s="88"/>
      <c r="AA226" s="66"/>
      <c r="AB226" s="88"/>
      <c r="AC226" s="66"/>
      <c r="AD226" s="88"/>
      <c r="AE226" s="68"/>
      <c r="AF226" s="88"/>
      <c r="AG226" s="66"/>
      <c r="AH226" s="88"/>
      <c r="AI226" s="66"/>
      <c r="AJ226" s="88"/>
      <c r="AK226" s="66"/>
      <c r="AL226" s="87"/>
      <c r="AM226" s="68"/>
      <c r="AN226" s="84"/>
      <c r="AO226" s="68"/>
      <c r="AP226" s="87"/>
      <c r="AQ226" s="68"/>
      <c r="AR226" s="87"/>
      <c r="AS226" s="68"/>
      <c r="AT226" s="87"/>
      <c r="AU226" s="68"/>
      <c r="AV226" s="88"/>
      <c r="AW226" s="66"/>
      <c r="AX226" s="88"/>
      <c r="AY226" s="68"/>
      <c r="AZ226" s="88"/>
      <c r="BA226" s="66"/>
      <c r="BB226" s="73">
        <f t="shared" si="8"/>
        <v>0</v>
      </c>
      <c r="BC226" s="63">
        <f t="shared" si="2"/>
        <v>0</v>
      </c>
      <c r="BD226" s="63">
        <f t="shared" si="3"/>
        <v>0</v>
      </c>
      <c r="BE226" s="63">
        <f t="shared" si="4"/>
        <v>0</v>
      </c>
      <c r="BF226" s="74" t="str">
        <f t="shared" si="5"/>
        <v/>
      </c>
      <c r="BG226" s="78"/>
    </row>
    <row r="227" ht="15.75" customHeight="1">
      <c r="A227" s="36" t="s">
        <v>46</v>
      </c>
      <c r="B227" s="75">
        <f t="shared" si="6"/>
        <v>45880</v>
      </c>
      <c r="C227" s="38">
        <v>9.0</v>
      </c>
      <c r="D227" s="38" t="s">
        <v>47</v>
      </c>
      <c r="E227" s="40"/>
      <c r="F227" s="85"/>
      <c r="H227" s="86"/>
      <c r="J227" s="86"/>
      <c r="L227" s="86"/>
      <c r="N227" s="86"/>
      <c r="P227" s="86"/>
      <c r="Q227" s="43"/>
      <c r="R227" s="86"/>
      <c r="T227" s="85">
        <v>150.0</v>
      </c>
      <c r="V227" s="86">
        <v>150.0</v>
      </c>
      <c r="X227" s="86"/>
      <c r="Z227" s="86"/>
      <c r="AB227" s="86"/>
      <c r="AD227" s="86"/>
      <c r="AE227" s="43"/>
      <c r="AF227" s="86"/>
      <c r="AH227" s="86"/>
      <c r="AJ227" s="86"/>
      <c r="AL227" s="85"/>
      <c r="AM227" s="43"/>
      <c r="AN227" s="72"/>
      <c r="AO227" s="43"/>
      <c r="AP227" s="85"/>
      <c r="AQ227" s="43"/>
      <c r="AR227" s="85"/>
      <c r="AS227" s="43"/>
      <c r="AT227" s="85">
        <v>180.0</v>
      </c>
      <c r="AU227" s="43"/>
      <c r="AV227" s="86"/>
      <c r="AX227" s="86"/>
      <c r="AY227" s="43"/>
      <c r="AZ227" s="86"/>
      <c r="BB227" s="47">
        <f t="shared" si="8"/>
        <v>3631.2</v>
      </c>
      <c r="BC227" s="38">
        <f t="shared" si="2"/>
        <v>480</v>
      </c>
      <c r="BD227" s="38">
        <f t="shared" si="3"/>
        <v>0</v>
      </c>
      <c r="BE227" s="38">
        <f t="shared" si="4"/>
        <v>480</v>
      </c>
      <c r="BF227" s="76">
        <f t="shared" si="5"/>
        <v>7.565</v>
      </c>
      <c r="BG227" s="78"/>
    </row>
    <row r="228" ht="15.75" customHeight="1">
      <c r="A228" s="50" t="s">
        <v>48</v>
      </c>
      <c r="B228" s="51">
        <f t="shared" si="6"/>
        <v>45881</v>
      </c>
      <c r="C228" s="52">
        <v>9.0</v>
      </c>
      <c r="D228" s="52" t="s">
        <v>47</v>
      </c>
      <c r="E228" s="53"/>
      <c r="F228" s="85"/>
      <c r="H228" s="86"/>
      <c r="J228" s="86"/>
      <c r="L228" s="86"/>
      <c r="N228" s="86"/>
      <c r="P228" s="86"/>
      <c r="Q228" s="43"/>
      <c r="R228" s="86"/>
      <c r="T228" s="85">
        <v>150.0</v>
      </c>
      <c r="V228" s="86">
        <v>150.0</v>
      </c>
      <c r="X228" s="86"/>
      <c r="Z228" s="86"/>
      <c r="AB228" s="86"/>
      <c r="AD228" s="86"/>
      <c r="AE228" s="43"/>
      <c r="AF228" s="86"/>
      <c r="AH228" s="86"/>
      <c r="AJ228" s="86"/>
      <c r="AL228" s="85"/>
      <c r="AM228" s="43"/>
      <c r="AN228" s="72"/>
      <c r="AO228" s="43"/>
      <c r="AP228" s="85"/>
      <c r="AQ228" s="43"/>
      <c r="AR228" s="85"/>
      <c r="AS228" s="43"/>
      <c r="AT228" s="85"/>
      <c r="AU228" s="43"/>
      <c r="AV228" s="86"/>
      <c r="AX228" s="86"/>
      <c r="AY228" s="43"/>
      <c r="AZ228" s="86"/>
      <c r="BB228" s="54">
        <f t="shared" si="8"/>
        <v>3336</v>
      </c>
      <c r="BC228" s="52">
        <f t="shared" si="2"/>
        <v>300</v>
      </c>
      <c r="BD228" s="52">
        <f t="shared" si="3"/>
        <v>0</v>
      </c>
      <c r="BE228" s="52">
        <f t="shared" si="4"/>
        <v>300</v>
      </c>
      <c r="BF228" s="49">
        <f t="shared" si="5"/>
        <v>11.12</v>
      </c>
      <c r="BG228" s="78"/>
    </row>
    <row r="229" ht="15.75" customHeight="1">
      <c r="A229" s="50" t="s">
        <v>49</v>
      </c>
      <c r="B229" s="51">
        <f t="shared" si="6"/>
        <v>45882</v>
      </c>
      <c r="C229" s="52">
        <v>9.0</v>
      </c>
      <c r="D229" s="52" t="s">
        <v>47</v>
      </c>
      <c r="E229" s="92"/>
      <c r="F229" s="85"/>
      <c r="H229" s="86"/>
      <c r="J229" s="86"/>
      <c r="L229" s="86"/>
      <c r="N229" s="86"/>
      <c r="P229" s="86"/>
      <c r="Q229" s="43"/>
      <c r="R229" s="86"/>
      <c r="T229" s="85">
        <v>150.0</v>
      </c>
      <c r="V229" s="86">
        <v>150.0</v>
      </c>
      <c r="X229" s="86"/>
      <c r="Z229" s="86"/>
      <c r="AB229" s="86"/>
      <c r="AD229" s="86"/>
      <c r="AE229" s="43"/>
      <c r="AF229" s="86"/>
      <c r="AH229" s="86"/>
      <c r="AJ229" s="86"/>
      <c r="AL229" s="85"/>
      <c r="AM229" s="43"/>
      <c r="AN229" s="72"/>
      <c r="AO229" s="43"/>
      <c r="AP229" s="85"/>
      <c r="AQ229" s="43"/>
      <c r="AR229" s="85"/>
      <c r="AS229" s="43"/>
      <c r="AT229" s="85"/>
      <c r="AU229" s="43"/>
      <c r="AV229" s="86"/>
      <c r="AX229" s="86"/>
      <c r="AY229" s="43"/>
      <c r="AZ229" s="86"/>
      <c r="BB229" s="54">
        <f t="shared" si="8"/>
        <v>3336</v>
      </c>
      <c r="BC229" s="52">
        <f t="shared" si="2"/>
        <v>300</v>
      </c>
      <c r="BD229" s="52">
        <f t="shared" si="3"/>
        <v>0</v>
      </c>
      <c r="BE229" s="52">
        <f t="shared" si="4"/>
        <v>300</v>
      </c>
      <c r="BF229" s="49">
        <f t="shared" si="5"/>
        <v>11.12</v>
      </c>
      <c r="BG229" s="78"/>
    </row>
    <row r="230" ht="15.75" customHeight="1">
      <c r="A230" s="50" t="s">
        <v>50</v>
      </c>
      <c r="B230" s="51">
        <f t="shared" si="6"/>
        <v>45883</v>
      </c>
      <c r="C230" s="52">
        <v>9.0</v>
      </c>
      <c r="D230" s="52" t="s">
        <v>47</v>
      </c>
      <c r="E230" s="53"/>
      <c r="F230" s="85"/>
      <c r="H230" s="86"/>
      <c r="J230" s="86"/>
      <c r="L230" s="86"/>
      <c r="N230" s="86"/>
      <c r="P230" s="86"/>
      <c r="Q230" s="43"/>
      <c r="R230" s="86"/>
      <c r="T230" s="85">
        <v>150.0</v>
      </c>
      <c r="V230" s="86">
        <v>150.0</v>
      </c>
      <c r="X230" s="86"/>
      <c r="Z230" s="86"/>
      <c r="AB230" s="86"/>
      <c r="AD230" s="86"/>
      <c r="AE230" s="43"/>
      <c r="AF230" s="86"/>
      <c r="AH230" s="86"/>
      <c r="AJ230" s="86"/>
      <c r="AL230" s="85"/>
      <c r="AM230" s="43"/>
      <c r="AN230" s="72"/>
      <c r="AO230" s="43"/>
      <c r="AP230" s="85"/>
      <c r="AQ230" s="43"/>
      <c r="AR230" s="85"/>
      <c r="AS230" s="43"/>
      <c r="AT230" s="85"/>
      <c r="AU230" s="43"/>
      <c r="AV230" s="86"/>
      <c r="AX230" s="86"/>
      <c r="AY230" s="43"/>
      <c r="AZ230" s="86"/>
      <c r="BB230" s="54">
        <f t="shared" si="8"/>
        <v>3336</v>
      </c>
      <c r="BC230" s="52">
        <f t="shared" si="2"/>
        <v>300</v>
      </c>
      <c r="BD230" s="52">
        <f t="shared" si="3"/>
        <v>0</v>
      </c>
      <c r="BE230" s="52">
        <f t="shared" si="4"/>
        <v>300</v>
      </c>
      <c r="BF230" s="49">
        <f t="shared" si="5"/>
        <v>11.12</v>
      </c>
      <c r="BG230" s="78"/>
    </row>
    <row r="231" ht="15.75" customHeight="1">
      <c r="A231" s="50" t="s">
        <v>53</v>
      </c>
      <c r="B231" s="51">
        <f t="shared" si="6"/>
        <v>45884</v>
      </c>
      <c r="C231" s="52">
        <v>9.0</v>
      </c>
      <c r="D231" s="52" t="s">
        <v>47</v>
      </c>
      <c r="E231" s="53"/>
      <c r="F231" s="85"/>
      <c r="H231" s="86"/>
      <c r="J231" s="86"/>
      <c r="L231" s="86"/>
      <c r="N231" s="86"/>
      <c r="P231" s="86"/>
      <c r="Q231" s="43"/>
      <c r="R231" s="86"/>
      <c r="T231" s="85">
        <v>105.0</v>
      </c>
      <c r="V231" s="86">
        <v>105.0</v>
      </c>
      <c r="X231" s="86"/>
      <c r="Z231" s="86"/>
      <c r="AB231" s="86"/>
      <c r="AD231" s="86"/>
      <c r="AE231" s="43"/>
      <c r="AF231" s="86"/>
      <c r="AH231" s="86"/>
      <c r="AJ231" s="86"/>
      <c r="AL231" s="85"/>
      <c r="AM231" s="43"/>
      <c r="AN231" s="72"/>
      <c r="AO231" s="43"/>
      <c r="AP231" s="85"/>
      <c r="AQ231" s="43"/>
      <c r="AR231" s="85"/>
      <c r="AS231" s="43"/>
      <c r="AT231" s="85"/>
      <c r="AU231" s="43"/>
      <c r="AV231" s="86"/>
      <c r="AX231" s="86"/>
      <c r="AY231" s="43"/>
      <c r="AZ231" s="86"/>
      <c r="BB231" s="54">
        <f t="shared" si="8"/>
        <v>2335.2</v>
      </c>
      <c r="BC231" s="52">
        <f t="shared" si="2"/>
        <v>210</v>
      </c>
      <c r="BD231" s="52">
        <f t="shared" si="3"/>
        <v>0</v>
      </c>
      <c r="BE231" s="52">
        <f t="shared" si="4"/>
        <v>210</v>
      </c>
      <c r="BF231" s="49">
        <f t="shared" si="5"/>
        <v>11.12</v>
      </c>
      <c r="BG231" s="78"/>
    </row>
    <row r="232" ht="15.75" customHeight="1">
      <c r="A232" s="50" t="s">
        <v>54</v>
      </c>
      <c r="B232" s="51">
        <f t="shared" si="6"/>
        <v>45885</v>
      </c>
      <c r="C232" s="52">
        <v>9.0</v>
      </c>
      <c r="D232" s="52" t="s">
        <v>47</v>
      </c>
      <c r="E232" s="53"/>
      <c r="F232" s="85"/>
      <c r="H232" s="86"/>
      <c r="J232" s="86"/>
      <c r="L232" s="86"/>
      <c r="N232" s="86"/>
      <c r="P232" s="86"/>
      <c r="Q232" s="43"/>
      <c r="R232" s="86"/>
      <c r="T232" s="85">
        <v>150.0</v>
      </c>
      <c r="V232" s="86">
        <v>150.0</v>
      </c>
      <c r="X232" s="86"/>
      <c r="Z232" s="86"/>
      <c r="AB232" s="86"/>
      <c r="AD232" s="86"/>
      <c r="AE232" s="43"/>
      <c r="AF232" s="86"/>
      <c r="AH232" s="86"/>
      <c r="AJ232" s="86"/>
      <c r="AL232" s="85"/>
      <c r="AM232" s="43"/>
      <c r="AN232" s="72"/>
      <c r="AO232" s="43"/>
      <c r="AP232" s="85"/>
      <c r="AQ232" s="43"/>
      <c r="AR232" s="85"/>
      <c r="AS232" s="43"/>
      <c r="AT232" s="85"/>
      <c r="AU232" s="43"/>
      <c r="AV232" s="86"/>
      <c r="AX232" s="86"/>
      <c r="AY232" s="43"/>
      <c r="AZ232" s="86"/>
      <c r="BB232" s="54">
        <f t="shared" si="8"/>
        <v>3336</v>
      </c>
      <c r="BC232" s="52">
        <f t="shared" si="2"/>
        <v>300</v>
      </c>
      <c r="BD232" s="52">
        <f t="shared" si="3"/>
        <v>0</v>
      </c>
      <c r="BE232" s="52">
        <f t="shared" si="4"/>
        <v>300</v>
      </c>
      <c r="BF232" s="49">
        <f t="shared" si="5"/>
        <v>11.12</v>
      </c>
      <c r="BG232" s="78"/>
    </row>
    <row r="233" ht="15.75" customHeight="1">
      <c r="A233" s="59" t="s">
        <v>61</v>
      </c>
      <c r="B233" s="61">
        <f t="shared" si="6"/>
        <v>45886</v>
      </c>
      <c r="C233" s="52">
        <v>9.0</v>
      </c>
      <c r="D233" s="63" t="s">
        <v>47</v>
      </c>
      <c r="E233" s="64"/>
      <c r="F233" s="87"/>
      <c r="G233" s="66"/>
      <c r="H233" s="88"/>
      <c r="I233" s="66"/>
      <c r="J233" s="88"/>
      <c r="K233" s="66"/>
      <c r="L233" s="88"/>
      <c r="M233" s="66"/>
      <c r="N233" s="88"/>
      <c r="O233" s="66"/>
      <c r="P233" s="88"/>
      <c r="Q233" s="68"/>
      <c r="R233" s="88"/>
      <c r="S233" s="66"/>
      <c r="T233" s="87"/>
      <c r="U233" s="66"/>
      <c r="V233" s="88"/>
      <c r="W233" s="66"/>
      <c r="X233" s="88"/>
      <c r="Y233" s="66"/>
      <c r="Z233" s="88"/>
      <c r="AA233" s="66"/>
      <c r="AB233" s="88"/>
      <c r="AC233" s="66"/>
      <c r="AD233" s="88"/>
      <c r="AE233" s="68"/>
      <c r="AF233" s="88"/>
      <c r="AG233" s="66"/>
      <c r="AH233" s="88"/>
      <c r="AI233" s="66"/>
      <c r="AJ233" s="88"/>
      <c r="AK233" s="66"/>
      <c r="AL233" s="87"/>
      <c r="AM233" s="68"/>
      <c r="AN233" s="84"/>
      <c r="AO233" s="68"/>
      <c r="AP233" s="87"/>
      <c r="AQ233" s="68"/>
      <c r="AR233" s="87"/>
      <c r="AS233" s="68"/>
      <c r="AT233" s="87"/>
      <c r="AU233" s="68"/>
      <c r="AV233" s="88"/>
      <c r="AW233" s="66"/>
      <c r="AX233" s="88"/>
      <c r="AY233" s="68"/>
      <c r="AZ233" s="88"/>
      <c r="BA233" s="66"/>
      <c r="BB233" s="73">
        <f t="shared" si="8"/>
        <v>0</v>
      </c>
      <c r="BC233" s="63">
        <f t="shared" si="2"/>
        <v>0</v>
      </c>
      <c r="BD233" s="63">
        <f t="shared" si="3"/>
        <v>0</v>
      </c>
      <c r="BE233" s="63">
        <f t="shared" si="4"/>
        <v>0</v>
      </c>
      <c r="BF233" s="74" t="str">
        <f t="shared" si="5"/>
        <v/>
      </c>
      <c r="BG233" s="78"/>
    </row>
    <row r="234" ht="15.75" customHeight="1">
      <c r="A234" s="36" t="s">
        <v>46</v>
      </c>
      <c r="B234" s="113">
        <f t="shared" si="6"/>
        <v>45887</v>
      </c>
      <c r="C234" s="48">
        <v>9.2</v>
      </c>
      <c r="D234" s="40" t="s">
        <v>65</v>
      </c>
      <c r="E234" s="40"/>
      <c r="F234" s="85"/>
      <c r="H234" s="86"/>
      <c r="J234" s="86"/>
      <c r="L234" s="86"/>
      <c r="N234" s="86"/>
      <c r="P234" s="86"/>
      <c r="Q234" s="43"/>
      <c r="R234" s="86"/>
      <c r="T234" s="85">
        <v>150.0</v>
      </c>
      <c r="V234" s="86">
        <v>150.0</v>
      </c>
      <c r="X234" s="86"/>
      <c r="Z234" s="86"/>
      <c r="AB234" s="86"/>
      <c r="AD234" s="86"/>
      <c r="AE234" s="43"/>
      <c r="AF234" s="86"/>
      <c r="AH234" s="86"/>
      <c r="AJ234" s="86"/>
      <c r="AL234" s="85"/>
      <c r="AM234" s="43"/>
      <c r="AN234" s="116"/>
      <c r="AO234" s="43"/>
      <c r="AP234" s="85"/>
      <c r="AQ234" s="43"/>
      <c r="AR234" s="85"/>
      <c r="AS234" s="43"/>
      <c r="AT234" s="85"/>
      <c r="AU234" s="43"/>
      <c r="AV234" s="86"/>
      <c r="AX234" s="86"/>
      <c r="AY234" s="43"/>
      <c r="AZ234" s="86"/>
      <c r="BB234" s="54">
        <f t="shared" si="8"/>
        <v>3336</v>
      </c>
      <c r="BC234" s="38">
        <f t="shared" si="2"/>
        <v>300</v>
      </c>
      <c r="BD234" s="38">
        <f t="shared" si="3"/>
        <v>0</v>
      </c>
      <c r="BE234" s="38">
        <f t="shared" si="4"/>
        <v>300</v>
      </c>
      <c r="BF234" s="76">
        <f t="shared" si="5"/>
        <v>11.12</v>
      </c>
      <c r="BG234" s="78"/>
    </row>
    <row r="235" ht="15.75" customHeight="1">
      <c r="A235" s="50" t="s">
        <v>48</v>
      </c>
      <c r="B235" s="117">
        <f t="shared" si="6"/>
        <v>45888</v>
      </c>
      <c r="C235" s="89">
        <v>9.2</v>
      </c>
      <c r="D235" s="53" t="s">
        <v>65</v>
      </c>
      <c r="E235" s="53"/>
      <c r="F235" s="85"/>
      <c r="H235" s="86"/>
      <c r="J235" s="86"/>
      <c r="L235" s="86"/>
      <c r="N235" s="86"/>
      <c r="P235" s="86"/>
      <c r="Q235" s="43"/>
      <c r="R235" s="86"/>
      <c r="T235" s="85">
        <v>150.0</v>
      </c>
      <c r="V235" s="86">
        <v>105.0</v>
      </c>
      <c r="X235" s="86"/>
      <c r="Z235" s="86"/>
      <c r="AB235" s="86"/>
      <c r="AD235" s="86"/>
      <c r="AE235" s="43"/>
      <c r="AF235" s="86"/>
      <c r="AH235" s="86"/>
      <c r="AJ235" s="86"/>
      <c r="AL235" s="85"/>
      <c r="AM235" s="43"/>
      <c r="AN235" s="116"/>
      <c r="AO235" s="43"/>
      <c r="AP235" s="85"/>
      <c r="AQ235" s="43"/>
      <c r="AR235" s="85"/>
      <c r="AS235" s="43"/>
      <c r="AT235" s="85"/>
      <c r="AU235" s="43"/>
      <c r="AV235" s="86"/>
      <c r="AX235" s="86"/>
      <c r="AY235" s="43"/>
      <c r="AZ235" s="86"/>
      <c r="BB235" s="54">
        <f t="shared" si="8"/>
        <v>2835.6</v>
      </c>
      <c r="BC235" s="52">
        <f t="shared" si="2"/>
        <v>255</v>
      </c>
      <c r="BD235" s="52">
        <f t="shared" si="3"/>
        <v>0</v>
      </c>
      <c r="BE235" s="52">
        <f t="shared" si="4"/>
        <v>255</v>
      </c>
      <c r="BF235" s="49">
        <f t="shared" si="5"/>
        <v>11.12</v>
      </c>
      <c r="BG235" s="78"/>
    </row>
    <row r="236" ht="15.75" customHeight="1">
      <c r="A236" s="50" t="s">
        <v>49</v>
      </c>
      <c r="B236" s="117">
        <f t="shared" si="6"/>
        <v>45889</v>
      </c>
      <c r="C236" s="89">
        <v>9.2</v>
      </c>
      <c r="D236" s="53" t="s">
        <v>65</v>
      </c>
      <c r="E236" s="53"/>
      <c r="F236" s="85"/>
      <c r="H236" s="86"/>
      <c r="J236" s="86"/>
      <c r="L236" s="86"/>
      <c r="N236" s="86"/>
      <c r="P236" s="86"/>
      <c r="Q236" s="43"/>
      <c r="R236" s="86"/>
      <c r="T236" s="85">
        <v>150.0</v>
      </c>
      <c r="V236" s="86">
        <v>150.0</v>
      </c>
      <c r="X236" s="86"/>
      <c r="Z236" s="86"/>
      <c r="AB236" s="86"/>
      <c r="AD236" s="86"/>
      <c r="AE236" s="43"/>
      <c r="AF236" s="86"/>
      <c r="AH236" s="86"/>
      <c r="AJ236" s="86"/>
      <c r="AL236" s="85"/>
      <c r="AM236" s="43"/>
      <c r="AN236" s="116"/>
      <c r="AO236" s="43"/>
      <c r="AP236" s="85"/>
      <c r="AQ236" s="43"/>
      <c r="AR236" s="85"/>
      <c r="AS236" s="43"/>
      <c r="AT236" s="85"/>
      <c r="AU236" s="43"/>
      <c r="AV236" s="86"/>
      <c r="AX236" s="86"/>
      <c r="AY236" s="43"/>
      <c r="AZ236" s="86"/>
      <c r="BB236" s="54">
        <f t="shared" si="8"/>
        <v>3336</v>
      </c>
      <c r="BC236" s="52">
        <f t="shared" si="2"/>
        <v>300</v>
      </c>
      <c r="BD236" s="52">
        <f t="shared" si="3"/>
        <v>0</v>
      </c>
      <c r="BE236" s="52">
        <f t="shared" si="4"/>
        <v>300</v>
      </c>
      <c r="BF236" s="49">
        <f t="shared" si="5"/>
        <v>11.12</v>
      </c>
      <c r="BG236" s="78"/>
    </row>
    <row r="237" ht="15.75" customHeight="1">
      <c r="A237" s="50" t="s">
        <v>50</v>
      </c>
      <c r="B237" s="117">
        <f t="shared" si="6"/>
        <v>45890</v>
      </c>
      <c r="C237" s="89">
        <v>9.2</v>
      </c>
      <c r="D237" s="53" t="s">
        <v>65</v>
      </c>
      <c r="E237" s="53"/>
      <c r="F237" s="85"/>
      <c r="H237" s="86"/>
      <c r="J237" s="86"/>
      <c r="L237" s="86"/>
      <c r="N237" s="86"/>
      <c r="P237" s="86"/>
      <c r="Q237" s="43"/>
      <c r="R237" s="86"/>
      <c r="T237" s="85">
        <v>150.0</v>
      </c>
      <c r="V237" s="86">
        <v>150.0</v>
      </c>
      <c r="X237" s="86"/>
      <c r="Z237" s="86"/>
      <c r="AB237" s="86"/>
      <c r="AD237" s="86"/>
      <c r="AE237" s="43"/>
      <c r="AF237" s="86"/>
      <c r="AH237" s="86"/>
      <c r="AJ237" s="86"/>
      <c r="AL237" s="85"/>
      <c r="AM237" s="43"/>
      <c r="AN237" s="116"/>
      <c r="AO237" s="43"/>
      <c r="AP237" s="85"/>
      <c r="AQ237" s="43"/>
      <c r="AR237" s="85"/>
      <c r="AS237" s="43"/>
      <c r="AT237" s="85"/>
      <c r="AU237" s="43"/>
      <c r="AV237" s="86"/>
      <c r="AX237" s="86"/>
      <c r="AY237" s="43"/>
      <c r="AZ237" s="86"/>
      <c r="BB237" s="54">
        <f t="shared" si="8"/>
        <v>3336</v>
      </c>
      <c r="BC237" s="52">
        <f t="shared" si="2"/>
        <v>300</v>
      </c>
      <c r="BD237" s="52">
        <f t="shared" si="3"/>
        <v>0</v>
      </c>
      <c r="BE237" s="52">
        <f t="shared" si="4"/>
        <v>300</v>
      </c>
      <c r="BF237" s="49">
        <f t="shared" si="5"/>
        <v>11.12</v>
      </c>
      <c r="BG237" s="78"/>
    </row>
    <row r="238" ht="15.75" customHeight="1">
      <c r="A238" s="50" t="s">
        <v>53</v>
      </c>
      <c r="B238" s="117">
        <f t="shared" si="6"/>
        <v>45891</v>
      </c>
      <c r="C238" s="89">
        <v>9.2</v>
      </c>
      <c r="D238" s="53" t="s">
        <v>65</v>
      </c>
      <c r="E238" s="53"/>
      <c r="F238" s="85"/>
      <c r="H238" s="86"/>
      <c r="J238" s="86"/>
      <c r="L238" s="86"/>
      <c r="N238" s="86"/>
      <c r="P238" s="86"/>
      <c r="Q238" s="43"/>
      <c r="R238" s="86"/>
      <c r="T238" s="85">
        <v>160.0</v>
      </c>
      <c r="V238" s="86">
        <v>160.0</v>
      </c>
      <c r="X238" s="86"/>
      <c r="Z238" s="86"/>
      <c r="AB238" s="86"/>
      <c r="AD238" s="86"/>
      <c r="AE238" s="43"/>
      <c r="AF238" s="86"/>
      <c r="AH238" s="86"/>
      <c r="AJ238" s="86"/>
      <c r="AL238" s="85"/>
      <c r="AM238" s="43"/>
      <c r="AN238" s="116"/>
      <c r="AO238" s="43"/>
      <c r="AP238" s="85"/>
      <c r="AQ238" s="43"/>
      <c r="AR238" s="85"/>
      <c r="AS238" s="43"/>
      <c r="AT238" s="85"/>
      <c r="AU238" s="43"/>
      <c r="AV238" s="86"/>
      <c r="AX238" s="86"/>
      <c r="AY238" s="43"/>
      <c r="AZ238" s="86"/>
      <c r="BB238" s="54">
        <f t="shared" si="8"/>
        <v>3558.4</v>
      </c>
      <c r="BC238" s="52">
        <f t="shared" si="2"/>
        <v>320</v>
      </c>
      <c r="BD238" s="52">
        <f t="shared" si="3"/>
        <v>0</v>
      </c>
      <c r="BE238" s="52">
        <f t="shared" si="4"/>
        <v>320</v>
      </c>
      <c r="BF238" s="49">
        <f t="shared" si="5"/>
        <v>11.12</v>
      </c>
      <c r="BG238" s="78"/>
    </row>
    <row r="239" ht="15.75" customHeight="1">
      <c r="A239" s="50" t="s">
        <v>54</v>
      </c>
      <c r="B239" s="117">
        <f t="shared" si="6"/>
        <v>45892</v>
      </c>
      <c r="C239" s="89">
        <v>9.2</v>
      </c>
      <c r="D239" s="53" t="s">
        <v>65</v>
      </c>
      <c r="E239" s="92" t="s">
        <v>78</v>
      </c>
      <c r="F239" s="85"/>
      <c r="H239" s="86"/>
      <c r="J239" s="86"/>
      <c r="L239" s="86"/>
      <c r="N239" s="86"/>
      <c r="P239" s="86"/>
      <c r="Q239" s="43"/>
      <c r="R239" s="86"/>
      <c r="T239" s="85">
        <v>150.0</v>
      </c>
      <c r="V239" s="86">
        <v>150.0</v>
      </c>
      <c r="X239" s="86"/>
      <c r="Z239" s="86"/>
      <c r="AB239" s="86"/>
      <c r="AD239" s="86"/>
      <c r="AE239" s="43"/>
      <c r="AF239" s="86"/>
      <c r="AH239" s="86"/>
      <c r="AJ239" s="86"/>
      <c r="AL239" s="85"/>
      <c r="AM239" s="43"/>
      <c r="AN239" s="116"/>
      <c r="AO239" s="43"/>
      <c r="AP239" s="85"/>
      <c r="AQ239" s="43"/>
      <c r="AR239" s="85"/>
      <c r="AS239" s="43"/>
      <c r="AT239" s="85"/>
      <c r="AU239" s="43"/>
      <c r="AV239" s="86"/>
      <c r="AX239" s="86"/>
      <c r="AY239" s="43"/>
      <c r="AZ239" s="86"/>
      <c r="BB239" s="54">
        <f t="shared" si="8"/>
        <v>3336</v>
      </c>
      <c r="BC239" s="52">
        <f t="shared" si="2"/>
        <v>300</v>
      </c>
      <c r="BD239" s="52">
        <f t="shared" si="3"/>
        <v>0</v>
      </c>
      <c r="BE239" s="52">
        <f t="shared" si="4"/>
        <v>300</v>
      </c>
      <c r="BF239" s="49">
        <f t="shared" si="5"/>
        <v>11.12</v>
      </c>
      <c r="BG239" s="78"/>
    </row>
    <row r="240" ht="15.75" customHeight="1">
      <c r="A240" s="59" t="s">
        <v>61</v>
      </c>
      <c r="B240" s="118">
        <f t="shared" si="6"/>
        <v>45893</v>
      </c>
      <c r="C240" s="90">
        <v>9.2</v>
      </c>
      <c r="D240" s="64" t="s">
        <v>65</v>
      </c>
      <c r="E240" s="94" t="b">
        <v>1</v>
      </c>
      <c r="F240" s="87"/>
      <c r="G240" s="66"/>
      <c r="H240" s="88"/>
      <c r="I240" s="66"/>
      <c r="J240" s="88"/>
      <c r="K240" s="66"/>
      <c r="L240" s="88"/>
      <c r="M240" s="66"/>
      <c r="N240" s="88"/>
      <c r="O240" s="66"/>
      <c r="P240" s="88"/>
      <c r="Q240" s="68"/>
      <c r="R240" s="88"/>
      <c r="S240" s="66"/>
      <c r="T240" s="87"/>
      <c r="U240" s="66"/>
      <c r="V240" s="88"/>
      <c r="W240" s="66"/>
      <c r="X240" s="88"/>
      <c r="Y240" s="66"/>
      <c r="Z240" s="88"/>
      <c r="AA240" s="66"/>
      <c r="AB240" s="88"/>
      <c r="AC240" s="66"/>
      <c r="AD240" s="88"/>
      <c r="AE240" s="68"/>
      <c r="AF240" s="88"/>
      <c r="AG240" s="66"/>
      <c r="AH240" s="88"/>
      <c r="AI240" s="66"/>
      <c r="AJ240" s="88"/>
      <c r="AK240" s="66"/>
      <c r="AL240" s="87"/>
      <c r="AM240" s="68"/>
      <c r="AN240" s="121"/>
      <c r="AO240" s="68"/>
      <c r="AP240" s="87"/>
      <c r="AQ240" s="68"/>
      <c r="AR240" s="87"/>
      <c r="AS240" s="68"/>
      <c r="AT240" s="87"/>
      <c r="AU240" s="68"/>
      <c r="AV240" s="88"/>
      <c r="AW240" s="66"/>
      <c r="AX240" s="88"/>
      <c r="AY240" s="68"/>
      <c r="AZ240" s="88"/>
      <c r="BA240" s="66"/>
      <c r="BB240" s="73">
        <f t="shared" si="8"/>
        <v>0</v>
      </c>
      <c r="BC240" s="63">
        <f t="shared" si="2"/>
        <v>0</v>
      </c>
      <c r="BD240" s="63">
        <f t="shared" si="3"/>
        <v>0</v>
      </c>
      <c r="BE240" s="63">
        <f t="shared" si="4"/>
        <v>0</v>
      </c>
      <c r="BF240" s="74" t="str">
        <f t="shared" si="5"/>
        <v/>
      </c>
      <c r="BG240" s="78"/>
    </row>
    <row r="241" ht="15.75" customHeight="1">
      <c r="A241" s="36" t="s">
        <v>46</v>
      </c>
      <c r="B241" s="75">
        <f t="shared" si="6"/>
        <v>45894</v>
      </c>
      <c r="C241" s="89">
        <v>9.3</v>
      </c>
      <c r="D241" s="38" t="s">
        <v>69</v>
      </c>
      <c r="E241" s="40"/>
      <c r="F241" s="85"/>
      <c r="H241" s="86"/>
      <c r="J241" s="86"/>
      <c r="L241" s="86"/>
      <c r="N241" s="86"/>
      <c r="P241" s="86"/>
      <c r="Q241" s="43"/>
      <c r="R241" s="86"/>
      <c r="T241" s="85">
        <v>150.0</v>
      </c>
      <c r="V241" s="86">
        <v>150.0</v>
      </c>
      <c r="X241" s="86"/>
      <c r="Z241" s="86"/>
      <c r="AB241" s="86"/>
      <c r="AD241" s="86"/>
      <c r="AE241" s="43"/>
      <c r="AF241" s="86"/>
      <c r="AH241" s="86"/>
      <c r="AJ241" s="86"/>
      <c r="AL241" s="85"/>
      <c r="AM241" s="43"/>
      <c r="AN241" s="116"/>
      <c r="AO241" s="43"/>
      <c r="AP241" s="85"/>
      <c r="AQ241" s="43"/>
      <c r="AR241" s="85"/>
      <c r="AS241" s="43"/>
      <c r="AT241" s="85"/>
      <c r="AU241" s="43"/>
      <c r="AV241" s="86"/>
      <c r="AX241" s="86"/>
      <c r="AY241" s="43"/>
      <c r="AZ241" s="86"/>
      <c r="BB241" s="47">
        <f t="shared" si="8"/>
        <v>3336</v>
      </c>
      <c r="BC241" s="38">
        <f t="shared" si="2"/>
        <v>300</v>
      </c>
      <c r="BD241" s="38">
        <f t="shared" si="3"/>
        <v>0</v>
      </c>
      <c r="BE241" s="38">
        <f t="shared" si="4"/>
        <v>300</v>
      </c>
      <c r="BF241" s="76">
        <f t="shared" si="5"/>
        <v>11.12</v>
      </c>
      <c r="BG241" s="78"/>
    </row>
    <row r="242" ht="15.75" customHeight="1">
      <c r="A242" s="50" t="s">
        <v>48</v>
      </c>
      <c r="B242" s="51">
        <f t="shared" si="6"/>
        <v>45895</v>
      </c>
      <c r="C242" s="89">
        <v>9.3</v>
      </c>
      <c r="D242" s="52" t="s">
        <v>69</v>
      </c>
      <c r="E242" s="53"/>
      <c r="F242" s="85"/>
      <c r="H242" s="86"/>
      <c r="J242" s="86"/>
      <c r="L242" s="86"/>
      <c r="N242" s="86"/>
      <c r="P242" s="86"/>
      <c r="Q242" s="43"/>
      <c r="R242" s="86"/>
      <c r="T242" s="85">
        <v>150.0</v>
      </c>
      <c r="V242" s="86">
        <v>150.0</v>
      </c>
      <c r="X242" s="86"/>
      <c r="Z242" s="86"/>
      <c r="AB242" s="86"/>
      <c r="AD242" s="86"/>
      <c r="AE242" s="43"/>
      <c r="AF242" s="86"/>
      <c r="AH242" s="86">
        <v>50.0</v>
      </c>
      <c r="AJ242" s="86">
        <v>50.0</v>
      </c>
      <c r="AL242" s="85">
        <v>24.0</v>
      </c>
      <c r="AM242" s="43"/>
      <c r="AN242" s="116"/>
      <c r="AO242" s="43"/>
      <c r="AP242" s="85"/>
      <c r="AQ242" s="43"/>
      <c r="AR242" s="85"/>
      <c r="AS242" s="43"/>
      <c r="AT242" s="85"/>
      <c r="AU242" s="43"/>
      <c r="AV242" s="86"/>
      <c r="AX242" s="86"/>
      <c r="AY242" s="43"/>
      <c r="AZ242" s="86"/>
      <c r="BB242" s="54">
        <f t="shared" si="8"/>
        <v>5306.36</v>
      </c>
      <c r="BC242" s="52">
        <f t="shared" si="2"/>
        <v>424</v>
      </c>
      <c r="BD242" s="52">
        <f t="shared" si="3"/>
        <v>0</v>
      </c>
      <c r="BE242" s="52">
        <f t="shared" si="4"/>
        <v>424</v>
      </c>
      <c r="BF242" s="49">
        <f t="shared" si="5"/>
        <v>12.515</v>
      </c>
      <c r="BG242" s="78"/>
    </row>
    <row r="243" ht="15.75" customHeight="1">
      <c r="A243" s="50" t="s">
        <v>49</v>
      </c>
      <c r="B243" s="51">
        <f t="shared" si="6"/>
        <v>45896</v>
      </c>
      <c r="C243" s="89">
        <v>9.3</v>
      </c>
      <c r="D243" s="52" t="s">
        <v>69</v>
      </c>
      <c r="E243" s="53"/>
      <c r="F243" s="85"/>
      <c r="H243" s="86"/>
      <c r="J243" s="86"/>
      <c r="L243" s="86"/>
      <c r="N243" s="86"/>
      <c r="P243" s="86"/>
      <c r="Q243" s="43"/>
      <c r="R243" s="86"/>
      <c r="T243" s="85">
        <v>150.0</v>
      </c>
      <c r="V243" s="86">
        <v>150.0</v>
      </c>
      <c r="X243" s="86"/>
      <c r="Z243" s="86"/>
      <c r="AB243" s="86"/>
      <c r="AD243" s="86"/>
      <c r="AE243" s="43"/>
      <c r="AF243" s="86">
        <v>25.0</v>
      </c>
      <c r="AH243" s="86">
        <v>50.0</v>
      </c>
      <c r="AJ243" s="86">
        <v>50.0</v>
      </c>
      <c r="AL243" s="85">
        <v>23.0</v>
      </c>
      <c r="AM243" s="43"/>
      <c r="AN243" s="116"/>
      <c r="AO243" s="43"/>
      <c r="AP243" s="85"/>
      <c r="AQ243" s="43"/>
      <c r="AR243" s="85"/>
      <c r="AS243" s="43"/>
      <c r="AT243" s="85"/>
      <c r="AU243" s="43"/>
      <c r="AV243" s="86"/>
      <c r="AX243" s="86"/>
      <c r="AY243" s="43"/>
      <c r="AZ243" s="86"/>
      <c r="BB243" s="54">
        <f t="shared" si="8"/>
        <v>5687.72</v>
      </c>
      <c r="BC243" s="52">
        <f t="shared" si="2"/>
        <v>448</v>
      </c>
      <c r="BD243" s="52">
        <f t="shared" si="3"/>
        <v>0</v>
      </c>
      <c r="BE243" s="52">
        <f t="shared" si="4"/>
        <v>448</v>
      </c>
      <c r="BF243" s="49">
        <f t="shared" si="5"/>
        <v>12.69580357</v>
      </c>
      <c r="BG243" s="78"/>
    </row>
    <row r="244" ht="15.75" customHeight="1">
      <c r="A244" s="50" t="s">
        <v>50</v>
      </c>
      <c r="B244" s="51">
        <f t="shared" si="6"/>
        <v>45897</v>
      </c>
      <c r="C244" s="89">
        <v>9.3</v>
      </c>
      <c r="D244" s="52" t="s">
        <v>69</v>
      </c>
      <c r="E244" s="53"/>
      <c r="F244" s="85"/>
      <c r="H244" s="86"/>
      <c r="J244" s="86"/>
      <c r="L244" s="86"/>
      <c r="N244" s="86"/>
      <c r="P244" s="86"/>
      <c r="Q244" s="43"/>
      <c r="R244" s="86"/>
      <c r="T244" s="85">
        <v>150.0</v>
      </c>
      <c r="V244" s="86">
        <v>150.0</v>
      </c>
      <c r="X244" s="86"/>
      <c r="Z244" s="86"/>
      <c r="AB244" s="86"/>
      <c r="AD244" s="86"/>
      <c r="AE244" s="43"/>
      <c r="AF244" s="86"/>
      <c r="AH244" s="86">
        <v>50.0</v>
      </c>
      <c r="AJ244" s="86">
        <v>50.0</v>
      </c>
      <c r="AL244" s="85">
        <v>24.0</v>
      </c>
      <c r="AM244" s="43"/>
      <c r="AN244" s="116"/>
      <c r="AO244" s="43"/>
      <c r="AP244" s="85"/>
      <c r="AQ244" s="43"/>
      <c r="AR244" s="85"/>
      <c r="AS244" s="43"/>
      <c r="AT244" s="85"/>
      <c r="AU244" s="43"/>
      <c r="AV244" s="86"/>
      <c r="AX244" s="86"/>
      <c r="AY244" s="43"/>
      <c r="AZ244" s="86"/>
      <c r="BB244" s="54">
        <f t="shared" si="8"/>
        <v>5306.36</v>
      </c>
      <c r="BC244" s="52">
        <f t="shared" si="2"/>
        <v>424</v>
      </c>
      <c r="BD244" s="52">
        <f t="shared" si="3"/>
        <v>0</v>
      </c>
      <c r="BE244" s="52">
        <f t="shared" si="4"/>
        <v>424</v>
      </c>
      <c r="BF244" s="49">
        <f t="shared" si="5"/>
        <v>12.515</v>
      </c>
      <c r="BG244" s="78"/>
    </row>
    <row r="245" ht="15.75" customHeight="1">
      <c r="A245" s="50" t="s">
        <v>53</v>
      </c>
      <c r="B245" s="51">
        <f t="shared" si="6"/>
        <v>45898</v>
      </c>
      <c r="C245" s="89">
        <v>9.3</v>
      </c>
      <c r="D245" s="52" t="s">
        <v>69</v>
      </c>
      <c r="E245" s="53"/>
      <c r="F245" s="85"/>
      <c r="H245" s="86"/>
      <c r="J245" s="86"/>
      <c r="L245" s="86"/>
      <c r="N245" s="86"/>
      <c r="P245" s="86"/>
      <c r="Q245" s="43"/>
      <c r="R245" s="86"/>
      <c r="T245" s="85">
        <v>150.0</v>
      </c>
      <c r="V245" s="86">
        <v>105.0</v>
      </c>
      <c r="X245" s="86"/>
      <c r="Z245" s="86"/>
      <c r="AB245" s="86"/>
      <c r="AD245" s="86"/>
      <c r="AE245" s="43"/>
      <c r="AF245" s="86">
        <v>25.0</v>
      </c>
      <c r="AH245" s="86">
        <v>50.0</v>
      </c>
      <c r="AJ245" s="86">
        <v>50.0</v>
      </c>
      <c r="AL245" s="85">
        <v>24.0</v>
      </c>
      <c r="AM245" s="43"/>
      <c r="AN245" s="116"/>
      <c r="AO245" s="43"/>
      <c r="AP245" s="85"/>
      <c r="AQ245" s="43"/>
      <c r="AR245" s="85"/>
      <c r="AS245" s="43"/>
      <c r="AT245" s="85"/>
      <c r="AU245" s="43"/>
      <c r="AV245" s="86"/>
      <c r="AX245" s="86"/>
      <c r="AY245" s="43"/>
      <c r="AZ245" s="86"/>
      <c r="BB245" s="54">
        <f t="shared" si="8"/>
        <v>5203.21</v>
      </c>
      <c r="BC245" s="52">
        <f t="shared" si="2"/>
        <v>404</v>
      </c>
      <c r="BD245" s="52">
        <f t="shared" si="3"/>
        <v>0</v>
      </c>
      <c r="BE245" s="52">
        <f t="shared" si="4"/>
        <v>404</v>
      </c>
      <c r="BF245" s="49">
        <f t="shared" si="5"/>
        <v>12.87923267</v>
      </c>
      <c r="BG245" s="78"/>
    </row>
    <row r="246" ht="15.75" customHeight="1">
      <c r="A246" s="50" t="s">
        <v>54</v>
      </c>
      <c r="B246" s="51">
        <f t="shared" si="6"/>
        <v>45899</v>
      </c>
      <c r="C246" s="89">
        <v>9.3</v>
      </c>
      <c r="D246" s="52" t="s">
        <v>69</v>
      </c>
      <c r="E246" s="92" t="s">
        <v>78</v>
      </c>
      <c r="F246" s="85"/>
      <c r="H246" s="86"/>
      <c r="J246" s="86"/>
      <c r="L246" s="86"/>
      <c r="N246" s="86"/>
      <c r="P246" s="86"/>
      <c r="Q246" s="43"/>
      <c r="R246" s="86"/>
      <c r="T246" s="85">
        <v>150.0</v>
      </c>
      <c r="V246" s="86">
        <v>150.0</v>
      </c>
      <c r="X246" s="86"/>
      <c r="Z246" s="86"/>
      <c r="AB246" s="86"/>
      <c r="AD246" s="86"/>
      <c r="AE246" s="43"/>
      <c r="AF246" s="86"/>
      <c r="AH246" s="86">
        <v>50.0</v>
      </c>
      <c r="AJ246" s="86">
        <v>0.0</v>
      </c>
      <c r="AL246" s="85">
        <v>24.0</v>
      </c>
      <c r="AM246" s="43"/>
      <c r="AN246" s="116"/>
      <c r="AO246" s="43"/>
      <c r="AP246" s="85"/>
      <c r="AQ246" s="43"/>
      <c r="AR246" s="85"/>
      <c r="AS246" s="43"/>
      <c r="AT246" s="85"/>
      <c r="AU246" s="43"/>
      <c r="AV246" s="86"/>
      <c r="AX246" s="86"/>
      <c r="AY246" s="43"/>
      <c r="AZ246" s="86"/>
      <c r="BB246" s="54">
        <f t="shared" si="8"/>
        <v>4511.86</v>
      </c>
      <c r="BC246" s="52">
        <f t="shared" si="2"/>
        <v>374</v>
      </c>
      <c r="BD246" s="52">
        <f t="shared" si="3"/>
        <v>0</v>
      </c>
      <c r="BE246" s="52">
        <f t="shared" si="4"/>
        <v>374</v>
      </c>
      <c r="BF246" s="49">
        <f t="shared" si="5"/>
        <v>12.06379679</v>
      </c>
      <c r="BG246" s="78"/>
    </row>
    <row r="247" ht="15.75" customHeight="1">
      <c r="A247" s="59" t="s">
        <v>61</v>
      </c>
      <c r="B247" s="61">
        <f t="shared" si="6"/>
        <v>45900</v>
      </c>
      <c r="C247" s="89">
        <v>9.3</v>
      </c>
      <c r="D247" s="63" t="s">
        <v>69</v>
      </c>
      <c r="E247" s="94" t="b">
        <v>0</v>
      </c>
      <c r="F247" s="87"/>
      <c r="G247" s="66"/>
      <c r="H247" s="88"/>
      <c r="I247" s="66"/>
      <c r="J247" s="88"/>
      <c r="K247" s="66"/>
      <c r="L247" s="88"/>
      <c r="M247" s="66"/>
      <c r="N247" s="88"/>
      <c r="O247" s="66"/>
      <c r="P247" s="88"/>
      <c r="Q247" s="68"/>
      <c r="R247" s="88"/>
      <c r="S247" s="66"/>
      <c r="T247" s="87">
        <v>0.0</v>
      </c>
      <c r="U247" s="66"/>
      <c r="V247" s="88"/>
      <c r="W247" s="66"/>
      <c r="X247" s="88"/>
      <c r="Y247" s="66"/>
      <c r="Z247" s="88"/>
      <c r="AA247" s="66"/>
      <c r="AB247" s="88"/>
      <c r="AC247" s="66"/>
      <c r="AD247" s="88"/>
      <c r="AE247" s="68"/>
      <c r="AF247" s="88"/>
      <c r="AG247" s="66"/>
      <c r="AH247" s="88">
        <v>0.0</v>
      </c>
      <c r="AI247" s="66"/>
      <c r="AJ247" s="88">
        <v>0.0</v>
      </c>
      <c r="AK247" s="66"/>
      <c r="AL247" s="87"/>
      <c r="AM247" s="68"/>
      <c r="AN247" s="121"/>
      <c r="AO247" s="68"/>
      <c r="AP247" s="87"/>
      <c r="AQ247" s="68"/>
      <c r="AR247" s="87"/>
      <c r="AS247" s="68"/>
      <c r="AT247" s="87"/>
      <c r="AU247" s="68"/>
      <c r="AV247" s="88"/>
      <c r="AW247" s="66"/>
      <c r="AX247" s="88"/>
      <c r="AY247" s="68"/>
      <c r="AZ247" s="88"/>
      <c r="BA247" s="66"/>
      <c r="BB247" s="73">
        <f t="shared" si="8"/>
        <v>0</v>
      </c>
      <c r="BC247" s="63">
        <f t="shared" si="2"/>
        <v>0</v>
      </c>
      <c r="BD247" s="63">
        <f t="shared" si="3"/>
        <v>0</v>
      </c>
      <c r="BE247" s="63">
        <f t="shared" si="4"/>
        <v>0</v>
      </c>
      <c r="BF247" s="74" t="str">
        <f t="shared" si="5"/>
        <v/>
      </c>
      <c r="BG247" s="78"/>
    </row>
    <row r="248" ht="15.75" customHeight="1">
      <c r="A248" s="36" t="s">
        <v>46</v>
      </c>
      <c r="B248" s="75">
        <f t="shared" si="6"/>
        <v>45901</v>
      </c>
      <c r="C248" s="48">
        <v>9.4</v>
      </c>
      <c r="D248" s="38" t="s">
        <v>72</v>
      </c>
      <c r="E248" s="82"/>
      <c r="F248" s="85"/>
      <c r="H248" s="86"/>
      <c r="J248" s="86"/>
      <c r="L248" s="86"/>
      <c r="N248" s="86"/>
      <c r="P248" s="86"/>
      <c r="Q248" s="43"/>
      <c r="R248" s="86"/>
      <c r="T248" s="85">
        <v>150.0</v>
      </c>
      <c r="V248" s="86">
        <v>150.0</v>
      </c>
      <c r="X248" s="86"/>
      <c r="Z248" s="86"/>
      <c r="AB248" s="86"/>
      <c r="AD248" s="86"/>
      <c r="AE248" s="43"/>
      <c r="AF248" s="86"/>
      <c r="AH248" s="86"/>
      <c r="AJ248" s="86"/>
      <c r="AL248" s="85"/>
      <c r="AM248" s="43"/>
      <c r="AN248" s="116"/>
      <c r="AO248" s="43"/>
      <c r="AP248" s="85"/>
      <c r="AQ248" s="43"/>
      <c r="AR248" s="85"/>
      <c r="AS248" s="43"/>
      <c r="AT248" s="85"/>
      <c r="AU248" s="43"/>
      <c r="AV248" s="86"/>
      <c r="AX248" s="86"/>
      <c r="AY248" s="43"/>
      <c r="AZ248" s="86"/>
      <c r="BB248" s="47">
        <f t="shared" si="8"/>
        <v>3336</v>
      </c>
      <c r="BC248" s="38">
        <f t="shared" si="2"/>
        <v>300</v>
      </c>
      <c r="BD248" s="38">
        <f t="shared" si="3"/>
        <v>0</v>
      </c>
      <c r="BE248" s="38">
        <f t="shared" si="4"/>
        <v>300</v>
      </c>
      <c r="BF248" s="76">
        <f t="shared" si="5"/>
        <v>11.12</v>
      </c>
      <c r="BG248" s="78"/>
    </row>
    <row r="249" ht="15.75" customHeight="1">
      <c r="A249" s="50" t="s">
        <v>48</v>
      </c>
      <c r="B249" s="51">
        <f t="shared" si="6"/>
        <v>45902</v>
      </c>
      <c r="C249" s="89">
        <v>9.4</v>
      </c>
      <c r="D249" s="52" t="s">
        <v>72</v>
      </c>
      <c r="E249" s="92"/>
      <c r="F249" s="85"/>
      <c r="H249" s="86"/>
      <c r="J249" s="86"/>
      <c r="L249" s="86"/>
      <c r="N249" s="86"/>
      <c r="P249" s="86"/>
      <c r="Q249" s="43"/>
      <c r="R249" s="86"/>
      <c r="T249" s="85">
        <v>150.0</v>
      </c>
      <c r="V249" s="86">
        <v>150.0</v>
      </c>
      <c r="X249" s="86"/>
      <c r="Z249" s="86"/>
      <c r="AB249" s="86"/>
      <c r="AD249" s="86"/>
      <c r="AE249" s="43"/>
      <c r="AF249" s="86"/>
      <c r="AH249" s="86"/>
      <c r="AJ249" s="86"/>
      <c r="AL249" s="85"/>
      <c r="AM249" s="43"/>
      <c r="AN249" s="116"/>
      <c r="AO249" s="43"/>
      <c r="AP249" s="85"/>
      <c r="AQ249" s="43"/>
      <c r="AR249" s="85"/>
      <c r="AS249" s="43"/>
      <c r="AT249" s="85">
        <v>180.0</v>
      </c>
      <c r="AU249" s="43"/>
      <c r="AV249" s="86"/>
      <c r="AX249" s="86"/>
      <c r="AY249" s="43"/>
      <c r="AZ249" s="86"/>
      <c r="BB249" s="54">
        <f t="shared" si="8"/>
        <v>3631.2</v>
      </c>
      <c r="BC249" s="52">
        <f t="shared" si="2"/>
        <v>480</v>
      </c>
      <c r="BD249" s="52">
        <f t="shared" si="3"/>
        <v>0</v>
      </c>
      <c r="BE249" s="52">
        <f t="shared" si="4"/>
        <v>480</v>
      </c>
      <c r="BF249" s="49">
        <f t="shared" si="5"/>
        <v>7.565</v>
      </c>
      <c r="BG249" s="78"/>
    </row>
    <row r="250" ht="15.75" customHeight="1">
      <c r="A250" s="50" t="s">
        <v>49</v>
      </c>
      <c r="B250" s="51">
        <f t="shared" si="6"/>
        <v>45903</v>
      </c>
      <c r="C250" s="89">
        <v>9.4</v>
      </c>
      <c r="D250" s="52" t="s">
        <v>72</v>
      </c>
      <c r="E250" s="53"/>
      <c r="F250" s="85"/>
      <c r="H250" s="86"/>
      <c r="J250" s="86"/>
      <c r="L250" s="86"/>
      <c r="N250" s="86"/>
      <c r="P250" s="86"/>
      <c r="Q250" s="43"/>
      <c r="R250" s="86"/>
      <c r="T250" s="85">
        <v>150.0</v>
      </c>
      <c r="V250" s="86">
        <v>150.0</v>
      </c>
      <c r="X250" s="86"/>
      <c r="Z250" s="86"/>
      <c r="AB250" s="86"/>
      <c r="AD250" s="86"/>
      <c r="AE250" s="43"/>
      <c r="AF250" s="86"/>
      <c r="AH250" s="86"/>
      <c r="AJ250" s="86"/>
      <c r="AL250" s="85"/>
      <c r="AM250" s="43"/>
      <c r="AN250" s="116"/>
      <c r="AO250" s="43"/>
      <c r="AP250" s="85"/>
      <c r="AQ250" s="43"/>
      <c r="AR250" s="85"/>
      <c r="AS250" s="43"/>
      <c r="AT250" s="85"/>
      <c r="AU250" s="43"/>
      <c r="AV250" s="86"/>
      <c r="AX250" s="86"/>
      <c r="AY250" s="43"/>
      <c r="AZ250" s="86"/>
      <c r="BB250" s="54">
        <f t="shared" si="8"/>
        <v>3336</v>
      </c>
      <c r="BC250" s="52">
        <f t="shared" si="2"/>
        <v>300</v>
      </c>
      <c r="BD250" s="52">
        <f t="shared" si="3"/>
        <v>0</v>
      </c>
      <c r="BE250" s="52">
        <f t="shared" si="4"/>
        <v>300</v>
      </c>
      <c r="BF250" s="49">
        <f t="shared" si="5"/>
        <v>11.12</v>
      </c>
      <c r="BG250" s="78"/>
    </row>
    <row r="251" ht="15.75" customHeight="1">
      <c r="A251" s="50" t="s">
        <v>50</v>
      </c>
      <c r="B251" s="51">
        <f t="shared" si="6"/>
        <v>45904</v>
      </c>
      <c r="C251" s="89">
        <v>9.4</v>
      </c>
      <c r="D251" s="52" t="s">
        <v>72</v>
      </c>
      <c r="E251" s="53"/>
      <c r="F251" s="85"/>
      <c r="H251" s="86"/>
      <c r="J251" s="86"/>
      <c r="L251" s="86"/>
      <c r="N251" s="86"/>
      <c r="P251" s="86"/>
      <c r="Q251" s="43"/>
      <c r="R251" s="86"/>
      <c r="T251" s="85">
        <v>150.0</v>
      </c>
      <c r="V251" s="86">
        <v>150.0</v>
      </c>
      <c r="X251" s="86"/>
      <c r="Z251" s="86"/>
      <c r="AB251" s="86"/>
      <c r="AD251" s="86"/>
      <c r="AE251" s="43"/>
      <c r="AF251" s="86"/>
      <c r="AH251" s="86"/>
      <c r="AJ251" s="86"/>
      <c r="AL251" s="85"/>
      <c r="AM251" s="43"/>
      <c r="AN251" s="116"/>
      <c r="AO251" s="43"/>
      <c r="AP251" s="85"/>
      <c r="AQ251" s="43"/>
      <c r="AR251" s="85"/>
      <c r="AS251" s="43"/>
      <c r="AT251" s="85"/>
      <c r="AU251" s="43"/>
      <c r="AV251" s="86"/>
      <c r="AX251" s="86"/>
      <c r="AY251" s="43"/>
      <c r="AZ251" s="86"/>
      <c r="BB251" s="54">
        <f t="shared" si="8"/>
        <v>3336</v>
      </c>
      <c r="BC251" s="52">
        <f t="shared" si="2"/>
        <v>300</v>
      </c>
      <c r="BD251" s="52">
        <f t="shared" si="3"/>
        <v>0</v>
      </c>
      <c r="BE251" s="52">
        <f t="shared" si="4"/>
        <v>300</v>
      </c>
      <c r="BF251" s="49">
        <f t="shared" si="5"/>
        <v>11.12</v>
      </c>
      <c r="BG251" s="78"/>
    </row>
    <row r="252" ht="15.75" customHeight="1">
      <c r="A252" s="50" t="s">
        <v>53</v>
      </c>
      <c r="B252" s="51">
        <f t="shared" si="6"/>
        <v>45905</v>
      </c>
      <c r="C252" s="89">
        <v>9.4</v>
      </c>
      <c r="D252" s="52" t="s">
        <v>72</v>
      </c>
      <c r="E252" s="53"/>
      <c r="F252" s="85"/>
      <c r="H252" s="86"/>
      <c r="J252" s="86"/>
      <c r="L252" s="86"/>
      <c r="N252" s="86"/>
      <c r="P252" s="86"/>
      <c r="Q252" s="43"/>
      <c r="R252" s="86"/>
      <c r="T252" s="85">
        <v>150.0</v>
      </c>
      <c r="V252" s="86">
        <v>150.0</v>
      </c>
      <c r="X252" s="86"/>
      <c r="Z252" s="86"/>
      <c r="AB252" s="86"/>
      <c r="AD252" s="86"/>
      <c r="AE252" s="43"/>
      <c r="AF252" s="86"/>
      <c r="AH252" s="86"/>
      <c r="AJ252" s="86"/>
      <c r="AL252" s="85"/>
      <c r="AM252" s="43"/>
      <c r="AN252" s="116"/>
      <c r="AO252" s="43"/>
      <c r="AP252" s="85"/>
      <c r="AQ252" s="43"/>
      <c r="AR252" s="85"/>
      <c r="AS252" s="43"/>
      <c r="AT252" s="85"/>
      <c r="AU252" s="43"/>
      <c r="AV252" s="86"/>
      <c r="AX252" s="86"/>
      <c r="AY252" s="43"/>
      <c r="AZ252" s="86"/>
      <c r="BB252" s="54">
        <f t="shared" si="8"/>
        <v>3336</v>
      </c>
      <c r="BC252" s="52">
        <f t="shared" si="2"/>
        <v>300</v>
      </c>
      <c r="BD252" s="52">
        <f t="shared" si="3"/>
        <v>0</v>
      </c>
      <c r="BE252" s="52">
        <f t="shared" si="4"/>
        <v>300</v>
      </c>
      <c r="BF252" s="49">
        <f t="shared" si="5"/>
        <v>11.12</v>
      </c>
      <c r="BG252" s="78"/>
    </row>
    <row r="253" ht="15.75" customHeight="1">
      <c r="A253" s="50" t="s">
        <v>54</v>
      </c>
      <c r="B253" s="51">
        <f t="shared" si="6"/>
        <v>45906</v>
      </c>
      <c r="C253" s="89">
        <v>9.4</v>
      </c>
      <c r="D253" s="52" t="s">
        <v>72</v>
      </c>
      <c r="E253" s="92" t="s">
        <v>78</v>
      </c>
      <c r="F253" s="85"/>
      <c r="H253" s="86"/>
      <c r="J253" s="86"/>
      <c r="L253" s="86"/>
      <c r="N253" s="86"/>
      <c r="P253" s="86"/>
      <c r="Q253" s="43"/>
      <c r="R253" s="86"/>
      <c r="T253" s="85">
        <v>75.0</v>
      </c>
      <c r="V253" s="86">
        <v>75.0</v>
      </c>
      <c r="X253" s="86"/>
      <c r="Z253" s="86"/>
      <c r="AB253" s="86"/>
      <c r="AD253" s="86"/>
      <c r="AE253" s="43"/>
      <c r="AF253" s="86"/>
      <c r="AH253" s="86"/>
      <c r="AJ253" s="86"/>
      <c r="AL253" s="85"/>
      <c r="AM253" s="43"/>
      <c r="AN253" s="116"/>
      <c r="AO253" s="43"/>
      <c r="AP253" s="85"/>
      <c r="AQ253" s="43"/>
      <c r="AR253" s="85"/>
      <c r="AS253" s="43"/>
      <c r="AT253" s="85"/>
      <c r="AU253" s="43"/>
      <c r="AV253" s="86"/>
      <c r="AX253" s="86"/>
      <c r="AY253" s="43"/>
      <c r="AZ253" s="86"/>
      <c r="BB253" s="54">
        <f t="shared" si="8"/>
        <v>1668</v>
      </c>
      <c r="BC253" s="52">
        <f t="shared" si="2"/>
        <v>150</v>
      </c>
      <c r="BD253" s="52">
        <f t="shared" si="3"/>
        <v>0</v>
      </c>
      <c r="BE253" s="52">
        <f t="shared" si="4"/>
        <v>150</v>
      </c>
      <c r="BF253" s="49">
        <f t="shared" si="5"/>
        <v>11.12</v>
      </c>
      <c r="BG253" s="78"/>
    </row>
    <row r="254" ht="15.75" customHeight="1">
      <c r="A254" s="59" t="s">
        <v>61</v>
      </c>
      <c r="B254" s="61">
        <f t="shared" si="6"/>
        <v>45907</v>
      </c>
      <c r="C254" s="89">
        <v>9.4</v>
      </c>
      <c r="D254" s="63" t="s">
        <v>72</v>
      </c>
      <c r="E254" s="94" t="b">
        <v>1</v>
      </c>
      <c r="F254" s="87"/>
      <c r="G254" s="66"/>
      <c r="H254" s="88"/>
      <c r="I254" s="66"/>
      <c r="J254" s="88"/>
      <c r="K254" s="66"/>
      <c r="L254" s="88"/>
      <c r="M254" s="66"/>
      <c r="N254" s="88"/>
      <c r="O254" s="66"/>
      <c r="P254" s="88"/>
      <c r="Q254" s="68"/>
      <c r="R254" s="88"/>
      <c r="S254" s="66"/>
      <c r="T254" s="87"/>
      <c r="U254" s="66"/>
      <c r="V254" s="88"/>
      <c r="W254" s="66"/>
      <c r="X254" s="88"/>
      <c r="Y254" s="66"/>
      <c r="Z254" s="88"/>
      <c r="AA254" s="66"/>
      <c r="AB254" s="88"/>
      <c r="AC254" s="66"/>
      <c r="AD254" s="88"/>
      <c r="AE254" s="68"/>
      <c r="AF254" s="88"/>
      <c r="AG254" s="66"/>
      <c r="AH254" s="88"/>
      <c r="AI254" s="66"/>
      <c r="AJ254" s="88"/>
      <c r="AK254" s="66"/>
      <c r="AL254" s="87"/>
      <c r="AM254" s="68"/>
      <c r="AN254" s="121"/>
      <c r="AO254" s="68"/>
      <c r="AP254" s="87"/>
      <c r="AQ254" s="68"/>
      <c r="AR254" s="87"/>
      <c r="AS254" s="68"/>
      <c r="AT254" s="87"/>
      <c r="AU254" s="68"/>
      <c r="AV254" s="88"/>
      <c r="AW254" s="66"/>
      <c r="AX254" s="88"/>
      <c r="AY254" s="68"/>
      <c r="AZ254" s="88"/>
      <c r="BA254" s="66"/>
      <c r="BB254" s="73">
        <f t="shared" si="8"/>
        <v>0</v>
      </c>
      <c r="BC254" s="63">
        <f t="shared" si="2"/>
        <v>0</v>
      </c>
      <c r="BD254" s="63">
        <f t="shared" si="3"/>
        <v>0</v>
      </c>
      <c r="BE254" s="63">
        <f t="shared" si="4"/>
        <v>0</v>
      </c>
      <c r="BF254" s="74" t="str">
        <f t="shared" si="5"/>
        <v/>
      </c>
      <c r="BG254" s="78"/>
    </row>
    <row r="255" ht="15.75" customHeight="1">
      <c r="A255" s="36" t="s">
        <v>46</v>
      </c>
      <c r="B255" s="113">
        <f t="shared" si="6"/>
        <v>45908</v>
      </c>
      <c r="C255" s="48">
        <v>10.1</v>
      </c>
      <c r="D255" s="40" t="s">
        <v>47</v>
      </c>
      <c r="F255" s="85"/>
      <c r="H255" s="86"/>
      <c r="J255" s="86"/>
      <c r="L255" s="86"/>
      <c r="N255" s="86"/>
      <c r="P255" s="86"/>
      <c r="Q255" s="43"/>
      <c r="R255" s="86"/>
      <c r="T255" s="85">
        <v>100.0</v>
      </c>
      <c r="V255" s="86">
        <v>100.0</v>
      </c>
      <c r="X255" s="86"/>
      <c r="Z255" s="86"/>
      <c r="AB255" s="86"/>
      <c r="AD255" s="86"/>
      <c r="AE255" s="43"/>
      <c r="AF255" s="86"/>
      <c r="AH255" s="86"/>
      <c r="AJ255" s="86"/>
      <c r="AL255" s="85"/>
      <c r="AM255" s="43"/>
      <c r="AN255" s="116"/>
      <c r="AO255" s="43"/>
      <c r="AP255" s="85"/>
      <c r="AQ255" s="43"/>
      <c r="AR255" s="85"/>
      <c r="AS255" s="43"/>
      <c r="AT255" s="85"/>
      <c r="AU255" s="43"/>
      <c r="AV255" s="86"/>
      <c r="AX255" s="86"/>
      <c r="AY255" s="43"/>
      <c r="AZ255" s="86"/>
      <c r="BB255" s="47">
        <f t="shared" si="8"/>
        <v>2224</v>
      </c>
      <c r="BC255" s="38">
        <f t="shared" si="2"/>
        <v>200</v>
      </c>
      <c r="BD255" s="38">
        <f t="shared" si="3"/>
        <v>0</v>
      </c>
      <c r="BE255" s="38">
        <f t="shared" si="4"/>
        <v>200</v>
      </c>
      <c r="BF255" s="76">
        <f t="shared" si="5"/>
        <v>11.12</v>
      </c>
      <c r="BG255" s="78"/>
    </row>
    <row r="256" ht="15.75" customHeight="1">
      <c r="A256" s="50" t="s">
        <v>48</v>
      </c>
      <c r="B256" s="117">
        <f t="shared" si="6"/>
        <v>45909</v>
      </c>
      <c r="C256" s="89">
        <v>10.1</v>
      </c>
      <c r="D256" s="53" t="s">
        <v>47</v>
      </c>
      <c r="F256" s="85"/>
      <c r="H256" s="86"/>
      <c r="J256" s="86"/>
      <c r="L256" s="86"/>
      <c r="N256" s="86"/>
      <c r="P256" s="86"/>
      <c r="Q256" s="43"/>
      <c r="R256" s="86"/>
      <c r="T256" s="85">
        <v>150.0</v>
      </c>
      <c r="V256" s="86">
        <v>150.0</v>
      </c>
      <c r="X256" s="86"/>
      <c r="Z256" s="86"/>
      <c r="AB256" s="86"/>
      <c r="AD256" s="86"/>
      <c r="AE256" s="43"/>
      <c r="AF256" s="86"/>
      <c r="AH256" s="86"/>
      <c r="AJ256" s="86"/>
      <c r="AL256" s="85"/>
      <c r="AM256" s="43"/>
      <c r="AN256" s="116"/>
      <c r="AO256" s="43"/>
      <c r="AP256" s="85"/>
      <c r="AQ256" s="43"/>
      <c r="AR256" s="85"/>
      <c r="AS256" s="43"/>
      <c r="AT256" s="85"/>
      <c r="AU256" s="43"/>
      <c r="AV256" s="86"/>
      <c r="AX256" s="86"/>
      <c r="AY256" s="43"/>
      <c r="AZ256" s="86"/>
      <c r="BB256" s="54">
        <f t="shared" si="8"/>
        <v>3336</v>
      </c>
      <c r="BC256" s="52">
        <f t="shared" si="2"/>
        <v>300</v>
      </c>
      <c r="BD256" s="52">
        <f t="shared" si="3"/>
        <v>0</v>
      </c>
      <c r="BE256" s="52">
        <f t="shared" si="4"/>
        <v>300</v>
      </c>
      <c r="BF256" s="49">
        <f t="shared" si="5"/>
        <v>11.12</v>
      </c>
      <c r="BG256" s="78"/>
    </row>
    <row r="257" ht="15.75" customHeight="1">
      <c r="A257" s="50" t="s">
        <v>49</v>
      </c>
      <c r="B257" s="117">
        <f t="shared" si="6"/>
        <v>45910</v>
      </c>
      <c r="C257" s="89">
        <v>10.1</v>
      </c>
      <c r="D257" s="53" t="s">
        <v>47</v>
      </c>
      <c r="E257" s="92"/>
      <c r="F257" s="85"/>
      <c r="H257" s="86"/>
      <c r="J257" s="86"/>
      <c r="L257" s="86"/>
      <c r="N257" s="86"/>
      <c r="P257" s="86"/>
      <c r="Q257" s="43"/>
      <c r="R257" s="86"/>
      <c r="T257" s="85">
        <v>150.0</v>
      </c>
      <c r="V257" s="86">
        <v>150.0</v>
      </c>
      <c r="X257" s="86"/>
      <c r="Z257" s="86"/>
      <c r="AB257" s="86"/>
      <c r="AD257" s="86"/>
      <c r="AE257" s="43"/>
      <c r="AF257" s="86"/>
      <c r="AH257" s="86"/>
      <c r="AJ257" s="86"/>
      <c r="AL257" s="85"/>
      <c r="AM257" s="43"/>
      <c r="AN257" s="116"/>
      <c r="AO257" s="43"/>
      <c r="AP257" s="85"/>
      <c r="AQ257" s="43"/>
      <c r="AR257" s="85"/>
      <c r="AS257" s="43"/>
      <c r="AT257" s="85"/>
      <c r="AU257" s="43"/>
      <c r="AV257" s="86"/>
      <c r="AX257" s="86"/>
      <c r="AY257" s="43"/>
      <c r="AZ257" s="86"/>
      <c r="BB257" s="54">
        <f t="shared" si="8"/>
        <v>3336</v>
      </c>
      <c r="BC257" s="52">
        <f t="shared" si="2"/>
        <v>300</v>
      </c>
      <c r="BD257" s="52">
        <f t="shared" si="3"/>
        <v>0</v>
      </c>
      <c r="BE257" s="52">
        <f t="shared" si="4"/>
        <v>300</v>
      </c>
      <c r="BF257" s="49">
        <f t="shared" si="5"/>
        <v>11.12</v>
      </c>
      <c r="BG257" s="78"/>
    </row>
    <row r="258" ht="15.75" customHeight="1">
      <c r="A258" s="50" t="s">
        <v>50</v>
      </c>
      <c r="B258" s="117">
        <f t="shared" si="6"/>
        <v>45911</v>
      </c>
      <c r="C258" s="89">
        <v>10.1</v>
      </c>
      <c r="D258" s="53" t="s">
        <v>47</v>
      </c>
      <c r="E258" s="53"/>
      <c r="F258" s="85"/>
      <c r="H258" s="86"/>
      <c r="J258" s="86"/>
      <c r="L258" s="86"/>
      <c r="N258" s="86"/>
      <c r="P258" s="86"/>
      <c r="Q258" s="43"/>
      <c r="R258" s="86"/>
      <c r="T258" s="85">
        <v>150.0</v>
      </c>
      <c r="V258" s="86">
        <v>150.0</v>
      </c>
      <c r="X258" s="86"/>
      <c r="Z258" s="86">
        <v>6.0</v>
      </c>
      <c r="AB258" s="86"/>
      <c r="AD258" s="86"/>
      <c r="AE258" s="43"/>
      <c r="AF258" s="86"/>
      <c r="AH258" s="86"/>
      <c r="AJ258" s="86"/>
      <c r="AL258" s="85"/>
      <c r="AM258" s="43"/>
      <c r="AN258" s="116"/>
      <c r="AO258" s="43"/>
      <c r="AP258" s="85"/>
      <c r="AQ258" s="43"/>
      <c r="AR258" s="85"/>
      <c r="AS258" s="43"/>
      <c r="AT258" s="85"/>
      <c r="AU258" s="43"/>
      <c r="AV258" s="86"/>
      <c r="AX258" s="86"/>
      <c r="AY258" s="43"/>
      <c r="AZ258" s="86"/>
      <c r="BB258" s="54">
        <f t="shared" si="8"/>
        <v>3402.72</v>
      </c>
      <c r="BC258" s="52">
        <f t="shared" si="2"/>
        <v>306</v>
      </c>
      <c r="BD258" s="52">
        <f t="shared" si="3"/>
        <v>0</v>
      </c>
      <c r="BE258" s="52">
        <f t="shared" si="4"/>
        <v>306</v>
      </c>
      <c r="BF258" s="49">
        <f t="shared" si="5"/>
        <v>11.12</v>
      </c>
      <c r="BG258" s="78"/>
    </row>
    <row r="259" ht="15.75" customHeight="1">
      <c r="A259" s="50" t="s">
        <v>53</v>
      </c>
      <c r="B259" s="117">
        <f t="shared" si="6"/>
        <v>45912</v>
      </c>
      <c r="C259" s="89">
        <v>10.1</v>
      </c>
      <c r="D259" s="53" t="s">
        <v>47</v>
      </c>
      <c r="E259" s="53"/>
      <c r="F259" s="85"/>
      <c r="H259" s="86"/>
      <c r="J259" s="86"/>
      <c r="L259" s="86"/>
      <c r="N259" s="86"/>
      <c r="P259" s="86"/>
      <c r="Q259" s="43"/>
      <c r="R259" s="86"/>
      <c r="T259" s="85">
        <v>150.0</v>
      </c>
      <c r="V259" s="86">
        <v>150.0</v>
      </c>
      <c r="X259" s="86"/>
      <c r="Z259" s="86">
        <v>3.0</v>
      </c>
      <c r="AB259" s="86"/>
      <c r="AD259" s="86"/>
      <c r="AE259" s="43"/>
      <c r="AF259" s="86"/>
      <c r="AH259" s="86"/>
      <c r="AJ259" s="86"/>
      <c r="AL259" s="85"/>
      <c r="AM259" s="43"/>
      <c r="AN259" s="116"/>
      <c r="AO259" s="43"/>
      <c r="AP259" s="85"/>
      <c r="AQ259" s="43"/>
      <c r="AR259" s="85"/>
      <c r="AS259" s="43"/>
      <c r="AT259" s="85"/>
      <c r="AU259" s="43"/>
      <c r="AV259" s="86"/>
      <c r="AX259" s="86"/>
      <c r="AY259" s="43"/>
      <c r="AZ259" s="86"/>
      <c r="BB259" s="54">
        <f t="shared" si="8"/>
        <v>3369.36</v>
      </c>
      <c r="BC259" s="52">
        <f t="shared" si="2"/>
        <v>303</v>
      </c>
      <c r="BD259" s="52">
        <f t="shared" si="3"/>
        <v>0</v>
      </c>
      <c r="BE259" s="52">
        <f t="shared" si="4"/>
        <v>303</v>
      </c>
      <c r="BF259" s="49">
        <f t="shared" si="5"/>
        <v>11.12</v>
      </c>
      <c r="BG259" s="78"/>
    </row>
    <row r="260" ht="15.75" customHeight="1">
      <c r="A260" s="50" t="s">
        <v>54</v>
      </c>
      <c r="B260" s="117">
        <f t="shared" si="6"/>
        <v>45913</v>
      </c>
      <c r="C260" s="89">
        <v>10.1</v>
      </c>
      <c r="D260" s="53" t="s">
        <v>47</v>
      </c>
      <c r="E260" s="92" t="s">
        <v>78</v>
      </c>
      <c r="F260" s="85"/>
      <c r="H260" s="86"/>
      <c r="J260" s="86"/>
      <c r="L260" s="86"/>
      <c r="N260" s="86"/>
      <c r="P260" s="86"/>
      <c r="Q260" s="43"/>
      <c r="R260" s="86"/>
      <c r="T260" s="85">
        <v>150.0</v>
      </c>
      <c r="V260" s="86">
        <v>150.0</v>
      </c>
      <c r="X260" s="86"/>
      <c r="Z260" s="86">
        <v>3.0</v>
      </c>
      <c r="AB260" s="86"/>
      <c r="AD260" s="86"/>
      <c r="AE260" s="43"/>
      <c r="AF260" s="86"/>
      <c r="AH260" s="86"/>
      <c r="AJ260" s="86"/>
      <c r="AL260" s="85"/>
      <c r="AM260" s="43"/>
      <c r="AN260" s="116"/>
      <c r="AO260" s="43"/>
      <c r="AP260" s="85"/>
      <c r="AQ260" s="43"/>
      <c r="AR260" s="85"/>
      <c r="AS260" s="43"/>
      <c r="AT260" s="85"/>
      <c r="AU260" s="43"/>
      <c r="AV260" s="86"/>
      <c r="AX260" s="86"/>
      <c r="AY260" s="43"/>
      <c r="AZ260" s="86"/>
      <c r="BB260" s="54">
        <f t="shared" si="8"/>
        <v>3369.36</v>
      </c>
      <c r="BC260" s="52">
        <f t="shared" si="2"/>
        <v>303</v>
      </c>
      <c r="BD260" s="52">
        <f t="shared" si="3"/>
        <v>0</v>
      </c>
      <c r="BE260" s="52">
        <f t="shared" si="4"/>
        <v>303</v>
      </c>
      <c r="BF260" s="49">
        <f t="shared" si="5"/>
        <v>11.12</v>
      </c>
      <c r="BG260" s="78"/>
    </row>
    <row r="261" ht="15.75" customHeight="1">
      <c r="A261" s="59" t="s">
        <v>61</v>
      </c>
      <c r="B261" s="118">
        <f t="shared" si="6"/>
        <v>45914</v>
      </c>
      <c r="C261" s="90">
        <v>10.1</v>
      </c>
      <c r="D261" s="64" t="s">
        <v>47</v>
      </c>
      <c r="E261" s="94" t="b">
        <v>1</v>
      </c>
      <c r="F261" s="87"/>
      <c r="G261" s="66"/>
      <c r="H261" s="88"/>
      <c r="I261" s="66"/>
      <c r="J261" s="88"/>
      <c r="K261" s="66"/>
      <c r="L261" s="88"/>
      <c r="M261" s="66"/>
      <c r="N261" s="88"/>
      <c r="O261" s="66"/>
      <c r="P261" s="88"/>
      <c r="Q261" s="68"/>
      <c r="R261" s="88"/>
      <c r="S261" s="66"/>
      <c r="T261" s="87"/>
      <c r="U261" s="66"/>
      <c r="V261" s="88"/>
      <c r="W261" s="66"/>
      <c r="X261" s="88"/>
      <c r="Y261" s="66"/>
      <c r="Z261" s="88">
        <v>9.0</v>
      </c>
      <c r="AA261" s="66"/>
      <c r="AB261" s="88"/>
      <c r="AC261" s="66"/>
      <c r="AD261" s="88"/>
      <c r="AE261" s="68"/>
      <c r="AF261" s="88"/>
      <c r="AG261" s="66"/>
      <c r="AH261" s="88"/>
      <c r="AI261" s="66"/>
      <c r="AJ261" s="88"/>
      <c r="AK261" s="66"/>
      <c r="AL261" s="87"/>
      <c r="AM261" s="68"/>
      <c r="AN261" s="121"/>
      <c r="AO261" s="68"/>
      <c r="AP261" s="87"/>
      <c r="AQ261" s="68"/>
      <c r="AR261" s="87"/>
      <c r="AS261" s="68"/>
      <c r="AT261" s="87"/>
      <c r="AU261" s="68"/>
      <c r="AV261" s="88"/>
      <c r="AW261" s="66"/>
      <c r="AX261" s="88"/>
      <c r="AY261" s="68"/>
      <c r="AZ261" s="88"/>
      <c r="BA261" s="66"/>
      <c r="BB261" s="73">
        <f t="shared" si="8"/>
        <v>100.08</v>
      </c>
      <c r="BC261" s="63">
        <f t="shared" si="2"/>
        <v>9</v>
      </c>
      <c r="BD261" s="63">
        <f t="shared" si="3"/>
        <v>0</v>
      </c>
      <c r="BE261" s="63">
        <f t="shared" si="4"/>
        <v>9</v>
      </c>
      <c r="BF261" s="74">
        <f t="shared" si="5"/>
        <v>11.12</v>
      </c>
      <c r="BG261" s="78"/>
    </row>
    <row r="262" ht="15.75" customHeight="1">
      <c r="A262" s="36" t="s">
        <v>46</v>
      </c>
      <c r="B262" s="75">
        <f t="shared" si="6"/>
        <v>45915</v>
      </c>
      <c r="C262" s="89">
        <v>10.2</v>
      </c>
      <c r="D262" s="38" t="s">
        <v>65</v>
      </c>
      <c r="E262" s="82"/>
      <c r="F262" s="85"/>
      <c r="H262" s="86"/>
      <c r="J262" s="86"/>
      <c r="L262" s="86"/>
      <c r="N262" s="86"/>
      <c r="P262" s="86"/>
      <c r="Q262" s="43"/>
      <c r="R262" s="86"/>
      <c r="T262" s="85">
        <v>180.0</v>
      </c>
      <c r="V262" s="86">
        <v>180.0</v>
      </c>
      <c r="X262" s="86"/>
      <c r="Z262" s="86">
        <v>3.0</v>
      </c>
      <c r="AB262" s="86"/>
      <c r="AD262" s="86"/>
      <c r="AE262" s="43"/>
      <c r="AF262" s="86"/>
      <c r="AH262" s="86"/>
      <c r="AJ262" s="86"/>
      <c r="AL262" s="85"/>
      <c r="AM262" s="43"/>
      <c r="AN262" s="116"/>
      <c r="AO262" s="43"/>
      <c r="AP262" s="85"/>
      <c r="AQ262" s="43"/>
      <c r="AR262" s="85"/>
      <c r="AS262" s="43"/>
      <c r="AT262" s="85"/>
      <c r="AU262" s="43"/>
      <c r="AV262" s="86"/>
      <c r="AX262" s="86"/>
      <c r="AY262" s="43"/>
      <c r="AZ262" s="86"/>
      <c r="BB262" s="47">
        <f t="shared" si="8"/>
        <v>4036.56</v>
      </c>
      <c r="BC262" s="38">
        <f t="shared" si="2"/>
        <v>363</v>
      </c>
      <c r="BD262" s="38">
        <f t="shared" si="3"/>
        <v>0</v>
      </c>
      <c r="BE262" s="38">
        <f t="shared" si="4"/>
        <v>363</v>
      </c>
      <c r="BF262" s="76">
        <f t="shared" si="5"/>
        <v>11.12</v>
      </c>
      <c r="BG262" s="78">
        <v>45921.0</v>
      </c>
    </row>
    <row r="263" ht="15.75" customHeight="1">
      <c r="A263" s="50" t="s">
        <v>48</v>
      </c>
      <c r="B263" s="51">
        <f t="shared" si="6"/>
        <v>45916</v>
      </c>
      <c r="C263" s="89">
        <v>10.2</v>
      </c>
      <c r="D263" s="52" t="s">
        <v>65</v>
      </c>
      <c r="E263" s="92"/>
      <c r="F263" s="85"/>
      <c r="H263" s="86"/>
      <c r="J263" s="86"/>
      <c r="L263" s="86"/>
      <c r="N263" s="86"/>
      <c r="P263" s="86"/>
      <c r="Q263" s="43"/>
      <c r="R263" s="86"/>
      <c r="T263" s="85">
        <v>180.0</v>
      </c>
      <c r="V263" s="86">
        <v>180.0</v>
      </c>
      <c r="X263" s="86"/>
      <c r="Z263" s="86">
        <v>3.0</v>
      </c>
      <c r="AB263" s="86"/>
      <c r="AD263" s="86"/>
      <c r="AE263" s="43"/>
      <c r="AF263" s="86"/>
      <c r="AH263" s="86"/>
      <c r="AJ263" s="86"/>
      <c r="AL263" s="85"/>
      <c r="AM263" s="43"/>
      <c r="AN263" s="116"/>
      <c r="AO263" s="43"/>
      <c r="AP263" s="85"/>
      <c r="AQ263" s="43"/>
      <c r="AR263" s="85"/>
      <c r="AS263" s="43"/>
      <c r="AT263" s="85"/>
      <c r="AU263" s="43"/>
      <c r="AV263" s="86"/>
      <c r="AX263" s="86"/>
      <c r="AY263" s="43"/>
      <c r="AZ263" s="86"/>
      <c r="BB263" s="54">
        <f t="shared" si="8"/>
        <v>4036.56</v>
      </c>
      <c r="BC263" s="52">
        <f t="shared" si="2"/>
        <v>363</v>
      </c>
      <c r="BD263" s="52">
        <f t="shared" si="3"/>
        <v>0</v>
      </c>
      <c r="BE263" s="52">
        <f t="shared" si="4"/>
        <v>363</v>
      </c>
      <c r="BF263" s="49">
        <f t="shared" si="5"/>
        <v>11.12</v>
      </c>
      <c r="BG263" s="78">
        <v>45921.0</v>
      </c>
    </row>
    <row r="264" ht="15.75" customHeight="1">
      <c r="A264" s="50" t="s">
        <v>49</v>
      </c>
      <c r="B264" s="51">
        <f t="shared" si="6"/>
        <v>45917</v>
      </c>
      <c r="C264" s="89">
        <v>10.2</v>
      </c>
      <c r="D264" s="52" t="s">
        <v>65</v>
      </c>
      <c r="E264" s="53"/>
      <c r="F264" s="85"/>
      <c r="H264" s="86"/>
      <c r="J264" s="86"/>
      <c r="L264" s="86"/>
      <c r="N264" s="86"/>
      <c r="P264" s="86"/>
      <c r="Q264" s="43"/>
      <c r="R264" s="86"/>
      <c r="T264" s="85">
        <v>180.0</v>
      </c>
      <c r="V264" s="86">
        <v>180.0</v>
      </c>
      <c r="X264" s="86"/>
      <c r="Z264" s="86">
        <v>3.0</v>
      </c>
      <c r="AB264" s="86"/>
      <c r="AD264" s="86"/>
      <c r="AE264" s="43"/>
      <c r="AF264" s="86"/>
      <c r="AH264" s="86"/>
      <c r="AJ264" s="86"/>
      <c r="AL264" s="85"/>
      <c r="AM264" s="43"/>
      <c r="AN264" s="116"/>
      <c r="AO264" s="43"/>
      <c r="AP264" s="85"/>
      <c r="AQ264" s="43"/>
      <c r="AR264" s="85"/>
      <c r="AS264" s="43"/>
      <c r="AT264" s="85"/>
      <c r="AU264" s="43"/>
      <c r="AV264" s="86"/>
      <c r="AX264" s="86"/>
      <c r="AY264" s="43"/>
      <c r="AZ264" s="86"/>
      <c r="BB264" s="54">
        <f t="shared" si="8"/>
        <v>4036.56</v>
      </c>
      <c r="BC264" s="52">
        <f t="shared" si="2"/>
        <v>363</v>
      </c>
      <c r="BD264" s="52">
        <f t="shared" si="3"/>
        <v>0</v>
      </c>
      <c r="BE264" s="52">
        <f t="shared" si="4"/>
        <v>363</v>
      </c>
      <c r="BF264" s="49">
        <f t="shared" si="5"/>
        <v>11.12</v>
      </c>
      <c r="BG264" s="78">
        <v>45921.0</v>
      </c>
    </row>
    <row r="265" ht="15.75" customHeight="1">
      <c r="A265" s="50" t="s">
        <v>50</v>
      </c>
      <c r="B265" s="51">
        <f t="shared" si="6"/>
        <v>45918</v>
      </c>
      <c r="C265" s="89">
        <v>10.2</v>
      </c>
      <c r="D265" s="52" t="s">
        <v>65</v>
      </c>
      <c r="E265" s="53"/>
      <c r="F265" s="85"/>
      <c r="H265" s="86"/>
      <c r="J265" s="86"/>
      <c r="L265" s="86"/>
      <c r="N265" s="86"/>
      <c r="P265" s="86"/>
      <c r="Q265" s="43"/>
      <c r="R265" s="86"/>
      <c r="T265" s="85">
        <v>160.0</v>
      </c>
      <c r="V265" s="86">
        <v>160.0</v>
      </c>
      <c r="X265" s="86"/>
      <c r="Z265" s="86">
        <v>3.0</v>
      </c>
      <c r="AB265" s="86"/>
      <c r="AD265" s="86"/>
      <c r="AE265" s="43"/>
      <c r="AF265" s="86"/>
      <c r="AH265" s="86"/>
      <c r="AJ265" s="86"/>
      <c r="AL265" s="85"/>
      <c r="AM265" s="43"/>
      <c r="AN265" s="116"/>
      <c r="AO265" s="43"/>
      <c r="AP265" s="85"/>
      <c r="AQ265" s="43"/>
      <c r="AR265" s="85"/>
      <c r="AS265" s="43"/>
      <c r="AT265" s="85"/>
      <c r="AU265" s="43"/>
      <c r="AV265" s="86"/>
      <c r="AX265" s="86"/>
      <c r="AY265" s="43"/>
      <c r="AZ265" s="86"/>
      <c r="BB265" s="54">
        <f t="shared" si="8"/>
        <v>3591.76</v>
      </c>
      <c r="BC265" s="52">
        <f t="shared" si="2"/>
        <v>323</v>
      </c>
      <c r="BD265" s="52">
        <f t="shared" si="3"/>
        <v>0</v>
      </c>
      <c r="BE265" s="52">
        <f t="shared" si="4"/>
        <v>323</v>
      </c>
      <c r="BF265" s="49">
        <f t="shared" si="5"/>
        <v>11.12</v>
      </c>
      <c r="BG265" s="78">
        <v>45921.0</v>
      </c>
    </row>
    <row r="266" ht="15.75" customHeight="1">
      <c r="A266" s="50" t="s">
        <v>53</v>
      </c>
      <c r="B266" s="51">
        <f t="shared" si="6"/>
        <v>45919</v>
      </c>
      <c r="C266" s="89">
        <v>10.2</v>
      </c>
      <c r="D266" s="52" t="s">
        <v>65</v>
      </c>
      <c r="E266" s="53"/>
      <c r="F266" s="85"/>
      <c r="H266" s="86"/>
      <c r="J266" s="86"/>
      <c r="L266" s="86"/>
      <c r="N266" s="86"/>
      <c r="P266" s="86"/>
      <c r="Q266" s="43"/>
      <c r="R266" s="86"/>
      <c r="T266" s="85">
        <v>160.0</v>
      </c>
      <c r="V266" s="86">
        <v>160.0</v>
      </c>
      <c r="X266" s="86"/>
      <c r="Z266" s="86">
        <v>3.0</v>
      </c>
      <c r="AB266" s="86"/>
      <c r="AD266" s="86"/>
      <c r="AE266" s="43"/>
      <c r="AF266" s="86"/>
      <c r="AH266" s="86"/>
      <c r="AJ266" s="86"/>
      <c r="AL266" s="85"/>
      <c r="AM266" s="43"/>
      <c r="AN266" s="116"/>
      <c r="AO266" s="43"/>
      <c r="AP266" s="85"/>
      <c r="AQ266" s="43"/>
      <c r="AR266" s="85"/>
      <c r="AS266" s="43"/>
      <c r="AT266" s="85"/>
      <c r="AU266" s="43"/>
      <c r="AV266" s="86"/>
      <c r="AX266" s="86"/>
      <c r="AY266" s="43"/>
      <c r="AZ266" s="86"/>
      <c r="BB266" s="54">
        <f t="shared" si="8"/>
        <v>3591.76</v>
      </c>
      <c r="BC266" s="52">
        <f t="shared" si="2"/>
        <v>323</v>
      </c>
      <c r="BD266" s="52">
        <f t="shared" si="3"/>
        <v>0</v>
      </c>
      <c r="BE266" s="52">
        <f t="shared" si="4"/>
        <v>323</v>
      </c>
      <c r="BF266" s="49">
        <f t="shared" si="5"/>
        <v>11.12</v>
      </c>
      <c r="BG266" s="78">
        <v>45921.0</v>
      </c>
    </row>
    <row r="267" ht="15.75" customHeight="1">
      <c r="A267" s="50" t="s">
        <v>54</v>
      </c>
      <c r="B267" s="51">
        <f t="shared" si="6"/>
        <v>45920</v>
      </c>
      <c r="C267" s="89">
        <v>10.2</v>
      </c>
      <c r="D267" s="52" t="s">
        <v>65</v>
      </c>
      <c r="E267" s="92" t="s">
        <v>78</v>
      </c>
      <c r="F267" s="85"/>
      <c r="H267" s="86"/>
      <c r="J267" s="86"/>
      <c r="L267" s="86"/>
      <c r="N267" s="86"/>
      <c r="P267" s="86"/>
      <c r="Q267" s="43"/>
      <c r="R267" s="86"/>
      <c r="T267" s="85">
        <v>160.0</v>
      </c>
      <c r="V267" s="86">
        <v>160.0</v>
      </c>
      <c r="X267" s="86"/>
      <c r="Z267" s="86">
        <v>3.0</v>
      </c>
      <c r="AB267" s="86"/>
      <c r="AD267" s="86"/>
      <c r="AE267" s="43"/>
      <c r="AF267" s="86"/>
      <c r="AH267" s="86"/>
      <c r="AJ267" s="86"/>
      <c r="AL267" s="85"/>
      <c r="AM267" s="43"/>
      <c r="AN267" s="116"/>
      <c r="AO267" s="43"/>
      <c r="AP267" s="85"/>
      <c r="AQ267" s="43"/>
      <c r="AR267" s="85"/>
      <c r="AS267" s="43"/>
      <c r="AT267" s="85"/>
      <c r="AU267" s="43"/>
      <c r="AV267" s="86"/>
      <c r="AX267" s="86"/>
      <c r="AY267" s="43"/>
      <c r="AZ267" s="86"/>
      <c r="BB267" s="54">
        <f t="shared" si="8"/>
        <v>3591.76</v>
      </c>
      <c r="BC267" s="52">
        <f t="shared" si="2"/>
        <v>323</v>
      </c>
      <c r="BD267" s="52">
        <f t="shared" si="3"/>
        <v>0</v>
      </c>
      <c r="BE267" s="52">
        <f t="shared" si="4"/>
        <v>323</v>
      </c>
      <c r="BF267" s="49">
        <f t="shared" si="5"/>
        <v>11.12</v>
      </c>
      <c r="BG267" s="78">
        <v>45921.0</v>
      </c>
    </row>
    <row r="268" ht="15.75" customHeight="1">
      <c r="A268" s="59" t="s">
        <v>61</v>
      </c>
      <c r="B268" s="61">
        <f t="shared" si="6"/>
        <v>45921</v>
      </c>
      <c r="C268" s="89">
        <v>10.2</v>
      </c>
      <c r="D268" s="63" t="s">
        <v>65</v>
      </c>
      <c r="E268" s="94" t="b">
        <v>0</v>
      </c>
      <c r="F268" s="87"/>
      <c r="G268" s="66"/>
      <c r="H268" s="88"/>
      <c r="I268" s="66"/>
      <c r="J268" s="88"/>
      <c r="K268" s="66"/>
      <c r="L268" s="88"/>
      <c r="M268" s="66"/>
      <c r="N268" s="88"/>
      <c r="O268" s="66"/>
      <c r="P268" s="88"/>
      <c r="Q268" s="68"/>
      <c r="R268" s="88"/>
      <c r="S268" s="66"/>
      <c r="T268" s="87"/>
      <c r="U268" s="66"/>
      <c r="V268" s="88"/>
      <c r="W268" s="66"/>
      <c r="X268" s="88"/>
      <c r="Y268" s="66"/>
      <c r="Z268" s="88">
        <v>9.0</v>
      </c>
      <c r="AA268" s="66"/>
      <c r="AB268" s="88"/>
      <c r="AC268" s="66"/>
      <c r="AD268" s="88"/>
      <c r="AE268" s="68"/>
      <c r="AF268" s="88"/>
      <c r="AG268" s="66"/>
      <c r="AH268" s="88"/>
      <c r="AI268" s="66"/>
      <c r="AJ268" s="88"/>
      <c r="AK268" s="66"/>
      <c r="AL268" s="87"/>
      <c r="AM268" s="68"/>
      <c r="AN268" s="121"/>
      <c r="AO268" s="68"/>
      <c r="AP268" s="87"/>
      <c r="AQ268" s="68"/>
      <c r="AR268" s="87"/>
      <c r="AS268" s="68"/>
      <c r="AT268" s="87"/>
      <c r="AU268" s="68"/>
      <c r="AV268" s="88"/>
      <c r="AW268" s="66"/>
      <c r="AX268" s="88"/>
      <c r="AY268" s="68"/>
      <c r="AZ268" s="88"/>
      <c r="BA268" s="66"/>
      <c r="BB268" s="73">
        <f t="shared" si="8"/>
        <v>100.08</v>
      </c>
      <c r="BC268" s="63">
        <f t="shared" si="2"/>
        <v>9</v>
      </c>
      <c r="BD268" s="63">
        <f t="shared" si="3"/>
        <v>0</v>
      </c>
      <c r="BE268" s="63">
        <f t="shared" si="4"/>
        <v>9</v>
      </c>
      <c r="BF268" s="74">
        <f t="shared" si="5"/>
        <v>11.12</v>
      </c>
      <c r="BG268" s="78">
        <v>45921.0</v>
      </c>
    </row>
    <row r="269" ht="15.75" customHeight="1">
      <c r="A269" s="36" t="s">
        <v>46</v>
      </c>
      <c r="B269" s="75">
        <f t="shared" si="6"/>
        <v>45922</v>
      </c>
      <c r="C269" s="48">
        <v>10.3</v>
      </c>
      <c r="D269" s="38" t="s">
        <v>69</v>
      </c>
      <c r="E269" s="40"/>
      <c r="F269" s="85"/>
      <c r="H269" s="86"/>
      <c r="J269" s="86"/>
      <c r="L269" s="86"/>
      <c r="N269" s="86"/>
      <c r="P269" s="86"/>
      <c r="Q269" s="43"/>
      <c r="R269" s="86"/>
      <c r="T269" s="85">
        <v>180.0</v>
      </c>
      <c r="V269" s="86">
        <v>180.0</v>
      </c>
      <c r="X269" s="86"/>
      <c r="Z269" s="86">
        <v>3.0</v>
      </c>
      <c r="AB269" s="86"/>
      <c r="AD269" s="86"/>
      <c r="AE269" s="43"/>
      <c r="AF269" s="86"/>
      <c r="AH269" s="86"/>
      <c r="AJ269" s="86"/>
      <c r="AL269" s="85"/>
      <c r="AM269" s="43"/>
      <c r="AN269" s="116"/>
      <c r="AO269" s="43"/>
      <c r="AP269" s="85"/>
      <c r="AQ269" s="43"/>
      <c r="AR269" s="85"/>
      <c r="AS269" s="43"/>
      <c r="AT269" s="85"/>
      <c r="AU269" s="43"/>
      <c r="AV269" s="86"/>
      <c r="AX269" s="86"/>
      <c r="AY269" s="43"/>
      <c r="AZ269" s="86"/>
      <c r="BB269" s="47">
        <f t="shared" si="8"/>
        <v>4036.56</v>
      </c>
      <c r="BC269" s="38">
        <f t="shared" si="2"/>
        <v>363</v>
      </c>
      <c r="BD269" s="38">
        <f t="shared" si="3"/>
        <v>0</v>
      </c>
      <c r="BE269" s="38">
        <f t="shared" si="4"/>
        <v>363</v>
      </c>
      <c r="BF269" s="76">
        <f t="shared" si="5"/>
        <v>11.12</v>
      </c>
      <c r="BG269" s="78">
        <f t="shared" ref="BG269:BG378" si="9">BG262+7</f>
        <v>45928</v>
      </c>
    </row>
    <row r="270" ht="15.75" customHeight="1">
      <c r="A270" s="50" t="s">
        <v>48</v>
      </c>
      <c r="B270" s="51">
        <f t="shared" si="6"/>
        <v>45923</v>
      </c>
      <c r="C270" s="89">
        <v>10.3</v>
      </c>
      <c r="D270" s="52" t="s">
        <v>69</v>
      </c>
      <c r="E270" s="53"/>
      <c r="F270" s="85"/>
      <c r="H270" s="86"/>
      <c r="J270" s="86"/>
      <c r="L270" s="86"/>
      <c r="N270" s="86"/>
      <c r="P270" s="86"/>
      <c r="Q270" s="43"/>
      <c r="R270" s="86"/>
      <c r="T270" s="85">
        <v>180.0</v>
      </c>
      <c r="V270" s="86">
        <v>180.0</v>
      </c>
      <c r="X270" s="86"/>
      <c r="Z270" s="86">
        <v>3.0</v>
      </c>
      <c r="AB270" s="86"/>
      <c r="AD270" s="86"/>
      <c r="AE270" s="43"/>
      <c r="AF270" s="86"/>
      <c r="AH270" s="86"/>
      <c r="AJ270" s="86"/>
      <c r="AL270" s="85"/>
      <c r="AM270" s="43"/>
      <c r="AN270" s="116"/>
      <c r="AO270" s="43"/>
      <c r="AP270" s="85"/>
      <c r="AQ270" s="43"/>
      <c r="AR270" s="85"/>
      <c r="AS270" s="43"/>
      <c r="AT270" s="85"/>
      <c r="AU270" s="43"/>
      <c r="AV270" s="86"/>
      <c r="AX270" s="86"/>
      <c r="AY270" s="43"/>
      <c r="AZ270" s="86"/>
      <c r="BB270" s="54">
        <f t="shared" si="8"/>
        <v>4036.56</v>
      </c>
      <c r="BC270" s="52">
        <f t="shared" si="2"/>
        <v>363</v>
      </c>
      <c r="BD270" s="52">
        <f t="shared" si="3"/>
        <v>0</v>
      </c>
      <c r="BE270" s="52">
        <f t="shared" si="4"/>
        <v>363</v>
      </c>
      <c r="BF270" s="49">
        <f t="shared" si="5"/>
        <v>11.12</v>
      </c>
      <c r="BG270" s="78">
        <f t="shared" si="9"/>
        <v>45928</v>
      </c>
    </row>
    <row r="271" ht="15.75" customHeight="1">
      <c r="A271" s="50" t="s">
        <v>49</v>
      </c>
      <c r="B271" s="51">
        <f t="shared" si="6"/>
        <v>45924</v>
      </c>
      <c r="C271" s="89">
        <v>10.3</v>
      </c>
      <c r="D271" s="52" t="s">
        <v>69</v>
      </c>
      <c r="E271" s="53"/>
      <c r="F271" s="85"/>
      <c r="H271" s="86"/>
      <c r="J271" s="86"/>
      <c r="L271" s="86"/>
      <c r="N271" s="86"/>
      <c r="P271" s="86"/>
      <c r="Q271" s="43"/>
      <c r="R271" s="86"/>
      <c r="T271" s="85">
        <v>180.0</v>
      </c>
      <c r="V271" s="86">
        <v>180.0</v>
      </c>
      <c r="X271" s="86"/>
      <c r="Z271" s="86">
        <v>3.0</v>
      </c>
      <c r="AB271" s="86"/>
      <c r="AD271" s="86"/>
      <c r="AE271" s="43"/>
      <c r="AF271" s="86"/>
      <c r="AH271" s="86"/>
      <c r="AJ271" s="86"/>
      <c r="AL271" s="85"/>
      <c r="AM271" s="43"/>
      <c r="AN271" s="116"/>
      <c r="AO271" s="43"/>
      <c r="AP271" s="85"/>
      <c r="AQ271" s="43"/>
      <c r="AR271" s="85"/>
      <c r="AS271" s="43"/>
      <c r="AT271" s="85"/>
      <c r="AU271" s="43"/>
      <c r="AV271" s="86"/>
      <c r="AX271" s="86"/>
      <c r="AY271" s="43"/>
      <c r="AZ271" s="86"/>
      <c r="BB271" s="54">
        <f t="shared" si="8"/>
        <v>4036.56</v>
      </c>
      <c r="BC271" s="52">
        <f t="shared" si="2"/>
        <v>363</v>
      </c>
      <c r="BD271" s="52">
        <f t="shared" si="3"/>
        <v>0</v>
      </c>
      <c r="BE271" s="52">
        <f t="shared" si="4"/>
        <v>363</v>
      </c>
      <c r="BF271" s="49">
        <f t="shared" si="5"/>
        <v>11.12</v>
      </c>
      <c r="BG271" s="78">
        <f t="shared" si="9"/>
        <v>45928</v>
      </c>
    </row>
    <row r="272" ht="15.75" customHeight="1">
      <c r="A272" s="50" t="s">
        <v>50</v>
      </c>
      <c r="B272" s="51">
        <f t="shared" si="6"/>
        <v>45925</v>
      </c>
      <c r="C272" s="89">
        <v>10.3</v>
      </c>
      <c r="D272" s="52" t="s">
        <v>69</v>
      </c>
      <c r="E272" s="53"/>
      <c r="F272" s="85"/>
      <c r="H272" s="86"/>
      <c r="J272" s="86"/>
      <c r="L272" s="86"/>
      <c r="N272" s="86"/>
      <c r="P272" s="86"/>
      <c r="Q272" s="43"/>
      <c r="R272" s="86"/>
      <c r="T272" s="85">
        <v>180.0</v>
      </c>
      <c r="V272" s="86">
        <v>180.0</v>
      </c>
      <c r="X272" s="86"/>
      <c r="Z272" s="86">
        <v>3.0</v>
      </c>
      <c r="AB272" s="86"/>
      <c r="AD272" s="86"/>
      <c r="AE272" s="43"/>
      <c r="AF272" s="86"/>
      <c r="AH272" s="86"/>
      <c r="AJ272" s="86"/>
      <c r="AL272" s="85"/>
      <c r="AM272" s="43"/>
      <c r="AN272" s="116"/>
      <c r="AO272" s="43"/>
      <c r="AP272" s="85"/>
      <c r="AQ272" s="43"/>
      <c r="AR272" s="85"/>
      <c r="AS272" s="43"/>
      <c r="AT272" s="85"/>
      <c r="AU272" s="43"/>
      <c r="AV272" s="86"/>
      <c r="AX272" s="86"/>
      <c r="AY272" s="43"/>
      <c r="AZ272" s="86"/>
      <c r="BB272" s="54">
        <f t="shared" si="8"/>
        <v>4036.56</v>
      </c>
      <c r="BC272" s="52">
        <f t="shared" si="2"/>
        <v>363</v>
      </c>
      <c r="BD272" s="52">
        <f t="shared" si="3"/>
        <v>0</v>
      </c>
      <c r="BE272" s="52">
        <f t="shared" si="4"/>
        <v>363</v>
      </c>
      <c r="BF272" s="49">
        <f t="shared" si="5"/>
        <v>11.12</v>
      </c>
      <c r="BG272" s="78">
        <f t="shared" si="9"/>
        <v>45928</v>
      </c>
    </row>
    <row r="273" ht="15.75" customHeight="1">
      <c r="A273" s="50" t="s">
        <v>53</v>
      </c>
      <c r="B273" s="51">
        <f t="shared" si="6"/>
        <v>45926</v>
      </c>
      <c r="C273" s="89">
        <v>10.3</v>
      </c>
      <c r="D273" s="52" t="s">
        <v>69</v>
      </c>
      <c r="E273" s="53"/>
      <c r="F273" s="85"/>
      <c r="H273" s="86"/>
      <c r="J273" s="86"/>
      <c r="L273" s="86"/>
      <c r="N273" s="86"/>
      <c r="P273" s="86"/>
      <c r="Q273" s="43"/>
      <c r="R273" s="86"/>
      <c r="T273" s="85">
        <v>180.0</v>
      </c>
      <c r="V273" s="86">
        <v>180.0</v>
      </c>
      <c r="X273" s="86"/>
      <c r="Z273" s="86">
        <v>3.0</v>
      </c>
      <c r="AB273" s="86"/>
      <c r="AD273" s="86"/>
      <c r="AE273" s="43"/>
      <c r="AF273" s="86"/>
      <c r="AH273" s="86"/>
      <c r="AJ273" s="86"/>
      <c r="AL273" s="85"/>
      <c r="AM273" s="43"/>
      <c r="AN273" s="116"/>
      <c r="AO273" s="43"/>
      <c r="AP273" s="85"/>
      <c r="AQ273" s="43"/>
      <c r="AR273" s="85"/>
      <c r="AS273" s="43"/>
      <c r="AT273" s="85"/>
      <c r="AU273" s="43"/>
      <c r="AV273" s="86"/>
      <c r="AX273" s="86"/>
      <c r="AY273" s="43"/>
      <c r="AZ273" s="86"/>
      <c r="BB273" s="54">
        <f t="shared" si="8"/>
        <v>4036.56</v>
      </c>
      <c r="BC273" s="52">
        <f t="shared" si="2"/>
        <v>363</v>
      </c>
      <c r="BD273" s="52">
        <f t="shared" si="3"/>
        <v>0</v>
      </c>
      <c r="BE273" s="52">
        <f t="shared" si="4"/>
        <v>363</v>
      </c>
      <c r="BF273" s="49">
        <f t="shared" si="5"/>
        <v>11.12</v>
      </c>
      <c r="BG273" s="78">
        <f t="shared" si="9"/>
        <v>45928</v>
      </c>
    </row>
    <row r="274" ht="15.75" customHeight="1">
      <c r="A274" s="50" t="s">
        <v>54</v>
      </c>
      <c r="B274" s="51">
        <f t="shared" si="6"/>
        <v>45927</v>
      </c>
      <c r="C274" s="89">
        <v>10.3</v>
      </c>
      <c r="D274" s="52" t="s">
        <v>69</v>
      </c>
      <c r="E274" s="92" t="s">
        <v>78</v>
      </c>
      <c r="F274" s="85"/>
      <c r="H274" s="86"/>
      <c r="J274" s="86"/>
      <c r="L274" s="86"/>
      <c r="N274" s="86"/>
      <c r="P274" s="86"/>
      <c r="Q274" s="43"/>
      <c r="R274" s="86"/>
      <c r="T274" s="85">
        <v>180.0</v>
      </c>
      <c r="V274" s="86">
        <v>180.0</v>
      </c>
      <c r="X274" s="86"/>
      <c r="Z274" s="86">
        <v>3.0</v>
      </c>
      <c r="AB274" s="86"/>
      <c r="AD274" s="86"/>
      <c r="AE274" s="43"/>
      <c r="AF274" s="86"/>
      <c r="AH274" s="86"/>
      <c r="AJ274" s="86"/>
      <c r="AL274" s="85"/>
      <c r="AM274" s="43"/>
      <c r="AN274" s="116"/>
      <c r="AO274" s="43"/>
      <c r="AP274" s="85"/>
      <c r="AQ274" s="43"/>
      <c r="AR274" s="85"/>
      <c r="AS274" s="43"/>
      <c r="AT274" s="85"/>
      <c r="AU274" s="43"/>
      <c r="AV274" s="86"/>
      <c r="AX274" s="86"/>
      <c r="AY274" s="43"/>
      <c r="AZ274" s="86"/>
      <c r="BB274" s="54">
        <f t="shared" si="8"/>
        <v>4036.56</v>
      </c>
      <c r="BC274" s="52">
        <f t="shared" si="2"/>
        <v>363</v>
      </c>
      <c r="BD274" s="52">
        <f t="shared" si="3"/>
        <v>0</v>
      </c>
      <c r="BE274" s="52">
        <f t="shared" si="4"/>
        <v>363</v>
      </c>
      <c r="BF274" s="49">
        <f t="shared" si="5"/>
        <v>11.12</v>
      </c>
      <c r="BG274" s="78">
        <f t="shared" si="9"/>
        <v>45928</v>
      </c>
    </row>
    <row r="275" ht="15.75" customHeight="1">
      <c r="A275" s="59" t="s">
        <v>61</v>
      </c>
      <c r="B275" s="61">
        <f t="shared" si="6"/>
        <v>45928</v>
      </c>
      <c r="C275" s="89">
        <v>10.3</v>
      </c>
      <c r="D275" s="63" t="s">
        <v>69</v>
      </c>
      <c r="E275" s="94" t="b">
        <v>1</v>
      </c>
      <c r="F275" s="87"/>
      <c r="G275" s="66"/>
      <c r="H275" s="88"/>
      <c r="I275" s="66"/>
      <c r="J275" s="88"/>
      <c r="K275" s="66"/>
      <c r="L275" s="88"/>
      <c r="M275" s="66"/>
      <c r="N275" s="88"/>
      <c r="O275" s="66"/>
      <c r="P275" s="88"/>
      <c r="Q275" s="68"/>
      <c r="R275" s="88"/>
      <c r="S275" s="66"/>
      <c r="T275" s="87"/>
      <c r="U275" s="66"/>
      <c r="V275" s="88"/>
      <c r="W275" s="66"/>
      <c r="X275" s="88"/>
      <c r="Y275" s="66"/>
      <c r="Z275" s="88">
        <v>9.0</v>
      </c>
      <c r="AA275" s="66"/>
      <c r="AB275" s="88"/>
      <c r="AC275" s="66"/>
      <c r="AD275" s="88"/>
      <c r="AE275" s="68"/>
      <c r="AF275" s="88"/>
      <c r="AG275" s="66"/>
      <c r="AH275" s="88"/>
      <c r="AI275" s="66"/>
      <c r="AJ275" s="88"/>
      <c r="AK275" s="66"/>
      <c r="AL275" s="87"/>
      <c r="AM275" s="68"/>
      <c r="AN275" s="121"/>
      <c r="AO275" s="68"/>
      <c r="AP275" s="87"/>
      <c r="AQ275" s="68"/>
      <c r="AR275" s="87"/>
      <c r="AS275" s="68"/>
      <c r="AT275" s="87"/>
      <c r="AU275" s="68"/>
      <c r="AV275" s="88"/>
      <c r="AW275" s="66"/>
      <c r="AX275" s="88"/>
      <c r="AY275" s="68"/>
      <c r="AZ275" s="88"/>
      <c r="BA275" s="66"/>
      <c r="BB275" s="73">
        <f t="shared" si="8"/>
        <v>100.08</v>
      </c>
      <c r="BC275" s="63">
        <f t="shared" si="2"/>
        <v>9</v>
      </c>
      <c r="BD275" s="63">
        <f t="shared" si="3"/>
        <v>0</v>
      </c>
      <c r="BE275" s="63">
        <f t="shared" si="4"/>
        <v>9</v>
      </c>
      <c r="BF275" s="74">
        <f t="shared" si="5"/>
        <v>11.12</v>
      </c>
      <c r="BG275" s="78">
        <f t="shared" si="9"/>
        <v>45928</v>
      </c>
    </row>
    <row r="276" ht="15.75" customHeight="1">
      <c r="A276" s="36" t="s">
        <v>46</v>
      </c>
      <c r="B276" s="75">
        <f t="shared" si="6"/>
        <v>45929</v>
      </c>
      <c r="C276" s="48">
        <v>10.4</v>
      </c>
      <c r="D276" s="38" t="s">
        <v>72</v>
      </c>
      <c r="E276" s="40"/>
      <c r="F276" s="85"/>
      <c r="H276" s="86"/>
      <c r="J276" s="86"/>
      <c r="L276" s="86"/>
      <c r="N276" s="86"/>
      <c r="P276" s="86"/>
      <c r="Q276" s="43"/>
      <c r="R276" s="86"/>
      <c r="T276" s="85">
        <v>145.0</v>
      </c>
      <c r="V276" s="86">
        <v>145.0</v>
      </c>
      <c r="X276" s="86"/>
      <c r="Z276" s="86">
        <v>3.0</v>
      </c>
      <c r="AB276" s="86"/>
      <c r="AD276" s="86"/>
      <c r="AE276" s="43"/>
      <c r="AF276" s="86"/>
      <c r="AH276" s="86"/>
      <c r="AJ276" s="86"/>
      <c r="AL276" s="85"/>
      <c r="AM276" s="43"/>
      <c r="AN276" s="116"/>
      <c r="AO276" s="43"/>
      <c r="AP276" s="122"/>
      <c r="AQ276" s="43"/>
      <c r="AR276" s="122"/>
      <c r="AS276" s="43"/>
      <c r="AT276" s="122"/>
      <c r="AU276" s="43"/>
      <c r="AV276" s="123"/>
      <c r="AX276" s="123"/>
      <c r="AY276" s="43"/>
      <c r="AZ276" s="123"/>
      <c r="BB276" s="47">
        <f t="shared" si="8"/>
        <v>3258.16</v>
      </c>
      <c r="BC276" s="38">
        <f t="shared" si="2"/>
        <v>293</v>
      </c>
      <c r="BD276" s="38">
        <f t="shared" si="3"/>
        <v>0</v>
      </c>
      <c r="BE276" s="38">
        <f t="shared" si="4"/>
        <v>293</v>
      </c>
      <c r="BF276" s="76">
        <f t="shared" si="5"/>
        <v>11.12</v>
      </c>
      <c r="BG276" s="78">
        <f t="shared" si="9"/>
        <v>45935</v>
      </c>
    </row>
    <row r="277" ht="15.75" customHeight="1">
      <c r="A277" s="50" t="s">
        <v>48</v>
      </c>
      <c r="B277" s="51">
        <f t="shared" si="6"/>
        <v>45930</v>
      </c>
      <c r="C277" s="89">
        <v>10.4</v>
      </c>
      <c r="D277" s="52" t="s">
        <v>72</v>
      </c>
      <c r="E277" s="53"/>
      <c r="F277" s="85"/>
      <c r="H277" s="86"/>
      <c r="J277" s="86"/>
      <c r="L277" s="86"/>
      <c r="N277" s="86"/>
      <c r="P277" s="86"/>
      <c r="Q277" s="43"/>
      <c r="R277" s="86"/>
      <c r="T277" s="85">
        <v>145.0</v>
      </c>
      <c r="V277" s="86">
        <v>145.0</v>
      </c>
      <c r="X277" s="86"/>
      <c r="Z277" s="86">
        <v>5.0</v>
      </c>
      <c r="AB277" s="86"/>
      <c r="AD277" s="86"/>
      <c r="AE277" s="43"/>
      <c r="AF277" s="86"/>
      <c r="AH277" s="86"/>
      <c r="AJ277" s="86"/>
      <c r="AL277" s="85"/>
      <c r="AM277" s="43"/>
      <c r="AN277" s="116"/>
      <c r="AO277" s="43"/>
      <c r="AP277" s="122"/>
      <c r="AQ277" s="43"/>
      <c r="AR277" s="122"/>
      <c r="AS277" s="43"/>
      <c r="AT277" s="122"/>
      <c r="AU277" s="43"/>
      <c r="AV277" s="123"/>
      <c r="AX277" s="123"/>
      <c r="AY277" s="43"/>
      <c r="AZ277" s="123"/>
      <c r="BB277" s="54">
        <f t="shared" si="8"/>
        <v>3280.4</v>
      </c>
      <c r="BC277" s="52">
        <f t="shared" si="2"/>
        <v>295</v>
      </c>
      <c r="BD277" s="52">
        <f t="shared" si="3"/>
        <v>0</v>
      </c>
      <c r="BE277" s="52">
        <f t="shared" si="4"/>
        <v>295</v>
      </c>
      <c r="BF277" s="49">
        <f t="shared" si="5"/>
        <v>11.12</v>
      </c>
      <c r="BG277" s="78">
        <f t="shared" si="9"/>
        <v>45935</v>
      </c>
    </row>
    <row r="278" ht="15.75" customHeight="1">
      <c r="A278" s="50" t="s">
        <v>49</v>
      </c>
      <c r="B278" s="51">
        <f t="shared" si="6"/>
        <v>45931</v>
      </c>
      <c r="C278" s="89">
        <v>10.4</v>
      </c>
      <c r="D278" s="52" t="s">
        <v>72</v>
      </c>
      <c r="E278" s="53"/>
      <c r="F278" s="85"/>
      <c r="H278" s="86"/>
      <c r="J278" s="86"/>
      <c r="L278" s="86"/>
      <c r="N278" s="86"/>
      <c r="P278" s="86"/>
      <c r="Q278" s="43"/>
      <c r="R278" s="86"/>
      <c r="T278" s="85">
        <v>145.0</v>
      </c>
      <c r="V278" s="86">
        <v>145.0</v>
      </c>
      <c r="X278" s="86"/>
      <c r="Z278" s="86">
        <v>5.0</v>
      </c>
      <c r="AB278" s="86"/>
      <c r="AD278" s="86"/>
      <c r="AE278" s="43"/>
      <c r="AF278" s="86"/>
      <c r="AH278" s="86"/>
      <c r="AJ278" s="86"/>
      <c r="AL278" s="85"/>
      <c r="AM278" s="43"/>
      <c r="AN278" s="116"/>
      <c r="AO278" s="43"/>
      <c r="AP278" s="122"/>
      <c r="AQ278" s="43"/>
      <c r="AR278" s="122"/>
      <c r="AS278" s="43"/>
      <c r="AT278" s="122"/>
      <c r="AU278" s="43"/>
      <c r="AV278" s="123"/>
      <c r="AX278" s="123"/>
      <c r="AY278" s="43"/>
      <c r="AZ278" s="123"/>
      <c r="BB278" s="54">
        <f t="shared" si="8"/>
        <v>3280.4</v>
      </c>
      <c r="BC278" s="52">
        <f t="shared" si="2"/>
        <v>295</v>
      </c>
      <c r="BD278" s="52">
        <f t="shared" si="3"/>
        <v>0</v>
      </c>
      <c r="BE278" s="52">
        <f t="shared" si="4"/>
        <v>295</v>
      </c>
      <c r="BF278" s="49">
        <f t="shared" si="5"/>
        <v>11.12</v>
      </c>
      <c r="BG278" s="78">
        <f t="shared" si="9"/>
        <v>45935</v>
      </c>
    </row>
    <row r="279" ht="15.75" customHeight="1">
      <c r="A279" s="50" t="s">
        <v>50</v>
      </c>
      <c r="B279" s="51">
        <f t="shared" si="6"/>
        <v>45932</v>
      </c>
      <c r="C279" s="89">
        <v>10.4</v>
      </c>
      <c r="D279" s="52" t="s">
        <v>72</v>
      </c>
      <c r="E279" s="53"/>
      <c r="F279" s="85"/>
      <c r="H279" s="86"/>
      <c r="J279" s="86"/>
      <c r="L279" s="86"/>
      <c r="N279" s="86"/>
      <c r="P279" s="86"/>
      <c r="Q279" s="43"/>
      <c r="R279" s="86"/>
      <c r="T279" s="85">
        <v>145.0</v>
      </c>
      <c r="V279" s="86">
        <v>145.0</v>
      </c>
      <c r="X279" s="86"/>
      <c r="Z279" s="86">
        <v>5.0</v>
      </c>
      <c r="AB279" s="86"/>
      <c r="AD279" s="86"/>
      <c r="AE279" s="43"/>
      <c r="AF279" s="86"/>
      <c r="AH279" s="86"/>
      <c r="AJ279" s="86"/>
      <c r="AL279" s="85"/>
      <c r="AM279" s="43"/>
      <c r="AN279" s="116"/>
      <c r="AO279" s="43"/>
      <c r="AP279" s="122"/>
      <c r="AQ279" s="43"/>
      <c r="AR279" s="122"/>
      <c r="AS279" s="43"/>
      <c r="AT279" s="122"/>
      <c r="AU279" s="43"/>
      <c r="AV279" s="123"/>
      <c r="AX279" s="123"/>
      <c r="AY279" s="43"/>
      <c r="AZ279" s="123"/>
      <c r="BB279" s="54">
        <f t="shared" si="8"/>
        <v>3280.4</v>
      </c>
      <c r="BC279" s="52">
        <f t="shared" si="2"/>
        <v>295</v>
      </c>
      <c r="BD279" s="52">
        <f t="shared" si="3"/>
        <v>0</v>
      </c>
      <c r="BE279" s="52">
        <f t="shared" si="4"/>
        <v>295</v>
      </c>
      <c r="BF279" s="49">
        <f t="shared" si="5"/>
        <v>11.12</v>
      </c>
      <c r="BG279" s="78">
        <f t="shared" si="9"/>
        <v>45935</v>
      </c>
    </row>
    <row r="280" ht="15.75" customHeight="1">
      <c r="A280" s="50" t="s">
        <v>53</v>
      </c>
      <c r="B280" s="51">
        <f t="shared" si="6"/>
        <v>45933</v>
      </c>
      <c r="C280" s="89">
        <v>10.4</v>
      </c>
      <c r="D280" s="52" t="s">
        <v>72</v>
      </c>
      <c r="E280" s="53"/>
      <c r="F280" s="85"/>
      <c r="H280" s="86"/>
      <c r="J280" s="86"/>
      <c r="L280" s="86"/>
      <c r="N280" s="86"/>
      <c r="P280" s="86"/>
      <c r="Q280" s="43"/>
      <c r="R280" s="86"/>
      <c r="T280" s="85">
        <v>145.0</v>
      </c>
      <c r="V280" s="86">
        <v>145.0</v>
      </c>
      <c r="X280" s="86"/>
      <c r="Z280" s="86">
        <v>5.0</v>
      </c>
      <c r="AB280" s="86"/>
      <c r="AD280" s="86"/>
      <c r="AE280" s="43"/>
      <c r="AF280" s="86"/>
      <c r="AH280" s="86"/>
      <c r="AJ280" s="86"/>
      <c r="AL280" s="85"/>
      <c r="AM280" s="43"/>
      <c r="AN280" s="116"/>
      <c r="AO280" s="43"/>
      <c r="AP280" s="122"/>
      <c r="AQ280" s="43"/>
      <c r="AR280" s="122"/>
      <c r="AS280" s="43"/>
      <c r="AT280" s="122"/>
      <c r="AU280" s="43"/>
      <c r="AV280" s="123"/>
      <c r="AX280" s="123"/>
      <c r="AY280" s="43"/>
      <c r="AZ280" s="123"/>
      <c r="BB280" s="54">
        <f t="shared" si="8"/>
        <v>3280.4</v>
      </c>
      <c r="BC280" s="52">
        <f t="shared" si="2"/>
        <v>295</v>
      </c>
      <c r="BD280" s="52">
        <f t="shared" si="3"/>
        <v>0</v>
      </c>
      <c r="BE280" s="52">
        <f t="shared" si="4"/>
        <v>295</v>
      </c>
      <c r="BF280" s="49">
        <f t="shared" si="5"/>
        <v>11.12</v>
      </c>
      <c r="BG280" s="78">
        <f t="shared" si="9"/>
        <v>45935</v>
      </c>
    </row>
    <row r="281" ht="15.75" customHeight="1">
      <c r="A281" s="50" t="s">
        <v>54</v>
      </c>
      <c r="B281" s="51">
        <f t="shared" si="6"/>
        <v>45934</v>
      </c>
      <c r="C281" s="89">
        <v>10.4</v>
      </c>
      <c r="D281" s="52" t="s">
        <v>72</v>
      </c>
      <c r="E281" s="92" t="s">
        <v>78</v>
      </c>
      <c r="F281" s="85"/>
      <c r="H281" s="86"/>
      <c r="J281" s="86"/>
      <c r="L281" s="86"/>
      <c r="N281" s="86"/>
      <c r="P281" s="86"/>
      <c r="Q281" s="43"/>
      <c r="R281" s="86"/>
      <c r="T281" s="85">
        <v>145.0</v>
      </c>
      <c r="V281" s="86">
        <v>145.0</v>
      </c>
      <c r="X281" s="86"/>
      <c r="Z281" s="86">
        <v>5.0</v>
      </c>
      <c r="AB281" s="86"/>
      <c r="AD281" s="86"/>
      <c r="AE281" s="43"/>
      <c r="AF281" s="86"/>
      <c r="AH281" s="86"/>
      <c r="AJ281" s="86"/>
      <c r="AL281" s="85"/>
      <c r="AM281" s="43"/>
      <c r="AN281" s="116"/>
      <c r="AO281" s="43"/>
      <c r="AP281" s="122"/>
      <c r="AQ281" s="43"/>
      <c r="AR281" s="122"/>
      <c r="AS281" s="43"/>
      <c r="AT281" s="122"/>
      <c r="AU281" s="43"/>
      <c r="AV281" s="123"/>
      <c r="AX281" s="123"/>
      <c r="AY281" s="43"/>
      <c r="AZ281" s="123"/>
      <c r="BB281" s="54">
        <f t="shared" si="8"/>
        <v>3280.4</v>
      </c>
      <c r="BC281" s="52">
        <f t="shared" si="2"/>
        <v>295</v>
      </c>
      <c r="BD281" s="52">
        <f t="shared" si="3"/>
        <v>0</v>
      </c>
      <c r="BE281" s="52">
        <f t="shared" si="4"/>
        <v>295</v>
      </c>
      <c r="BF281" s="49">
        <f t="shared" si="5"/>
        <v>11.12</v>
      </c>
      <c r="BG281" s="78">
        <f t="shared" si="9"/>
        <v>45935</v>
      </c>
    </row>
    <row r="282" ht="15.75" customHeight="1">
      <c r="A282" s="59" t="s">
        <v>61</v>
      </c>
      <c r="B282" s="61">
        <f t="shared" si="6"/>
        <v>45935</v>
      </c>
      <c r="C282" s="89">
        <v>10.4</v>
      </c>
      <c r="D282" s="63" t="s">
        <v>72</v>
      </c>
      <c r="E282" s="94" t="b">
        <v>1</v>
      </c>
      <c r="F282" s="87"/>
      <c r="G282" s="66"/>
      <c r="H282" s="88"/>
      <c r="I282" s="66"/>
      <c r="J282" s="88"/>
      <c r="K282" s="66"/>
      <c r="L282" s="88"/>
      <c r="M282" s="66"/>
      <c r="N282" s="88"/>
      <c r="O282" s="66"/>
      <c r="P282" s="88"/>
      <c r="Q282" s="68"/>
      <c r="R282" s="88"/>
      <c r="S282" s="66"/>
      <c r="T282" s="87"/>
      <c r="U282" s="66"/>
      <c r="V282" s="88"/>
      <c r="W282" s="66"/>
      <c r="X282" s="88"/>
      <c r="Y282" s="66"/>
      <c r="Z282" s="88">
        <v>15.0</v>
      </c>
      <c r="AA282" s="66"/>
      <c r="AB282" s="88"/>
      <c r="AC282" s="66"/>
      <c r="AD282" s="88"/>
      <c r="AE282" s="68"/>
      <c r="AF282" s="88"/>
      <c r="AG282" s="66"/>
      <c r="AH282" s="88"/>
      <c r="AI282" s="66"/>
      <c r="AJ282" s="88"/>
      <c r="AK282" s="66"/>
      <c r="AL282" s="87"/>
      <c r="AM282" s="68"/>
      <c r="AN282" s="121"/>
      <c r="AO282" s="68"/>
      <c r="AP282" s="124"/>
      <c r="AQ282" s="68"/>
      <c r="AR282" s="124"/>
      <c r="AS282" s="68"/>
      <c r="AT282" s="124"/>
      <c r="AU282" s="68"/>
      <c r="AV282" s="125"/>
      <c r="AW282" s="66"/>
      <c r="AX282" s="125"/>
      <c r="AY282" s="68"/>
      <c r="AZ282" s="125"/>
      <c r="BA282" s="66"/>
      <c r="BB282" s="73">
        <f t="shared" si="8"/>
        <v>166.8</v>
      </c>
      <c r="BC282" s="63">
        <f t="shared" si="2"/>
        <v>15</v>
      </c>
      <c r="BD282" s="63">
        <f t="shared" si="3"/>
        <v>0</v>
      </c>
      <c r="BE282" s="63">
        <f t="shared" si="4"/>
        <v>15</v>
      </c>
      <c r="BF282" s="74">
        <f t="shared" si="5"/>
        <v>11.12</v>
      </c>
      <c r="BG282" s="78">
        <f t="shared" si="9"/>
        <v>45935</v>
      </c>
    </row>
    <row r="283" ht="15.75" customHeight="1">
      <c r="A283" s="36" t="s">
        <v>46</v>
      </c>
      <c r="B283" s="75">
        <f t="shared" si="6"/>
        <v>45936</v>
      </c>
      <c r="C283" s="48">
        <v>11.1</v>
      </c>
      <c r="D283" s="38" t="s">
        <v>47</v>
      </c>
      <c r="E283" s="40"/>
      <c r="F283" s="85"/>
      <c r="H283" s="86"/>
      <c r="J283" s="86"/>
      <c r="L283" s="86"/>
      <c r="N283" s="86"/>
      <c r="P283" s="86"/>
      <c r="Q283" s="43"/>
      <c r="R283" s="86"/>
      <c r="T283" s="85">
        <v>60.0</v>
      </c>
      <c r="V283" s="86">
        <v>60.0</v>
      </c>
      <c r="X283" s="86"/>
      <c r="Z283" s="86">
        <v>2.0</v>
      </c>
      <c r="AB283" s="86"/>
      <c r="AD283" s="86"/>
      <c r="AE283" s="43"/>
      <c r="AF283" s="86"/>
      <c r="AH283" s="86"/>
      <c r="AJ283" s="86"/>
      <c r="AL283" s="85"/>
      <c r="AM283" s="43"/>
      <c r="AN283" s="116"/>
      <c r="AO283" s="43"/>
      <c r="AP283" s="122"/>
      <c r="AQ283" s="43"/>
      <c r="AR283" s="122"/>
      <c r="AS283" s="43"/>
      <c r="AT283" s="122"/>
      <c r="AU283" s="43"/>
      <c r="AV283" s="123"/>
      <c r="AX283" s="123"/>
      <c r="AY283" s="43"/>
      <c r="AZ283" s="123"/>
      <c r="BB283" s="47">
        <f t="shared" si="8"/>
        <v>1356.64</v>
      </c>
      <c r="BC283" s="38">
        <f t="shared" si="2"/>
        <v>122</v>
      </c>
      <c r="BD283" s="38">
        <f t="shared" si="3"/>
        <v>0</v>
      </c>
      <c r="BE283" s="38">
        <f t="shared" si="4"/>
        <v>122</v>
      </c>
      <c r="BF283" s="76">
        <f t="shared" si="5"/>
        <v>11.12</v>
      </c>
      <c r="BG283" s="78">
        <f t="shared" si="9"/>
        <v>45942</v>
      </c>
    </row>
    <row r="284" ht="15.75" customHeight="1">
      <c r="A284" s="50" t="s">
        <v>48</v>
      </c>
      <c r="B284" s="51">
        <f t="shared" si="6"/>
        <v>45937</v>
      </c>
      <c r="C284" s="89">
        <v>11.1</v>
      </c>
      <c r="D284" s="52" t="s">
        <v>47</v>
      </c>
      <c r="E284" s="53"/>
      <c r="F284" s="85"/>
      <c r="H284" s="86"/>
      <c r="J284" s="86"/>
      <c r="L284" s="86"/>
      <c r="N284" s="86"/>
      <c r="P284" s="86"/>
      <c r="Q284" s="43"/>
      <c r="R284" s="86"/>
      <c r="T284" s="85">
        <v>60.0</v>
      </c>
      <c r="V284" s="86">
        <v>60.0</v>
      </c>
      <c r="X284" s="86"/>
      <c r="Z284" s="86">
        <v>2.0</v>
      </c>
      <c r="AB284" s="86"/>
      <c r="AD284" s="86"/>
      <c r="AE284" s="43"/>
      <c r="AF284" s="86"/>
      <c r="AH284" s="86"/>
      <c r="AJ284" s="86"/>
      <c r="AL284" s="85"/>
      <c r="AM284" s="43"/>
      <c r="AN284" s="116"/>
      <c r="AO284" s="43"/>
      <c r="AP284" s="122"/>
      <c r="AQ284" s="43"/>
      <c r="AR284" s="122"/>
      <c r="AS284" s="43"/>
      <c r="AT284" s="122"/>
      <c r="AU284" s="43"/>
      <c r="AV284" s="123"/>
      <c r="AX284" s="123"/>
      <c r="AY284" s="43"/>
      <c r="AZ284" s="123"/>
      <c r="BB284" s="54">
        <f t="shared" si="8"/>
        <v>1356.64</v>
      </c>
      <c r="BC284" s="52">
        <f t="shared" si="2"/>
        <v>122</v>
      </c>
      <c r="BD284" s="52">
        <f t="shared" si="3"/>
        <v>0</v>
      </c>
      <c r="BE284" s="52">
        <f t="shared" si="4"/>
        <v>122</v>
      </c>
      <c r="BF284" s="49">
        <f t="shared" si="5"/>
        <v>11.12</v>
      </c>
      <c r="BG284" s="78">
        <f t="shared" si="9"/>
        <v>45942</v>
      </c>
    </row>
    <row r="285" ht="15.75" customHeight="1">
      <c r="A285" s="50" t="s">
        <v>49</v>
      </c>
      <c r="B285" s="51">
        <f t="shared" si="6"/>
        <v>45938</v>
      </c>
      <c r="C285" s="89">
        <v>11.1</v>
      </c>
      <c r="D285" s="52" t="s">
        <v>47</v>
      </c>
      <c r="E285" s="53"/>
      <c r="F285" s="85"/>
      <c r="H285" s="86"/>
      <c r="J285" s="86"/>
      <c r="L285" s="86"/>
      <c r="N285" s="86"/>
      <c r="P285" s="86"/>
      <c r="Q285" s="43"/>
      <c r="R285" s="86"/>
      <c r="T285" s="85">
        <v>60.0</v>
      </c>
      <c r="V285" s="86">
        <v>60.0</v>
      </c>
      <c r="X285" s="86"/>
      <c r="Z285" s="86">
        <v>2.0</v>
      </c>
      <c r="AB285" s="86"/>
      <c r="AD285" s="86"/>
      <c r="AE285" s="43"/>
      <c r="AF285" s="86"/>
      <c r="AH285" s="86"/>
      <c r="AJ285" s="86"/>
      <c r="AL285" s="85"/>
      <c r="AM285" s="43"/>
      <c r="AN285" s="116"/>
      <c r="AO285" s="43"/>
      <c r="AP285" s="122"/>
      <c r="AQ285" s="43"/>
      <c r="AR285" s="122"/>
      <c r="AS285" s="43"/>
      <c r="AT285" s="122"/>
      <c r="AU285" s="43"/>
      <c r="AV285" s="123"/>
      <c r="AX285" s="123"/>
      <c r="AY285" s="43"/>
      <c r="AZ285" s="123"/>
      <c r="BB285" s="54">
        <f t="shared" si="8"/>
        <v>1356.64</v>
      </c>
      <c r="BC285" s="52">
        <f t="shared" si="2"/>
        <v>122</v>
      </c>
      <c r="BD285" s="52">
        <f t="shared" si="3"/>
        <v>0</v>
      </c>
      <c r="BE285" s="52">
        <f t="shared" si="4"/>
        <v>122</v>
      </c>
      <c r="BF285" s="49">
        <f t="shared" si="5"/>
        <v>11.12</v>
      </c>
      <c r="BG285" s="78">
        <f t="shared" si="9"/>
        <v>45942</v>
      </c>
    </row>
    <row r="286" ht="15.75" customHeight="1">
      <c r="A286" s="50" t="s">
        <v>50</v>
      </c>
      <c r="B286" s="51">
        <f t="shared" si="6"/>
        <v>45939</v>
      </c>
      <c r="C286" s="89">
        <v>11.1</v>
      </c>
      <c r="D286" s="52" t="s">
        <v>47</v>
      </c>
      <c r="E286" s="53"/>
      <c r="F286" s="85"/>
      <c r="H286" s="86"/>
      <c r="J286" s="86"/>
      <c r="L286" s="86"/>
      <c r="N286" s="86"/>
      <c r="P286" s="86"/>
      <c r="Q286" s="43"/>
      <c r="R286" s="86"/>
      <c r="T286" s="85">
        <v>60.0</v>
      </c>
      <c r="V286" s="86">
        <v>60.0</v>
      </c>
      <c r="X286" s="86"/>
      <c r="Z286" s="86">
        <v>2.0</v>
      </c>
      <c r="AB286" s="86"/>
      <c r="AD286" s="86"/>
      <c r="AE286" s="43"/>
      <c r="AF286" s="86"/>
      <c r="AH286" s="86"/>
      <c r="AJ286" s="86"/>
      <c r="AL286" s="85"/>
      <c r="AM286" s="43"/>
      <c r="AN286" s="116"/>
      <c r="AO286" s="43"/>
      <c r="AP286" s="122"/>
      <c r="AQ286" s="43"/>
      <c r="AR286" s="122"/>
      <c r="AS286" s="43"/>
      <c r="AT286" s="122"/>
      <c r="AU286" s="43"/>
      <c r="AV286" s="123"/>
      <c r="AX286" s="123"/>
      <c r="AY286" s="43"/>
      <c r="AZ286" s="123"/>
      <c r="BB286" s="54">
        <f t="shared" si="8"/>
        <v>1356.64</v>
      </c>
      <c r="BC286" s="52">
        <f t="shared" si="2"/>
        <v>122</v>
      </c>
      <c r="BD286" s="52">
        <f t="shared" si="3"/>
        <v>0</v>
      </c>
      <c r="BE286" s="52">
        <f t="shared" si="4"/>
        <v>122</v>
      </c>
      <c r="BF286" s="49">
        <f t="shared" si="5"/>
        <v>11.12</v>
      </c>
      <c r="BG286" s="78">
        <f t="shared" si="9"/>
        <v>45942</v>
      </c>
    </row>
    <row r="287" ht="15.75" customHeight="1">
      <c r="A287" s="50" t="s">
        <v>53</v>
      </c>
      <c r="B287" s="51">
        <f t="shared" si="6"/>
        <v>45940</v>
      </c>
      <c r="C287" s="89">
        <v>11.1</v>
      </c>
      <c r="D287" s="52" t="s">
        <v>47</v>
      </c>
      <c r="E287" s="53"/>
      <c r="F287" s="85"/>
      <c r="H287" s="86"/>
      <c r="J287" s="86"/>
      <c r="L287" s="86"/>
      <c r="N287" s="86"/>
      <c r="P287" s="86"/>
      <c r="Q287" s="43"/>
      <c r="R287" s="86"/>
      <c r="T287" s="85">
        <v>60.0</v>
      </c>
      <c r="V287" s="86">
        <v>60.0</v>
      </c>
      <c r="X287" s="86"/>
      <c r="Z287" s="86">
        <v>2.0</v>
      </c>
      <c r="AB287" s="86"/>
      <c r="AD287" s="86"/>
      <c r="AE287" s="43"/>
      <c r="AF287" s="86"/>
      <c r="AH287" s="86"/>
      <c r="AJ287" s="86"/>
      <c r="AL287" s="85"/>
      <c r="AM287" s="43"/>
      <c r="AN287" s="116"/>
      <c r="AO287" s="43"/>
      <c r="AP287" s="122"/>
      <c r="AQ287" s="43"/>
      <c r="AR287" s="122"/>
      <c r="AS287" s="43"/>
      <c r="AT287" s="122"/>
      <c r="AU287" s="43"/>
      <c r="AV287" s="123"/>
      <c r="AX287" s="123"/>
      <c r="AY287" s="43"/>
      <c r="AZ287" s="123"/>
      <c r="BB287" s="54">
        <f t="shared" si="8"/>
        <v>1356.64</v>
      </c>
      <c r="BC287" s="52">
        <f t="shared" si="2"/>
        <v>122</v>
      </c>
      <c r="BD287" s="52">
        <f t="shared" si="3"/>
        <v>0</v>
      </c>
      <c r="BE287" s="52">
        <f t="shared" si="4"/>
        <v>122</v>
      </c>
      <c r="BF287" s="49">
        <f t="shared" si="5"/>
        <v>11.12</v>
      </c>
      <c r="BG287" s="78">
        <f t="shared" si="9"/>
        <v>45942</v>
      </c>
    </row>
    <row r="288" ht="15.75" customHeight="1">
      <c r="A288" s="50" t="s">
        <v>54</v>
      </c>
      <c r="B288" s="51">
        <f t="shared" si="6"/>
        <v>45941</v>
      </c>
      <c r="C288" s="89">
        <v>11.1</v>
      </c>
      <c r="D288" s="52" t="s">
        <v>47</v>
      </c>
      <c r="E288" s="92" t="s">
        <v>78</v>
      </c>
      <c r="F288" s="85"/>
      <c r="H288" s="86"/>
      <c r="J288" s="86"/>
      <c r="L288" s="86"/>
      <c r="N288" s="86"/>
      <c r="P288" s="86"/>
      <c r="Q288" s="43"/>
      <c r="R288" s="86"/>
      <c r="T288" s="85"/>
      <c r="V288" s="86"/>
      <c r="X288" s="86"/>
      <c r="Z288" s="86">
        <v>6.0</v>
      </c>
      <c r="AB288" s="86"/>
      <c r="AD288" s="86"/>
      <c r="AE288" s="43"/>
      <c r="AF288" s="86"/>
      <c r="AH288" s="86"/>
      <c r="AJ288" s="86"/>
      <c r="AL288" s="85"/>
      <c r="AM288" s="43"/>
      <c r="AN288" s="116"/>
      <c r="AO288" s="43"/>
      <c r="AP288" s="122"/>
      <c r="AQ288" s="43"/>
      <c r="AR288" s="122"/>
      <c r="AS288" s="43"/>
      <c r="AT288" s="122"/>
      <c r="AU288" s="43"/>
      <c r="AV288" s="123"/>
      <c r="AX288" s="123"/>
      <c r="AY288" s="43"/>
      <c r="AZ288" s="123"/>
      <c r="BB288" s="54">
        <f t="shared" si="8"/>
        <v>66.72</v>
      </c>
      <c r="BC288" s="52">
        <f t="shared" si="2"/>
        <v>6</v>
      </c>
      <c r="BD288" s="52">
        <f t="shared" si="3"/>
        <v>0</v>
      </c>
      <c r="BE288" s="52">
        <f t="shared" si="4"/>
        <v>6</v>
      </c>
      <c r="BF288" s="49">
        <f t="shared" si="5"/>
        <v>11.12</v>
      </c>
      <c r="BG288" s="78">
        <f t="shared" si="9"/>
        <v>45942</v>
      </c>
    </row>
    <row r="289" ht="15.75" customHeight="1">
      <c r="A289" s="59" t="s">
        <v>61</v>
      </c>
      <c r="B289" s="61">
        <f t="shared" si="6"/>
        <v>45942</v>
      </c>
      <c r="C289" s="89">
        <v>11.1</v>
      </c>
      <c r="D289" s="63" t="s">
        <v>47</v>
      </c>
      <c r="E289" s="94" t="b">
        <v>1</v>
      </c>
      <c r="F289" s="87"/>
      <c r="G289" s="66"/>
      <c r="H289" s="88"/>
      <c r="I289" s="66"/>
      <c r="J289" s="88"/>
      <c r="K289" s="66"/>
      <c r="L289" s="88"/>
      <c r="M289" s="66"/>
      <c r="N289" s="88"/>
      <c r="O289" s="66"/>
      <c r="P289" s="88"/>
      <c r="Q289" s="68"/>
      <c r="R289" s="88"/>
      <c r="S289" s="66"/>
      <c r="T289" s="87"/>
      <c r="U289" s="66"/>
      <c r="V289" s="88"/>
      <c r="W289" s="66"/>
      <c r="X289" s="88"/>
      <c r="Y289" s="66"/>
      <c r="Z289" s="88">
        <v>6.0</v>
      </c>
      <c r="AA289" s="66"/>
      <c r="AB289" s="88"/>
      <c r="AC289" s="66"/>
      <c r="AD289" s="88"/>
      <c r="AE289" s="68"/>
      <c r="AF289" s="88"/>
      <c r="AG289" s="66"/>
      <c r="AH289" s="88"/>
      <c r="AI289" s="66"/>
      <c r="AJ289" s="88"/>
      <c r="AK289" s="66"/>
      <c r="AL289" s="87"/>
      <c r="AM289" s="68"/>
      <c r="AN289" s="121"/>
      <c r="AO289" s="68"/>
      <c r="AP289" s="124"/>
      <c r="AQ289" s="68"/>
      <c r="AR289" s="124"/>
      <c r="AS289" s="68"/>
      <c r="AT289" s="124"/>
      <c r="AU289" s="68"/>
      <c r="AV289" s="125"/>
      <c r="AW289" s="66"/>
      <c r="AX289" s="125"/>
      <c r="AY289" s="68"/>
      <c r="AZ289" s="125"/>
      <c r="BA289" s="66"/>
      <c r="BB289" s="73">
        <f t="shared" si="8"/>
        <v>66.72</v>
      </c>
      <c r="BC289" s="63">
        <f t="shared" si="2"/>
        <v>6</v>
      </c>
      <c r="BD289" s="63">
        <f t="shared" si="3"/>
        <v>0</v>
      </c>
      <c r="BE289" s="63">
        <f t="shared" si="4"/>
        <v>6</v>
      </c>
      <c r="BF289" s="74">
        <f t="shared" si="5"/>
        <v>11.12</v>
      </c>
      <c r="BG289" s="78">
        <f t="shared" si="9"/>
        <v>45942</v>
      </c>
    </row>
    <row r="290" ht="15.75" customHeight="1">
      <c r="A290" s="36" t="s">
        <v>46</v>
      </c>
      <c r="B290" s="75">
        <f t="shared" si="6"/>
        <v>45943</v>
      </c>
      <c r="C290" s="48">
        <v>11.2</v>
      </c>
      <c r="D290" s="38" t="s">
        <v>65</v>
      </c>
      <c r="E290" s="40"/>
      <c r="F290" s="85"/>
      <c r="H290" s="86"/>
      <c r="J290" s="86"/>
      <c r="L290" s="86"/>
      <c r="N290" s="86"/>
      <c r="P290" s="86"/>
      <c r="Q290" s="43"/>
      <c r="R290" s="86"/>
      <c r="T290" s="85">
        <v>170.0</v>
      </c>
      <c r="V290" s="86">
        <v>170.0</v>
      </c>
      <c r="X290" s="86"/>
      <c r="Z290" s="86">
        <v>2.0</v>
      </c>
      <c r="AB290" s="86"/>
      <c r="AD290" s="86"/>
      <c r="AE290" s="43"/>
      <c r="AF290" s="86"/>
      <c r="AH290" s="86"/>
      <c r="AJ290" s="86"/>
      <c r="AL290" s="85"/>
      <c r="AM290" s="43"/>
      <c r="AN290" s="116"/>
      <c r="AO290" s="43"/>
      <c r="AP290" s="122"/>
      <c r="AQ290" s="43"/>
      <c r="AR290" s="122"/>
      <c r="AS290" s="43"/>
      <c r="AT290" s="122"/>
      <c r="AU290" s="43"/>
      <c r="AV290" s="123"/>
      <c r="AX290" s="123"/>
      <c r="AY290" s="43"/>
      <c r="AZ290" s="123"/>
      <c r="BB290" s="47">
        <f t="shared" si="8"/>
        <v>3803.04</v>
      </c>
      <c r="BC290" s="38">
        <f t="shared" si="2"/>
        <v>342</v>
      </c>
      <c r="BD290" s="38">
        <f t="shared" si="3"/>
        <v>0</v>
      </c>
      <c r="BE290" s="38">
        <f t="shared" si="4"/>
        <v>342</v>
      </c>
      <c r="BF290" s="76">
        <f t="shared" si="5"/>
        <v>11.12</v>
      </c>
      <c r="BG290" s="78">
        <f t="shared" si="9"/>
        <v>45949</v>
      </c>
    </row>
    <row r="291" ht="15.75" customHeight="1">
      <c r="A291" s="50" t="s">
        <v>48</v>
      </c>
      <c r="B291" s="51">
        <f t="shared" si="6"/>
        <v>45944</v>
      </c>
      <c r="C291" s="89">
        <v>11.2</v>
      </c>
      <c r="D291" s="52" t="s">
        <v>65</v>
      </c>
      <c r="E291" s="53"/>
      <c r="F291" s="85"/>
      <c r="H291" s="86"/>
      <c r="J291" s="86"/>
      <c r="L291" s="86"/>
      <c r="N291" s="86"/>
      <c r="P291" s="86"/>
      <c r="Q291" s="43"/>
      <c r="R291" s="86"/>
      <c r="T291" s="85">
        <v>170.0</v>
      </c>
      <c r="V291" s="86">
        <v>170.0</v>
      </c>
      <c r="X291" s="86"/>
      <c r="Z291" s="86">
        <v>2.0</v>
      </c>
      <c r="AB291" s="86"/>
      <c r="AD291" s="86"/>
      <c r="AE291" s="43"/>
      <c r="AF291" s="86"/>
      <c r="AH291" s="86"/>
      <c r="AJ291" s="86"/>
      <c r="AL291" s="85"/>
      <c r="AM291" s="43"/>
      <c r="AN291" s="116"/>
      <c r="AO291" s="43"/>
      <c r="AP291" s="122"/>
      <c r="AQ291" s="43"/>
      <c r="AR291" s="122"/>
      <c r="AS291" s="43"/>
      <c r="AT291" s="122"/>
      <c r="AU291" s="43"/>
      <c r="AV291" s="123"/>
      <c r="AX291" s="123"/>
      <c r="AY291" s="43"/>
      <c r="AZ291" s="123"/>
      <c r="BB291" s="54">
        <f t="shared" si="8"/>
        <v>3803.04</v>
      </c>
      <c r="BC291" s="52">
        <f t="shared" si="2"/>
        <v>342</v>
      </c>
      <c r="BD291" s="52">
        <f t="shared" si="3"/>
        <v>0</v>
      </c>
      <c r="BE291" s="52">
        <f t="shared" si="4"/>
        <v>342</v>
      </c>
      <c r="BF291" s="49">
        <f t="shared" si="5"/>
        <v>11.12</v>
      </c>
      <c r="BG291" s="78">
        <f t="shared" si="9"/>
        <v>45949</v>
      </c>
    </row>
    <row r="292" ht="15.75" customHeight="1">
      <c r="A292" s="50" t="s">
        <v>49</v>
      </c>
      <c r="B292" s="51">
        <f t="shared" si="6"/>
        <v>45945</v>
      </c>
      <c r="C292" s="89">
        <v>11.2</v>
      </c>
      <c r="D292" s="52" t="s">
        <v>65</v>
      </c>
      <c r="E292" s="53"/>
      <c r="F292" s="85"/>
      <c r="H292" s="86"/>
      <c r="J292" s="86"/>
      <c r="L292" s="86"/>
      <c r="N292" s="86"/>
      <c r="P292" s="86"/>
      <c r="Q292" s="43"/>
      <c r="R292" s="86"/>
      <c r="T292" s="85">
        <v>170.0</v>
      </c>
      <c r="V292" s="86">
        <v>170.0</v>
      </c>
      <c r="X292" s="86"/>
      <c r="Z292" s="86">
        <v>2.0</v>
      </c>
      <c r="AB292" s="86"/>
      <c r="AD292" s="86"/>
      <c r="AE292" s="43"/>
      <c r="AF292" s="86"/>
      <c r="AH292" s="86"/>
      <c r="AJ292" s="86"/>
      <c r="AL292" s="85"/>
      <c r="AM292" s="43"/>
      <c r="AN292" s="116"/>
      <c r="AO292" s="43"/>
      <c r="AP292" s="122"/>
      <c r="AQ292" s="43"/>
      <c r="AR292" s="122"/>
      <c r="AS292" s="43"/>
      <c r="AT292" s="122"/>
      <c r="AU292" s="43"/>
      <c r="AV292" s="123"/>
      <c r="AX292" s="123"/>
      <c r="AY292" s="43"/>
      <c r="AZ292" s="123"/>
      <c r="BB292" s="54">
        <f t="shared" si="8"/>
        <v>3803.04</v>
      </c>
      <c r="BC292" s="52">
        <f t="shared" si="2"/>
        <v>342</v>
      </c>
      <c r="BD292" s="52">
        <f t="shared" si="3"/>
        <v>0</v>
      </c>
      <c r="BE292" s="52">
        <f t="shared" si="4"/>
        <v>342</v>
      </c>
      <c r="BF292" s="49">
        <f t="shared" si="5"/>
        <v>11.12</v>
      </c>
      <c r="BG292" s="78">
        <f t="shared" si="9"/>
        <v>45949</v>
      </c>
    </row>
    <row r="293" ht="15.75" customHeight="1">
      <c r="A293" s="50" t="s">
        <v>50</v>
      </c>
      <c r="B293" s="51">
        <f t="shared" si="6"/>
        <v>45946</v>
      </c>
      <c r="C293" s="89">
        <v>11.2</v>
      </c>
      <c r="D293" s="52" t="s">
        <v>65</v>
      </c>
      <c r="E293" s="53"/>
      <c r="F293" s="85"/>
      <c r="H293" s="86"/>
      <c r="J293" s="86"/>
      <c r="L293" s="86"/>
      <c r="N293" s="86"/>
      <c r="P293" s="86"/>
      <c r="Q293" s="43"/>
      <c r="R293" s="86"/>
      <c r="T293" s="85">
        <v>170.0</v>
      </c>
      <c r="V293" s="86">
        <v>170.0</v>
      </c>
      <c r="X293" s="86"/>
      <c r="Z293" s="86">
        <v>2.0</v>
      </c>
      <c r="AB293" s="86"/>
      <c r="AD293" s="86"/>
      <c r="AE293" s="43"/>
      <c r="AF293" s="86"/>
      <c r="AH293" s="86"/>
      <c r="AJ293" s="86"/>
      <c r="AL293" s="85"/>
      <c r="AM293" s="43"/>
      <c r="AN293" s="116"/>
      <c r="AO293" s="43"/>
      <c r="AP293" s="122"/>
      <c r="AQ293" s="43"/>
      <c r="AR293" s="122"/>
      <c r="AS293" s="43"/>
      <c r="AT293" s="85">
        <v>200.0</v>
      </c>
      <c r="AU293" s="43"/>
      <c r="AV293" s="123"/>
      <c r="AX293" s="123"/>
      <c r="AY293" s="43"/>
      <c r="AZ293" s="123"/>
      <c r="BB293" s="54">
        <f t="shared" si="8"/>
        <v>4131.04</v>
      </c>
      <c r="BC293" s="52">
        <f t="shared" si="2"/>
        <v>542</v>
      </c>
      <c r="BD293" s="52">
        <f t="shared" si="3"/>
        <v>0</v>
      </c>
      <c r="BE293" s="52">
        <f t="shared" si="4"/>
        <v>542</v>
      </c>
      <c r="BF293" s="49">
        <f t="shared" si="5"/>
        <v>7.621845018</v>
      </c>
      <c r="BG293" s="78">
        <f t="shared" si="9"/>
        <v>45949</v>
      </c>
    </row>
    <row r="294" ht="15.75" customHeight="1">
      <c r="A294" s="50" t="s">
        <v>53</v>
      </c>
      <c r="B294" s="51">
        <f t="shared" si="6"/>
        <v>45947</v>
      </c>
      <c r="C294" s="89">
        <v>11.2</v>
      </c>
      <c r="D294" s="52" t="s">
        <v>65</v>
      </c>
      <c r="E294" s="53"/>
      <c r="F294" s="85"/>
      <c r="H294" s="86"/>
      <c r="J294" s="86"/>
      <c r="L294" s="86"/>
      <c r="N294" s="86"/>
      <c r="P294" s="86"/>
      <c r="Q294" s="43"/>
      <c r="R294" s="86"/>
      <c r="T294" s="85">
        <v>170.0</v>
      </c>
      <c r="V294" s="86">
        <v>170.0</v>
      </c>
      <c r="X294" s="86"/>
      <c r="Z294" s="86">
        <v>2.0</v>
      </c>
      <c r="AB294" s="86"/>
      <c r="AD294" s="86"/>
      <c r="AE294" s="43"/>
      <c r="AF294" s="86"/>
      <c r="AH294" s="86"/>
      <c r="AJ294" s="86"/>
      <c r="AL294" s="85"/>
      <c r="AM294" s="43"/>
      <c r="AN294" s="116"/>
      <c r="AO294" s="43"/>
      <c r="AP294" s="122"/>
      <c r="AQ294" s="43"/>
      <c r="AR294" s="122"/>
      <c r="AS294" s="43"/>
      <c r="AT294" s="122"/>
      <c r="AU294" s="43"/>
      <c r="AV294" s="123"/>
      <c r="AX294" s="123"/>
      <c r="AY294" s="43"/>
      <c r="AZ294" s="123"/>
      <c r="BB294" s="54">
        <f t="shared" si="8"/>
        <v>3803.04</v>
      </c>
      <c r="BC294" s="52">
        <f t="shared" si="2"/>
        <v>342</v>
      </c>
      <c r="BD294" s="52">
        <f t="shared" si="3"/>
        <v>0</v>
      </c>
      <c r="BE294" s="52">
        <f t="shared" si="4"/>
        <v>342</v>
      </c>
      <c r="BF294" s="49">
        <f t="shared" si="5"/>
        <v>11.12</v>
      </c>
      <c r="BG294" s="78">
        <f t="shared" si="9"/>
        <v>45949</v>
      </c>
    </row>
    <row r="295" ht="15.75" customHeight="1">
      <c r="A295" s="50" t="s">
        <v>54</v>
      </c>
      <c r="B295" s="51">
        <f t="shared" si="6"/>
        <v>45948</v>
      </c>
      <c r="C295" s="89">
        <v>11.2</v>
      </c>
      <c r="D295" s="52" t="s">
        <v>65</v>
      </c>
      <c r="E295" s="92" t="s">
        <v>78</v>
      </c>
      <c r="F295" s="85"/>
      <c r="H295" s="86"/>
      <c r="J295" s="86"/>
      <c r="L295" s="86"/>
      <c r="N295" s="86"/>
      <c r="P295" s="86"/>
      <c r="Q295" s="43"/>
      <c r="R295" s="86"/>
      <c r="T295" s="85">
        <v>0.0</v>
      </c>
      <c r="V295" s="86">
        <v>0.0</v>
      </c>
      <c r="X295" s="86"/>
      <c r="Z295" s="86">
        <v>6.0</v>
      </c>
      <c r="AB295" s="86"/>
      <c r="AD295" s="86"/>
      <c r="AE295" s="43"/>
      <c r="AF295" s="86"/>
      <c r="AH295" s="86"/>
      <c r="AJ295" s="86"/>
      <c r="AL295" s="85"/>
      <c r="AM295" s="43"/>
      <c r="AN295" s="116"/>
      <c r="AO295" s="43"/>
      <c r="AP295" s="122"/>
      <c r="AQ295" s="43"/>
      <c r="AR295" s="122"/>
      <c r="AS295" s="43"/>
      <c r="AT295" s="122"/>
      <c r="AU295" s="43"/>
      <c r="AV295" s="123"/>
      <c r="AX295" s="123"/>
      <c r="AY295" s="43"/>
      <c r="AZ295" s="123"/>
      <c r="BB295" s="54">
        <f t="shared" si="8"/>
        <v>66.72</v>
      </c>
      <c r="BC295" s="52">
        <f t="shared" si="2"/>
        <v>6</v>
      </c>
      <c r="BD295" s="52">
        <f t="shared" si="3"/>
        <v>0</v>
      </c>
      <c r="BE295" s="52">
        <f t="shared" si="4"/>
        <v>6</v>
      </c>
      <c r="BF295" s="49">
        <f t="shared" si="5"/>
        <v>11.12</v>
      </c>
      <c r="BG295" s="78">
        <f t="shared" si="9"/>
        <v>45949</v>
      </c>
    </row>
    <row r="296" ht="15.75" customHeight="1">
      <c r="A296" s="59" t="s">
        <v>61</v>
      </c>
      <c r="B296" s="61">
        <f t="shared" si="6"/>
        <v>45949</v>
      </c>
      <c r="C296" s="89">
        <v>11.2</v>
      </c>
      <c r="D296" s="63" t="s">
        <v>65</v>
      </c>
      <c r="E296" s="94" t="b">
        <v>1</v>
      </c>
      <c r="F296" s="87"/>
      <c r="G296" s="66"/>
      <c r="H296" s="88"/>
      <c r="I296" s="66"/>
      <c r="J296" s="88"/>
      <c r="K296" s="66"/>
      <c r="L296" s="88"/>
      <c r="M296" s="66"/>
      <c r="N296" s="88"/>
      <c r="O296" s="66"/>
      <c r="P296" s="88"/>
      <c r="Q296" s="68"/>
      <c r="R296" s="88"/>
      <c r="S296" s="66"/>
      <c r="T296" s="87">
        <v>0.0</v>
      </c>
      <c r="U296" s="66"/>
      <c r="V296" s="88">
        <v>0.0</v>
      </c>
      <c r="W296" s="66"/>
      <c r="X296" s="88"/>
      <c r="Y296" s="66"/>
      <c r="Z296" s="88">
        <v>6.0</v>
      </c>
      <c r="AA296" s="66"/>
      <c r="AB296" s="88"/>
      <c r="AC296" s="66"/>
      <c r="AD296" s="88"/>
      <c r="AE296" s="68"/>
      <c r="AF296" s="88"/>
      <c r="AG296" s="66"/>
      <c r="AH296" s="88"/>
      <c r="AI296" s="66"/>
      <c r="AJ296" s="88"/>
      <c r="AK296" s="66"/>
      <c r="AL296" s="87"/>
      <c r="AM296" s="68"/>
      <c r="AN296" s="121"/>
      <c r="AO296" s="68"/>
      <c r="AP296" s="124"/>
      <c r="AQ296" s="68"/>
      <c r="AR296" s="124"/>
      <c r="AS296" s="68"/>
      <c r="AT296" s="124"/>
      <c r="AU296" s="68"/>
      <c r="AV296" s="125"/>
      <c r="AW296" s="66"/>
      <c r="AX296" s="125"/>
      <c r="AY296" s="68"/>
      <c r="AZ296" s="125"/>
      <c r="BA296" s="66"/>
      <c r="BB296" s="73">
        <f t="shared" si="8"/>
        <v>66.72</v>
      </c>
      <c r="BC296" s="63">
        <f t="shared" si="2"/>
        <v>6</v>
      </c>
      <c r="BD296" s="63">
        <f t="shared" si="3"/>
        <v>0</v>
      </c>
      <c r="BE296" s="63">
        <f t="shared" si="4"/>
        <v>6</v>
      </c>
      <c r="BF296" s="74">
        <f t="shared" si="5"/>
        <v>11.12</v>
      </c>
      <c r="BG296" s="78">
        <f t="shared" si="9"/>
        <v>45949</v>
      </c>
    </row>
    <row r="297" ht="15.75" customHeight="1">
      <c r="A297" s="36" t="s">
        <v>46</v>
      </c>
      <c r="B297" s="75">
        <f t="shared" si="6"/>
        <v>45950</v>
      </c>
      <c r="C297" s="48">
        <v>11.3</v>
      </c>
      <c r="D297" s="38" t="s">
        <v>69</v>
      </c>
      <c r="E297" s="40"/>
      <c r="F297" s="85"/>
      <c r="H297" s="86"/>
      <c r="J297" s="86"/>
      <c r="L297" s="86"/>
      <c r="N297" s="86"/>
      <c r="P297" s="86"/>
      <c r="Q297" s="43"/>
      <c r="R297" s="86"/>
      <c r="T297" s="85">
        <v>185.0</v>
      </c>
      <c r="V297" s="86">
        <v>185.0</v>
      </c>
      <c r="X297" s="86"/>
      <c r="Z297" s="86">
        <v>3.0</v>
      </c>
      <c r="AB297" s="86"/>
      <c r="AD297" s="86"/>
      <c r="AE297" s="43"/>
      <c r="AF297" s="86"/>
      <c r="AH297" s="86"/>
      <c r="AJ297" s="86"/>
      <c r="AL297" s="85"/>
      <c r="AM297" s="43"/>
      <c r="AN297" s="116"/>
      <c r="AO297" s="43"/>
      <c r="AP297" s="122"/>
      <c r="AQ297" s="43"/>
      <c r="AR297" s="122"/>
      <c r="AS297" s="43"/>
      <c r="AT297" s="122"/>
      <c r="AU297" s="43"/>
      <c r="AV297" s="123"/>
      <c r="AX297" s="123"/>
      <c r="AY297" s="43"/>
      <c r="AZ297" s="123"/>
      <c r="BB297" s="47">
        <f t="shared" si="8"/>
        <v>4147.76</v>
      </c>
      <c r="BC297" s="38">
        <f t="shared" si="2"/>
        <v>373</v>
      </c>
      <c r="BD297" s="38">
        <f t="shared" si="3"/>
        <v>0</v>
      </c>
      <c r="BE297" s="38">
        <f t="shared" si="4"/>
        <v>373</v>
      </c>
      <c r="BF297" s="76">
        <f t="shared" si="5"/>
        <v>11.12</v>
      </c>
      <c r="BG297" s="78">
        <f t="shared" si="9"/>
        <v>45956</v>
      </c>
    </row>
    <row r="298" ht="15.75" customHeight="1">
      <c r="A298" s="50" t="s">
        <v>48</v>
      </c>
      <c r="B298" s="51">
        <f t="shared" si="6"/>
        <v>45951</v>
      </c>
      <c r="C298" s="89">
        <v>11.3</v>
      </c>
      <c r="D298" s="52" t="s">
        <v>69</v>
      </c>
      <c r="E298" s="53"/>
      <c r="F298" s="85"/>
      <c r="H298" s="86"/>
      <c r="J298" s="86"/>
      <c r="L298" s="86"/>
      <c r="N298" s="86"/>
      <c r="P298" s="86"/>
      <c r="Q298" s="43"/>
      <c r="R298" s="86"/>
      <c r="T298" s="85">
        <v>185.0</v>
      </c>
      <c r="V298" s="86">
        <v>185.0</v>
      </c>
      <c r="X298" s="86"/>
      <c r="Z298" s="86">
        <v>3.0</v>
      </c>
      <c r="AB298" s="86"/>
      <c r="AD298" s="86"/>
      <c r="AE298" s="43"/>
      <c r="AF298" s="86"/>
      <c r="AH298" s="86"/>
      <c r="AJ298" s="86"/>
      <c r="AL298" s="85"/>
      <c r="AM298" s="43"/>
      <c r="AN298" s="116"/>
      <c r="AO298" s="43"/>
      <c r="AP298" s="122"/>
      <c r="AQ298" s="43"/>
      <c r="AR298" s="122"/>
      <c r="AS298" s="43"/>
      <c r="AT298" s="85">
        <v>200.0</v>
      </c>
      <c r="AU298" s="43"/>
      <c r="AV298" s="123"/>
      <c r="AX298" s="123"/>
      <c r="AY298" s="43"/>
      <c r="AZ298" s="123"/>
      <c r="BB298" s="54">
        <f t="shared" si="8"/>
        <v>4475.76</v>
      </c>
      <c r="BC298" s="52">
        <f t="shared" si="2"/>
        <v>573</v>
      </c>
      <c r="BD298" s="52">
        <f t="shared" si="3"/>
        <v>0</v>
      </c>
      <c r="BE298" s="52">
        <f t="shared" si="4"/>
        <v>573</v>
      </c>
      <c r="BF298" s="49">
        <f t="shared" si="5"/>
        <v>7.811099476</v>
      </c>
      <c r="BG298" s="78">
        <f t="shared" si="9"/>
        <v>45956</v>
      </c>
    </row>
    <row r="299" ht="15.75" customHeight="1">
      <c r="A299" s="50" t="s">
        <v>49</v>
      </c>
      <c r="B299" s="51">
        <f t="shared" si="6"/>
        <v>45952</v>
      </c>
      <c r="C299" s="89">
        <v>11.3</v>
      </c>
      <c r="D299" s="52" t="s">
        <v>69</v>
      </c>
      <c r="E299" s="53"/>
      <c r="F299" s="85"/>
      <c r="H299" s="86"/>
      <c r="J299" s="86"/>
      <c r="L299" s="86"/>
      <c r="N299" s="86"/>
      <c r="P299" s="86"/>
      <c r="Q299" s="43"/>
      <c r="R299" s="86"/>
      <c r="T299" s="85">
        <v>185.0</v>
      </c>
      <c r="V299" s="86">
        <v>185.0</v>
      </c>
      <c r="X299" s="86"/>
      <c r="Z299" s="86">
        <v>3.0</v>
      </c>
      <c r="AB299" s="86"/>
      <c r="AD299" s="86"/>
      <c r="AE299" s="43"/>
      <c r="AF299" s="86"/>
      <c r="AH299" s="86"/>
      <c r="AJ299" s="86"/>
      <c r="AL299" s="85"/>
      <c r="AM299" s="43"/>
      <c r="AN299" s="116"/>
      <c r="AO299" s="43"/>
      <c r="AP299" s="122"/>
      <c r="AQ299" s="43"/>
      <c r="AR299" s="122"/>
      <c r="AS299" s="43"/>
      <c r="AT299" s="122"/>
      <c r="AU299" s="43"/>
      <c r="AV299" s="123"/>
      <c r="AX299" s="123"/>
      <c r="AY299" s="43"/>
      <c r="AZ299" s="123"/>
      <c r="BB299" s="54">
        <f t="shared" si="8"/>
        <v>4147.76</v>
      </c>
      <c r="BC299" s="52">
        <f t="shared" si="2"/>
        <v>373</v>
      </c>
      <c r="BD299" s="52">
        <f t="shared" si="3"/>
        <v>0</v>
      </c>
      <c r="BE299" s="52">
        <f t="shared" si="4"/>
        <v>373</v>
      </c>
      <c r="BF299" s="49">
        <f t="shared" si="5"/>
        <v>11.12</v>
      </c>
      <c r="BG299" s="78">
        <f t="shared" si="9"/>
        <v>45956</v>
      </c>
    </row>
    <row r="300" ht="15.75" customHeight="1">
      <c r="A300" s="50" t="s">
        <v>50</v>
      </c>
      <c r="B300" s="51">
        <f t="shared" si="6"/>
        <v>45953</v>
      </c>
      <c r="C300" s="89">
        <v>11.3</v>
      </c>
      <c r="D300" s="52" t="s">
        <v>69</v>
      </c>
      <c r="E300" s="53"/>
      <c r="F300" s="85"/>
      <c r="H300" s="86"/>
      <c r="J300" s="86"/>
      <c r="L300" s="86"/>
      <c r="N300" s="86"/>
      <c r="P300" s="86"/>
      <c r="Q300" s="43"/>
      <c r="R300" s="86"/>
      <c r="T300" s="85">
        <v>185.0</v>
      </c>
      <c r="V300" s="86">
        <v>185.0</v>
      </c>
      <c r="X300" s="86"/>
      <c r="Z300" s="86">
        <v>5.0</v>
      </c>
      <c r="AB300" s="86"/>
      <c r="AD300" s="86"/>
      <c r="AE300" s="43"/>
      <c r="AF300" s="86"/>
      <c r="AH300" s="86"/>
      <c r="AJ300" s="86"/>
      <c r="AL300" s="85"/>
      <c r="AM300" s="43"/>
      <c r="AN300" s="116"/>
      <c r="AO300" s="43"/>
      <c r="AP300" s="122"/>
      <c r="AQ300" s="43"/>
      <c r="AR300" s="122"/>
      <c r="AS300" s="43"/>
      <c r="AT300" s="85">
        <v>200.0</v>
      </c>
      <c r="AU300" s="43"/>
      <c r="AV300" s="123"/>
      <c r="AX300" s="123"/>
      <c r="AY300" s="43"/>
      <c r="AZ300" s="123"/>
      <c r="BB300" s="54">
        <f t="shared" si="8"/>
        <v>4498</v>
      </c>
      <c r="BC300" s="52">
        <f t="shared" si="2"/>
        <v>575</v>
      </c>
      <c r="BD300" s="52">
        <f t="shared" si="3"/>
        <v>0</v>
      </c>
      <c r="BE300" s="52">
        <f t="shared" si="4"/>
        <v>575</v>
      </c>
      <c r="BF300" s="49">
        <f t="shared" si="5"/>
        <v>7.822608696</v>
      </c>
      <c r="BG300" s="78">
        <f t="shared" si="9"/>
        <v>45956</v>
      </c>
    </row>
    <row r="301" ht="15.75" customHeight="1">
      <c r="A301" s="50" t="s">
        <v>53</v>
      </c>
      <c r="B301" s="51">
        <f t="shared" si="6"/>
        <v>45954</v>
      </c>
      <c r="C301" s="89">
        <v>11.3</v>
      </c>
      <c r="D301" s="52" t="s">
        <v>69</v>
      </c>
      <c r="E301" s="53"/>
      <c r="F301" s="85"/>
      <c r="H301" s="86"/>
      <c r="J301" s="86"/>
      <c r="L301" s="86"/>
      <c r="N301" s="86"/>
      <c r="P301" s="86"/>
      <c r="Q301" s="43"/>
      <c r="R301" s="86"/>
      <c r="T301" s="85">
        <v>175.0</v>
      </c>
      <c r="V301" s="86">
        <v>175.0</v>
      </c>
      <c r="X301" s="86"/>
      <c r="Z301" s="86">
        <v>5.0</v>
      </c>
      <c r="AB301" s="86"/>
      <c r="AD301" s="86"/>
      <c r="AE301" s="43"/>
      <c r="AF301" s="86"/>
      <c r="AH301" s="86"/>
      <c r="AJ301" s="86"/>
      <c r="AL301" s="85"/>
      <c r="AM301" s="43"/>
      <c r="AN301" s="116"/>
      <c r="AO301" s="43"/>
      <c r="AP301" s="122"/>
      <c r="AQ301" s="43"/>
      <c r="AR301" s="122"/>
      <c r="AS301" s="43"/>
      <c r="AT301" s="122"/>
      <c r="AU301" s="43"/>
      <c r="AV301" s="123"/>
      <c r="AX301" s="123"/>
      <c r="AY301" s="43"/>
      <c r="AZ301" s="123"/>
      <c r="BB301" s="54">
        <f t="shared" si="8"/>
        <v>3947.6</v>
      </c>
      <c r="BC301" s="52">
        <f t="shared" si="2"/>
        <v>355</v>
      </c>
      <c r="BD301" s="52">
        <f t="shared" si="3"/>
        <v>0</v>
      </c>
      <c r="BE301" s="52">
        <f t="shared" si="4"/>
        <v>355</v>
      </c>
      <c r="BF301" s="49">
        <f t="shared" si="5"/>
        <v>11.12</v>
      </c>
      <c r="BG301" s="78">
        <f t="shared" si="9"/>
        <v>45956</v>
      </c>
    </row>
    <row r="302" ht="15.75" customHeight="1">
      <c r="A302" s="50" t="s">
        <v>54</v>
      </c>
      <c r="B302" s="51">
        <f t="shared" si="6"/>
        <v>45955</v>
      </c>
      <c r="C302" s="89">
        <v>11.3</v>
      </c>
      <c r="D302" s="52" t="s">
        <v>69</v>
      </c>
      <c r="E302" s="92" t="s">
        <v>78</v>
      </c>
      <c r="F302" s="85"/>
      <c r="H302" s="86"/>
      <c r="J302" s="86"/>
      <c r="L302" s="86"/>
      <c r="N302" s="86"/>
      <c r="P302" s="86"/>
      <c r="Q302" s="43"/>
      <c r="R302" s="86"/>
      <c r="T302" s="85">
        <v>0.0</v>
      </c>
      <c r="V302" s="86">
        <v>0.0</v>
      </c>
      <c r="X302" s="86"/>
      <c r="Z302" s="86">
        <v>9.0</v>
      </c>
      <c r="AB302" s="86"/>
      <c r="AD302" s="86"/>
      <c r="AE302" s="43"/>
      <c r="AF302" s="86"/>
      <c r="AH302" s="86"/>
      <c r="AJ302" s="86"/>
      <c r="AL302" s="85"/>
      <c r="AM302" s="43"/>
      <c r="AN302" s="116"/>
      <c r="AO302" s="43"/>
      <c r="AP302" s="122"/>
      <c r="AQ302" s="43"/>
      <c r="AR302" s="122"/>
      <c r="AS302" s="43"/>
      <c r="AT302" s="122"/>
      <c r="AU302" s="43"/>
      <c r="AV302" s="123"/>
      <c r="AX302" s="123"/>
      <c r="AY302" s="43"/>
      <c r="AZ302" s="123"/>
      <c r="BB302" s="54">
        <f t="shared" si="8"/>
        <v>100.08</v>
      </c>
      <c r="BC302" s="52">
        <f t="shared" si="2"/>
        <v>9</v>
      </c>
      <c r="BD302" s="52">
        <f t="shared" si="3"/>
        <v>0</v>
      </c>
      <c r="BE302" s="52">
        <f t="shared" si="4"/>
        <v>9</v>
      </c>
      <c r="BF302" s="49">
        <f t="shared" si="5"/>
        <v>11.12</v>
      </c>
      <c r="BG302" s="78">
        <f t="shared" si="9"/>
        <v>45956</v>
      </c>
    </row>
    <row r="303" ht="15.75" customHeight="1">
      <c r="A303" s="59" t="s">
        <v>61</v>
      </c>
      <c r="B303" s="61">
        <f t="shared" si="6"/>
        <v>45956</v>
      </c>
      <c r="C303" s="89">
        <v>11.3</v>
      </c>
      <c r="D303" s="63" t="s">
        <v>69</v>
      </c>
      <c r="E303" s="94" t="b">
        <v>1</v>
      </c>
      <c r="F303" s="87"/>
      <c r="G303" s="66"/>
      <c r="H303" s="88"/>
      <c r="I303" s="66"/>
      <c r="J303" s="88"/>
      <c r="K303" s="66"/>
      <c r="L303" s="88"/>
      <c r="M303" s="66"/>
      <c r="N303" s="88"/>
      <c r="O303" s="66"/>
      <c r="P303" s="88"/>
      <c r="Q303" s="68"/>
      <c r="R303" s="88"/>
      <c r="S303" s="66"/>
      <c r="T303" s="87">
        <v>0.0</v>
      </c>
      <c r="U303" s="66"/>
      <c r="V303" s="88">
        <v>0.0</v>
      </c>
      <c r="W303" s="66"/>
      <c r="X303" s="88"/>
      <c r="Y303" s="66"/>
      <c r="Z303" s="88">
        <v>9.0</v>
      </c>
      <c r="AA303" s="66"/>
      <c r="AB303" s="88"/>
      <c r="AC303" s="66"/>
      <c r="AD303" s="88"/>
      <c r="AE303" s="68"/>
      <c r="AF303" s="88"/>
      <c r="AG303" s="66"/>
      <c r="AH303" s="88"/>
      <c r="AI303" s="66"/>
      <c r="AJ303" s="88"/>
      <c r="AK303" s="66"/>
      <c r="AL303" s="87"/>
      <c r="AM303" s="68"/>
      <c r="AN303" s="121"/>
      <c r="AO303" s="68"/>
      <c r="AP303" s="124"/>
      <c r="AQ303" s="68"/>
      <c r="AR303" s="124"/>
      <c r="AS303" s="68"/>
      <c r="AT303" s="124"/>
      <c r="AU303" s="68"/>
      <c r="AV303" s="125"/>
      <c r="AW303" s="66"/>
      <c r="AX303" s="125"/>
      <c r="AY303" s="68"/>
      <c r="AZ303" s="125"/>
      <c r="BA303" s="66"/>
      <c r="BB303" s="73">
        <f t="shared" si="8"/>
        <v>100.08</v>
      </c>
      <c r="BC303" s="63">
        <f t="shared" si="2"/>
        <v>9</v>
      </c>
      <c r="BD303" s="63">
        <f t="shared" si="3"/>
        <v>0</v>
      </c>
      <c r="BE303" s="63">
        <f t="shared" si="4"/>
        <v>9</v>
      </c>
      <c r="BF303" s="74">
        <f t="shared" si="5"/>
        <v>11.12</v>
      </c>
      <c r="BG303" s="78">
        <f t="shared" si="9"/>
        <v>45956</v>
      </c>
    </row>
    <row r="304" ht="15.75" customHeight="1">
      <c r="A304" s="36" t="s">
        <v>46</v>
      </c>
      <c r="B304" s="75">
        <f t="shared" si="6"/>
        <v>45957</v>
      </c>
      <c r="C304" s="48">
        <v>11.4</v>
      </c>
      <c r="D304" s="38" t="s">
        <v>72</v>
      </c>
      <c r="E304" s="40"/>
      <c r="F304" s="85"/>
      <c r="H304" s="86"/>
      <c r="J304" s="86"/>
      <c r="L304" s="86"/>
      <c r="N304" s="86"/>
      <c r="P304" s="86"/>
      <c r="Q304" s="43"/>
      <c r="R304" s="86"/>
      <c r="T304" s="85">
        <v>175.0</v>
      </c>
      <c r="V304" s="86">
        <v>175.0</v>
      </c>
      <c r="X304" s="86"/>
      <c r="Z304" s="86"/>
      <c r="AB304" s="86"/>
      <c r="AD304" s="86"/>
      <c r="AE304" s="43"/>
      <c r="AF304" s="86"/>
      <c r="AH304" s="86"/>
      <c r="AJ304" s="86"/>
      <c r="AL304" s="85"/>
      <c r="AM304" s="43"/>
      <c r="AN304" s="116"/>
      <c r="AO304" s="43"/>
      <c r="AP304" s="122"/>
      <c r="AQ304" s="43"/>
      <c r="AR304" s="122"/>
      <c r="AS304" s="43"/>
      <c r="AT304" s="122"/>
      <c r="AU304" s="43"/>
      <c r="AV304" s="123"/>
      <c r="AX304" s="123"/>
      <c r="AY304" s="43"/>
      <c r="AZ304" s="123"/>
      <c r="BB304" s="47">
        <f t="shared" si="8"/>
        <v>3892</v>
      </c>
      <c r="BC304" s="38">
        <f t="shared" si="2"/>
        <v>350</v>
      </c>
      <c r="BD304" s="38">
        <f t="shared" si="3"/>
        <v>0</v>
      </c>
      <c r="BE304" s="38">
        <f t="shared" si="4"/>
        <v>350</v>
      </c>
      <c r="BF304" s="76">
        <f t="shared" si="5"/>
        <v>11.12</v>
      </c>
      <c r="BG304" s="78">
        <f t="shared" si="9"/>
        <v>45963</v>
      </c>
    </row>
    <row r="305" ht="15.75" customHeight="1">
      <c r="A305" s="50" t="s">
        <v>48</v>
      </c>
      <c r="B305" s="51">
        <f t="shared" si="6"/>
        <v>45958</v>
      </c>
      <c r="C305" s="89">
        <v>11.4</v>
      </c>
      <c r="D305" s="52" t="s">
        <v>72</v>
      </c>
      <c r="E305" s="53"/>
      <c r="F305" s="85"/>
      <c r="H305" s="86"/>
      <c r="J305" s="86"/>
      <c r="L305" s="86"/>
      <c r="N305" s="86"/>
      <c r="P305" s="86"/>
      <c r="Q305" s="43"/>
      <c r="R305" s="86"/>
      <c r="T305" s="85">
        <v>175.0</v>
      </c>
      <c r="V305" s="86">
        <v>175.0</v>
      </c>
      <c r="X305" s="86"/>
      <c r="Z305" s="86"/>
      <c r="AB305" s="86"/>
      <c r="AD305" s="86"/>
      <c r="AE305" s="43"/>
      <c r="AF305" s="86"/>
      <c r="AH305" s="86"/>
      <c r="AJ305" s="86"/>
      <c r="AL305" s="85"/>
      <c r="AM305" s="43"/>
      <c r="AN305" s="116"/>
      <c r="AO305" s="43"/>
      <c r="AP305" s="122"/>
      <c r="AQ305" s="43"/>
      <c r="AR305" s="122"/>
      <c r="AS305" s="43"/>
      <c r="AT305" s="122"/>
      <c r="AU305" s="43"/>
      <c r="AV305" s="123"/>
      <c r="AX305" s="123"/>
      <c r="AY305" s="43"/>
      <c r="AZ305" s="123"/>
      <c r="BB305" s="54">
        <f t="shared" si="8"/>
        <v>3892</v>
      </c>
      <c r="BC305" s="52">
        <f t="shared" si="2"/>
        <v>350</v>
      </c>
      <c r="BD305" s="52">
        <f t="shared" si="3"/>
        <v>0</v>
      </c>
      <c r="BE305" s="52">
        <f t="shared" si="4"/>
        <v>350</v>
      </c>
      <c r="BF305" s="49">
        <f t="shared" si="5"/>
        <v>11.12</v>
      </c>
      <c r="BG305" s="78">
        <f t="shared" si="9"/>
        <v>45963</v>
      </c>
    </row>
    <row r="306" ht="15.75" customHeight="1">
      <c r="A306" s="50" t="s">
        <v>49</v>
      </c>
      <c r="B306" s="51">
        <f t="shared" si="6"/>
        <v>45959</v>
      </c>
      <c r="C306" s="89">
        <v>11.4</v>
      </c>
      <c r="D306" s="52" t="s">
        <v>72</v>
      </c>
      <c r="E306" s="53"/>
      <c r="F306" s="85"/>
      <c r="H306" s="86"/>
      <c r="J306" s="86"/>
      <c r="L306" s="86"/>
      <c r="N306" s="86"/>
      <c r="P306" s="86"/>
      <c r="Q306" s="43"/>
      <c r="R306" s="86"/>
      <c r="T306" s="85">
        <v>175.0</v>
      </c>
      <c r="V306" s="86">
        <v>175.0</v>
      </c>
      <c r="X306" s="86"/>
      <c r="Z306" s="86"/>
      <c r="AB306" s="86"/>
      <c r="AD306" s="86"/>
      <c r="AE306" s="43"/>
      <c r="AF306" s="86"/>
      <c r="AH306" s="86"/>
      <c r="AJ306" s="86"/>
      <c r="AL306" s="85"/>
      <c r="AM306" s="43"/>
      <c r="AN306" s="116"/>
      <c r="AO306" s="43"/>
      <c r="AP306" s="122"/>
      <c r="AQ306" s="43"/>
      <c r="AR306" s="122"/>
      <c r="AS306" s="43"/>
      <c r="AT306" s="122"/>
      <c r="AU306" s="43"/>
      <c r="AV306" s="123"/>
      <c r="AX306" s="123"/>
      <c r="AY306" s="43"/>
      <c r="AZ306" s="123"/>
      <c r="BB306" s="54">
        <f t="shared" si="8"/>
        <v>3892</v>
      </c>
      <c r="BC306" s="52">
        <f t="shared" si="2"/>
        <v>350</v>
      </c>
      <c r="BD306" s="52">
        <f t="shared" si="3"/>
        <v>0</v>
      </c>
      <c r="BE306" s="52">
        <f t="shared" si="4"/>
        <v>350</v>
      </c>
      <c r="BF306" s="49">
        <f t="shared" si="5"/>
        <v>11.12</v>
      </c>
      <c r="BG306" s="78">
        <f t="shared" si="9"/>
        <v>45963</v>
      </c>
    </row>
    <row r="307" ht="15.75" customHeight="1">
      <c r="A307" s="50" t="s">
        <v>50</v>
      </c>
      <c r="B307" s="51">
        <f t="shared" si="6"/>
        <v>45960</v>
      </c>
      <c r="C307" s="89">
        <v>11.4</v>
      </c>
      <c r="D307" s="52" t="s">
        <v>72</v>
      </c>
      <c r="E307" s="53"/>
      <c r="F307" s="85"/>
      <c r="H307" s="86"/>
      <c r="J307" s="86"/>
      <c r="L307" s="86"/>
      <c r="N307" s="86"/>
      <c r="P307" s="86"/>
      <c r="Q307" s="43"/>
      <c r="R307" s="86"/>
      <c r="T307" s="85">
        <v>175.0</v>
      </c>
      <c r="V307" s="86">
        <v>175.0</v>
      </c>
      <c r="X307" s="86"/>
      <c r="Z307" s="86"/>
      <c r="AB307" s="86"/>
      <c r="AD307" s="86"/>
      <c r="AE307" s="43"/>
      <c r="AF307" s="86"/>
      <c r="AH307" s="86"/>
      <c r="AJ307" s="86"/>
      <c r="AL307" s="85"/>
      <c r="AM307" s="43"/>
      <c r="AN307" s="116"/>
      <c r="AO307" s="43"/>
      <c r="AP307" s="122"/>
      <c r="AQ307" s="43"/>
      <c r="AR307" s="122"/>
      <c r="AS307" s="43"/>
      <c r="AT307" s="122"/>
      <c r="AU307" s="43"/>
      <c r="AV307" s="123"/>
      <c r="AX307" s="123"/>
      <c r="AY307" s="43"/>
      <c r="AZ307" s="123"/>
      <c r="BB307" s="54">
        <f t="shared" si="8"/>
        <v>3892</v>
      </c>
      <c r="BC307" s="52">
        <f t="shared" si="2"/>
        <v>350</v>
      </c>
      <c r="BD307" s="52">
        <f t="shared" si="3"/>
        <v>0</v>
      </c>
      <c r="BE307" s="52">
        <f t="shared" si="4"/>
        <v>350</v>
      </c>
      <c r="BF307" s="49">
        <f t="shared" si="5"/>
        <v>11.12</v>
      </c>
      <c r="BG307" s="78">
        <f t="shared" si="9"/>
        <v>45963</v>
      </c>
    </row>
    <row r="308" ht="15.75" customHeight="1">
      <c r="A308" s="50" t="s">
        <v>53</v>
      </c>
      <c r="B308" s="51">
        <f t="shared" si="6"/>
        <v>45961</v>
      </c>
      <c r="C308" s="89">
        <v>11.4</v>
      </c>
      <c r="D308" s="52" t="s">
        <v>72</v>
      </c>
      <c r="E308" s="53"/>
      <c r="F308" s="85"/>
      <c r="H308" s="86"/>
      <c r="J308" s="86"/>
      <c r="L308" s="86"/>
      <c r="N308" s="86"/>
      <c r="P308" s="86"/>
      <c r="Q308" s="43"/>
      <c r="R308" s="86"/>
      <c r="T308" s="85">
        <v>175.0</v>
      </c>
      <c r="V308" s="86">
        <v>175.0</v>
      </c>
      <c r="X308" s="86"/>
      <c r="Z308" s="86"/>
      <c r="AB308" s="86"/>
      <c r="AD308" s="86"/>
      <c r="AE308" s="43"/>
      <c r="AF308" s="86"/>
      <c r="AH308" s="86"/>
      <c r="AJ308" s="86"/>
      <c r="AL308" s="85"/>
      <c r="AM308" s="43"/>
      <c r="AN308" s="116"/>
      <c r="AO308" s="43"/>
      <c r="AP308" s="122"/>
      <c r="AQ308" s="43"/>
      <c r="AR308" s="122"/>
      <c r="AS308" s="43"/>
      <c r="AT308" s="122"/>
      <c r="AU308" s="43"/>
      <c r="AV308" s="123"/>
      <c r="AX308" s="123"/>
      <c r="AY308" s="43"/>
      <c r="AZ308" s="123"/>
      <c r="BB308" s="54">
        <f t="shared" si="8"/>
        <v>3892</v>
      </c>
      <c r="BC308" s="52">
        <f t="shared" si="2"/>
        <v>350</v>
      </c>
      <c r="BD308" s="52">
        <f t="shared" si="3"/>
        <v>0</v>
      </c>
      <c r="BE308" s="52">
        <f t="shared" si="4"/>
        <v>350</v>
      </c>
      <c r="BF308" s="49">
        <f t="shared" si="5"/>
        <v>11.12</v>
      </c>
      <c r="BG308" s="78">
        <f t="shared" si="9"/>
        <v>45963</v>
      </c>
    </row>
    <row r="309" ht="15.75" customHeight="1">
      <c r="A309" s="50" t="s">
        <v>54</v>
      </c>
      <c r="B309" s="51">
        <f t="shared" si="6"/>
        <v>45962</v>
      </c>
      <c r="C309" s="89">
        <v>11.4</v>
      </c>
      <c r="D309" s="52" t="s">
        <v>72</v>
      </c>
      <c r="E309" s="92" t="s">
        <v>78</v>
      </c>
      <c r="F309" s="85"/>
      <c r="H309" s="86"/>
      <c r="J309" s="86"/>
      <c r="L309" s="86"/>
      <c r="N309" s="86"/>
      <c r="P309" s="86"/>
      <c r="Q309" s="43"/>
      <c r="R309" s="86"/>
      <c r="T309" s="85">
        <v>0.0</v>
      </c>
      <c r="V309" s="86">
        <v>0.0</v>
      </c>
      <c r="X309" s="86"/>
      <c r="Z309" s="86"/>
      <c r="AB309" s="86"/>
      <c r="AD309" s="86"/>
      <c r="AE309" s="43"/>
      <c r="AF309" s="86"/>
      <c r="AH309" s="86"/>
      <c r="AJ309" s="86"/>
      <c r="AL309" s="85"/>
      <c r="AM309" s="43"/>
      <c r="AN309" s="116"/>
      <c r="AO309" s="43"/>
      <c r="AP309" s="122"/>
      <c r="AQ309" s="43"/>
      <c r="AR309" s="122"/>
      <c r="AS309" s="43"/>
      <c r="AT309" s="122"/>
      <c r="AU309" s="43"/>
      <c r="AV309" s="123"/>
      <c r="AX309" s="123"/>
      <c r="AY309" s="43"/>
      <c r="AZ309" s="123"/>
      <c r="BB309" s="54">
        <f t="shared" si="8"/>
        <v>0</v>
      </c>
      <c r="BC309" s="52">
        <f t="shared" si="2"/>
        <v>0</v>
      </c>
      <c r="BD309" s="52">
        <f t="shared" si="3"/>
        <v>0</v>
      </c>
      <c r="BE309" s="52">
        <f t="shared" si="4"/>
        <v>0</v>
      </c>
      <c r="BF309" s="49" t="str">
        <f t="shared" si="5"/>
        <v/>
      </c>
      <c r="BG309" s="78">
        <f t="shared" si="9"/>
        <v>45963</v>
      </c>
    </row>
    <row r="310" ht="15.75" customHeight="1">
      <c r="A310" s="59" t="s">
        <v>61</v>
      </c>
      <c r="B310" s="61">
        <f t="shared" si="6"/>
        <v>45963</v>
      </c>
      <c r="C310" s="89">
        <v>11.4</v>
      </c>
      <c r="D310" s="63" t="s">
        <v>72</v>
      </c>
      <c r="E310" s="94" t="b">
        <v>1</v>
      </c>
      <c r="F310" s="87"/>
      <c r="G310" s="66"/>
      <c r="H310" s="88"/>
      <c r="I310" s="66"/>
      <c r="J310" s="88"/>
      <c r="K310" s="66"/>
      <c r="L310" s="88"/>
      <c r="M310" s="66"/>
      <c r="N310" s="88"/>
      <c r="O310" s="66"/>
      <c r="P310" s="88"/>
      <c r="Q310" s="68"/>
      <c r="R310" s="88"/>
      <c r="S310" s="66"/>
      <c r="T310" s="87">
        <v>0.0</v>
      </c>
      <c r="U310" s="66"/>
      <c r="V310" s="88">
        <v>0.0</v>
      </c>
      <c r="W310" s="66"/>
      <c r="X310" s="88"/>
      <c r="Y310" s="66"/>
      <c r="Z310" s="88"/>
      <c r="AA310" s="66"/>
      <c r="AB310" s="88"/>
      <c r="AC310" s="66"/>
      <c r="AD310" s="88"/>
      <c r="AE310" s="68"/>
      <c r="AF310" s="88"/>
      <c r="AG310" s="66"/>
      <c r="AH310" s="88"/>
      <c r="AI310" s="66"/>
      <c r="AJ310" s="88"/>
      <c r="AK310" s="66"/>
      <c r="AL310" s="87"/>
      <c r="AM310" s="68"/>
      <c r="AN310" s="121"/>
      <c r="AO310" s="68"/>
      <c r="AP310" s="124"/>
      <c r="AQ310" s="68"/>
      <c r="AR310" s="124"/>
      <c r="AS310" s="68"/>
      <c r="AT310" s="124"/>
      <c r="AU310" s="68"/>
      <c r="AV310" s="125"/>
      <c r="AW310" s="66"/>
      <c r="AX310" s="125"/>
      <c r="AY310" s="68"/>
      <c r="AZ310" s="125"/>
      <c r="BA310" s="66"/>
      <c r="BB310" s="73">
        <f t="shared" si="8"/>
        <v>0</v>
      </c>
      <c r="BC310" s="63">
        <f t="shared" si="2"/>
        <v>0</v>
      </c>
      <c r="BD310" s="63">
        <f t="shared" si="3"/>
        <v>0</v>
      </c>
      <c r="BE310" s="63">
        <f t="shared" si="4"/>
        <v>0</v>
      </c>
      <c r="BF310" s="74" t="str">
        <f t="shared" si="5"/>
        <v/>
      </c>
      <c r="BG310" s="78">
        <f t="shared" si="9"/>
        <v>45963</v>
      </c>
    </row>
    <row r="311" ht="15.75" customHeight="1">
      <c r="A311" s="36" t="s">
        <v>46</v>
      </c>
      <c r="B311" s="75">
        <f t="shared" si="6"/>
        <v>45964</v>
      </c>
      <c r="C311" s="48">
        <v>12.1</v>
      </c>
      <c r="D311" s="38" t="s">
        <v>47</v>
      </c>
      <c r="E311" s="40"/>
      <c r="F311" s="85"/>
      <c r="H311" s="86"/>
      <c r="J311" s="86"/>
      <c r="L311" s="86"/>
      <c r="N311" s="86"/>
      <c r="P311" s="86"/>
      <c r="Q311" s="43"/>
      <c r="R311" s="86"/>
      <c r="T311" s="85">
        <v>175.0</v>
      </c>
      <c r="V311" s="86">
        <v>175.0</v>
      </c>
      <c r="X311" s="86"/>
      <c r="Z311" s="86"/>
      <c r="AB311" s="86"/>
      <c r="AD311" s="86"/>
      <c r="AE311" s="43"/>
      <c r="AF311" s="86"/>
      <c r="AH311" s="86"/>
      <c r="AJ311" s="86"/>
      <c r="AL311" s="85"/>
      <c r="AM311" s="43"/>
      <c r="AN311" s="116"/>
      <c r="AO311" s="43"/>
      <c r="AP311" s="122"/>
      <c r="AQ311" s="43"/>
      <c r="AR311" s="122"/>
      <c r="AS311" s="43"/>
      <c r="AT311" s="122"/>
      <c r="AU311" s="43"/>
      <c r="AV311" s="123"/>
      <c r="AX311" s="123"/>
      <c r="AY311" s="43"/>
      <c r="AZ311" s="123"/>
      <c r="BB311" s="47">
        <f t="shared" si="8"/>
        <v>3892</v>
      </c>
      <c r="BC311" s="38">
        <f t="shared" si="2"/>
        <v>350</v>
      </c>
      <c r="BD311" s="38">
        <f t="shared" si="3"/>
        <v>0</v>
      </c>
      <c r="BE311" s="38">
        <f t="shared" si="4"/>
        <v>350</v>
      </c>
      <c r="BF311" s="76">
        <f t="shared" si="5"/>
        <v>11.12</v>
      </c>
      <c r="BG311" s="78">
        <f t="shared" si="9"/>
        <v>45970</v>
      </c>
    </row>
    <row r="312" ht="15.75" customHeight="1">
      <c r="A312" s="50" t="s">
        <v>48</v>
      </c>
      <c r="B312" s="51">
        <f t="shared" si="6"/>
        <v>45965</v>
      </c>
      <c r="C312" s="89">
        <v>12.1</v>
      </c>
      <c r="D312" s="52" t="s">
        <v>47</v>
      </c>
      <c r="E312" s="53"/>
      <c r="F312" s="85"/>
      <c r="H312" s="86"/>
      <c r="J312" s="86"/>
      <c r="L312" s="86"/>
      <c r="N312" s="86"/>
      <c r="P312" s="86"/>
      <c r="Q312" s="43"/>
      <c r="R312" s="86"/>
      <c r="T312" s="85">
        <v>175.0</v>
      </c>
      <c r="V312" s="86">
        <v>175.0</v>
      </c>
      <c r="X312" s="86"/>
      <c r="Z312" s="86"/>
      <c r="AB312" s="86"/>
      <c r="AD312" s="86"/>
      <c r="AE312" s="43"/>
      <c r="AF312" s="86"/>
      <c r="AH312" s="86"/>
      <c r="AJ312" s="86"/>
      <c r="AL312" s="85"/>
      <c r="AM312" s="43"/>
      <c r="AN312" s="116"/>
      <c r="AO312" s="43"/>
      <c r="AP312" s="122"/>
      <c r="AQ312" s="43"/>
      <c r="AR312" s="122"/>
      <c r="AS312" s="43"/>
      <c r="AT312" s="122"/>
      <c r="AU312" s="43"/>
      <c r="AV312" s="123"/>
      <c r="AX312" s="123"/>
      <c r="AY312" s="43"/>
      <c r="AZ312" s="123"/>
      <c r="BB312" s="54">
        <f t="shared" si="8"/>
        <v>3892</v>
      </c>
      <c r="BC312" s="52">
        <f t="shared" si="2"/>
        <v>350</v>
      </c>
      <c r="BD312" s="52">
        <f t="shared" si="3"/>
        <v>0</v>
      </c>
      <c r="BE312" s="52">
        <f t="shared" si="4"/>
        <v>350</v>
      </c>
      <c r="BF312" s="49">
        <f t="shared" si="5"/>
        <v>11.12</v>
      </c>
      <c r="BG312" s="78">
        <f t="shared" si="9"/>
        <v>45970</v>
      </c>
    </row>
    <row r="313" ht="15.75" customHeight="1">
      <c r="A313" s="50" t="s">
        <v>49</v>
      </c>
      <c r="B313" s="51">
        <f t="shared" si="6"/>
        <v>45966</v>
      </c>
      <c r="C313" s="89">
        <v>12.1</v>
      </c>
      <c r="D313" s="52" t="s">
        <v>47</v>
      </c>
      <c r="E313" s="53"/>
      <c r="F313" s="85"/>
      <c r="H313" s="86"/>
      <c r="J313" s="86"/>
      <c r="L313" s="86"/>
      <c r="N313" s="86"/>
      <c r="P313" s="86"/>
      <c r="Q313" s="43"/>
      <c r="R313" s="86"/>
      <c r="T313" s="85">
        <v>175.0</v>
      </c>
      <c r="V313" s="86">
        <v>175.0</v>
      </c>
      <c r="X313" s="86"/>
      <c r="Z313" s="86"/>
      <c r="AB313" s="86"/>
      <c r="AD313" s="86"/>
      <c r="AE313" s="43"/>
      <c r="AF313" s="86"/>
      <c r="AH313" s="86"/>
      <c r="AJ313" s="86"/>
      <c r="AL313" s="85"/>
      <c r="AM313" s="43"/>
      <c r="AN313" s="116"/>
      <c r="AO313" s="43"/>
      <c r="AP313" s="122"/>
      <c r="AQ313" s="43"/>
      <c r="AR313" s="122"/>
      <c r="AS313" s="43"/>
      <c r="AT313" s="122"/>
      <c r="AU313" s="43"/>
      <c r="AV313" s="123"/>
      <c r="AX313" s="123"/>
      <c r="AY313" s="43"/>
      <c r="AZ313" s="123"/>
      <c r="BB313" s="54">
        <f t="shared" si="8"/>
        <v>3892</v>
      </c>
      <c r="BC313" s="52">
        <f t="shared" si="2"/>
        <v>350</v>
      </c>
      <c r="BD313" s="52">
        <f t="shared" si="3"/>
        <v>0</v>
      </c>
      <c r="BE313" s="52">
        <f t="shared" si="4"/>
        <v>350</v>
      </c>
      <c r="BF313" s="49">
        <f t="shared" si="5"/>
        <v>11.12</v>
      </c>
      <c r="BG313" s="78">
        <f t="shared" si="9"/>
        <v>45970</v>
      </c>
    </row>
    <row r="314" ht="15.75" customHeight="1">
      <c r="A314" s="50" t="s">
        <v>50</v>
      </c>
      <c r="B314" s="51">
        <f t="shared" si="6"/>
        <v>45967</v>
      </c>
      <c r="C314" s="89">
        <v>12.1</v>
      </c>
      <c r="D314" s="52" t="s">
        <v>47</v>
      </c>
      <c r="E314" s="53"/>
      <c r="F314" s="85"/>
      <c r="H314" s="86"/>
      <c r="J314" s="86"/>
      <c r="L314" s="86"/>
      <c r="N314" s="86"/>
      <c r="P314" s="86"/>
      <c r="Q314" s="43"/>
      <c r="R314" s="86"/>
      <c r="T314" s="85">
        <v>175.0</v>
      </c>
      <c r="V314" s="86">
        <v>175.0</v>
      </c>
      <c r="X314" s="86"/>
      <c r="Z314" s="86"/>
      <c r="AB314" s="86"/>
      <c r="AD314" s="86"/>
      <c r="AE314" s="43"/>
      <c r="AF314" s="86"/>
      <c r="AH314" s="86"/>
      <c r="AJ314" s="86"/>
      <c r="AL314" s="85"/>
      <c r="AM314" s="43"/>
      <c r="AN314" s="116"/>
      <c r="AO314" s="43"/>
      <c r="AP314" s="122"/>
      <c r="AQ314" s="43"/>
      <c r="AR314" s="122"/>
      <c r="AS314" s="43"/>
      <c r="AT314" s="122"/>
      <c r="AU314" s="43"/>
      <c r="AV314" s="123"/>
      <c r="AX314" s="123"/>
      <c r="AY314" s="43"/>
      <c r="AZ314" s="123"/>
      <c r="BB314" s="54">
        <f t="shared" si="8"/>
        <v>3892</v>
      </c>
      <c r="BC314" s="52">
        <f t="shared" si="2"/>
        <v>350</v>
      </c>
      <c r="BD314" s="52">
        <f t="shared" si="3"/>
        <v>0</v>
      </c>
      <c r="BE314" s="52">
        <f t="shared" si="4"/>
        <v>350</v>
      </c>
      <c r="BF314" s="49">
        <f t="shared" si="5"/>
        <v>11.12</v>
      </c>
      <c r="BG314" s="78">
        <f t="shared" si="9"/>
        <v>45970</v>
      </c>
    </row>
    <row r="315" ht="15.75" customHeight="1">
      <c r="A315" s="50" t="s">
        <v>53</v>
      </c>
      <c r="B315" s="51">
        <f t="shared" si="6"/>
        <v>45968</v>
      </c>
      <c r="C315" s="89">
        <v>12.1</v>
      </c>
      <c r="D315" s="52" t="s">
        <v>47</v>
      </c>
      <c r="E315" s="53"/>
      <c r="F315" s="85"/>
      <c r="H315" s="86"/>
      <c r="J315" s="86"/>
      <c r="L315" s="86"/>
      <c r="N315" s="86"/>
      <c r="P315" s="86"/>
      <c r="Q315" s="43"/>
      <c r="R315" s="86"/>
      <c r="T315" s="85">
        <v>175.0</v>
      </c>
      <c r="V315" s="86">
        <v>175.0</v>
      </c>
      <c r="X315" s="86"/>
      <c r="Z315" s="86"/>
      <c r="AB315" s="86"/>
      <c r="AD315" s="86"/>
      <c r="AE315" s="43"/>
      <c r="AF315" s="86"/>
      <c r="AH315" s="86"/>
      <c r="AJ315" s="86"/>
      <c r="AL315" s="85"/>
      <c r="AM315" s="43"/>
      <c r="AN315" s="116"/>
      <c r="AO315" s="43"/>
      <c r="AP315" s="122"/>
      <c r="AQ315" s="43"/>
      <c r="AR315" s="122"/>
      <c r="AS315" s="43"/>
      <c r="AT315" s="122"/>
      <c r="AU315" s="43"/>
      <c r="AV315" s="123"/>
      <c r="AX315" s="86">
        <v>35.0</v>
      </c>
      <c r="AY315" s="43"/>
      <c r="AZ315" s="123"/>
      <c r="BB315" s="54">
        <f t="shared" si="8"/>
        <v>4281.2</v>
      </c>
      <c r="BC315" s="52">
        <f t="shared" si="2"/>
        <v>385</v>
      </c>
      <c r="BD315" s="52">
        <f t="shared" si="3"/>
        <v>0</v>
      </c>
      <c r="BE315" s="52">
        <f t="shared" si="4"/>
        <v>385</v>
      </c>
      <c r="BF315" s="49">
        <f t="shared" si="5"/>
        <v>11.12</v>
      </c>
      <c r="BG315" s="78">
        <f t="shared" si="9"/>
        <v>45970</v>
      </c>
    </row>
    <row r="316" ht="15.75" customHeight="1">
      <c r="A316" s="50" t="s">
        <v>54</v>
      </c>
      <c r="B316" s="51">
        <f t="shared" si="6"/>
        <v>45969</v>
      </c>
      <c r="C316" s="89">
        <v>12.1</v>
      </c>
      <c r="D316" s="52" t="s">
        <v>47</v>
      </c>
      <c r="E316" s="92" t="s">
        <v>78</v>
      </c>
      <c r="F316" s="85"/>
      <c r="H316" s="86"/>
      <c r="J316" s="86"/>
      <c r="L316" s="86"/>
      <c r="N316" s="86"/>
      <c r="P316" s="86"/>
      <c r="Q316" s="43"/>
      <c r="R316" s="86"/>
      <c r="T316" s="85">
        <v>0.0</v>
      </c>
      <c r="V316" s="86">
        <v>0.0</v>
      </c>
      <c r="X316" s="86"/>
      <c r="Z316" s="86"/>
      <c r="AB316" s="86"/>
      <c r="AD316" s="86"/>
      <c r="AE316" s="43"/>
      <c r="AF316" s="86"/>
      <c r="AH316" s="86"/>
      <c r="AJ316" s="86"/>
      <c r="AL316" s="85"/>
      <c r="AM316" s="43"/>
      <c r="AN316" s="116"/>
      <c r="AO316" s="43"/>
      <c r="AP316" s="122"/>
      <c r="AQ316" s="43"/>
      <c r="AR316" s="122"/>
      <c r="AS316" s="43"/>
      <c r="AT316" s="122"/>
      <c r="AU316" s="43"/>
      <c r="AV316" s="123"/>
      <c r="AX316" s="123"/>
      <c r="AY316" s="43"/>
      <c r="AZ316" s="123"/>
      <c r="BB316" s="54">
        <f t="shared" si="8"/>
        <v>0</v>
      </c>
      <c r="BC316" s="52">
        <f t="shared" si="2"/>
        <v>0</v>
      </c>
      <c r="BD316" s="52">
        <f t="shared" si="3"/>
        <v>0</v>
      </c>
      <c r="BE316" s="52">
        <f t="shared" si="4"/>
        <v>0</v>
      </c>
      <c r="BF316" s="49" t="str">
        <f t="shared" si="5"/>
        <v/>
      </c>
      <c r="BG316" s="78">
        <f t="shared" si="9"/>
        <v>45970</v>
      </c>
    </row>
    <row r="317" ht="15.75" customHeight="1">
      <c r="A317" s="59" t="s">
        <v>61</v>
      </c>
      <c r="B317" s="61">
        <f t="shared" si="6"/>
        <v>45970</v>
      </c>
      <c r="C317" s="89">
        <v>12.1</v>
      </c>
      <c r="D317" s="63" t="s">
        <v>47</v>
      </c>
      <c r="E317" s="94" t="b">
        <v>1</v>
      </c>
      <c r="F317" s="87"/>
      <c r="G317" s="66"/>
      <c r="H317" s="88"/>
      <c r="I317" s="66"/>
      <c r="J317" s="88"/>
      <c r="K317" s="66"/>
      <c r="L317" s="88"/>
      <c r="M317" s="66"/>
      <c r="N317" s="88"/>
      <c r="O317" s="66"/>
      <c r="P317" s="88"/>
      <c r="Q317" s="68"/>
      <c r="R317" s="88"/>
      <c r="S317" s="66"/>
      <c r="T317" s="87">
        <v>0.0</v>
      </c>
      <c r="U317" s="66"/>
      <c r="V317" s="88">
        <v>0.0</v>
      </c>
      <c r="W317" s="66"/>
      <c r="X317" s="88"/>
      <c r="Y317" s="66"/>
      <c r="Z317" s="88"/>
      <c r="AA317" s="66"/>
      <c r="AB317" s="88"/>
      <c r="AC317" s="66"/>
      <c r="AD317" s="88"/>
      <c r="AE317" s="68"/>
      <c r="AF317" s="88"/>
      <c r="AG317" s="66"/>
      <c r="AH317" s="88"/>
      <c r="AI317" s="66"/>
      <c r="AJ317" s="88"/>
      <c r="AK317" s="66"/>
      <c r="AL317" s="87"/>
      <c r="AM317" s="68"/>
      <c r="AN317" s="121"/>
      <c r="AO317" s="68"/>
      <c r="AP317" s="124"/>
      <c r="AQ317" s="68"/>
      <c r="AR317" s="124"/>
      <c r="AS317" s="68"/>
      <c r="AT317" s="124"/>
      <c r="AU317" s="68"/>
      <c r="AV317" s="125"/>
      <c r="AW317" s="66"/>
      <c r="AX317" s="125"/>
      <c r="AY317" s="68"/>
      <c r="AZ317" s="125"/>
      <c r="BA317" s="66"/>
      <c r="BB317" s="73">
        <f t="shared" si="8"/>
        <v>0</v>
      </c>
      <c r="BC317" s="63">
        <f t="shared" si="2"/>
        <v>0</v>
      </c>
      <c r="BD317" s="63">
        <f t="shared" si="3"/>
        <v>0</v>
      </c>
      <c r="BE317" s="63">
        <f t="shared" si="4"/>
        <v>0</v>
      </c>
      <c r="BF317" s="74" t="str">
        <f t="shared" si="5"/>
        <v/>
      </c>
      <c r="BG317" s="78">
        <f t="shared" si="9"/>
        <v>45970</v>
      </c>
    </row>
    <row r="318" ht="15.75" customHeight="1">
      <c r="A318" s="36" t="s">
        <v>46</v>
      </c>
      <c r="B318" s="75">
        <f t="shared" si="6"/>
        <v>45971</v>
      </c>
      <c r="C318" s="48">
        <v>12.2</v>
      </c>
      <c r="D318" s="38" t="s">
        <v>65</v>
      </c>
      <c r="E318" s="40"/>
      <c r="F318" s="85"/>
      <c r="H318" s="86"/>
      <c r="J318" s="86"/>
      <c r="L318" s="86"/>
      <c r="N318" s="86"/>
      <c r="P318" s="86"/>
      <c r="Q318" s="43"/>
      <c r="R318" s="86"/>
      <c r="T318" s="85">
        <v>150.0</v>
      </c>
      <c r="V318" s="86">
        <v>150.0</v>
      </c>
      <c r="X318" s="86"/>
      <c r="Z318" s="86"/>
      <c r="AB318" s="86"/>
      <c r="AD318" s="86"/>
      <c r="AE318" s="43"/>
      <c r="AF318" s="86"/>
      <c r="AH318" s="86"/>
      <c r="AJ318" s="86"/>
      <c r="AL318" s="85"/>
      <c r="AM318" s="43"/>
      <c r="AN318" s="116"/>
      <c r="AO318" s="43"/>
      <c r="AP318" s="122"/>
      <c r="AQ318" s="43"/>
      <c r="AR318" s="122"/>
      <c r="AS318" s="43"/>
      <c r="AT318" s="122"/>
      <c r="AU318" s="43"/>
      <c r="AV318" s="123"/>
      <c r="AX318" s="86">
        <v>35.0</v>
      </c>
      <c r="AY318" s="43"/>
      <c r="AZ318" s="123"/>
      <c r="BB318" s="47">
        <f t="shared" si="8"/>
        <v>3725.2</v>
      </c>
      <c r="BC318" s="38">
        <f t="shared" si="2"/>
        <v>335</v>
      </c>
      <c r="BD318" s="38">
        <f t="shared" si="3"/>
        <v>0</v>
      </c>
      <c r="BE318" s="38">
        <f t="shared" si="4"/>
        <v>335</v>
      </c>
      <c r="BF318" s="76">
        <f t="shared" si="5"/>
        <v>11.12</v>
      </c>
      <c r="BG318" s="78">
        <f t="shared" si="9"/>
        <v>45977</v>
      </c>
    </row>
    <row r="319" ht="15.75" customHeight="1">
      <c r="A319" s="50" t="s">
        <v>48</v>
      </c>
      <c r="B319" s="51">
        <f t="shared" si="6"/>
        <v>45972</v>
      </c>
      <c r="C319" s="89">
        <v>12.2</v>
      </c>
      <c r="D319" s="52" t="s">
        <v>65</v>
      </c>
      <c r="E319" s="53"/>
      <c r="F319" s="85"/>
      <c r="H319" s="86"/>
      <c r="J319" s="86"/>
      <c r="L319" s="86"/>
      <c r="N319" s="86"/>
      <c r="P319" s="86"/>
      <c r="Q319" s="43"/>
      <c r="R319" s="86"/>
      <c r="T319" s="85">
        <v>150.0</v>
      </c>
      <c r="V319" s="86">
        <v>150.0</v>
      </c>
      <c r="X319" s="86"/>
      <c r="Z319" s="86"/>
      <c r="AB319" s="86"/>
      <c r="AD319" s="86"/>
      <c r="AE319" s="43"/>
      <c r="AF319" s="86"/>
      <c r="AH319" s="86"/>
      <c r="AJ319" s="86"/>
      <c r="AL319" s="85"/>
      <c r="AM319" s="43"/>
      <c r="AN319" s="116"/>
      <c r="AO319" s="43"/>
      <c r="AP319" s="122"/>
      <c r="AQ319" s="43"/>
      <c r="AR319" s="122"/>
      <c r="AS319" s="43"/>
      <c r="AT319" s="122"/>
      <c r="AU319" s="43"/>
      <c r="AV319" s="123"/>
      <c r="AX319" s="123"/>
      <c r="AY319" s="43"/>
      <c r="AZ319" s="123"/>
      <c r="BB319" s="54">
        <f t="shared" si="8"/>
        <v>3336</v>
      </c>
      <c r="BC319" s="52">
        <f t="shared" si="2"/>
        <v>300</v>
      </c>
      <c r="BD319" s="52">
        <f t="shared" si="3"/>
        <v>0</v>
      </c>
      <c r="BE319" s="52">
        <f t="shared" si="4"/>
        <v>300</v>
      </c>
      <c r="BF319" s="49">
        <f t="shared" si="5"/>
        <v>11.12</v>
      </c>
      <c r="BG319" s="78">
        <f t="shared" si="9"/>
        <v>45977</v>
      </c>
    </row>
    <row r="320" ht="15.75" customHeight="1">
      <c r="A320" s="50" t="s">
        <v>49</v>
      </c>
      <c r="B320" s="51">
        <f t="shared" si="6"/>
        <v>45973</v>
      </c>
      <c r="C320" s="89">
        <v>12.2</v>
      </c>
      <c r="D320" s="52" t="s">
        <v>65</v>
      </c>
      <c r="E320" s="53"/>
      <c r="F320" s="85"/>
      <c r="H320" s="86"/>
      <c r="J320" s="86"/>
      <c r="L320" s="86"/>
      <c r="N320" s="86"/>
      <c r="P320" s="86"/>
      <c r="Q320" s="43"/>
      <c r="R320" s="86"/>
      <c r="T320" s="85">
        <v>150.0</v>
      </c>
      <c r="V320" s="86">
        <v>150.0</v>
      </c>
      <c r="X320" s="86"/>
      <c r="Z320" s="86"/>
      <c r="AB320" s="86"/>
      <c r="AD320" s="86"/>
      <c r="AE320" s="43"/>
      <c r="AF320" s="86"/>
      <c r="AH320" s="86"/>
      <c r="AJ320" s="86"/>
      <c r="AL320" s="85"/>
      <c r="AM320" s="43"/>
      <c r="AN320" s="116"/>
      <c r="AO320" s="43"/>
      <c r="AP320" s="122"/>
      <c r="AQ320" s="43"/>
      <c r="AR320" s="122"/>
      <c r="AS320" s="43"/>
      <c r="AT320" s="122"/>
      <c r="AU320" s="43"/>
      <c r="AV320" s="123"/>
      <c r="AX320" s="123"/>
      <c r="AY320" s="43"/>
      <c r="AZ320" s="123"/>
      <c r="BB320" s="54">
        <f t="shared" si="8"/>
        <v>3336</v>
      </c>
      <c r="BC320" s="52">
        <f t="shared" si="2"/>
        <v>300</v>
      </c>
      <c r="BD320" s="52">
        <f t="shared" si="3"/>
        <v>0</v>
      </c>
      <c r="BE320" s="52">
        <f t="shared" si="4"/>
        <v>300</v>
      </c>
      <c r="BF320" s="49">
        <f t="shared" si="5"/>
        <v>11.12</v>
      </c>
      <c r="BG320" s="78">
        <f t="shared" si="9"/>
        <v>45977</v>
      </c>
    </row>
    <row r="321" ht="15.75" customHeight="1">
      <c r="A321" s="50" t="s">
        <v>50</v>
      </c>
      <c r="B321" s="51">
        <f t="shared" si="6"/>
        <v>45974</v>
      </c>
      <c r="C321" s="89">
        <v>12.2</v>
      </c>
      <c r="D321" s="52" t="s">
        <v>65</v>
      </c>
      <c r="E321" s="53"/>
      <c r="F321" s="85"/>
      <c r="H321" s="86"/>
      <c r="J321" s="86"/>
      <c r="L321" s="86"/>
      <c r="N321" s="86"/>
      <c r="P321" s="86"/>
      <c r="Q321" s="43"/>
      <c r="R321" s="86"/>
      <c r="T321" s="85">
        <v>150.0</v>
      </c>
      <c r="V321" s="86">
        <v>150.0</v>
      </c>
      <c r="X321" s="86"/>
      <c r="Z321" s="86"/>
      <c r="AB321" s="86"/>
      <c r="AD321" s="86"/>
      <c r="AE321" s="43"/>
      <c r="AF321" s="86"/>
      <c r="AH321" s="86"/>
      <c r="AJ321" s="86"/>
      <c r="AL321" s="85"/>
      <c r="AM321" s="43"/>
      <c r="AN321" s="116"/>
      <c r="AO321" s="43"/>
      <c r="AP321" s="122"/>
      <c r="AQ321" s="43"/>
      <c r="AR321" s="122"/>
      <c r="AS321" s="43"/>
      <c r="AT321" s="122"/>
      <c r="AU321" s="43"/>
      <c r="AV321" s="123"/>
      <c r="AX321" s="123"/>
      <c r="AY321" s="43"/>
      <c r="AZ321" s="123"/>
      <c r="BB321" s="54">
        <f t="shared" si="8"/>
        <v>3336</v>
      </c>
      <c r="BC321" s="52">
        <f t="shared" si="2"/>
        <v>300</v>
      </c>
      <c r="BD321" s="52">
        <f t="shared" si="3"/>
        <v>0</v>
      </c>
      <c r="BE321" s="52">
        <f t="shared" si="4"/>
        <v>300</v>
      </c>
      <c r="BF321" s="49">
        <f t="shared" si="5"/>
        <v>11.12</v>
      </c>
      <c r="BG321" s="78">
        <f t="shared" si="9"/>
        <v>45977</v>
      </c>
    </row>
    <row r="322" ht="15.75" customHeight="1">
      <c r="A322" s="50" t="s">
        <v>53</v>
      </c>
      <c r="B322" s="51">
        <f t="shared" si="6"/>
        <v>45975</v>
      </c>
      <c r="C322" s="89">
        <v>12.2</v>
      </c>
      <c r="D322" s="52" t="s">
        <v>65</v>
      </c>
      <c r="E322" s="53"/>
      <c r="F322" s="85"/>
      <c r="H322" s="86"/>
      <c r="J322" s="86"/>
      <c r="L322" s="86"/>
      <c r="N322" s="86"/>
      <c r="P322" s="86"/>
      <c r="Q322" s="43"/>
      <c r="R322" s="86"/>
      <c r="T322" s="85">
        <v>150.0</v>
      </c>
      <c r="V322" s="86">
        <v>150.0</v>
      </c>
      <c r="X322" s="86"/>
      <c r="Z322" s="86"/>
      <c r="AB322" s="86"/>
      <c r="AD322" s="86"/>
      <c r="AE322" s="43"/>
      <c r="AF322" s="86"/>
      <c r="AH322" s="86"/>
      <c r="AJ322" s="86"/>
      <c r="AL322" s="85"/>
      <c r="AM322" s="43"/>
      <c r="AN322" s="116"/>
      <c r="AO322" s="43"/>
      <c r="AP322" s="122"/>
      <c r="AQ322" s="43"/>
      <c r="AR322" s="85">
        <v>180.0</v>
      </c>
      <c r="AS322" s="43"/>
      <c r="AT322" s="122"/>
      <c r="AU322" s="43"/>
      <c r="AV322" s="123"/>
      <c r="AX322" s="123"/>
      <c r="AY322" s="43"/>
      <c r="AZ322" s="123"/>
      <c r="BB322" s="54">
        <f t="shared" si="8"/>
        <v>3631.2</v>
      </c>
      <c r="BC322" s="52">
        <f t="shared" si="2"/>
        <v>480</v>
      </c>
      <c r="BD322" s="52">
        <f t="shared" si="3"/>
        <v>0</v>
      </c>
      <c r="BE322" s="52">
        <f t="shared" si="4"/>
        <v>480</v>
      </c>
      <c r="BF322" s="49">
        <f t="shared" si="5"/>
        <v>7.565</v>
      </c>
      <c r="BG322" s="78">
        <f t="shared" si="9"/>
        <v>45977</v>
      </c>
    </row>
    <row r="323" ht="15.75" customHeight="1">
      <c r="A323" s="50" t="s">
        <v>54</v>
      </c>
      <c r="B323" s="51">
        <f t="shared" si="6"/>
        <v>45976</v>
      </c>
      <c r="C323" s="89">
        <v>12.2</v>
      </c>
      <c r="D323" s="52" t="s">
        <v>65</v>
      </c>
      <c r="E323" s="92" t="s">
        <v>78</v>
      </c>
      <c r="F323" s="85"/>
      <c r="H323" s="86"/>
      <c r="J323" s="86"/>
      <c r="L323" s="86"/>
      <c r="N323" s="86"/>
      <c r="P323" s="86"/>
      <c r="Q323" s="43"/>
      <c r="R323" s="86"/>
      <c r="T323" s="85">
        <v>0.0</v>
      </c>
      <c r="V323" s="86">
        <v>0.0</v>
      </c>
      <c r="X323" s="86"/>
      <c r="Z323" s="86"/>
      <c r="AB323" s="86"/>
      <c r="AD323" s="86"/>
      <c r="AE323" s="43"/>
      <c r="AF323" s="86"/>
      <c r="AH323" s="86"/>
      <c r="AJ323" s="86"/>
      <c r="AL323" s="85"/>
      <c r="AM323" s="43"/>
      <c r="AN323" s="116"/>
      <c r="AO323" s="43"/>
      <c r="AP323" s="122"/>
      <c r="AQ323" s="43"/>
      <c r="AR323" s="122"/>
      <c r="AS323" s="43"/>
      <c r="AT323" s="122"/>
      <c r="AU323" s="43"/>
      <c r="AV323" s="123"/>
      <c r="AX323" s="123"/>
      <c r="AY323" s="43"/>
      <c r="AZ323" s="123"/>
      <c r="BB323" s="54">
        <f t="shared" si="8"/>
        <v>0</v>
      </c>
      <c r="BC323" s="52">
        <f t="shared" si="2"/>
        <v>0</v>
      </c>
      <c r="BD323" s="52">
        <f t="shared" si="3"/>
        <v>0</v>
      </c>
      <c r="BE323" s="52">
        <f t="shared" si="4"/>
        <v>0</v>
      </c>
      <c r="BF323" s="49" t="str">
        <f t="shared" si="5"/>
        <v/>
      </c>
      <c r="BG323" s="78">
        <f t="shared" si="9"/>
        <v>45977</v>
      </c>
    </row>
    <row r="324" ht="15.75" customHeight="1">
      <c r="A324" s="59" t="s">
        <v>61</v>
      </c>
      <c r="B324" s="61">
        <f t="shared" si="6"/>
        <v>45977</v>
      </c>
      <c r="C324" s="89">
        <v>12.2</v>
      </c>
      <c r="D324" s="63" t="s">
        <v>65</v>
      </c>
      <c r="E324" s="94" t="b">
        <v>1</v>
      </c>
      <c r="F324" s="87"/>
      <c r="G324" s="66"/>
      <c r="H324" s="88"/>
      <c r="I324" s="66"/>
      <c r="J324" s="88"/>
      <c r="K324" s="66"/>
      <c r="L324" s="88"/>
      <c r="M324" s="66"/>
      <c r="N324" s="88"/>
      <c r="O324" s="66"/>
      <c r="P324" s="88"/>
      <c r="Q324" s="68"/>
      <c r="R324" s="88"/>
      <c r="S324" s="66"/>
      <c r="T324" s="87">
        <v>0.0</v>
      </c>
      <c r="U324" s="66"/>
      <c r="V324" s="88">
        <v>0.0</v>
      </c>
      <c r="W324" s="66"/>
      <c r="X324" s="88"/>
      <c r="Y324" s="66"/>
      <c r="Z324" s="88"/>
      <c r="AA324" s="66"/>
      <c r="AB324" s="88"/>
      <c r="AC324" s="66"/>
      <c r="AD324" s="88"/>
      <c r="AE324" s="68"/>
      <c r="AF324" s="88"/>
      <c r="AG324" s="66"/>
      <c r="AH324" s="88"/>
      <c r="AI324" s="66"/>
      <c r="AJ324" s="88"/>
      <c r="AK324" s="66"/>
      <c r="AL324" s="87"/>
      <c r="AM324" s="68"/>
      <c r="AN324" s="121"/>
      <c r="AO324" s="68"/>
      <c r="AP324" s="124"/>
      <c r="AQ324" s="68"/>
      <c r="AR324" s="124"/>
      <c r="AS324" s="68"/>
      <c r="AT324" s="124"/>
      <c r="AU324" s="68"/>
      <c r="AV324" s="125"/>
      <c r="AW324" s="66"/>
      <c r="AX324" s="125"/>
      <c r="AY324" s="68"/>
      <c r="AZ324" s="125"/>
      <c r="BA324" s="66"/>
      <c r="BB324" s="73">
        <f t="shared" si="8"/>
        <v>0</v>
      </c>
      <c r="BC324" s="63">
        <f t="shared" si="2"/>
        <v>0</v>
      </c>
      <c r="BD324" s="63">
        <f t="shared" si="3"/>
        <v>0</v>
      </c>
      <c r="BE324" s="63">
        <f t="shared" si="4"/>
        <v>0</v>
      </c>
      <c r="BF324" s="74" t="str">
        <f t="shared" si="5"/>
        <v/>
      </c>
      <c r="BG324" s="78">
        <f t="shared" si="9"/>
        <v>45977</v>
      </c>
    </row>
    <row r="325" ht="15.75" customHeight="1">
      <c r="A325" s="36" t="s">
        <v>46</v>
      </c>
      <c r="B325" s="75">
        <f t="shared" si="6"/>
        <v>45978</v>
      </c>
      <c r="C325" s="48">
        <v>12.3</v>
      </c>
      <c r="D325" s="38" t="s">
        <v>69</v>
      </c>
      <c r="E325" s="40"/>
      <c r="F325" s="85"/>
      <c r="H325" s="86"/>
      <c r="J325" s="86"/>
      <c r="L325" s="86"/>
      <c r="N325" s="86"/>
      <c r="P325" s="86"/>
      <c r="Q325" s="43"/>
      <c r="R325" s="86"/>
      <c r="T325" s="85">
        <v>140.0</v>
      </c>
      <c r="V325" s="86">
        <v>140.0</v>
      </c>
      <c r="X325" s="86"/>
      <c r="Z325" s="86"/>
      <c r="AB325" s="86"/>
      <c r="AD325" s="86"/>
      <c r="AE325" s="43"/>
      <c r="AF325" s="86"/>
      <c r="AH325" s="86"/>
      <c r="AJ325" s="86"/>
      <c r="AL325" s="85"/>
      <c r="AM325" s="43"/>
      <c r="AN325" s="116"/>
      <c r="AO325" s="43"/>
      <c r="AP325" s="122"/>
      <c r="AQ325" s="43"/>
      <c r="AR325" s="122"/>
      <c r="AS325" s="43"/>
      <c r="AT325" s="122"/>
      <c r="AU325" s="43"/>
      <c r="AV325" s="123"/>
      <c r="AX325" s="123"/>
      <c r="AY325" s="43"/>
      <c r="AZ325" s="123"/>
      <c r="BB325" s="47">
        <f t="shared" si="8"/>
        <v>3113.6</v>
      </c>
      <c r="BC325" s="38">
        <f t="shared" si="2"/>
        <v>280</v>
      </c>
      <c r="BD325" s="38">
        <f t="shared" si="3"/>
        <v>0</v>
      </c>
      <c r="BE325" s="38">
        <f t="shared" si="4"/>
        <v>280</v>
      </c>
      <c r="BF325" s="76">
        <f t="shared" si="5"/>
        <v>11.12</v>
      </c>
      <c r="BG325" s="78">
        <f t="shared" si="9"/>
        <v>45984</v>
      </c>
    </row>
    <row r="326" ht="15.75" customHeight="1">
      <c r="A326" s="50" t="s">
        <v>48</v>
      </c>
      <c r="B326" s="51">
        <f t="shared" si="6"/>
        <v>45979</v>
      </c>
      <c r="C326" s="89">
        <v>12.3</v>
      </c>
      <c r="D326" s="52" t="s">
        <v>69</v>
      </c>
      <c r="E326" s="53"/>
      <c r="F326" s="85"/>
      <c r="H326" s="86"/>
      <c r="J326" s="86"/>
      <c r="L326" s="86"/>
      <c r="N326" s="86"/>
      <c r="P326" s="86"/>
      <c r="Q326" s="43"/>
      <c r="R326" s="86"/>
      <c r="T326" s="85">
        <v>140.0</v>
      </c>
      <c r="V326" s="86">
        <v>140.0</v>
      </c>
      <c r="X326" s="86"/>
      <c r="Z326" s="86"/>
      <c r="AB326" s="86"/>
      <c r="AD326" s="86"/>
      <c r="AE326" s="43"/>
      <c r="AF326" s="86"/>
      <c r="AH326" s="86"/>
      <c r="AJ326" s="86"/>
      <c r="AL326" s="85"/>
      <c r="AM326" s="43"/>
      <c r="AN326" s="116"/>
      <c r="AO326" s="43"/>
      <c r="AP326" s="122"/>
      <c r="AQ326" s="43"/>
      <c r="AR326" s="122"/>
      <c r="AS326" s="43"/>
      <c r="AT326" s="122"/>
      <c r="AU326" s="43"/>
      <c r="AV326" s="123"/>
      <c r="AX326" s="123"/>
      <c r="AY326" s="43"/>
      <c r="AZ326" s="123"/>
      <c r="BB326" s="54">
        <f t="shared" si="8"/>
        <v>3113.6</v>
      </c>
      <c r="BC326" s="52">
        <f t="shared" si="2"/>
        <v>280</v>
      </c>
      <c r="BD326" s="52">
        <f t="shared" si="3"/>
        <v>0</v>
      </c>
      <c r="BE326" s="52">
        <f t="shared" si="4"/>
        <v>280</v>
      </c>
      <c r="BF326" s="49">
        <f t="shared" si="5"/>
        <v>11.12</v>
      </c>
      <c r="BG326" s="78">
        <f t="shared" si="9"/>
        <v>45984</v>
      </c>
    </row>
    <row r="327" ht="15.75" customHeight="1">
      <c r="A327" s="50" t="s">
        <v>49</v>
      </c>
      <c r="B327" s="51">
        <f t="shared" si="6"/>
        <v>45980</v>
      </c>
      <c r="C327" s="89">
        <v>12.3</v>
      </c>
      <c r="D327" s="52" t="s">
        <v>69</v>
      </c>
      <c r="E327" s="53"/>
      <c r="F327" s="85"/>
      <c r="H327" s="86"/>
      <c r="J327" s="86"/>
      <c r="L327" s="86"/>
      <c r="N327" s="86"/>
      <c r="P327" s="86"/>
      <c r="Q327" s="43"/>
      <c r="R327" s="86"/>
      <c r="T327" s="85">
        <v>140.0</v>
      </c>
      <c r="V327" s="86">
        <v>140.0</v>
      </c>
      <c r="X327" s="86"/>
      <c r="Z327" s="86"/>
      <c r="AB327" s="86"/>
      <c r="AD327" s="86"/>
      <c r="AE327" s="43"/>
      <c r="AF327" s="86"/>
      <c r="AH327" s="86"/>
      <c r="AJ327" s="86"/>
      <c r="AL327" s="85"/>
      <c r="AM327" s="43"/>
      <c r="AN327" s="116"/>
      <c r="AO327" s="43"/>
      <c r="AP327" s="122"/>
      <c r="AQ327" s="43"/>
      <c r="AR327" s="122"/>
      <c r="AS327" s="43"/>
      <c r="AT327" s="122"/>
      <c r="AU327" s="43"/>
      <c r="AV327" s="123"/>
      <c r="AX327" s="123"/>
      <c r="AY327" s="43"/>
      <c r="AZ327" s="123"/>
      <c r="BB327" s="54">
        <f t="shared" si="8"/>
        <v>3113.6</v>
      </c>
      <c r="BC327" s="52">
        <f t="shared" si="2"/>
        <v>280</v>
      </c>
      <c r="BD327" s="52">
        <f t="shared" si="3"/>
        <v>0</v>
      </c>
      <c r="BE327" s="52">
        <f t="shared" si="4"/>
        <v>280</v>
      </c>
      <c r="BF327" s="49">
        <f t="shared" si="5"/>
        <v>11.12</v>
      </c>
      <c r="BG327" s="78">
        <f t="shared" si="9"/>
        <v>45984</v>
      </c>
    </row>
    <row r="328" ht="15.75" customHeight="1">
      <c r="A328" s="50" t="s">
        <v>50</v>
      </c>
      <c r="B328" s="51">
        <f t="shared" si="6"/>
        <v>45981</v>
      </c>
      <c r="C328" s="89">
        <v>12.3</v>
      </c>
      <c r="D328" s="52" t="s">
        <v>69</v>
      </c>
      <c r="E328" s="53"/>
      <c r="F328" s="85"/>
      <c r="H328" s="86"/>
      <c r="J328" s="86"/>
      <c r="L328" s="86"/>
      <c r="N328" s="86"/>
      <c r="P328" s="86"/>
      <c r="Q328" s="43"/>
      <c r="R328" s="86"/>
      <c r="T328" s="85">
        <v>140.0</v>
      </c>
      <c r="V328" s="86">
        <v>140.0</v>
      </c>
      <c r="X328" s="86"/>
      <c r="Z328" s="86"/>
      <c r="AB328" s="86"/>
      <c r="AD328" s="86"/>
      <c r="AE328" s="43"/>
      <c r="AF328" s="86"/>
      <c r="AH328" s="86"/>
      <c r="AJ328" s="86"/>
      <c r="AL328" s="85"/>
      <c r="AM328" s="43"/>
      <c r="AN328" s="116"/>
      <c r="AO328" s="43"/>
      <c r="AP328" s="122"/>
      <c r="AQ328" s="43"/>
      <c r="AR328" s="122"/>
      <c r="AS328" s="43"/>
      <c r="AT328" s="122"/>
      <c r="AU328" s="43"/>
      <c r="AV328" s="123"/>
      <c r="AX328" s="123"/>
      <c r="AY328" s="43"/>
      <c r="AZ328" s="123"/>
      <c r="BB328" s="54">
        <f t="shared" si="8"/>
        <v>3113.6</v>
      </c>
      <c r="BC328" s="52">
        <f t="shared" si="2"/>
        <v>280</v>
      </c>
      <c r="BD328" s="52">
        <f t="shared" si="3"/>
        <v>0</v>
      </c>
      <c r="BE328" s="52">
        <f t="shared" si="4"/>
        <v>280</v>
      </c>
      <c r="BF328" s="49">
        <f t="shared" si="5"/>
        <v>11.12</v>
      </c>
      <c r="BG328" s="78">
        <f t="shared" si="9"/>
        <v>45984</v>
      </c>
    </row>
    <row r="329" ht="15.75" customHeight="1">
      <c r="A329" s="50" t="s">
        <v>53</v>
      </c>
      <c r="B329" s="51">
        <f t="shared" si="6"/>
        <v>45982</v>
      </c>
      <c r="C329" s="89">
        <v>12.3</v>
      </c>
      <c r="D329" s="52" t="s">
        <v>69</v>
      </c>
      <c r="E329" s="53"/>
      <c r="F329" s="85"/>
      <c r="H329" s="86"/>
      <c r="J329" s="86"/>
      <c r="L329" s="86"/>
      <c r="N329" s="86"/>
      <c r="P329" s="86"/>
      <c r="Q329" s="43"/>
      <c r="R329" s="86"/>
      <c r="T329" s="85">
        <v>140.0</v>
      </c>
      <c r="V329" s="86">
        <v>140.0</v>
      </c>
      <c r="X329" s="86"/>
      <c r="Z329" s="86"/>
      <c r="AB329" s="86"/>
      <c r="AD329" s="86"/>
      <c r="AE329" s="43"/>
      <c r="AF329" s="86"/>
      <c r="AH329" s="86"/>
      <c r="AJ329" s="86"/>
      <c r="AL329" s="85"/>
      <c r="AM329" s="43"/>
      <c r="AN329" s="116"/>
      <c r="AO329" s="43"/>
      <c r="AP329" s="122"/>
      <c r="AQ329" s="43"/>
      <c r="AR329" s="122"/>
      <c r="AS329" s="43"/>
      <c r="AT329" s="122"/>
      <c r="AU329" s="43"/>
      <c r="AV329" s="123"/>
      <c r="AX329" s="123"/>
      <c r="AY329" s="43"/>
      <c r="AZ329" s="123"/>
      <c r="BB329" s="54">
        <f t="shared" si="8"/>
        <v>3113.6</v>
      </c>
      <c r="BC329" s="52">
        <f t="shared" si="2"/>
        <v>280</v>
      </c>
      <c r="BD329" s="52">
        <f t="shared" si="3"/>
        <v>0</v>
      </c>
      <c r="BE329" s="52">
        <f t="shared" si="4"/>
        <v>280</v>
      </c>
      <c r="BF329" s="49">
        <f t="shared" si="5"/>
        <v>11.12</v>
      </c>
      <c r="BG329" s="78">
        <f t="shared" si="9"/>
        <v>45984</v>
      </c>
    </row>
    <row r="330" ht="15.75" customHeight="1">
      <c r="A330" s="50" t="s">
        <v>54</v>
      </c>
      <c r="B330" s="51">
        <f t="shared" si="6"/>
        <v>45983</v>
      </c>
      <c r="C330" s="89">
        <v>12.3</v>
      </c>
      <c r="D330" s="52" t="s">
        <v>69</v>
      </c>
      <c r="E330" s="92" t="s">
        <v>78</v>
      </c>
      <c r="F330" s="85"/>
      <c r="H330" s="86"/>
      <c r="J330" s="86"/>
      <c r="L330" s="86"/>
      <c r="N330" s="86"/>
      <c r="P330" s="86"/>
      <c r="Q330" s="43"/>
      <c r="R330" s="86"/>
      <c r="T330" s="85">
        <v>0.0</v>
      </c>
      <c r="V330" s="86">
        <v>0.0</v>
      </c>
      <c r="X330" s="86"/>
      <c r="Z330" s="86"/>
      <c r="AB330" s="86"/>
      <c r="AD330" s="86"/>
      <c r="AE330" s="43"/>
      <c r="AF330" s="86"/>
      <c r="AH330" s="86"/>
      <c r="AJ330" s="86"/>
      <c r="AL330" s="85"/>
      <c r="AM330" s="43"/>
      <c r="AN330" s="116"/>
      <c r="AO330" s="43"/>
      <c r="AP330" s="122"/>
      <c r="AQ330" s="43"/>
      <c r="AR330" s="122"/>
      <c r="AS330" s="43"/>
      <c r="AT330" s="122"/>
      <c r="AU330" s="43"/>
      <c r="AV330" s="123"/>
      <c r="AX330" s="123"/>
      <c r="AY330" s="43"/>
      <c r="AZ330" s="123"/>
      <c r="BB330" s="54">
        <f t="shared" si="8"/>
        <v>0</v>
      </c>
      <c r="BC330" s="52">
        <f t="shared" si="2"/>
        <v>0</v>
      </c>
      <c r="BD330" s="52">
        <f t="shared" si="3"/>
        <v>0</v>
      </c>
      <c r="BE330" s="52">
        <f t="shared" si="4"/>
        <v>0</v>
      </c>
      <c r="BF330" s="49" t="str">
        <f t="shared" si="5"/>
        <v/>
      </c>
      <c r="BG330" s="78">
        <f t="shared" si="9"/>
        <v>45984</v>
      </c>
    </row>
    <row r="331" ht="15.75" customHeight="1">
      <c r="A331" s="59" t="s">
        <v>61</v>
      </c>
      <c r="B331" s="61">
        <f t="shared" si="6"/>
        <v>45984</v>
      </c>
      <c r="C331" s="89">
        <v>12.3</v>
      </c>
      <c r="D331" s="63" t="s">
        <v>69</v>
      </c>
      <c r="E331" s="94" t="b">
        <v>1</v>
      </c>
      <c r="F331" s="87"/>
      <c r="G331" s="66"/>
      <c r="H331" s="88"/>
      <c r="I331" s="66"/>
      <c r="J331" s="88"/>
      <c r="K331" s="66"/>
      <c r="L331" s="88"/>
      <c r="M331" s="66"/>
      <c r="N331" s="88"/>
      <c r="O331" s="66"/>
      <c r="P331" s="88"/>
      <c r="Q331" s="68"/>
      <c r="R331" s="88"/>
      <c r="S331" s="66"/>
      <c r="T331" s="87">
        <v>0.0</v>
      </c>
      <c r="U331" s="66"/>
      <c r="V331" s="88">
        <v>0.0</v>
      </c>
      <c r="W331" s="66"/>
      <c r="X331" s="88"/>
      <c r="Y331" s="66"/>
      <c r="Z331" s="88"/>
      <c r="AA331" s="66"/>
      <c r="AB331" s="88"/>
      <c r="AC331" s="66"/>
      <c r="AD331" s="88"/>
      <c r="AE331" s="68"/>
      <c r="AF331" s="88"/>
      <c r="AG331" s="66"/>
      <c r="AH331" s="88"/>
      <c r="AI331" s="66"/>
      <c r="AJ331" s="88"/>
      <c r="AK331" s="66"/>
      <c r="AL331" s="87"/>
      <c r="AM331" s="68"/>
      <c r="AN331" s="121"/>
      <c r="AO331" s="68"/>
      <c r="AP331" s="124"/>
      <c r="AQ331" s="68"/>
      <c r="AR331" s="124"/>
      <c r="AS331" s="68"/>
      <c r="AT331" s="124"/>
      <c r="AU331" s="68"/>
      <c r="AV331" s="125"/>
      <c r="AW331" s="66"/>
      <c r="AX331" s="125"/>
      <c r="AY331" s="68"/>
      <c r="AZ331" s="125"/>
      <c r="BA331" s="66"/>
      <c r="BB331" s="73">
        <f t="shared" si="8"/>
        <v>0</v>
      </c>
      <c r="BC331" s="63">
        <f t="shared" si="2"/>
        <v>0</v>
      </c>
      <c r="BD331" s="63">
        <f t="shared" si="3"/>
        <v>0</v>
      </c>
      <c r="BE331" s="63">
        <f t="shared" si="4"/>
        <v>0</v>
      </c>
      <c r="BF331" s="74" t="str">
        <f t="shared" si="5"/>
        <v/>
      </c>
      <c r="BG331" s="78">
        <f t="shared" si="9"/>
        <v>45984</v>
      </c>
    </row>
    <row r="332" ht="15.75" customHeight="1">
      <c r="A332" s="36" t="s">
        <v>46</v>
      </c>
      <c r="B332" s="113">
        <f t="shared" si="6"/>
        <v>45985</v>
      </c>
      <c r="C332" s="48">
        <v>12.4</v>
      </c>
      <c r="D332" s="40" t="s">
        <v>72</v>
      </c>
      <c r="E332" s="82" t="s">
        <v>79</v>
      </c>
      <c r="F332" s="41"/>
      <c r="H332" s="42"/>
      <c r="J332" s="42"/>
      <c r="L332" s="42"/>
      <c r="N332" s="42"/>
      <c r="P332" s="42"/>
      <c r="Q332" s="43"/>
      <c r="R332" s="42"/>
      <c r="T332" s="41">
        <v>0.0</v>
      </c>
      <c r="V332" s="42">
        <v>0.0</v>
      </c>
      <c r="X332" s="42"/>
      <c r="Z332" s="42"/>
      <c r="AB332" s="42"/>
      <c r="AD332" s="42"/>
      <c r="AE332" s="43"/>
      <c r="AF332" s="42"/>
      <c r="AH332" s="42"/>
      <c r="AJ332" s="42"/>
      <c r="AL332" s="41"/>
      <c r="AM332" s="43"/>
      <c r="AN332" s="72"/>
      <c r="AO332" s="43"/>
      <c r="AP332" s="114"/>
      <c r="AQ332" s="43"/>
      <c r="AR332" s="114"/>
      <c r="AS332" s="43"/>
      <c r="AT332" s="114"/>
      <c r="AU332" s="43"/>
      <c r="AV332" s="115"/>
      <c r="AX332" s="115"/>
      <c r="AY332" s="43"/>
      <c r="AZ332" s="115"/>
      <c r="BB332" s="47">
        <f t="shared" si="8"/>
        <v>0</v>
      </c>
      <c r="BC332" s="38">
        <f t="shared" si="2"/>
        <v>0</v>
      </c>
      <c r="BD332" s="38">
        <f t="shared" si="3"/>
        <v>0</v>
      </c>
      <c r="BE332" s="38">
        <f t="shared" si="4"/>
        <v>0</v>
      </c>
      <c r="BF332" s="76" t="str">
        <f t="shared" si="5"/>
        <v/>
      </c>
      <c r="BG332" s="78">
        <f t="shared" si="9"/>
        <v>45991</v>
      </c>
    </row>
    <row r="333" ht="15.75" customHeight="1">
      <c r="A333" s="50" t="s">
        <v>48</v>
      </c>
      <c r="B333" s="117">
        <f t="shared" si="6"/>
        <v>45986</v>
      </c>
      <c r="C333" s="89">
        <v>12.4</v>
      </c>
      <c r="D333" s="53" t="s">
        <v>72</v>
      </c>
      <c r="E333" s="92" t="s">
        <v>80</v>
      </c>
      <c r="F333" s="41"/>
      <c r="H333" s="42"/>
      <c r="J333" s="42"/>
      <c r="L333" s="42"/>
      <c r="N333" s="42"/>
      <c r="P333" s="42"/>
      <c r="Q333" s="43"/>
      <c r="R333" s="42"/>
      <c r="T333" s="41">
        <v>0.0</v>
      </c>
      <c r="V333" s="42">
        <v>0.0</v>
      </c>
      <c r="X333" s="42"/>
      <c r="Z333" s="42"/>
      <c r="AB333" s="42"/>
      <c r="AD333" s="42"/>
      <c r="AE333" s="43"/>
      <c r="AF333" s="42"/>
      <c r="AH333" s="42"/>
      <c r="AJ333" s="42"/>
      <c r="AL333" s="41"/>
      <c r="AM333" s="43"/>
      <c r="AN333" s="72"/>
      <c r="AO333" s="43"/>
      <c r="AP333" s="114"/>
      <c r="AQ333" s="43"/>
      <c r="AR333" s="114"/>
      <c r="AS333" s="43"/>
      <c r="AT333" s="114"/>
      <c r="AU333" s="43"/>
      <c r="AV333" s="115"/>
      <c r="AX333" s="115"/>
      <c r="AY333" s="43"/>
      <c r="AZ333" s="115"/>
      <c r="BB333" s="54">
        <f t="shared" si="8"/>
        <v>0</v>
      </c>
      <c r="BC333" s="52">
        <f t="shared" si="2"/>
        <v>0</v>
      </c>
      <c r="BD333" s="52">
        <f t="shared" si="3"/>
        <v>0</v>
      </c>
      <c r="BE333" s="52">
        <f t="shared" si="4"/>
        <v>0</v>
      </c>
      <c r="BF333" s="49" t="str">
        <f t="shared" si="5"/>
        <v/>
      </c>
      <c r="BG333" s="78">
        <f t="shared" si="9"/>
        <v>45991</v>
      </c>
    </row>
    <row r="334" ht="15.75" customHeight="1">
      <c r="A334" s="50" t="s">
        <v>49</v>
      </c>
      <c r="B334" s="117">
        <f t="shared" si="6"/>
        <v>45987</v>
      </c>
      <c r="C334" s="89">
        <v>12.4</v>
      </c>
      <c r="D334" s="53" t="s">
        <v>72</v>
      </c>
      <c r="E334" s="92" t="s">
        <v>81</v>
      </c>
      <c r="F334" s="41"/>
      <c r="H334" s="42"/>
      <c r="J334" s="42"/>
      <c r="L334" s="42"/>
      <c r="N334" s="42"/>
      <c r="P334" s="42"/>
      <c r="Q334" s="43"/>
      <c r="R334" s="42"/>
      <c r="T334" s="41">
        <v>0.0</v>
      </c>
      <c r="V334" s="42">
        <v>0.0</v>
      </c>
      <c r="X334" s="42"/>
      <c r="Z334" s="42"/>
      <c r="AB334" s="42"/>
      <c r="AD334" s="42"/>
      <c r="AE334" s="43"/>
      <c r="AF334" s="42"/>
      <c r="AH334" s="42"/>
      <c r="AJ334" s="42"/>
      <c r="AL334" s="41"/>
      <c r="AM334" s="43"/>
      <c r="AN334" s="72"/>
      <c r="AO334" s="43"/>
      <c r="AP334" s="114"/>
      <c r="AQ334" s="43"/>
      <c r="AR334" s="114"/>
      <c r="AS334" s="43"/>
      <c r="AT334" s="114"/>
      <c r="AU334" s="43"/>
      <c r="AV334" s="115"/>
      <c r="AX334" s="115"/>
      <c r="AY334" s="43"/>
      <c r="AZ334" s="115"/>
      <c r="BB334" s="54">
        <f t="shared" si="8"/>
        <v>0</v>
      </c>
      <c r="BC334" s="52">
        <f t="shared" si="2"/>
        <v>0</v>
      </c>
      <c r="BD334" s="52">
        <f t="shared" si="3"/>
        <v>0</v>
      </c>
      <c r="BE334" s="52">
        <f t="shared" si="4"/>
        <v>0</v>
      </c>
      <c r="BF334" s="49" t="str">
        <f t="shared" si="5"/>
        <v/>
      </c>
      <c r="BG334" s="78">
        <f t="shared" si="9"/>
        <v>45991</v>
      </c>
    </row>
    <row r="335" ht="15.75" customHeight="1">
      <c r="A335" s="50" t="s">
        <v>50</v>
      </c>
      <c r="B335" s="117">
        <f t="shared" si="6"/>
        <v>45988</v>
      </c>
      <c r="C335" s="89">
        <v>12.4</v>
      </c>
      <c r="D335" s="53" t="s">
        <v>72</v>
      </c>
      <c r="E335" s="53"/>
      <c r="F335" s="41"/>
      <c r="H335" s="42"/>
      <c r="J335" s="42"/>
      <c r="L335" s="42"/>
      <c r="N335" s="42"/>
      <c r="P335" s="42"/>
      <c r="Q335" s="43"/>
      <c r="R335" s="42"/>
      <c r="T335" s="41">
        <v>0.0</v>
      </c>
      <c r="V335" s="42">
        <v>0.0</v>
      </c>
      <c r="X335" s="42"/>
      <c r="Z335" s="42"/>
      <c r="AB335" s="42"/>
      <c r="AD335" s="42"/>
      <c r="AE335" s="43"/>
      <c r="AF335" s="42"/>
      <c r="AH335" s="42"/>
      <c r="AJ335" s="42"/>
      <c r="AL335" s="41"/>
      <c r="AM335" s="43"/>
      <c r="AN335" s="72"/>
      <c r="AO335" s="43"/>
      <c r="AP335" s="114"/>
      <c r="AQ335" s="43"/>
      <c r="AR335" s="114"/>
      <c r="AS335" s="43"/>
      <c r="AT335" s="114"/>
      <c r="AU335" s="43"/>
      <c r="AV335" s="115"/>
      <c r="AX335" s="115"/>
      <c r="AY335" s="43"/>
      <c r="AZ335" s="115"/>
      <c r="BB335" s="54">
        <f t="shared" si="8"/>
        <v>0</v>
      </c>
      <c r="BC335" s="52">
        <f t="shared" si="2"/>
        <v>0</v>
      </c>
      <c r="BD335" s="52">
        <f t="shared" si="3"/>
        <v>0</v>
      </c>
      <c r="BE335" s="52">
        <f t="shared" si="4"/>
        <v>0</v>
      </c>
      <c r="BF335" s="49" t="str">
        <f t="shared" si="5"/>
        <v/>
      </c>
      <c r="BG335" s="78">
        <f t="shared" si="9"/>
        <v>45991</v>
      </c>
    </row>
    <row r="336" ht="15.75" customHeight="1">
      <c r="A336" s="50" t="s">
        <v>53</v>
      </c>
      <c r="B336" s="117">
        <f t="shared" si="6"/>
        <v>45989</v>
      </c>
      <c r="C336" s="89">
        <v>12.4</v>
      </c>
      <c r="D336" s="53" t="s">
        <v>72</v>
      </c>
      <c r="E336" s="53"/>
      <c r="F336" s="41"/>
      <c r="H336" s="42"/>
      <c r="J336" s="42"/>
      <c r="L336" s="42"/>
      <c r="N336" s="42"/>
      <c r="P336" s="42"/>
      <c r="Q336" s="43"/>
      <c r="R336" s="42"/>
      <c r="T336" s="41">
        <v>0.0</v>
      </c>
      <c r="V336" s="42">
        <v>0.0</v>
      </c>
      <c r="X336" s="42"/>
      <c r="Z336" s="42"/>
      <c r="AB336" s="42"/>
      <c r="AD336" s="42"/>
      <c r="AE336" s="43"/>
      <c r="AF336" s="42"/>
      <c r="AH336" s="42"/>
      <c r="AJ336" s="42"/>
      <c r="AL336" s="41"/>
      <c r="AM336" s="43"/>
      <c r="AN336" s="72"/>
      <c r="AO336" s="43"/>
      <c r="AP336" s="114"/>
      <c r="AQ336" s="43"/>
      <c r="AR336" s="114"/>
      <c r="AS336" s="43"/>
      <c r="AT336" s="114"/>
      <c r="AU336" s="43"/>
      <c r="AV336" s="115"/>
      <c r="AX336" s="115"/>
      <c r="AY336" s="43"/>
      <c r="AZ336" s="115"/>
      <c r="BB336" s="54">
        <f t="shared" si="8"/>
        <v>0</v>
      </c>
      <c r="BC336" s="52">
        <f t="shared" si="2"/>
        <v>0</v>
      </c>
      <c r="BD336" s="52">
        <f t="shared" si="3"/>
        <v>0</v>
      </c>
      <c r="BE336" s="52">
        <f t="shared" si="4"/>
        <v>0</v>
      </c>
      <c r="BF336" s="49" t="str">
        <f t="shared" si="5"/>
        <v/>
      </c>
      <c r="BG336" s="78">
        <f t="shared" si="9"/>
        <v>45991</v>
      </c>
    </row>
    <row r="337" ht="15.75" customHeight="1">
      <c r="A337" s="50" t="s">
        <v>54</v>
      </c>
      <c r="B337" s="117">
        <f t="shared" si="6"/>
        <v>45990</v>
      </c>
      <c r="C337" s="89">
        <v>12.4</v>
      </c>
      <c r="D337" s="53" t="s">
        <v>72</v>
      </c>
      <c r="E337" s="92" t="s">
        <v>78</v>
      </c>
      <c r="F337" s="41"/>
      <c r="H337" s="42"/>
      <c r="J337" s="42"/>
      <c r="L337" s="42"/>
      <c r="N337" s="42"/>
      <c r="P337" s="42"/>
      <c r="Q337" s="43"/>
      <c r="R337" s="42"/>
      <c r="T337" s="41">
        <v>0.0</v>
      </c>
      <c r="V337" s="42">
        <v>0.0</v>
      </c>
      <c r="X337" s="42"/>
      <c r="Z337" s="42"/>
      <c r="AB337" s="42"/>
      <c r="AD337" s="42"/>
      <c r="AE337" s="43"/>
      <c r="AF337" s="42"/>
      <c r="AH337" s="42"/>
      <c r="AJ337" s="42"/>
      <c r="AL337" s="41"/>
      <c r="AM337" s="43"/>
      <c r="AN337" s="72"/>
      <c r="AO337" s="43"/>
      <c r="AP337" s="114"/>
      <c r="AQ337" s="43"/>
      <c r="AR337" s="114"/>
      <c r="AS337" s="43"/>
      <c r="AT337" s="114"/>
      <c r="AU337" s="43"/>
      <c r="AV337" s="115"/>
      <c r="AX337" s="115"/>
      <c r="AY337" s="43"/>
      <c r="AZ337" s="115"/>
      <c r="BB337" s="54">
        <f t="shared" si="8"/>
        <v>0</v>
      </c>
      <c r="BC337" s="52">
        <f t="shared" si="2"/>
        <v>0</v>
      </c>
      <c r="BD337" s="52">
        <f t="shared" si="3"/>
        <v>0</v>
      </c>
      <c r="BE337" s="52">
        <f t="shared" si="4"/>
        <v>0</v>
      </c>
      <c r="BF337" s="49" t="str">
        <f t="shared" si="5"/>
        <v/>
      </c>
      <c r="BG337" s="78">
        <f t="shared" si="9"/>
        <v>45991</v>
      </c>
    </row>
    <row r="338" ht="15.75" customHeight="1">
      <c r="A338" s="59" t="s">
        <v>61</v>
      </c>
      <c r="B338" s="118">
        <f t="shared" si="6"/>
        <v>45991</v>
      </c>
      <c r="C338" s="90">
        <v>12.4</v>
      </c>
      <c r="D338" s="64" t="s">
        <v>72</v>
      </c>
      <c r="E338" s="94" t="b">
        <v>0</v>
      </c>
      <c r="F338" s="65"/>
      <c r="G338" s="66"/>
      <c r="H338" s="67"/>
      <c r="I338" s="66"/>
      <c r="J338" s="67"/>
      <c r="K338" s="66"/>
      <c r="L338" s="67"/>
      <c r="M338" s="66"/>
      <c r="N338" s="67"/>
      <c r="O338" s="66"/>
      <c r="P338" s="67"/>
      <c r="Q338" s="68"/>
      <c r="R338" s="67"/>
      <c r="S338" s="66"/>
      <c r="T338" s="65">
        <v>0.0</v>
      </c>
      <c r="U338" s="66"/>
      <c r="V338" s="67">
        <v>0.0</v>
      </c>
      <c r="W338" s="66"/>
      <c r="X338" s="67"/>
      <c r="Y338" s="66"/>
      <c r="Z338" s="67"/>
      <c r="AA338" s="66"/>
      <c r="AB338" s="67"/>
      <c r="AC338" s="66"/>
      <c r="AD338" s="67"/>
      <c r="AE338" s="68"/>
      <c r="AF338" s="67"/>
      <c r="AG338" s="66"/>
      <c r="AH338" s="67"/>
      <c r="AI338" s="66"/>
      <c r="AJ338" s="67"/>
      <c r="AK338" s="66"/>
      <c r="AL338" s="65"/>
      <c r="AM338" s="68"/>
      <c r="AN338" s="84"/>
      <c r="AO338" s="68"/>
      <c r="AP338" s="119"/>
      <c r="AQ338" s="68"/>
      <c r="AR338" s="119"/>
      <c r="AS338" s="68"/>
      <c r="AT338" s="119"/>
      <c r="AU338" s="68"/>
      <c r="AV338" s="120"/>
      <c r="AW338" s="66"/>
      <c r="AX338" s="120"/>
      <c r="AY338" s="68"/>
      <c r="AZ338" s="120"/>
      <c r="BA338" s="66"/>
      <c r="BB338" s="73">
        <f t="shared" si="8"/>
        <v>0</v>
      </c>
      <c r="BC338" s="63">
        <f t="shared" si="2"/>
        <v>0</v>
      </c>
      <c r="BD338" s="63">
        <f t="shared" si="3"/>
        <v>0</v>
      </c>
      <c r="BE338" s="63">
        <f t="shared" si="4"/>
        <v>0</v>
      </c>
      <c r="BF338" s="74" t="str">
        <f t="shared" si="5"/>
        <v/>
      </c>
      <c r="BG338" s="78">
        <f t="shared" si="9"/>
        <v>45991</v>
      </c>
    </row>
    <row r="339" ht="15.75" customHeight="1">
      <c r="A339" s="36" t="s">
        <v>46</v>
      </c>
      <c r="B339" s="75">
        <f t="shared" si="6"/>
        <v>45992</v>
      </c>
      <c r="C339" s="89">
        <v>13.1</v>
      </c>
      <c r="D339" s="48" t="s">
        <v>47</v>
      </c>
      <c r="E339" s="40"/>
      <c r="F339" s="85"/>
      <c r="H339" s="86"/>
      <c r="J339" s="86"/>
      <c r="L339" s="86"/>
      <c r="N339" s="86"/>
      <c r="P339" s="86"/>
      <c r="Q339" s="43"/>
      <c r="R339" s="86"/>
      <c r="T339" s="85">
        <v>50.0</v>
      </c>
      <c r="V339" s="86">
        <v>50.0</v>
      </c>
      <c r="X339" s="86"/>
      <c r="Z339" s="86"/>
      <c r="AB339" s="86"/>
      <c r="AD339" s="86"/>
      <c r="AE339" s="43"/>
      <c r="AF339" s="86"/>
      <c r="AH339" s="86"/>
      <c r="AJ339" s="86"/>
      <c r="AL339" s="85"/>
      <c r="AM339" s="43"/>
      <c r="AN339" s="116"/>
      <c r="AO339" s="43"/>
      <c r="AP339" s="122"/>
      <c r="AQ339" s="43"/>
      <c r="AR339" s="122"/>
      <c r="AS339" s="43"/>
      <c r="AT339" s="122"/>
      <c r="AU339" s="43"/>
      <c r="AV339" s="123"/>
      <c r="AX339" s="123"/>
      <c r="AY339" s="43"/>
      <c r="AZ339" s="123"/>
      <c r="BB339" s="47">
        <f t="shared" si="8"/>
        <v>1112</v>
      </c>
      <c r="BC339" s="38">
        <f t="shared" si="2"/>
        <v>100</v>
      </c>
      <c r="BD339" s="38">
        <f t="shared" si="3"/>
        <v>0</v>
      </c>
      <c r="BE339" s="38">
        <f t="shared" si="4"/>
        <v>100</v>
      </c>
      <c r="BF339" s="76">
        <f t="shared" si="5"/>
        <v>11.12</v>
      </c>
      <c r="BG339" s="78">
        <f t="shared" si="9"/>
        <v>45998</v>
      </c>
    </row>
    <row r="340" ht="15.75" customHeight="1">
      <c r="A340" s="50" t="s">
        <v>48</v>
      </c>
      <c r="B340" s="51">
        <f t="shared" si="6"/>
        <v>45993</v>
      </c>
      <c r="C340" s="89">
        <v>13.1</v>
      </c>
      <c r="D340" s="89" t="s">
        <v>47</v>
      </c>
      <c r="E340" s="53"/>
      <c r="F340" s="85"/>
      <c r="H340" s="86"/>
      <c r="J340" s="86"/>
      <c r="L340" s="86"/>
      <c r="N340" s="86"/>
      <c r="P340" s="86"/>
      <c r="Q340" s="43"/>
      <c r="R340" s="86"/>
      <c r="T340" s="85">
        <v>50.0</v>
      </c>
      <c r="V340" s="86">
        <v>50.0</v>
      </c>
      <c r="X340" s="86"/>
      <c r="Z340" s="86"/>
      <c r="AB340" s="86"/>
      <c r="AD340" s="86"/>
      <c r="AE340" s="43"/>
      <c r="AF340" s="86"/>
      <c r="AH340" s="86"/>
      <c r="AJ340" s="86"/>
      <c r="AL340" s="85"/>
      <c r="AM340" s="43"/>
      <c r="AN340" s="116"/>
      <c r="AO340" s="43"/>
      <c r="AP340" s="122"/>
      <c r="AQ340" s="43"/>
      <c r="AR340" s="122"/>
      <c r="AS340" s="43"/>
      <c r="AT340" s="122"/>
      <c r="AU340" s="43"/>
      <c r="AV340" s="123"/>
      <c r="AX340" s="123"/>
      <c r="AY340" s="43"/>
      <c r="AZ340" s="123"/>
      <c r="BB340" s="54">
        <f t="shared" si="8"/>
        <v>1112</v>
      </c>
      <c r="BC340" s="52">
        <f t="shared" si="2"/>
        <v>100</v>
      </c>
      <c r="BD340" s="52">
        <f t="shared" si="3"/>
        <v>0</v>
      </c>
      <c r="BE340" s="52">
        <f t="shared" si="4"/>
        <v>100</v>
      </c>
      <c r="BF340" s="49">
        <f t="shared" si="5"/>
        <v>11.12</v>
      </c>
      <c r="BG340" s="78">
        <f t="shared" si="9"/>
        <v>45998</v>
      </c>
    </row>
    <row r="341" ht="15.75" customHeight="1">
      <c r="A341" s="50" t="s">
        <v>49</v>
      </c>
      <c r="B341" s="51">
        <f t="shared" si="6"/>
        <v>45994</v>
      </c>
      <c r="C341" s="89">
        <v>13.1</v>
      </c>
      <c r="D341" s="89" t="s">
        <v>47</v>
      </c>
      <c r="E341" s="53"/>
      <c r="F341" s="85"/>
      <c r="H341" s="86">
        <v>10.0</v>
      </c>
      <c r="J341" s="86"/>
      <c r="L341" s="86"/>
      <c r="N341" s="86"/>
      <c r="P341" s="86"/>
      <c r="Q341" s="43"/>
      <c r="R341" s="86"/>
      <c r="T341" s="85">
        <v>50.0</v>
      </c>
      <c r="V341" s="86">
        <v>50.0</v>
      </c>
      <c r="X341" s="86"/>
      <c r="Z341" s="86"/>
      <c r="AB341" s="86"/>
      <c r="AD341" s="86"/>
      <c r="AE341" s="43"/>
      <c r="AF341" s="86"/>
      <c r="AH341" s="86"/>
      <c r="AJ341" s="86"/>
      <c r="AL341" s="85"/>
      <c r="AM341" s="43"/>
      <c r="AN341" s="116"/>
      <c r="AO341" s="43"/>
      <c r="AP341" s="122"/>
      <c r="AQ341" s="43"/>
      <c r="AR341" s="122"/>
      <c r="AS341" s="43"/>
      <c r="AT341" s="122"/>
      <c r="AU341" s="43"/>
      <c r="AV341" s="123"/>
      <c r="AX341" s="123"/>
      <c r="AY341" s="43"/>
      <c r="AZ341" s="123"/>
      <c r="BB341" s="54">
        <f t="shared" si="8"/>
        <v>1334.5</v>
      </c>
      <c r="BC341" s="52">
        <f t="shared" si="2"/>
        <v>110</v>
      </c>
      <c r="BD341" s="52">
        <f t="shared" si="3"/>
        <v>0</v>
      </c>
      <c r="BE341" s="52">
        <f t="shared" si="4"/>
        <v>110</v>
      </c>
      <c r="BF341" s="49">
        <f t="shared" si="5"/>
        <v>12.13181818</v>
      </c>
      <c r="BG341" s="78">
        <f t="shared" si="9"/>
        <v>45998</v>
      </c>
    </row>
    <row r="342" ht="15.75" customHeight="1">
      <c r="A342" s="50" t="s">
        <v>50</v>
      </c>
      <c r="B342" s="51">
        <f t="shared" si="6"/>
        <v>45995</v>
      </c>
      <c r="C342" s="89">
        <v>13.1</v>
      </c>
      <c r="D342" s="89" t="s">
        <v>47</v>
      </c>
      <c r="E342" s="53"/>
      <c r="F342" s="85"/>
      <c r="H342" s="86"/>
      <c r="J342" s="86"/>
      <c r="L342" s="86"/>
      <c r="N342" s="86"/>
      <c r="P342" s="86"/>
      <c r="Q342" s="43"/>
      <c r="R342" s="86"/>
      <c r="T342" s="85">
        <v>50.0</v>
      </c>
      <c r="V342" s="86">
        <v>50.0</v>
      </c>
      <c r="X342" s="86"/>
      <c r="Z342" s="86"/>
      <c r="AB342" s="86"/>
      <c r="AD342" s="86"/>
      <c r="AE342" s="43"/>
      <c r="AF342" s="86"/>
      <c r="AH342" s="86"/>
      <c r="AJ342" s="86"/>
      <c r="AL342" s="85"/>
      <c r="AM342" s="43"/>
      <c r="AN342" s="116"/>
      <c r="AO342" s="43"/>
      <c r="AP342" s="122"/>
      <c r="AQ342" s="43"/>
      <c r="AR342" s="122"/>
      <c r="AS342" s="43"/>
      <c r="AT342" s="122"/>
      <c r="AU342" s="43"/>
      <c r="AV342" s="123"/>
      <c r="AX342" s="123"/>
      <c r="AY342" s="43"/>
      <c r="AZ342" s="123"/>
      <c r="BB342" s="54">
        <f t="shared" si="8"/>
        <v>1112</v>
      </c>
      <c r="BC342" s="52">
        <f t="shared" si="2"/>
        <v>100</v>
      </c>
      <c r="BD342" s="52">
        <f t="shared" si="3"/>
        <v>0</v>
      </c>
      <c r="BE342" s="52">
        <f t="shared" si="4"/>
        <v>100</v>
      </c>
      <c r="BF342" s="49">
        <f t="shared" si="5"/>
        <v>11.12</v>
      </c>
      <c r="BG342" s="78">
        <f t="shared" si="9"/>
        <v>45998</v>
      </c>
    </row>
    <row r="343" ht="15.75" customHeight="1">
      <c r="A343" s="50" t="s">
        <v>53</v>
      </c>
      <c r="B343" s="51">
        <f t="shared" si="6"/>
        <v>45996</v>
      </c>
      <c r="C343" s="89">
        <v>13.1</v>
      </c>
      <c r="D343" s="89" t="s">
        <v>47</v>
      </c>
      <c r="E343" s="53"/>
      <c r="F343" s="85"/>
      <c r="H343" s="86"/>
      <c r="J343" s="86"/>
      <c r="L343" s="86"/>
      <c r="N343" s="86"/>
      <c r="P343" s="86"/>
      <c r="Q343" s="43"/>
      <c r="R343" s="86"/>
      <c r="T343" s="85">
        <v>50.0</v>
      </c>
      <c r="V343" s="86">
        <v>50.0</v>
      </c>
      <c r="X343" s="86"/>
      <c r="Z343" s="86"/>
      <c r="AB343" s="86"/>
      <c r="AD343" s="86"/>
      <c r="AE343" s="43"/>
      <c r="AF343" s="86"/>
      <c r="AH343" s="86"/>
      <c r="AJ343" s="86"/>
      <c r="AL343" s="85"/>
      <c r="AM343" s="43"/>
      <c r="AN343" s="116"/>
      <c r="AO343" s="43"/>
      <c r="AP343" s="122"/>
      <c r="AQ343" s="43"/>
      <c r="AR343" s="122"/>
      <c r="AS343" s="43"/>
      <c r="AT343" s="122"/>
      <c r="AU343" s="43"/>
      <c r="AV343" s="123"/>
      <c r="AX343" s="123"/>
      <c r="AY343" s="43"/>
      <c r="AZ343" s="123"/>
      <c r="BB343" s="54">
        <f t="shared" si="8"/>
        <v>1112</v>
      </c>
      <c r="BC343" s="52">
        <f t="shared" si="2"/>
        <v>100</v>
      </c>
      <c r="BD343" s="52">
        <f t="shared" si="3"/>
        <v>0</v>
      </c>
      <c r="BE343" s="52">
        <f t="shared" si="4"/>
        <v>100</v>
      </c>
      <c r="BF343" s="49">
        <f t="shared" si="5"/>
        <v>11.12</v>
      </c>
      <c r="BG343" s="78">
        <f t="shared" si="9"/>
        <v>45998</v>
      </c>
    </row>
    <row r="344" ht="15.75" customHeight="1">
      <c r="A344" s="50" t="s">
        <v>54</v>
      </c>
      <c r="B344" s="51">
        <f t="shared" si="6"/>
        <v>45997</v>
      </c>
      <c r="C344" s="89">
        <v>13.1</v>
      </c>
      <c r="D344" s="89" t="s">
        <v>47</v>
      </c>
      <c r="E344" s="92" t="s">
        <v>78</v>
      </c>
      <c r="F344" s="85"/>
      <c r="H344" s="86"/>
      <c r="J344" s="86"/>
      <c r="L344" s="86"/>
      <c r="N344" s="86"/>
      <c r="P344" s="86"/>
      <c r="Q344" s="43"/>
      <c r="R344" s="86"/>
      <c r="T344" s="85">
        <v>0.0</v>
      </c>
      <c r="V344" s="86">
        <v>0.0</v>
      </c>
      <c r="X344" s="86"/>
      <c r="Z344" s="86"/>
      <c r="AB344" s="86"/>
      <c r="AD344" s="86"/>
      <c r="AE344" s="43"/>
      <c r="AF344" s="86"/>
      <c r="AH344" s="86"/>
      <c r="AJ344" s="86"/>
      <c r="AL344" s="85"/>
      <c r="AM344" s="43"/>
      <c r="AN344" s="116"/>
      <c r="AO344" s="43"/>
      <c r="AP344" s="122"/>
      <c r="AQ344" s="43"/>
      <c r="AR344" s="122"/>
      <c r="AS344" s="43"/>
      <c r="AT344" s="122"/>
      <c r="AU344" s="43"/>
      <c r="AV344" s="123"/>
      <c r="AX344" s="123"/>
      <c r="AY344" s="43"/>
      <c r="AZ344" s="123"/>
      <c r="BB344" s="54">
        <f t="shared" si="8"/>
        <v>0</v>
      </c>
      <c r="BC344" s="52">
        <f t="shared" si="2"/>
        <v>0</v>
      </c>
      <c r="BD344" s="52">
        <f t="shared" si="3"/>
        <v>0</v>
      </c>
      <c r="BE344" s="52">
        <f t="shared" si="4"/>
        <v>0</v>
      </c>
      <c r="BF344" s="49" t="str">
        <f t="shared" si="5"/>
        <v/>
      </c>
      <c r="BG344" s="78">
        <f t="shared" si="9"/>
        <v>45998</v>
      </c>
    </row>
    <row r="345" ht="15.75" customHeight="1">
      <c r="A345" s="59" t="s">
        <v>61</v>
      </c>
      <c r="B345" s="61">
        <f t="shared" si="6"/>
        <v>45998</v>
      </c>
      <c r="C345" s="89">
        <v>13.1</v>
      </c>
      <c r="D345" s="89" t="s">
        <v>47</v>
      </c>
      <c r="E345" s="94" t="b">
        <v>1</v>
      </c>
      <c r="F345" s="87"/>
      <c r="G345" s="66"/>
      <c r="H345" s="88"/>
      <c r="I345" s="66"/>
      <c r="J345" s="88"/>
      <c r="K345" s="66"/>
      <c r="L345" s="88"/>
      <c r="M345" s="66"/>
      <c r="N345" s="88"/>
      <c r="O345" s="66"/>
      <c r="P345" s="88"/>
      <c r="Q345" s="68"/>
      <c r="R345" s="88"/>
      <c r="S345" s="66"/>
      <c r="T345" s="87">
        <v>0.0</v>
      </c>
      <c r="U345" s="66"/>
      <c r="V345" s="88">
        <v>0.0</v>
      </c>
      <c r="W345" s="66"/>
      <c r="X345" s="88"/>
      <c r="Y345" s="66"/>
      <c r="Z345" s="88"/>
      <c r="AA345" s="66"/>
      <c r="AB345" s="88"/>
      <c r="AC345" s="66"/>
      <c r="AD345" s="88"/>
      <c r="AE345" s="68"/>
      <c r="AF345" s="88"/>
      <c r="AG345" s="66"/>
      <c r="AH345" s="88"/>
      <c r="AI345" s="66"/>
      <c r="AJ345" s="88"/>
      <c r="AK345" s="66"/>
      <c r="AL345" s="87"/>
      <c r="AM345" s="68"/>
      <c r="AN345" s="121"/>
      <c r="AO345" s="68"/>
      <c r="AP345" s="124"/>
      <c r="AQ345" s="68"/>
      <c r="AR345" s="124"/>
      <c r="AS345" s="68"/>
      <c r="AT345" s="124"/>
      <c r="AU345" s="68"/>
      <c r="AV345" s="125"/>
      <c r="AW345" s="66"/>
      <c r="AX345" s="125"/>
      <c r="AY345" s="68"/>
      <c r="AZ345" s="125"/>
      <c r="BA345" s="66"/>
      <c r="BB345" s="73">
        <f t="shared" si="8"/>
        <v>0</v>
      </c>
      <c r="BC345" s="63">
        <f t="shared" si="2"/>
        <v>0</v>
      </c>
      <c r="BD345" s="63">
        <f t="shared" si="3"/>
        <v>0</v>
      </c>
      <c r="BE345" s="63">
        <f t="shared" si="4"/>
        <v>0</v>
      </c>
      <c r="BF345" s="74" t="str">
        <f t="shared" si="5"/>
        <v/>
      </c>
      <c r="BG345" s="78">
        <f t="shared" si="9"/>
        <v>45998</v>
      </c>
    </row>
    <row r="346" ht="15.75" customHeight="1">
      <c r="A346" s="36" t="s">
        <v>46</v>
      </c>
      <c r="B346" s="75">
        <f t="shared" si="6"/>
        <v>45999</v>
      </c>
      <c r="C346" s="48">
        <v>13.2</v>
      </c>
      <c r="D346" s="48" t="s">
        <v>65</v>
      </c>
      <c r="E346" s="40"/>
      <c r="F346" s="85"/>
      <c r="H346" s="86"/>
      <c r="J346" s="86"/>
      <c r="L346" s="86"/>
      <c r="N346" s="86"/>
      <c r="P346" s="86"/>
      <c r="Q346" s="43"/>
      <c r="R346" s="86"/>
      <c r="T346" s="85">
        <v>50.0</v>
      </c>
      <c r="V346" s="86">
        <v>50.0</v>
      </c>
      <c r="X346" s="86"/>
      <c r="Z346" s="86"/>
      <c r="AB346" s="86"/>
      <c r="AD346" s="86"/>
      <c r="AE346" s="43"/>
      <c r="AF346" s="86"/>
      <c r="AH346" s="86"/>
      <c r="AJ346" s="86"/>
      <c r="AL346" s="85"/>
      <c r="AM346" s="43"/>
      <c r="AN346" s="116"/>
      <c r="AO346" s="43"/>
      <c r="AP346" s="122"/>
      <c r="AQ346" s="43"/>
      <c r="AR346" s="122"/>
      <c r="AS346" s="43"/>
      <c r="AT346" s="122"/>
      <c r="AU346" s="43"/>
      <c r="AV346" s="123"/>
      <c r="AX346" s="123"/>
      <c r="AY346" s="43"/>
      <c r="AZ346" s="123"/>
      <c r="BB346" s="47">
        <f t="shared" si="8"/>
        <v>1112</v>
      </c>
      <c r="BC346" s="38">
        <f t="shared" si="2"/>
        <v>100</v>
      </c>
      <c r="BD346" s="38">
        <f t="shared" si="3"/>
        <v>0</v>
      </c>
      <c r="BE346" s="38">
        <f t="shared" si="4"/>
        <v>100</v>
      </c>
      <c r="BF346" s="76">
        <f t="shared" si="5"/>
        <v>11.12</v>
      </c>
      <c r="BG346" s="78">
        <f t="shared" si="9"/>
        <v>46005</v>
      </c>
    </row>
    <row r="347" ht="15.75" customHeight="1">
      <c r="A347" s="50" t="s">
        <v>48</v>
      </c>
      <c r="B347" s="51">
        <f t="shared" si="6"/>
        <v>46000</v>
      </c>
      <c r="C347" s="89">
        <v>13.2</v>
      </c>
      <c r="D347" s="89" t="s">
        <v>65</v>
      </c>
      <c r="E347" s="53"/>
      <c r="F347" s="85"/>
      <c r="H347" s="86"/>
      <c r="J347" s="86"/>
      <c r="L347" s="86"/>
      <c r="N347" s="86"/>
      <c r="P347" s="86"/>
      <c r="Q347" s="43"/>
      <c r="R347" s="86"/>
      <c r="T347" s="85">
        <v>50.0</v>
      </c>
      <c r="V347" s="86">
        <v>50.0</v>
      </c>
      <c r="X347" s="86"/>
      <c r="Z347" s="86"/>
      <c r="AB347" s="86"/>
      <c r="AD347" s="86"/>
      <c r="AE347" s="43"/>
      <c r="AF347" s="86"/>
      <c r="AH347" s="86"/>
      <c r="AJ347" s="86"/>
      <c r="AL347" s="85"/>
      <c r="AM347" s="43"/>
      <c r="AN347" s="116"/>
      <c r="AO347" s="43"/>
      <c r="AP347" s="122"/>
      <c r="AQ347" s="43"/>
      <c r="AR347" s="122"/>
      <c r="AS347" s="43"/>
      <c r="AT347" s="122"/>
      <c r="AU347" s="43"/>
      <c r="AV347" s="123"/>
      <c r="AX347" s="123"/>
      <c r="AY347" s="43"/>
      <c r="AZ347" s="123"/>
      <c r="BB347" s="54">
        <f t="shared" si="8"/>
        <v>1112</v>
      </c>
      <c r="BC347" s="52">
        <f t="shared" si="2"/>
        <v>100</v>
      </c>
      <c r="BD347" s="52">
        <f t="shared" si="3"/>
        <v>0</v>
      </c>
      <c r="BE347" s="52">
        <f t="shared" si="4"/>
        <v>100</v>
      </c>
      <c r="BF347" s="49">
        <f t="shared" si="5"/>
        <v>11.12</v>
      </c>
      <c r="BG347" s="78">
        <f t="shared" si="9"/>
        <v>46005</v>
      </c>
    </row>
    <row r="348" ht="15.75" customHeight="1">
      <c r="A348" s="50" t="s">
        <v>49</v>
      </c>
      <c r="B348" s="51">
        <f t="shared" si="6"/>
        <v>46001</v>
      </c>
      <c r="C348" s="89">
        <v>13.2</v>
      </c>
      <c r="D348" s="89" t="s">
        <v>65</v>
      </c>
      <c r="E348" s="53"/>
      <c r="F348" s="85"/>
      <c r="H348" s="86">
        <v>10.0</v>
      </c>
      <c r="J348" s="86"/>
      <c r="L348" s="86"/>
      <c r="N348" s="86"/>
      <c r="P348" s="86"/>
      <c r="Q348" s="43"/>
      <c r="R348" s="86"/>
      <c r="T348" s="85">
        <v>50.0</v>
      </c>
      <c r="V348" s="86">
        <v>50.0</v>
      </c>
      <c r="X348" s="86"/>
      <c r="Z348" s="86"/>
      <c r="AB348" s="86"/>
      <c r="AD348" s="86"/>
      <c r="AE348" s="43"/>
      <c r="AF348" s="86"/>
      <c r="AH348" s="86"/>
      <c r="AJ348" s="86"/>
      <c r="AL348" s="85"/>
      <c r="AM348" s="43"/>
      <c r="AN348" s="116"/>
      <c r="AO348" s="43"/>
      <c r="AP348" s="122"/>
      <c r="AQ348" s="43"/>
      <c r="AR348" s="122"/>
      <c r="AS348" s="43"/>
      <c r="AT348" s="122"/>
      <c r="AU348" s="43"/>
      <c r="AV348" s="123"/>
      <c r="AX348" s="123"/>
      <c r="AY348" s="43"/>
      <c r="AZ348" s="123"/>
      <c r="BB348" s="54">
        <f t="shared" si="8"/>
        <v>1334.5</v>
      </c>
      <c r="BC348" s="52">
        <f t="shared" si="2"/>
        <v>110</v>
      </c>
      <c r="BD348" s="52">
        <f t="shared" si="3"/>
        <v>0</v>
      </c>
      <c r="BE348" s="52">
        <f t="shared" si="4"/>
        <v>110</v>
      </c>
      <c r="BF348" s="49">
        <f t="shared" si="5"/>
        <v>12.13181818</v>
      </c>
      <c r="BG348" s="78">
        <f t="shared" si="9"/>
        <v>46005</v>
      </c>
    </row>
    <row r="349" ht="15.75" customHeight="1">
      <c r="A349" s="50" t="s">
        <v>50</v>
      </c>
      <c r="B349" s="51">
        <f t="shared" si="6"/>
        <v>46002</v>
      </c>
      <c r="C349" s="89">
        <v>13.2</v>
      </c>
      <c r="D349" s="89" t="s">
        <v>65</v>
      </c>
      <c r="E349" s="53"/>
      <c r="F349" s="85"/>
      <c r="H349" s="86"/>
      <c r="J349" s="86"/>
      <c r="L349" s="86"/>
      <c r="N349" s="86"/>
      <c r="P349" s="86"/>
      <c r="Q349" s="43"/>
      <c r="R349" s="86"/>
      <c r="T349" s="85">
        <v>0.0</v>
      </c>
      <c r="V349" s="86">
        <v>0.0</v>
      </c>
      <c r="X349" s="86"/>
      <c r="Z349" s="86"/>
      <c r="AB349" s="86"/>
      <c r="AD349" s="86"/>
      <c r="AE349" s="43"/>
      <c r="AF349" s="86"/>
      <c r="AH349" s="86"/>
      <c r="AJ349" s="86"/>
      <c r="AL349" s="85"/>
      <c r="AM349" s="43"/>
      <c r="AN349" s="116"/>
      <c r="AO349" s="43"/>
      <c r="AP349" s="122"/>
      <c r="AQ349" s="43"/>
      <c r="AR349" s="122"/>
      <c r="AS349" s="43"/>
      <c r="AT349" s="122"/>
      <c r="AU349" s="43"/>
      <c r="AV349" s="123"/>
      <c r="AX349" s="123"/>
      <c r="AY349" s="43"/>
      <c r="AZ349" s="123"/>
      <c r="BB349" s="54">
        <f t="shared" si="8"/>
        <v>0</v>
      </c>
      <c r="BC349" s="52">
        <f t="shared" si="2"/>
        <v>0</v>
      </c>
      <c r="BD349" s="52">
        <f t="shared" si="3"/>
        <v>0</v>
      </c>
      <c r="BE349" s="52">
        <f t="shared" si="4"/>
        <v>0</v>
      </c>
      <c r="BF349" s="49" t="str">
        <f t="shared" si="5"/>
        <v/>
      </c>
      <c r="BG349" s="78">
        <f t="shared" si="9"/>
        <v>46005</v>
      </c>
    </row>
    <row r="350" ht="15.75" customHeight="1">
      <c r="A350" s="50" t="s">
        <v>53</v>
      </c>
      <c r="B350" s="51">
        <f t="shared" si="6"/>
        <v>46003</v>
      </c>
      <c r="C350" s="89">
        <v>13.2</v>
      </c>
      <c r="D350" s="89" t="s">
        <v>65</v>
      </c>
      <c r="E350" s="53"/>
      <c r="F350" s="85"/>
      <c r="H350" s="86"/>
      <c r="J350" s="86"/>
      <c r="L350" s="86"/>
      <c r="N350" s="86"/>
      <c r="P350" s="86"/>
      <c r="Q350" s="43"/>
      <c r="R350" s="86"/>
      <c r="T350" s="85">
        <v>0.0</v>
      </c>
      <c r="V350" s="86">
        <v>0.0</v>
      </c>
      <c r="X350" s="86"/>
      <c r="Z350" s="86"/>
      <c r="AB350" s="86"/>
      <c r="AD350" s="86"/>
      <c r="AE350" s="43"/>
      <c r="AF350" s="86"/>
      <c r="AH350" s="86"/>
      <c r="AJ350" s="86"/>
      <c r="AL350" s="85"/>
      <c r="AM350" s="43"/>
      <c r="AN350" s="116"/>
      <c r="AO350" s="43"/>
      <c r="AP350" s="122"/>
      <c r="AQ350" s="43"/>
      <c r="AR350" s="122"/>
      <c r="AS350" s="43"/>
      <c r="AT350" s="122"/>
      <c r="AU350" s="43"/>
      <c r="AV350" s="123"/>
      <c r="AX350" s="123"/>
      <c r="AY350" s="43"/>
      <c r="AZ350" s="123"/>
      <c r="BB350" s="54">
        <f t="shared" si="8"/>
        <v>0</v>
      </c>
      <c r="BC350" s="52">
        <f t="shared" si="2"/>
        <v>0</v>
      </c>
      <c r="BD350" s="52">
        <f t="shared" si="3"/>
        <v>0</v>
      </c>
      <c r="BE350" s="52">
        <f t="shared" si="4"/>
        <v>0</v>
      </c>
      <c r="BF350" s="49" t="str">
        <f t="shared" si="5"/>
        <v/>
      </c>
      <c r="BG350" s="78">
        <f t="shared" si="9"/>
        <v>46005</v>
      </c>
    </row>
    <row r="351" ht="15.75" customHeight="1">
      <c r="A351" s="50" t="s">
        <v>54</v>
      </c>
      <c r="B351" s="51">
        <f t="shared" si="6"/>
        <v>46004</v>
      </c>
      <c r="C351" s="89">
        <v>13.2</v>
      </c>
      <c r="D351" s="89" t="s">
        <v>65</v>
      </c>
      <c r="E351" s="92" t="s">
        <v>78</v>
      </c>
      <c r="F351" s="85"/>
      <c r="H351" s="86"/>
      <c r="J351" s="86"/>
      <c r="L351" s="86"/>
      <c r="N351" s="86"/>
      <c r="P351" s="86"/>
      <c r="Q351" s="43"/>
      <c r="R351" s="86"/>
      <c r="T351" s="85">
        <v>0.0</v>
      </c>
      <c r="V351" s="86">
        <v>0.0</v>
      </c>
      <c r="X351" s="86"/>
      <c r="Z351" s="86"/>
      <c r="AB351" s="86"/>
      <c r="AD351" s="86"/>
      <c r="AE351" s="43"/>
      <c r="AF351" s="86"/>
      <c r="AH351" s="86"/>
      <c r="AJ351" s="86"/>
      <c r="AL351" s="85"/>
      <c r="AM351" s="43"/>
      <c r="AN351" s="116"/>
      <c r="AO351" s="43"/>
      <c r="AP351" s="122"/>
      <c r="AQ351" s="43"/>
      <c r="AR351" s="122"/>
      <c r="AS351" s="43"/>
      <c r="AT351" s="122"/>
      <c r="AU351" s="43"/>
      <c r="AV351" s="123"/>
      <c r="AX351" s="123"/>
      <c r="AY351" s="43"/>
      <c r="AZ351" s="123"/>
      <c r="BB351" s="54">
        <f t="shared" si="8"/>
        <v>0</v>
      </c>
      <c r="BC351" s="52">
        <f t="shared" si="2"/>
        <v>0</v>
      </c>
      <c r="BD351" s="52">
        <f t="shared" si="3"/>
        <v>0</v>
      </c>
      <c r="BE351" s="52">
        <f t="shared" si="4"/>
        <v>0</v>
      </c>
      <c r="BF351" s="49" t="str">
        <f t="shared" si="5"/>
        <v/>
      </c>
      <c r="BG351" s="78">
        <f t="shared" si="9"/>
        <v>46005</v>
      </c>
    </row>
    <row r="352" ht="15.75" customHeight="1">
      <c r="A352" s="59" t="s">
        <v>61</v>
      </c>
      <c r="B352" s="61">
        <f t="shared" si="6"/>
        <v>46005</v>
      </c>
      <c r="C352" s="89">
        <v>13.2</v>
      </c>
      <c r="D352" s="89" t="s">
        <v>65</v>
      </c>
      <c r="E352" s="94" t="b">
        <v>0</v>
      </c>
      <c r="F352" s="87"/>
      <c r="G352" s="66"/>
      <c r="H352" s="88"/>
      <c r="I352" s="66"/>
      <c r="J352" s="88"/>
      <c r="K352" s="66"/>
      <c r="L352" s="88"/>
      <c r="M352" s="66"/>
      <c r="N352" s="88"/>
      <c r="O352" s="66"/>
      <c r="P352" s="88"/>
      <c r="Q352" s="68"/>
      <c r="R352" s="88"/>
      <c r="S352" s="66"/>
      <c r="T352" s="87">
        <v>0.0</v>
      </c>
      <c r="U352" s="66"/>
      <c r="V352" s="88">
        <v>0.0</v>
      </c>
      <c r="W352" s="66"/>
      <c r="X352" s="88"/>
      <c r="Y352" s="66"/>
      <c r="Z352" s="88"/>
      <c r="AA352" s="66"/>
      <c r="AB352" s="88"/>
      <c r="AC352" s="66"/>
      <c r="AD352" s="88"/>
      <c r="AE352" s="68"/>
      <c r="AF352" s="88"/>
      <c r="AG352" s="66"/>
      <c r="AH352" s="88"/>
      <c r="AI352" s="66"/>
      <c r="AJ352" s="88"/>
      <c r="AK352" s="66"/>
      <c r="AL352" s="87"/>
      <c r="AM352" s="68"/>
      <c r="AN352" s="121"/>
      <c r="AO352" s="68"/>
      <c r="AP352" s="124"/>
      <c r="AQ352" s="68"/>
      <c r="AR352" s="124"/>
      <c r="AS352" s="68"/>
      <c r="AT352" s="124"/>
      <c r="AU352" s="68"/>
      <c r="AV352" s="125"/>
      <c r="AW352" s="66"/>
      <c r="AX352" s="125"/>
      <c r="AY352" s="68"/>
      <c r="AZ352" s="125"/>
      <c r="BA352" s="66"/>
      <c r="BB352" s="73">
        <f t="shared" si="8"/>
        <v>0</v>
      </c>
      <c r="BC352" s="63">
        <f t="shared" si="2"/>
        <v>0</v>
      </c>
      <c r="BD352" s="63">
        <f t="shared" si="3"/>
        <v>0</v>
      </c>
      <c r="BE352" s="63">
        <f t="shared" si="4"/>
        <v>0</v>
      </c>
      <c r="BF352" s="74" t="str">
        <f t="shared" si="5"/>
        <v/>
      </c>
      <c r="BG352" s="78">
        <f t="shared" si="9"/>
        <v>46005</v>
      </c>
    </row>
    <row r="353" ht="15.75" customHeight="1">
      <c r="A353" s="36" t="s">
        <v>46</v>
      </c>
      <c r="B353" s="75">
        <f t="shared" si="6"/>
        <v>46006</v>
      </c>
      <c r="C353" s="48">
        <v>13.3</v>
      </c>
      <c r="D353" s="48" t="s">
        <v>69</v>
      </c>
      <c r="E353" s="40"/>
      <c r="F353" s="85"/>
      <c r="H353" s="86"/>
      <c r="J353" s="86"/>
      <c r="L353" s="86"/>
      <c r="N353" s="86"/>
      <c r="P353" s="86"/>
      <c r="Q353" s="43"/>
      <c r="R353" s="86"/>
      <c r="T353" s="85">
        <v>50.0</v>
      </c>
      <c r="V353" s="86">
        <v>50.0</v>
      </c>
      <c r="X353" s="86"/>
      <c r="Z353" s="86"/>
      <c r="AB353" s="86"/>
      <c r="AD353" s="86"/>
      <c r="AE353" s="43"/>
      <c r="AF353" s="86"/>
      <c r="AH353" s="86"/>
      <c r="AJ353" s="86"/>
      <c r="AL353" s="85"/>
      <c r="AM353" s="43"/>
      <c r="AN353" s="116"/>
      <c r="AO353" s="43"/>
      <c r="AP353" s="122"/>
      <c r="AQ353" s="43"/>
      <c r="AR353" s="122"/>
      <c r="AS353" s="43"/>
      <c r="AT353" s="122"/>
      <c r="AU353" s="43"/>
      <c r="AV353" s="123"/>
      <c r="AX353" s="123"/>
      <c r="AY353" s="43"/>
      <c r="AZ353" s="123"/>
      <c r="BB353" s="47">
        <f t="shared" si="8"/>
        <v>1112</v>
      </c>
      <c r="BC353" s="38">
        <f t="shared" si="2"/>
        <v>100</v>
      </c>
      <c r="BD353" s="38">
        <f t="shared" si="3"/>
        <v>0</v>
      </c>
      <c r="BE353" s="38">
        <f t="shared" si="4"/>
        <v>100</v>
      </c>
      <c r="BF353" s="76">
        <f t="shared" si="5"/>
        <v>11.12</v>
      </c>
      <c r="BG353" s="78">
        <f t="shared" si="9"/>
        <v>46012</v>
      </c>
    </row>
    <row r="354" ht="15.75" customHeight="1">
      <c r="A354" s="50" t="s">
        <v>48</v>
      </c>
      <c r="B354" s="51">
        <f t="shared" si="6"/>
        <v>46007</v>
      </c>
      <c r="C354" s="89">
        <v>13.3</v>
      </c>
      <c r="D354" s="89" t="s">
        <v>69</v>
      </c>
      <c r="E354" s="126" t="s">
        <v>79</v>
      </c>
      <c r="F354" s="85"/>
      <c r="H354" s="86"/>
      <c r="J354" s="86"/>
      <c r="L354" s="86"/>
      <c r="N354" s="86"/>
      <c r="P354" s="86"/>
      <c r="Q354" s="43"/>
      <c r="R354" s="86"/>
      <c r="T354" s="85">
        <v>50.0</v>
      </c>
      <c r="V354" s="86">
        <v>50.0</v>
      </c>
      <c r="X354" s="86"/>
      <c r="Z354" s="86"/>
      <c r="AB354" s="86"/>
      <c r="AD354" s="86"/>
      <c r="AE354" s="43"/>
      <c r="AF354" s="86"/>
      <c r="AH354" s="86"/>
      <c r="AJ354" s="86"/>
      <c r="AL354" s="85"/>
      <c r="AM354" s="43"/>
      <c r="AN354" s="116"/>
      <c r="AO354" s="43"/>
      <c r="AP354" s="122"/>
      <c r="AQ354" s="43"/>
      <c r="AR354" s="122"/>
      <c r="AS354" s="43"/>
      <c r="AT354" s="122"/>
      <c r="AU354" s="43"/>
      <c r="AV354" s="123"/>
      <c r="AX354" s="123"/>
      <c r="AY354" s="43"/>
      <c r="AZ354" s="123"/>
      <c r="BB354" s="54">
        <f t="shared" si="8"/>
        <v>1112</v>
      </c>
      <c r="BC354" s="52">
        <f t="shared" si="2"/>
        <v>100</v>
      </c>
      <c r="BD354" s="52">
        <f t="shared" si="3"/>
        <v>0</v>
      </c>
      <c r="BE354" s="52">
        <f t="shared" si="4"/>
        <v>100</v>
      </c>
      <c r="BF354" s="49">
        <f t="shared" si="5"/>
        <v>11.12</v>
      </c>
      <c r="BG354" s="78">
        <f t="shared" si="9"/>
        <v>46012</v>
      </c>
    </row>
    <row r="355" ht="15.75" customHeight="1">
      <c r="A355" s="50" t="s">
        <v>49</v>
      </c>
      <c r="B355" s="51">
        <f t="shared" si="6"/>
        <v>46008</v>
      </c>
      <c r="C355" s="89">
        <v>13.3</v>
      </c>
      <c r="D355" s="89" t="s">
        <v>69</v>
      </c>
      <c r="E355" s="126" t="s">
        <v>82</v>
      </c>
      <c r="F355" s="85"/>
      <c r="H355" s="86"/>
      <c r="J355" s="86"/>
      <c r="L355" s="86"/>
      <c r="N355" s="86"/>
      <c r="P355" s="86"/>
      <c r="Q355" s="43"/>
      <c r="R355" s="86"/>
      <c r="T355" s="85">
        <v>0.0</v>
      </c>
      <c r="V355" s="86">
        <v>0.0</v>
      </c>
      <c r="X355" s="86"/>
      <c r="Z355" s="86"/>
      <c r="AB355" s="86"/>
      <c r="AD355" s="86"/>
      <c r="AE355" s="43"/>
      <c r="AF355" s="86"/>
      <c r="AH355" s="86"/>
      <c r="AJ355" s="86"/>
      <c r="AL355" s="85"/>
      <c r="AM355" s="43"/>
      <c r="AN355" s="116"/>
      <c r="AO355" s="43"/>
      <c r="AP355" s="122"/>
      <c r="AQ355" s="43"/>
      <c r="AR355" s="122"/>
      <c r="AS355" s="43"/>
      <c r="AT355" s="122"/>
      <c r="AU355" s="43"/>
      <c r="AV355" s="123"/>
      <c r="AX355" s="123"/>
      <c r="AY355" s="43"/>
      <c r="AZ355" s="123"/>
      <c r="BB355" s="54">
        <f t="shared" si="8"/>
        <v>0</v>
      </c>
      <c r="BC355" s="52">
        <f t="shared" si="2"/>
        <v>0</v>
      </c>
      <c r="BD355" s="52">
        <f t="shared" si="3"/>
        <v>0</v>
      </c>
      <c r="BE355" s="52">
        <f t="shared" si="4"/>
        <v>0</v>
      </c>
      <c r="BF355" s="49" t="str">
        <f t="shared" si="5"/>
        <v/>
      </c>
      <c r="BG355" s="78">
        <f t="shared" si="9"/>
        <v>46012</v>
      </c>
    </row>
    <row r="356" ht="15.75" customHeight="1">
      <c r="A356" s="50" t="s">
        <v>50</v>
      </c>
      <c r="B356" s="51">
        <f t="shared" si="6"/>
        <v>46009</v>
      </c>
      <c r="C356" s="89">
        <v>13.3</v>
      </c>
      <c r="D356" s="89" t="s">
        <v>69</v>
      </c>
      <c r="E356" s="126" t="s">
        <v>83</v>
      </c>
      <c r="F356" s="85"/>
      <c r="H356" s="86"/>
      <c r="J356" s="86"/>
      <c r="L356" s="86"/>
      <c r="N356" s="86"/>
      <c r="P356" s="86"/>
      <c r="Q356" s="43"/>
      <c r="R356" s="86"/>
      <c r="T356" s="85">
        <v>0.0</v>
      </c>
      <c r="V356" s="86">
        <v>0.0</v>
      </c>
      <c r="X356" s="86"/>
      <c r="Z356" s="86"/>
      <c r="AB356" s="86"/>
      <c r="AD356" s="86"/>
      <c r="AE356" s="43"/>
      <c r="AF356" s="86"/>
      <c r="AH356" s="86"/>
      <c r="AJ356" s="86"/>
      <c r="AL356" s="85"/>
      <c r="AM356" s="43"/>
      <c r="AN356" s="116"/>
      <c r="AO356" s="43"/>
      <c r="AP356" s="122"/>
      <c r="AQ356" s="43"/>
      <c r="AR356" s="122"/>
      <c r="AS356" s="43"/>
      <c r="AT356" s="122"/>
      <c r="AU356" s="43"/>
      <c r="AV356" s="123"/>
      <c r="AX356" s="123"/>
      <c r="AY356" s="43"/>
      <c r="AZ356" s="123"/>
      <c r="BB356" s="54">
        <f t="shared" si="8"/>
        <v>0</v>
      </c>
      <c r="BC356" s="52">
        <f t="shared" si="2"/>
        <v>0</v>
      </c>
      <c r="BD356" s="52">
        <f t="shared" si="3"/>
        <v>0</v>
      </c>
      <c r="BE356" s="52">
        <f t="shared" si="4"/>
        <v>0</v>
      </c>
      <c r="BF356" s="49" t="str">
        <f t="shared" si="5"/>
        <v/>
      </c>
      <c r="BG356" s="78">
        <f t="shared" si="9"/>
        <v>46012</v>
      </c>
    </row>
    <row r="357" ht="15.75" customHeight="1">
      <c r="A357" s="50" t="s">
        <v>53</v>
      </c>
      <c r="B357" s="51">
        <f t="shared" si="6"/>
        <v>46010</v>
      </c>
      <c r="C357" s="89">
        <v>13.3</v>
      </c>
      <c r="D357" s="89" t="s">
        <v>69</v>
      </c>
      <c r="E357" s="53"/>
      <c r="F357" s="85"/>
      <c r="H357" s="86"/>
      <c r="J357" s="86"/>
      <c r="L357" s="86"/>
      <c r="N357" s="86"/>
      <c r="P357" s="86"/>
      <c r="Q357" s="43"/>
      <c r="R357" s="86"/>
      <c r="T357" s="85">
        <v>0.0</v>
      </c>
      <c r="V357" s="86">
        <v>0.0</v>
      </c>
      <c r="X357" s="86"/>
      <c r="Z357" s="86"/>
      <c r="AB357" s="86"/>
      <c r="AD357" s="86"/>
      <c r="AE357" s="43"/>
      <c r="AF357" s="86"/>
      <c r="AH357" s="86"/>
      <c r="AJ357" s="86"/>
      <c r="AL357" s="85"/>
      <c r="AM357" s="43"/>
      <c r="AN357" s="116"/>
      <c r="AO357" s="43"/>
      <c r="AP357" s="122"/>
      <c r="AQ357" s="43"/>
      <c r="AR357" s="122"/>
      <c r="AS357" s="43"/>
      <c r="AT357" s="122"/>
      <c r="AU357" s="43"/>
      <c r="AV357" s="123"/>
      <c r="AX357" s="123"/>
      <c r="AY357" s="43"/>
      <c r="AZ357" s="123"/>
      <c r="BB357" s="54">
        <f t="shared" si="8"/>
        <v>0</v>
      </c>
      <c r="BC357" s="52">
        <f t="shared" si="2"/>
        <v>0</v>
      </c>
      <c r="BD357" s="52">
        <f t="shared" si="3"/>
        <v>0</v>
      </c>
      <c r="BE357" s="52">
        <f t="shared" si="4"/>
        <v>0</v>
      </c>
      <c r="BF357" s="49" t="str">
        <f t="shared" si="5"/>
        <v/>
      </c>
      <c r="BG357" s="78">
        <f t="shared" si="9"/>
        <v>46012</v>
      </c>
    </row>
    <row r="358" ht="15.75" customHeight="1">
      <c r="A358" s="50" t="s">
        <v>54</v>
      </c>
      <c r="B358" s="51">
        <f t="shared" si="6"/>
        <v>46011</v>
      </c>
      <c r="C358" s="89">
        <v>13.3</v>
      </c>
      <c r="D358" s="89" t="s">
        <v>69</v>
      </c>
      <c r="E358" s="92" t="s">
        <v>78</v>
      </c>
      <c r="F358" s="85"/>
      <c r="H358" s="86"/>
      <c r="J358" s="86"/>
      <c r="L358" s="86"/>
      <c r="N358" s="86"/>
      <c r="P358" s="86"/>
      <c r="Q358" s="43"/>
      <c r="R358" s="86"/>
      <c r="T358" s="85">
        <v>0.0</v>
      </c>
      <c r="V358" s="86">
        <v>0.0</v>
      </c>
      <c r="X358" s="86"/>
      <c r="Z358" s="86"/>
      <c r="AB358" s="86"/>
      <c r="AD358" s="86"/>
      <c r="AE358" s="43"/>
      <c r="AF358" s="86"/>
      <c r="AH358" s="86"/>
      <c r="AJ358" s="86"/>
      <c r="AL358" s="85"/>
      <c r="AM358" s="43"/>
      <c r="AN358" s="116"/>
      <c r="AO358" s="43"/>
      <c r="AP358" s="122"/>
      <c r="AQ358" s="43"/>
      <c r="AR358" s="122"/>
      <c r="AS358" s="43"/>
      <c r="AT358" s="122"/>
      <c r="AU358" s="43"/>
      <c r="AV358" s="123"/>
      <c r="AX358" s="123"/>
      <c r="AY358" s="43"/>
      <c r="AZ358" s="123"/>
      <c r="BB358" s="54">
        <f t="shared" si="8"/>
        <v>0</v>
      </c>
      <c r="BC358" s="52">
        <f t="shared" si="2"/>
        <v>0</v>
      </c>
      <c r="BD358" s="52">
        <f t="shared" si="3"/>
        <v>0</v>
      </c>
      <c r="BE358" s="52">
        <f t="shared" si="4"/>
        <v>0</v>
      </c>
      <c r="BF358" s="49" t="str">
        <f t="shared" si="5"/>
        <v/>
      </c>
      <c r="BG358" s="78">
        <f t="shared" si="9"/>
        <v>46012</v>
      </c>
    </row>
    <row r="359" ht="15.75" customHeight="1">
      <c r="A359" s="59" t="s">
        <v>61</v>
      </c>
      <c r="B359" s="61">
        <f t="shared" si="6"/>
        <v>46012</v>
      </c>
      <c r="C359" s="89">
        <v>13.3</v>
      </c>
      <c r="D359" s="89" t="s">
        <v>69</v>
      </c>
      <c r="E359" s="94" t="b">
        <v>0</v>
      </c>
      <c r="F359" s="87"/>
      <c r="G359" s="66"/>
      <c r="H359" s="88"/>
      <c r="I359" s="66"/>
      <c r="J359" s="88"/>
      <c r="K359" s="66"/>
      <c r="L359" s="88"/>
      <c r="M359" s="66"/>
      <c r="N359" s="88"/>
      <c r="O359" s="66"/>
      <c r="P359" s="88"/>
      <c r="Q359" s="68"/>
      <c r="R359" s="88"/>
      <c r="S359" s="66"/>
      <c r="T359" s="87">
        <v>0.0</v>
      </c>
      <c r="U359" s="66"/>
      <c r="V359" s="88">
        <v>0.0</v>
      </c>
      <c r="W359" s="66"/>
      <c r="X359" s="88"/>
      <c r="Y359" s="66"/>
      <c r="Z359" s="88"/>
      <c r="AA359" s="66"/>
      <c r="AB359" s="88"/>
      <c r="AC359" s="66"/>
      <c r="AD359" s="88"/>
      <c r="AE359" s="68"/>
      <c r="AF359" s="88"/>
      <c r="AG359" s="66"/>
      <c r="AH359" s="88"/>
      <c r="AI359" s="66"/>
      <c r="AJ359" s="88"/>
      <c r="AK359" s="66"/>
      <c r="AL359" s="87"/>
      <c r="AM359" s="68"/>
      <c r="AN359" s="121"/>
      <c r="AO359" s="68"/>
      <c r="AP359" s="124"/>
      <c r="AQ359" s="68"/>
      <c r="AR359" s="124"/>
      <c r="AS359" s="68"/>
      <c r="AT359" s="124"/>
      <c r="AU359" s="68"/>
      <c r="AV359" s="125"/>
      <c r="AW359" s="66"/>
      <c r="AX359" s="125"/>
      <c r="AY359" s="68"/>
      <c r="AZ359" s="125"/>
      <c r="BA359" s="66"/>
      <c r="BB359" s="73">
        <f t="shared" si="8"/>
        <v>0</v>
      </c>
      <c r="BC359" s="63">
        <f t="shared" si="2"/>
        <v>0</v>
      </c>
      <c r="BD359" s="63">
        <f t="shared" si="3"/>
        <v>0</v>
      </c>
      <c r="BE359" s="63">
        <f t="shared" si="4"/>
        <v>0</v>
      </c>
      <c r="BF359" s="74" t="str">
        <f t="shared" si="5"/>
        <v/>
      </c>
      <c r="BG359" s="78">
        <f t="shared" si="9"/>
        <v>46012</v>
      </c>
    </row>
    <row r="360" ht="15.75" customHeight="1">
      <c r="A360" s="36" t="s">
        <v>46</v>
      </c>
      <c r="B360" s="75">
        <f t="shared" si="6"/>
        <v>46013</v>
      </c>
      <c r="C360" s="48">
        <v>13.4</v>
      </c>
      <c r="D360" s="48" t="s">
        <v>72</v>
      </c>
      <c r="E360" s="40"/>
      <c r="F360" s="41"/>
      <c r="H360" s="42"/>
      <c r="J360" s="42"/>
      <c r="L360" s="42"/>
      <c r="N360" s="42"/>
      <c r="P360" s="42"/>
      <c r="Q360" s="43"/>
      <c r="R360" s="42"/>
      <c r="T360" s="41"/>
      <c r="V360" s="42"/>
      <c r="X360" s="42"/>
      <c r="Z360" s="42"/>
      <c r="AB360" s="42"/>
      <c r="AD360" s="42"/>
      <c r="AE360" s="43"/>
      <c r="AF360" s="42"/>
      <c r="AH360" s="42"/>
      <c r="AJ360" s="42"/>
      <c r="AL360" s="41"/>
      <c r="AM360" s="43"/>
      <c r="AN360" s="72"/>
      <c r="AO360" s="43"/>
      <c r="AP360" s="114"/>
      <c r="AQ360" s="43"/>
      <c r="AR360" s="114"/>
      <c r="AS360" s="43"/>
      <c r="AT360" s="114"/>
      <c r="AU360" s="43"/>
      <c r="AV360" s="115"/>
      <c r="AX360" s="115"/>
      <c r="AY360" s="43"/>
      <c r="AZ360" s="115"/>
      <c r="BB360" s="47">
        <f t="shared" si="8"/>
        <v>0</v>
      </c>
      <c r="BC360" s="38">
        <f t="shared" si="2"/>
        <v>0</v>
      </c>
      <c r="BD360" s="38">
        <f t="shared" si="3"/>
        <v>0</v>
      </c>
      <c r="BE360" s="38">
        <f t="shared" si="4"/>
        <v>0</v>
      </c>
      <c r="BF360" s="76" t="str">
        <f t="shared" si="5"/>
        <v/>
      </c>
      <c r="BG360" s="78">
        <f t="shared" si="9"/>
        <v>46019</v>
      </c>
    </row>
    <row r="361" ht="15.75" customHeight="1">
      <c r="A361" s="50" t="s">
        <v>48</v>
      </c>
      <c r="B361" s="51">
        <f t="shared" si="6"/>
        <v>46014</v>
      </c>
      <c r="C361" s="89">
        <v>13.4</v>
      </c>
      <c r="D361" s="89" t="s">
        <v>72</v>
      </c>
      <c r="E361" s="126" t="s">
        <v>79</v>
      </c>
      <c r="F361" s="41"/>
      <c r="H361" s="42"/>
      <c r="J361" s="42"/>
      <c r="L361" s="42"/>
      <c r="N361" s="42"/>
      <c r="P361" s="42"/>
      <c r="Q361" s="43"/>
      <c r="R361" s="42"/>
      <c r="T361" s="41"/>
      <c r="V361" s="42"/>
      <c r="X361" s="42"/>
      <c r="Z361" s="42"/>
      <c r="AB361" s="42"/>
      <c r="AD361" s="42"/>
      <c r="AE361" s="43"/>
      <c r="AF361" s="42"/>
      <c r="AH361" s="42"/>
      <c r="AJ361" s="42"/>
      <c r="AL361" s="41"/>
      <c r="AM361" s="43"/>
      <c r="AN361" s="72"/>
      <c r="AO361" s="43"/>
      <c r="AP361" s="114"/>
      <c r="AQ361" s="43"/>
      <c r="AR361" s="114"/>
      <c r="AS361" s="43"/>
      <c r="AT361" s="114"/>
      <c r="AU361" s="43"/>
      <c r="AV361" s="115"/>
      <c r="AX361" s="115"/>
      <c r="AY361" s="43"/>
      <c r="AZ361" s="115"/>
      <c r="BB361" s="54">
        <f t="shared" si="8"/>
        <v>0</v>
      </c>
      <c r="BC361" s="52">
        <f t="shared" si="2"/>
        <v>0</v>
      </c>
      <c r="BD361" s="52">
        <f t="shared" si="3"/>
        <v>0</v>
      </c>
      <c r="BE361" s="52">
        <f t="shared" si="4"/>
        <v>0</v>
      </c>
      <c r="BF361" s="49" t="str">
        <f t="shared" si="5"/>
        <v/>
      </c>
      <c r="BG361" s="78">
        <f t="shared" si="9"/>
        <v>46019</v>
      </c>
    </row>
    <row r="362" ht="15.75" customHeight="1">
      <c r="A362" s="50" t="s">
        <v>49</v>
      </c>
      <c r="B362" s="51">
        <f t="shared" si="6"/>
        <v>46015</v>
      </c>
      <c r="C362" s="89">
        <v>13.4</v>
      </c>
      <c r="D362" s="89" t="s">
        <v>72</v>
      </c>
      <c r="E362" s="126" t="s">
        <v>82</v>
      </c>
      <c r="F362" s="41"/>
      <c r="H362" s="42"/>
      <c r="J362" s="42"/>
      <c r="L362" s="42"/>
      <c r="N362" s="42"/>
      <c r="P362" s="42"/>
      <c r="Q362" s="43"/>
      <c r="R362" s="42"/>
      <c r="T362" s="41"/>
      <c r="V362" s="42"/>
      <c r="X362" s="42"/>
      <c r="Z362" s="42"/>
      <c r="AB362" s="42"/>
      <c r="AD362" s="42"/>
      <c r="AE362" s="43"/>
      <c r="AF362" s="42"/>
      <c r="AH362" s="42"/>
      <c r="AJ362" s="42"/>
      <c r="AL362" s="41"/>
      <c r="AM362" s="43"/>
      <c r="AN362" s="72"/>
      <c r="AO362" s="43"/>
      <c r="AP362" s="114"/>
      <c r="AQ362" s="43"/>
      <c r="AR362" s="114"/>
      <c r="AS362" s="43"/>
      <c r="AT362" s="114"/>
      <c r="AU362" s="43"/>
      <c r="AV362" s="115"/>
      <c r="AX362" s="115"/>
      <c r="AY362" s="43"/>
      <c r="AZ362" s="115"/>
      <c r="BB362" s="54">
        <f t="shared" si="8"/>
        <v>0</v>
      </c>
      <c r="BC362" s="52">
        <f t="shared" si="2"/>
        <v>0</v>
      </c>
      <c r="BD362" s="52">
        <f t="shared" si="3"/>
        <v>0</v>
      </c>
      <c r="BE362" s="52">
        <f t="shared" si="4"/>
        <v>0</v>
      </c>
      <c r="BF362" s="49" t="str">
        <f t="shared" si="5"/>
        <v/>
      </c>
      <c r="BG362" s="78">
        <f t="shared" si="9"/>
        <v>46019</v>
      </c>
    </row>
    <row r="363" ht="15.75" customHeight="1">
      <c r="A363" s="50" t="s">
        <v>50</v>
      </c>
      <c r="B363" s="51">
        <f t="shared" si="6"/>
        <v>46016</v>
      </c>
      <c r="C363" s="89">
        <v>13.4</v>
      </c>
      <c r="D363" s="89" t="s">
        <v>72</v>
      </c>
      <c r="E363" s="126" t="s">
        <v>83</v>
      </c>
      <c r="F363" s="41"/>
      <c r="H363" s="42"/>
      <c r="J363" s="42"/>
      <c r="L363" s="42"/>
      <c r="N363" s="42"/>
      <c r="P363" s="42"/>
      <c r="Q363" s="43"/>
      <c r="R363" s="42"/>
      <c r="T363" s="41"/>
      <c r="V363" s="42"/>
      <c r="X363" s="42"/>
      <c r="Z363" s="42"/>
      <c r="AB363" s="42"/>
      <c r="AD363" s="42"/>
      <c r="AE363" s="43"/>
      <c r="AF363" s="42"/>
      <c r="AH363" s="42"/>
      <c r="AJ363" s="42"/>
      <c r="AL363" s="41"/>
      <c r="AM363" s="43"/>
      <c r="AN363" s="72"/>
      <c r="AO363" s="43"/>
      <c r="AP363" s="114"/>
      <c r="AQ363" s="43"/>
      <c r="AR363" s="114"/>
      <c r="AS363" s="43"/>
      <c r="AT363" s="114"/>
      <c r="AU363" s="43"/>
      <c r="AV363" s="115"/>
      <c r="AX363" s="115"/>
      <c r="AY363" s="43"/>
      <c r="AZ363" s="115"/>
      <c r="BB363" s="54">
        <f t="shared" si="8"/>
        <v>0</v>
      </c>
      <c r="BC363" s="52">
        <f t="shared" si="2"/>
        <v>0</v>
      </c>
      <c r="BD363" s="52">
        <f t="shared" si="3"/>
        <v>0</v>
      </c>
      <c r="BE363" s="52">
        <f t="shared" si="4"/>
        <v>0</v>
      </c>
      <c r="BF363" s="49" t="str">
        <f t="shared" si="5"/>
        <v/>
      </c>
      <c r="BG363" s="78">
        <f t="shared" si="9"/>
        <v>46019</v>
      </c>
    </row>
    <row r="364" ht="15.75" customHeight="1">
      <c r="A364" s="50" t="s">
        <v>53</v>
      </c>
      <c r="B364" s="51">
        <f t="shared" si="6"/>
        <v>46017</v>
      </c>
      <c r="C364" s="89">
        <v>13.4</v>
      </c>
      <c r="D364" s="89" t="s">
        <v>72</v>
      </c>
      <c r="E364" s="53"/>
      <c r="F364" s="41"/>
      <c r="H364" s="42"/>
      <c r="J364" s="42"/>
      <c r="L364" s="42"/>
      <c r="N364" s="42"/>
      <c r="P364" s="42"/>
      <c r="Q364" s="43"/>
      <c r="R364" s="42"/>
      <c r="T364" s="41"/>
      <c r="V364" s="42"/>
      <c r="X364" s="42"/>
      <c r="Z364" s="42"/>
      <c r="AB364" s="42"/>
      <c r="AD364" s="42"/>
      <c r="AE364" s="43"/>
      <c r="AF364" s="42"/>
      <c r="AH364" s="42"/>
      <c r="AJ364" s="42"/>
      <c r="AL364" s="41"/>
      <c r="AM364" s="43"/>
      <c r="AN364" s="72"/>
      <c r="AO364" s="43"/>
      <c r="AP364" s="114"/>
      <c r="AQ364" s="43"/>
      <c r="AR364" s="114"/>
      <c r="AS364" s="43"/>
      <c r="AT364" s="114"/>
      <c r="AU364" s="43"/>
      <c r="AV364" s="115"/>
      <c r="AX364" s="115"/>
      <c r="AY364" s="43"/>
      <c r="AZ364" s="115"/>
      <c r="BB364" s="54">
        <f t="shared" si="8"/>
        <v>0</v>
      </c>
      <c r="BC364" s="52">
        <f t="shared" si="2"/>
        <v>0</v>
      </c>
      <c r="BD364" s="52">
        <f t="shared" si="3"/>
        <v>0</v>
      </c>
      <c r="BE364" s="52">
        <f t="shared" si="4"/>
        <v>0</v>
      </c>
      <c r="BF364" s="49" t="str">
        <f t="shared" si="5"/>
        <v/>
      </c>
      <c r="BG364" s="78">
        <f t="shared" si="9"/>
        <v>46019</v>
      </c>
    </row>
    <row r="365" ht="15.75" customHeight="1">
      <c r="A365" s="50" t="s">
        <v>54</v>
      </c>
      <c r="B365" s="51">
        <f t="shared" si="6"/>
        <v>46018</v>
      </c>
      <c r="C365" s="89">
        <v>13.4</v>
      </c>
      <c r="D365" s="89" t="s">
        <v>72</v>
      </c>
      <c r="E365" s="92" t="s">
        <v>78</v>
      </c>
      <c r="F365" s="41"/>
      <c r="H365" s="42"/>
      <c r="J365" s="42"/>
      <c r="L365" s="42"/>
      <c r="N365" s="42"/>
      <c r="P365" s="42"/>
      <c r="Q365" s="43"/>
      <c r="R365" s="42"/>
      <c r="T365" s="41"/>
      <c r="V365" s="42"/>
      <c r="X365" s="42"/>
      <c r="Z365" s="42"/>
      <c r="AB365" s="42"/>
      <c r="AD365" s="42"/>
      <c r="AE365" s="43"/>
      <c r="AF365" s="42"/>
      <c r="AH365" s="42"/>
      <c r="AJ365" s="42"/>
      <c r="AL365" s="41"/>
      <c r="AM365" s="43"/>
      <c r="AN365" s="72"/>
      <c r="AO365" s="43"/>
      <c r="AP365" s="114"/>
      <c r="AQ365" s="43"/>
      <c r="AR365" s="114"/>
      <c r="AS365" s="43"/>
      <c r="AT365" s="114"/>
      <c r="AU365" s="43"/>
      <c r="AV365" s="115"/>
      <c r="AX365" s="115"/>
      <c r="AY365" s="43"/>
      <c r="AZ365" s="115"/>
      <c r="BB365" s="54">
        <f t="shared" si="8"/>
        <v>0</v>
      </c>
      <c r="BC365" s="52">
        <f t="shared" si="2"/>
        <v>0</v>
      </c>
      <c r="BD365" s="52">
        <f t="shared" si="3"/>
        <v>0</v>
      </c>
      <c r="BE365" s="52">
        <f t="shared" si="4"/>
        <v>0</v>
      </c>
      <c r="BF365" s="49" t="str">
        <f t="shared" si="5"/>
        <v/>
      </c>
      <c r="BG365" s="78">
        <f t="shared" si="9"/>
        <v>46019</v>
      </c>
    </row>
    <row r="366" ht="15.75" customHeight="1">
      <c r="A366" s="59" t="s">
        <v>61</v>
      </c>
      <c r="B366" s="61">
        <f t="shared" si="6"/>
        <v>46019</v>
      </c>
      <c r="C366" s="90">
        <v>13.4</v>
      </c>
      <c r="D366" s="90" t="s">
        <v>72</v>
      </c>
      <c r="E366" s="94" t="b">
        <v>0</v>
      </c>
      <c r="F366" s="65"/>
      <c r="G366" s="66"/>
      <c r="H366" s="67"/>
      <c r="I366" s="66"/>
      <c r="J366" s="67"/>
      <c r="K366" s="66"/>
      <c r="L366" s="67"/>
      <c r="M366" s="66"/>
      <c r="N366" s="67"/>
      <c r="O366" s="66"/>
      <c r="P366" s="67"/>
      <c r="Q366" s="68"/>
      <c r="R366" s="67"/>
      <c r="S366" s="66"/>
      <c r="T366" s="65"/>
      <c r="U366" s="66"/>
      <c r="V366" s="67"/>
      <c r="W366" s="66"/>
      <c r="X366" s="67"/>
      <c r="Y366" s="66"/>
      <c r="Z366" s="67"/>
      <c r="AA366" s="66"/>
      <c r="AB366" s="67"/>
      <c r="AC366" s="66"/>
      <c r="AD366" s="67"/>
      <c r="AE366" s="68"/>
      <c r="AF366" s="67"/>
      <c r="AG366" s="66"/>
      <c r="AH366" s="67"/>
      <c r="AI366" s="66"/>
      <c r="AJ366" s="67"/>
      <c r="AK366" s="66"/>
      <c r="AL366" s="65"/>
      <c r="AM366" s="68"/>
      <c r="AN366" s="84"/>
      <c r="AO366" s="68"/>
      <c r="AP366" s="119"/>
      <c r="AQ366" s="68"/>
      <c r="AR366" s="119"/>
      <c r="AS366" s="68"/>
      <c r="AT366" s="119"/>
      <c r="AU366" s="68"/>
      <c r="AV366" s="120"/>
      <c r="AW366" s="66"/>
      <c r="AX366" s="120"/>
      <c r="AY366" s="68"/>
      <c r="AZ366" s="120"/>
      <c r="BA366" s="66"/>
      <c r="BB366" s="73">
        <f t="shared" si="8"/>
        <v>0</v>
      </c>
      <c r="BC366" s="63">
        <f t="shared" si="2"/>
        <v>0</v>
      </c>
      <c r="BD366" s="63">
        <f t="shared" si="3"/>
        <v>0</v>
      </c>
      <c r="BE366" s="63">
        <f t="shared" si="4"/>
        <v>0</v>
      </c>
      <c r="BF366" s="74" t="str">
        <f t="shared" si="5"/>
        <v/>
      </c>
      <c r="BG366" s="78">
        <f t="shared" si="9"/>
        <v>46019</v>
      </c>
    </row>
    <row r="367" ht="15.75" customHeight="1">
      <c r="A367" s="127"/>
      <c r="B367" s="128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44"/>
      <c r="AO367" s="144"/>
      <c r="AP367" s="130"/>
      <c r="AQ367" s="130"/>
      <c r="AR367" s="130"/>
      <c r="AS367" s="130"/>
      <c r="AT367" s="130"/>
      <c r="AU367" s="142"/>
      <c r="AV367" s="142"/>
      <c r="AW367" s="142"/>
      <c r="AX367" s="133"/>
      <c r="AY367" s="138"/>
      <c r="AZ367" s="138"/>
      <c r="BA367" s="138"/>
      <c r="BB367" s="140">
        <f t="shared" ref="BB367:BB378" si="10">SUMIF($C$3:$C$359, AY367, $BB$3:$BB$359)</f>
        <v>0</v>
      </c>
      <c r="BC367" s="138">
        <f>sum(T31:AE58)</f>
        <v>10055</v>
      </c>
      <c r="BD367" s="138">
        <f>sum(F31:Q58)</f>
        <v>5260</v>
      </c>
      <c r="BE367" s="135">
        <v>0.0</v>
      </c>
      <c r="BF367" s="129"/>
      <c r="BG367" s="78">
        <f t="shared" si="9"/>
        <v>46026</v>
      </c>
    </row>
    <row r="368" ht="15.75" customHeight="1">
      <c r="A368" s="141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44"/>
      <c r="AO368" s="144"/>
      <c r="AP368" s="130"/>
      <c r="AQ368" s="130"/>
      <c r="AR368" s="130"/>
      <c r="AS368" s="130"/>
      <c r="AT368" s="130"/>
      <c r="AU368" s="142"/>
      <c r="AV368" s="142"/>
      <c r="AW368" s="142"/>
      <c r="AX368" s="133"/>
      <c r="AY368" s="138"/>
      <c r="AZ368" s="138"/>
      <c r="BA368" s="138"/>
      <c r="BB368" s="140">
        <f t="shared" si="10"/>
        <v>0</v>
      </c>
      <c r="BC368" s="138">
        <f>sum(T59:AE86)</f>
        <v>14080</v>
      </c>
      <c r="BD368" s="138">
        <f>sum(F59:Q86)</f>
        <v>7645</v>
      </c>
      <c r="BE368" s="135">
        <v>0.0</v>
      </c>
      <c r="BF368" s="129"/>
      <c r="BG368" s="78">
        <f t="shared" si="9"/>
        <v>46026</v>
      </c>
    </row>
    <row r="369" ht="15.75" customHeight="1">
      <c r="A369" s="141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44"/>
      <c r="AO369" s="144"/>
      <c r="AP369" s="130"/>
      <c r="AQ369" s="130"/>
      <c r="AR369" s="130"/>
      <c r="AS369" s="130"/>
      <c r="AT369" s="130"/>
      <c r="AU369" s="142"/>
      <c r="AV369" s="142"/>
      <c r="AW369" s="142"/>
      <c r="AX369" s="133"/>
      <c r="AY369" s="138"/>
      <c r="AZ369" s="138"/>
      <c r="BA369" s="138"/>
      <c r="BB369" s="140">
        <f t="shared" si="10"/>
        <v>0</v>
      </c>
      <c r="BC369" s="138">
        <f>sum(T87:AE114)</f>
        <v>7679</v>
      </c>
      <c r="BD369" s="138">
        <v>0.0</v>
      </c>
      <c r="BE369" s="133">
        <f>sum(AF87:AK114)</f>
        <v>600</v>
      </c>
      <c r="BF369" s="129"/>
      <c r="BG369" s="78">
        <f t="shared" si="9"/>
        <v>46026</v>
      </c>
    </row>
    <row r="370" ht="15.75" customHeight="1">
      <c r="A370" s="141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44"/>
      <c r="AO370" s="144"/>
      <c r="AP370" s="130"/>
      <c r="AQ370" s="130"/>
      <c r="AR370" s="130"/>
      <c r="AS370" s="130"/>
      <c r="AT370" s="130"/>
      <c r="AU370" s="142"/>
      <c r="AV370" s="142"/>
      <c r="AW370" s="142"/>
      <c r="AX370" s="133"/>
      <c r="AY370" s="138"/>
      <c r="AZ370" s="138"/>
      <c r="BA370" s="138"/>
      <c r="BB370" s="140">
        <f t="shared" si="10"/>
        <v>0</v>
      </c>
      <c r="BC370" s="138">
        <f>sum(T115:AE142)</f>
        <v>6484</v>
      </c>
      <c r="BD370" s="138">
        <v>0.0</v>
      </c>
      <c r="BE370" s="133">
        <f>sum(AF115:AK142)</f>
        <v>900</v>
      </c>
      <c r="BF370" s="129"/>
      <c r="BG370" s="78">
        <f t="shared" si="9"/>
        <v>46026</v>
      </c>
    </row>
    <row r="371" ht="15.75" customHeight="1">
      <c r="A371" s="141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44"/>
      <c r="AO371" s="144"/>
      <c r="AP371" s="130"/>
      <c r="AQ371" s="130"/>
      <c r="AR371" s="130"/>
      <c r="AS371" s="130"/>
      <c r="AT371" s="130"/>
      <c r="AU371" s="142"/>
      <c r="AV371" s="142"/>
      <c r="AW371" s="142"/>
      <c r="AX371" s="133"/>
      <c r="AY371" s="138"/>
      <c r="AZ371" s="138"/>
      <c r="BA371" s="138"/>
      <c r="BB371" s="140">
        <f t="shared" si="10"/>
        <v>0</v>
      </c>
      <c r="BC371" s="138">
        <f>sum(T143:AE170)</f>
        <v>6559</v>
      </c>
      <c r="BD371" s="138">
        <v>0.0</v>
      </c>
      <c r="BE371" s="133">
        <f>sum(AF143:AK170)</f>
        <v>950</v>
      </c>
      <c r="BF371" s="129"/>
      <c r="BG371" s="78">
        <f t="shared" si="9"/>
        <v>46026</v>
      </c>
    </row>
    <row r="372" ht="15.75" customHeight="1">
      <c r="A372" s="141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  <c r="AN372" s="144"/>
      <c r="AO372" s="144"/>
      <c r="AP372" s="130"/>
      <c r="AQ372" s="130"/>
      <c r="AR372" s="130"/>
      <c r="AS372" s="130"/>
      <c r="AT372" s="130"/>
      <c r="AU372" s="142"/>
      <c r="AV372" s="142"/>
      <c r="AW372" s="142"/>
      <c r="AX372" s="133"/>
      <c r="AY372" s="138"/>
      <c r="AZ372" s="138"/>
      <c r="BA372" s="138"/>
      <c r="BB372" s="140">
        <f t="shared" si="10"/>
        <v>0</v>
      </c>
      <c r="BC372" s="138">
        <f>sum(T171:AE198)</f>
        <v>6662</v>
      </c>
      <c r="BD372" s="138">
        <v>0.0</v>
      </c>
      <c r="BE372" s="133">
        <f>sum(AF171:AK198)</f>
        <v>750</v>
      </c>
      <c r="BF372" s="129"/>
      <c r="BG372" s="78">
        <f t="shared" si="9"/>
        <v>46026</v>
      </c>
    </row>
    <row r="373" ht="15.75" customHeight="1">
      <c r="A373" s="141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44"/>
      <c r="AO373" s="144"/>
      <c r="AP373" s="130"/>
      <c r="AQ373" s="130"/>
      <c r="AR373" s="130"/>
      <c r="AS373" s="130"/>
      <c r="AT373" s="130"/>
      <c r="AU373" s="142"/>
      <c r="AV373" s="142"/>
      <c r="AW373" s="142"/>
      <c r="AX373" s="133"/>
      <c r="AY373" s="138"/>
      <c r="AZ373" s="138"/>
      <c r="BA373" s="138"/>
      <c r="BB373" s="140">
        <f t="shared" si="10"/>
        <v>0</v>
      </c>
      <c r="BC373" s="138">
        <f>sum(T199:AE226)</f>
        <v>8280</v>
      </c>
      <c r="BD373" s="138">
        <v>0.0</v>
      </c>
      <c r="BE373" s="133">
        <f>sum(AF199:AK226)</f>
        <v>1244</v>
      </c>
      <c r="BF373" s="129"/>
      <c r="BG373" s="78">
        <f t="shared" si="9"/>
        <v>46026</v>
      </c>
    </row>
    <row r="374" ht="15.75" customHeight="1">
      <c r="A374" s="141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  <c r="AN374" s="144"/>
      <c r="AO374" s="144"/>
      <c r="AP374" s="130"/>
      <c r="AQ374" s="130"/>
      <c r="AR374" s="130"/>
      <c r="AS374" s="130"/>
      <c r="AT374" s="130"/>
      <c r="AU374" s="142"/>
      <c r="AV374" s="142"/>
      <c r="AW374" s="142"/>
      <c r="AX374" s="133"/>
      <c r="AY374" s="138"/>
      <c r="AZ374" s="138"/>
      <c r="BA374" s="138"/>
      <c r="BB374" s="140">
        <f t="shared" si="10"/>
        <v>0</v>
      </c>
      <c r="BC374" s="138">
        <f>sum(T227:AE254)</f>
        <v>6890</v>
      </c>
      <c r="BD374" s="138">
        <v>0.0</v>
      </c>
      <c r="BE374" s="133">
        <f>sum(AF227:AK254)</f>
        <v>500</v>
      </c>
      <c r="BF374" s="129"/>
      <c r="BG374" s="78">
        <f t="shared" si="9"/>
        <v>46033</v>
      </c>
    </row>
    <row r="375" ht="15.75" customHeight="1">
      <c r="A375" s="141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44"/>
      <c r="AO375" s="144"/>
      <c r="AP375" s="130"/>
      <c r="AQ375" s="130"/>
      <c r="AR375" s="130"/>
      <c r="AS375" s="130"/>
      <c r="AT375" s="130"/>
      <c r="AU375" s="142"/>
      <c r="AV375" s="142"/>
      <c r="AW375" s="142"/>
      <c r="AX375" s="133"/>
      <c r="AY375" s="138"/>
      <c r="AZ375" s="138"/>
      <c r="BA375" s="138"/>
      <c r="BB375" s="140">
        <f t="shared" si="10"/>
        <v>0</v>
      </c>
      <c r="BC375" s="138">
        <f>sum(T255:AE282)</f>
        <v>7758</v>
      </c>
      <c r="BD375" s="138">
        <v>0.0</v>
      </c>
      <c r="BE375" s="133">
        <f>sum(AF255:AK282)</f>
        <v>0</v>
      </c>
      <c r="BF375" s="129"/>
      <c r="BG375" s="78">
        <f t="shared" si="9"/>
        <v>46033</v>
      </c>
    </row>
    <row r="376" ht="15.75" customHeight="1">
      <c r="A376" s="141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44"/>
      <c r="AO376" s="144"/>
      <c r="AP376" s="130"/>
      <c r="AQ376" s="130"/>
      <c r="AR376" s="130"/>
      <c r="AS376" s="130"/>
      <c r="AT376" s="130"/>
      <c r="AU376" s="142"/>
      <c r="AV376" s="142"/>
      <c r="AW376" s="142"/>
      <c r="AX376" s="133"/>
      <c r="AY376" s="138"/>
      <c r="AZ376" s="138"/>
      <c r="BA376" s="138"/>
      <c r="BB376" s="140">
        <f t="shared" si="10"/>
        <v>0</v>
      </c>
      <c r="BC376" s="138">
        <f>sum(T283:AE310)</f>
        <v>5961</v>
      </c>
      <c r="BD376" s="138">
        <v>0.0</v>
      </c>
      <c r="BE376" s="135">
        <v>0.0</v>
      </c>
      <c r="BF376" s="129"/>
      <c r="BG376" s="78">
        <f t="shared" si="9"/>
        <v>46033</v>
      </c>
    </row>
    <row r="377" ht="15.75" customHeight="1">
      <c r="A377" s="141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  <c r="AN377" s="144"/>
      <c r="AO377" s="144"/>
      <c r="AP377" s="130"/>
      <c r="AQ377" s="130"/>
      <c r="AR377" s="130"/>
      <c r="AS377" s="130"/>
      <c r="AT377" s="130"/>
      <c r="AU377" s="142"/>
      <c r="AV377" s="142"/>
      <c r="AW377" s="142"/>
      <c r="AX377" s="133"/>
      <c r="AY377" s="138"/>
      <c r="AZ377" s="138"/>
      <c r="BA377" s="138"/>
      <c r="BB377" s="140">
        <f t="shared" si="10"/>
        <v>0</v>
      </c>
      <c r="BC377" s="138">
        <f>sum(T311:AE338)</f>
        <v>4650</v>
      </c>
      <c r="BD377" s="138">
        <v>0.0</v>
      </c>
      <c r="BE377" s="135">
        <v>0.0</v>
      </c>
      <c r="BF377" s="129"/>
      <c r="BG377" s="78">
        <f t="shared" si="9"/>
        <v>46033</v>
      </c>
    </row>
    <row r="378" ht="15.75" customHeight="1">
      <c r="A378" s="141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  <c r="AN378" s="144"/>
      <c r="AO378" s="144"/>
      <c r="AP378" s="130"/>
      <c r="AQ378" s="130"/>
      <c r="AR378" s="130"/>
      <c r="AS378" s="130"/>
      <c r="AT378" s="130"/>
      <c r="AU378" s="142"/>
      <c r="AV378" s="142"/>
      <c r="AW378" s="142"/>
      <c r="AX378" s="133"/>
      <c r="AY378" s="138"/>
      <c r="AZ378" s="138"/>
      <c r="BA378" s="138"/>
      <c r="BB378" s="140">
        <f t="shared" si="10"/>
        <v>0</v>
      </c>
      <c r="BC378" s="138">
        <f>sum(T339:AE359)</f>
        <v>1000</v>
      </c>
      <c r="BD378" s="138">
        <v>0.0</v>
      </c>
      <c r="BE378" s="135">
        <v>0.0</v>
      </c>
      <c r="BF378" s="129"/>
      <c r="BG378" s="78">
        <f t="shared" si="9"/>
        <v>46033</v>
      </c>
    </row>
    <row r="379" ht="15.75" customHeight="1">
      <c r="A379" s="141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  <c r="AN379" s="144"/>
      <c r="AO379" s="144"/>
      <c r="AP379" s="130"/>
      <c r="AQ379" s="130"/>
      <c r="AR379" s="130"/>
      <c r="AS379" s="130"/>
      <c r="AT379" s="130"/>
      <c r="AU379" s="142"/>
      <c r="AV379" s="142"/>
      <c r="AW379" s="142"/>
      <c r="AX379" s="133"/>
      <c r="AY379" s="133"/>
      <c r="AZ379" s="133"/>
      <c r="BA379" s="133"/>
      <c r="BB379" s="133"/>
      <c r="BC379" s="133"/>
      <c r="BD379" s="133"/>
      <c r="BE379" s="133"/>
      <c r="BF379" s="129"/>
      <c r="BG379" s="145"/>
    </row>
    <row r="380" ht="15.75" customHeight="1">
      <c r="A380" s="141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  <c r="AN380" s="144"/>
      <c r="AO380" s="144"/>
      <c r="AP380" s="130"/>
      <c r="AQ380" s="130"/>
      <c r="AR380" s="130"/>
      <c r="AS380" s="130"/>
      <c r="AT380" s="130"/>
      <c r="AU380" s="130"/>
      <c r="AV380" s="130"/>
      <c r="AW380" s="130"/>
      <c r="AX380" s="129"/>
      <c r="AY380" s="129"/>
      <c r="AZ380" s="129"/>
      <c r="BA380" s="129"/>
      <c r="BB380" s="129"/>
      <c r="BC380" s="129"/>
      <c r="BD380" s="129"/>
      <c r="BE380" s="129"/>
      <c r="BF380" s="129"/>
      <c r="BG380" s="145"/>
    </row>
    <row r="381" ht="15.75" customHeight="1">
      <c r="A381" s="141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44"/>
      <c r="AO381" s="144"/>
      <c r="AP381" s="130"/>
      <c r="AQ381" s="130"/>
      <c r="AR381" s="130"/>
      <c r="AS381" s="130"/>
      <c r="AT381" s="130"/>
      <c r="AU381" s="130"/>
      <c r="AV381" s="130"/>
      <c r="AW381" s="130"/>
      <c r="AX381" s="129"/>
      <c r="AY381" s="129"/>
      <c r="AZ381" s="129"/>
      <c r="BA381" s="129"/>
      <c r="BB381" s="129"/>
      <c r="BC381" s="129">
        <f>sum(BC366:BC378)*W2</f>
        <v>956964.96</v>
      </c>
      <c r="BD381" s="129">
        <f>sum(BD366:BD378)*I2</f>
        <v>287136.25</v>
      </c>
      <c r="BE381" s="129">
        <f>sum(BE366:BE378)*AI2</f>
        <v>78560.16</v>
      </c>
      <c r="BF381" s="129"/>
      <c r="BG381" s="145"/>
    </row>
    <row r="382" ht="15.75" customHeight="1">
      <c r="A382" s="141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44"/>
      <c r="AO382" s="144"/>
      <c r="AP382" s="130"/>
      <c r="AQ382" s="130"/>
      <c r="AR382" s="130"/>
      <c r="AS382" s="130"/>
      <c r="AT382" s="130"/>
      <c r="AU382" s="130"/>
      <c r="AV382" s="130"/>
      <c r="AW382" s="130"/>
      <c r="AX382" s="129"/>
      <c r="AY382" s="129"/>
      <c r="AZ382" s="129"/>
      <c r="BA382" s="129"/>
      <c r="BB382" s="129"/>
      <c r="BC382" s="129"/>
      <c r="BD382" s="129"/>
      <c r="BE382" s="129"/>
      <c r="BF382" s="129"/>
      <c r="BG382" s="145"/>
    </row>
    <row r="383" ht="15.75" customHeight="1">
      <c r="A383" s="141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44"/>
      <c r="AO383" s="144"/>
      <c r="AP383" s="130"/>
      <c r="AQ383" s="130"/>
      <c r="AR383" s="130"/>
      <c r="AS383" s="130"/>
      <c r="AT383" s="130"/>
      <c r="AU383" s="130"/>
      <c r="AV383" s="130"/>
      <c r="AW383" s="130"/>
      <c r="AX383" s="129"/>
      <c r="AY383" s="129"/>
      <c r="AZ383" s="129"/>
      <c r="BA383" s="129"/>
      <c r="BB383" s="129"/>
      <c r="BC383" s="129"/>
      <c r="BD383" s="129"/>
      <c r="BE383" s="129"/>
      <c r="BF383" s="129"/>
      <c r="BG383" s="145"/>
    </row>
    <row r="384" ht="15.75" customHeight="1">
      <c r="A384" s="141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  <c r="AN384" s="144"/>
      <c r="AO384" s="144"/>
      <c r="AP384" s="130"/>
      <c r="AQ384" s="130"/>
      <c r="AR384" s="130"/>
      <c r="AS384" s="130"/>
      <c r="AT384" s="130"/>
      <c r="AU384" s="130"/>
      <c r="AV384" s="130"/>
      <c r="AW384" s="130"/>
      <c r="AX384" s="129"/>
      <c r="AY384" s="129"/>
      <c r="AZ384" s="129"/>
      <c r="BA384" s="129"/>
      <c r="BB384" s="129"/>
      <c r="BC384" s="129"/>
      <c r="BD384" s="129"/>
      <c r="BE384" s="129"/>
      <c r="BF384" s="129"/>
      <c r="BG384" s="145"/>
    </row>
    <row r="385" ht="15.75" customHeight="1">
      <c r="A385" s="141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  <c r="AN385" s="144"/>
      <c r="AO385" s="144"/>
      <c r="AP385" s="130"/>
      <c r="AQ385" s="130"/>
      <c r="AR385" s="130"/>
      <c r="AS385" s="130"/>
      <c r="AT385" s="130"/>
      <c r="AU385" s="130"/>
      <c r="AV385" s="130"/>
      <c r="AW385" s="130"/>
      <c r="AX385" s="129"/>
      <c r="AY385" s="129"/>
      <c r="AZ385" s="129"/>
      <c r="BA385" s="129"/>
      <c r="BB385" s="129"/>
      <c r="BC385" s="129"/>
      <c r="BD385" s="129"/>
      <c r="BE385" s="129"/>
      <c r="BF385" s="129"/>
      <c r="BG385" s="145"/>
    </row>
    <row r="386" ht="15.75" customHeight="1">
      <c r="A386" s="141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44"/>
      <c r="AO386" s="144"/>
      <c r="AP386" s="130"/>
      <c r="AQ386" s="130"/>
      <c r="AR386" s="130"/>
      <c r="AS386" s="130"/>
      <c r="AT386" s="130"/>
      <c r="AU386" s="130"/>
      <c r="AV386" s="130"/>
      <c r="AW386" s="130"/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45"/>
    </row>
    <row r="387" ht="15.75" customHeight="1">
      <c r="A387" s="141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44"/>
      <c r="AO387" s="144"/>
      <c r="AP387" s="130"/>
      <c r="AQ387" s="130"/>
      <c r="AR387" s="130"/>
      <c r="AS387" s="130"/>
      <c r="AT387" s="130"/>
      <c r="AU387" s="130"/>
      <c r="AV387" s="130"/>
      <c r="AW387" s="130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45"/>
    </row>
    <row r="388" ht="15.75" customHeight="1">
      <c r="A388" s="141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44"/>
      <c r="AO388" s="144"/>
      <c r="AP388" s="130"/>
      <c r="AQ388" s="130"/>
      <c r="AR388" s="130"/>
      <c r="AS388" s="130"/>
      <c r="AT388" s="130"/>
      <c r="AU388" s="130"/>
      <c r="AV388" s="130"/>
      <c r="AW388" s="130"/>
      <c r="AX388" s="129"/>
      <c r="AY388" s="129"/>
      <c r="AZ388" s="129"/>
      <c r="BA388" s="129"/>
      <c r="BB388" s="129"/>
      <c r="BC388" s="129"/>
      <c r="BD388" s="129"/>
      <c r="BE388" s="129"/>
      <c r="BF388" s="129"/>
      <c r="BG388" s="145"/>
    </row>
    <row r="389" ht="15.75" customHeight="1">
      <c r="A389" s="141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  <c r="AN389" s="144"/>
      <c r="AO389" s="144"/>
      <c r="AP389" s="130"/>
      <c r="AQ389" s="130"/>
      <c r="AR389" s="130"/>
      <c r="AS389" s="130"/>
      <c r="AT389" s="130"/>
      <c r="AU389" s="130"/>
      <c r="AV389" s="130"/>
      <c r="AW389" s="130"/>
      <c r="AX389" s="129"/>
      <c r="AY389" s="129"/>
      <c r="AZ389" s="129"/>
      <c r="BA389" s="129"/>
      <c r="BB389" s="129"/>
      <c r="BC389" s="129"/>
      <c r="BD389" s="129"/>
      <c r="BE389" s="129"/>
      <c r="BF389" s="129"/>
      <c r="BG389" s="145"/>
    </row>
    <row r="390" ht="15.75" customHeight="1">
      <c r="A390" s="141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44"/>
      <c r="AO390" s="144"/>
      <c r="AP390" s="130"/>
      <c r="AQ390" s="130"/>
      <c r="AR390" s="130"/>
      <c r="AS390" s="130"/>
      <c r="AT390" s="130"/>
      <c r="AU390" s="130"/>
      <c r="AV390" s="130"/>
      <c r="AW390" s="130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45"/>
    </row>
    <row r="391" ht="15.75" customHeight="1">
      <c r="A391" s="141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44"/>
      <c r="AO391" s="144"/>
      <c r="AP391" s="130"/>
      <c r="AQ391" s="130"/>
      <c r="AR391" s="130"/>
      <c r="AS391" s="130"/>
      <c r="AT391" s="130"/>
      <c r="AU391" s="130"/>
      <c r="AV391" s="130"/>
      <c r="AW391" s="130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45"/>
    </row>
    <row r="392" ht="15.75" customHeight="1">
      <c r="A392" s="141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44"/>
      <c r="AO392" s="144"/>
      <c r="AP392" s="130"/>
      <c r="AQ392" s="130"/>
      <c r="AR392" s="130"/>
      <c r="AS392" s="130"/>
      <c r="AT392" s="130"/>
      <c r="AU392" s="130"/>
      <c r="AV392" s="130"/>
      <c r="AW392" s="130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45"/>
    </row>
    <row r="393" ht="15.75" customHeight="1">
      <c r="A393" s="141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44"/>
      <c r="AO393" s="144"/>
      <c r="AP393" s="130"/>
      <c r="AQ393" s="130"/>
      <c r="AR393" s="130"/>
      <c r="AS393" s="130"/>
      <c r="AT393" s="130"/>
      <c r="AU393" s="130"/>
      <c r="AV393" s="130"/>
      <c r="AW393" s="130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45"/>
    </row>
    <row r="394" ht="15.75" customHeight="1">
      <c r="A394" s="141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44"/>
      <c r="AO394" s="144"/>
      <c r="AP394" s="130"/>
      <c r="AQ394" s="130"/>
      <c r="AR394" s="130"/>
      <c r="AS394" s="130"/>
      <c r="AT394" s="130"/>
      <c r="AU394" s="130"/>
      <c r="AV394" s="130"/>
      <c r="AW394" s="130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45"/>
    </row>
    <row r="395" ht="15.75" customHeight="1">
      <c r="A395" s="141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44"/>
      <c r="AO395" s="144"/>
      <c r="AP395" s="130"/>
      <c r="AQ395" s="130"/>
      <c r="AR395" s="130"/>
      <c r="AS395" s="130"/>
      <c r="AT395" s="130"/>
      <c r="AU395" s="130"/>
      <c r="AV395" s="130"/>
      <c r="AW395" s="130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45"/>
    </row>
    <row r="396" ht="15.75" customHeight="1">
      <c r="A396" s="141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44"/>
      <c r="AO396" s="144"/>
      <c r="AP396" s="130"/>
      <c r="AQ396" s="130"/>
      <c r="AR396" s="130"/>
      <c r="AS396" s="130"/>
      <c r="AT396" s="130"/>
      <c r="AU396" s="130"/>
      <c r="AV396" s="130"/>
      <c r="AW396" s="130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45"/>
    </row>
    <row r="397" ht="15.75" customHeight="1">
      <c r="A397" s="141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44"/>
      <c r="AO397" s="144"/>
      <c r="AP397" s="130"/>
      <c r="AQ397" s="130"/>
      <c r="AR397" s="130"/>
      <c r="AS397" s="130"/>
      <c r="AT397" s="130"/>
      <c r="AU397" s="130"/>
      <c r="AV397" s="130"/>
      <c r="AW397" s="130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45"/>
    </row>
    <row r="398" ht="15.75" customHeight="1">
      <c r="A398" s="141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44"/>
      <c r="AO398" s="144"/>
      <c r="AP398" s="130"/>
      <c r="AQ398" s="130"/>
      <c r="AR398" s="130"/>
      <c r="AS398" s="130"/>
      <c r="AT398" s="130"/>
      <c r="AU398" s="130"/>
      <c r="AV398" s="130"/>
      <c r="AW398" s="130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45"/>
    </row>
    <row r="399" ht="15.75" customHeight="1">
      <c r="A399" s="141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44"/>
      <c r="AO399" s="144"/>
      <c r="AP399" s="130"/>
      <c r="AQ399" s="130"/>
      <c r="AR399" s="130"/>
      <c r="AS399" s="130"/>
      <c r="AT399" s="130"/>
      <c r="AU399" s="130"/>
      <c r="AV399" s="130"/>
      <c r="AW399" s="130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45"/>
    </row>
    <row r="400" ht="15.75" customHeight="1">
      <c r="A400" s="141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  <c r="AN400" s="144"/>
      <c r="AO400" s="144"/>
      <c r="AP400" s="130"/>
      <c r="AQ400" s="130"/>
      <c r="AR400" s="130"/>
      <c r="AS400" s="130"/>
      <c r="AT400" s="130"/>
      <c r="AU400" s="130"/>
      <c r="AV400" s="130"/>
      <c r="AW400" s="130"/>
      <c r="AX400" s="129"/>
      <c r="AY400" s="129"/>
      <c r="AZ400" s="129"/>
      <c r="BA400" s="129"/>
      <c r="BB400" s="129"/>
      <c r="BC400" s="129"/>
      <c r="BD400" s="129"/>
      <c r="BE400" s="129"/>
      <c r="BF400" s="129"/>
      <c r="BG400" s="145"/>
    </row>
    <row r="401" ht="15.75" customHeight="1">
      <c r="A401" s="141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  <c r="AN401" s="144"/>
      <c r="AO401" s="144"/>
      <c r="AP401" s="130"/>
      <c r="AQ401" s="130"/>
      <c r="AR401" s="130"/>
      <c r="AS401" s="130"/>
      <c r="AT401" s="130"/>
      <c r="AU401" s="130"/>
      <c r="AV401" s="130"/>
      <c r="AW401" s="130"/>
      <c r="AX401" s="129"/>
      <c r="AY401" s="129"/>
      <c r="AZ401" s="129"/>
      <c r="BA401" s="129"/>
      <c r="BB401" s="129"/>
      <c r="BC401" s="129"/>
      <c r="BD401" s="129"/>
      <c r="BE401" s="129"/>
      <c r="BF401" s="129"/>
      <c r="BG401" s="145"/>
    </row>
    <row r="402" ht="15.75" customHeight="1">
      <c r="A402" s="141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44"/>
      <c r="AO402" s="144"/>
      <c r="AP402" s="130"/>
      <c r="AQ402" s="130"/>
      <c r="AR402" s="130"/>
      <c r="AS402" s="130"/>
      <c r="AT402" s="130"/>
      <c r="AU402" s="130"/>
      <c r="AV402" s="130"/>
      <c r="AW402" s="130"/>
      <c r="AX402" s="129"/>
      <c r="AY402" s="129"/>
      <c r="AZ402" s="129"/>
      <c r="BA402" s="129"/>
      <c r="BB402" s="129"/>
      <c r="BC402" s="129"/>
      <c r="BD402" s="129"/>
      <c r="BE402" s="129"/>
      <c r="BF402" s="129"/>
      <c r="BG402" s="145"/>
    </row>
    <row r="403" ht="15.75" customHeight="1">
      <c r="A403" s="141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  <c r="AN403" s="144"/>
      <c r="AO403" s="144"/>
      <c r="AP403" s="130"/>
      <c r="AQ403" s="130"/>
      <c r="AR403" s="130"/>
      <c r="AS403" s="130"/>
      <c r="AT403" s="130"/>
      <c r="AU403" s="130"/>
      <c r="AV403" s="130"/>
      <c r="AW403" s="130"/>
      <c r="AX403" s="129"/>
      <c r="AY403" s="129"/>
      <c r="AZ403" s="129"/>
      <c r="BA403" s="129"/>
      <c r="BB403" s="129"/>
      <c r="BC403" s="129"/>
      <c r="BD403" s="129"/>
      <c r="BE403" s="129"/>
      <c r="BF403" s="129"/>
      <c r="BG403" s="145"/>
    </row>
    <row r="404" ht="15.75" customHeight="1">
      <c r="A404" s="141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  <c r="AN404" s="144"/>
      <c r="AO404" s="144"/>
      <c r="AP404" s="130"/>
      <c r="AQ404" s="130"/>
      <c r="AR404" s="130"/>
      <c r="AS404" s="130"/>
      <c r="AT404" s="130"/>
      <c r="AU404" s="130"/>
      <c r="AV404" s="130"/>
      <c r="AW404" s="130"/>
      <c r="AX404" s="129"/>
      <c r="AY404" s="129"/>
      <c r="AZ404" s="129"/>
      <c r="BA404" s="129"/>
      <c r="BB404" s="129"/>
      <c r="BC404" s="129"/>
      <c r="BD404" s="129"/>
      <c r="BE404" s="129"/>
      <c r="BF404" s="129"/>
      <c r="BG404" s="145"/>
    </row>
    <row r="405" ht="15.75" customHeight="1">
      <c r="A405" s="141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  <c r="AN405" s="144"/>
      <c r="AO405" s="144"/>
      <c r="AP405" s="130"/>
      <c r="AQ405" s="130"/>
      <c r="AR405" s="130"/>
      <c r="AS405" s="130"/>
      <c r="AT405" s="130"/>
      <c r="AU405" s="130"/>
      <c r="AV405" s="130"/>
      <c r="AW405" s="130"/>
      <c r="AX405" s="129"/>
      <c r="AY405" s="129"/>
      <c r="AZ405" s="129"/>
      <c r="BA405" s="129"/>
      <c r="BB405" s="129"/>
      <c r="BC405" s="129"/>
      <c r="BD405" s="129"/>
      <c r="BE405" s="129"/>
      <c r="BF405" s="129"/>
      <c r="BG405" s="145"/>
    </row>
    <row r="406" ht="15.75" customHeight="1">
      <c r="A406" s="141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  <c r="AN406" s="144"/>
      <c r="AO406" s="144"/>
      <c r="AP406" s="130"/>
      <c r="AQ406" s="130"/>
      <c r="AR406" s="130"/>
      <c r="AS406" s="130"/>
      <c r="AT406" s="130"/>
      <c r="AU406" s="130"/>
      <c r="AV406" s="130"/>
      <c r="AW406" s="130"/>
      <c r="AX406" s="129"/>
      <c r="AY406" s="129"/>
      <c r="AZ406" s="129"/>
      <c r="BA406" s="129"/>
      <c r="BB406" s="129"/>
      <c r="BC406" s="129"/>
      <c r="BD406" s="129"/>
      <c r="BE406" s="129"/>
      <c r="BF406" s="129"/>
      <c r="BG406" s="145"/>
    </row>
    <row r="407" ht="15.75" customHeight="1">
      <c r="A407" s="141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  <c r="AN407" s="144"/>
      <c r="AO407" s="144"/>
      <c r="AP407" s="130"/>
      <c r="AQ407" s="130"/>
      <c r="AR407" s="130"/>
      <c r="AS407" s="130"/>
      <c r="AT407" s="130"/>
      <c r="AU407" s="130"/>
      <c r="AV407" s="130"/>
      <c r="AW407" s="130"/>
      <c r="AX407" s="129"/>
      <c r="AY407" s="129"/>
      <c r="AZ407" s="129"/>
      <c r="BA407" s="129"/>
      <c r="BB407" s="129"/>
      <c r="BC407" s="129"/>
      <c r="BD407" s="129"/>
      <c r="BE407" s="129"/>
      <c r="BF407" s="129"/>
      <c r="BG407" s="145"/>
    </row>
    <row r="408" ht="15.75" customHeight="1">
      <c r="A408" s="141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  <c r="AN408" s="144"/>
      <c r="AO408" s="144"/>
      <c r="AP408" s="130"/>
      <c r="AQ408" s="130"/>
      <c r="AR408" s="130"/>
      <c r="AS408" s="130"/>
      <c r="AT408" s="130"/>
      <c r="AU408" s="130"/>
      <c r="AV408" s="130"/>
      <c r="AW408" s="130"/>
      <c r="AX408" s="129"/>
      <c r="AY408" s="129"/>
      <c r="AZ408" s="129"/>
      <c r="BA408" s="129"/>
      <c r="BB408" s="129"/>
      <c r="BC408" s="129"/>
      <c r="BD408" s="129"/>
      <c r="BE408" s="129"/>
      <c r="BF408" s="129"/>
      <c r="BG408" s="145"/>
    </row>
    <row r="409" ht="15.75" customHeight="1">
      <c r="A409" s="141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  <c r="AN409" s="144"/>
      <c r="AO409" s="144"/>
      <c r="AP409" s="130"/>
      <c r="AQ409" s="130"/>
      <c r="AR409" s="130"/>
      <c r="AS409" s="130"/>
      <c r="AT409" s="130"/>
      <c r="AU409" s="130"/>
      <c r="AV409" s="130"/>
      <c r="AW409" s="130"/>
      <c r="AX409" s="129"/>
      <c r="AY409" s="129"/>
      <c r="AZ409" s="129"/>
      <c r="BA409" s="129"/>
      <c r="BB409" s="129"/>
      <c r="BC409" s="129"/>
      <c r="BD409" s="129"/>
      <c r="BE409" s="129"/>
      <c r="BF409" s="129"/>
      <c r="BG409" s="145"/>
    </row>
    <row r="410" ht="15.75" customHeight="1">
      <c r="A410" s="141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  <c r="AN410" s="144"/>
      <c r="AO410" s="144"/>
      <c r="AP410" s="130"/>
      <c r="AQ410" s="130"/>
      <c r="AR410" s="130"/>
      <c r="AS410" s="130"/>
      <c r="AT410" s="130"/>
      <c r="AU410" s="130"/>
      <c r="AV410" s="130"/>
      <c r="AW410" s="130"/>
      <c r="AX410" s="129"/>
      <c r="AY410" s="129"/>
      <c r="AZ410" s="129"/>
      <c r="BA410" s="129"/>
      <c r="BB410" s="129"/>
      <c r="BC410" s="129"/>
      <c r="BD410" s="129"/>
      <c r="BE410" s="129"/>
      <c r="BF410" s="129"/>
      <c r="BG410" s="145"/>
    </row>
    <row r="411" ht="15.75" customHeight="1">
      <c r="A411" s="141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  <c r="AN411" s="144"/>
      <c r="AO411" s="144"/>
      <c r="AP411" s="130"/>
      <c r="AQ411" s="130"/>
      <c r="AR411" s="130"/>
      <c r="AS411" s="130"/>
      <c r="AT411" s="130"/>
      <c r="AU411" s="130"/>
      <c r="AV411" s="130"/>
      <c r="AW411" s="130"/>
      <c r="AX411" s="129"/>
      <c r="AY411" s="129"/>
      <c r="AZ411" s="129"/>
      <c r="BA411" s="129"/>
      <c r="BB411" s="129"/>
      <c r="BC411" s="129"/>
      <c r="BD411" s="129"/>
      <c r="BE411" s="129"/>
      <c r="BF411" s="129"/>
      <c r="BG411" s="145"/>
    </row>
    <row r="412" ht="15.75" customHeight="1">
      <c r="A412" s="141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  <c r="AN412" s="144"/>
      <c r="AO412" s="144"/>
      <c r="AP412" s="130"/>
      <c r="AQ412" s="130"/>
      <c r="AR412" s="130"/>
      <c r="AS412" s="130"/>
      <c r="AT412" s="130"/>
      <c r="AU412" s="130"/>
      <c r="AV412" s="130"/>
      <c r="AW412" s="130"/>
      <c r="AX412" s="129"/>
      <c r="AY412" s="129"/>
      <c r="AZ412" s="129"/>
      <c r="BA412" s="129"/>
      <c r="BB412" s="129"/>
      <c r="BC412" s="129"/>
      <c r="BD412" s="129"/>
      <c r="BE412" s="129"/>
      <c r="BF412" s="129"/>
      <c r="BG412" s="145"/>
    </row>
    <row r="413" ht="15.75" customHeight="1">
      <c r="A413" s="141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  <c r="AN413" s="144"/>
      <c r="AO413" s="144"/>
      <c r="AP413" s="130"/>
      <c r="AQ413" s="130"/>
      <c r="AR413" s="130"/>
      <c r="AS413" s="130"/>
      <c r="AT413" s="130"/>
      <c r="AU413" s="130"/>
      <c r="AV413" s="130"/>
      <c r="AW413" s="130"/>
      <c r="AX413" s="129"/>
      <c r="AY413" s="129"/>
      <c r="AZ413" s="129"/>
      <c r="BA413" s="129"/>
      <c r="BB413" s="129"/>
      <c r="BC413" s="129"/>
      <c r="BD413" s="129"/>
      <c r="BE413" s="129"/>
      <c r="BF413" s="129"/>
      <c r="BG413" s="145"/>
    </row>
    <row r="414" ht="15.75" customHeight="1">
      <c r="A414" s="141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44"/>
      <c r="AO414" s="144"/>
      <c r="AP414" s="130"/>
      <c r="AQ414" s="130"/>
      <c r="AR414" s="130"/>
      <c r="AS414" s="130"/>
      <c r="AT414" s="130"/>
      <c r="AU414" s="130"/>
      <c r="AV414" s="130"/>
      <c r="AW414" s="130"/>
      <c r="AX414" s="129"/>
      <c r="AY414" s="129"/>
      <c r="AZ414" s="129"/>
      <c r="BA414" s="129"/>
      <c r="BB414" s="129"/>
      <c r="BC414" s="129"/>
      <c r="BD414" s="129"/>
      <c r="BE414" s="129"/>
      <c r="BF414" s="129"/>
      <c r="BG414" s="145"/>
    </row>
    <row r="415" ht="15.75" customHeight="1">
      <c r="A415" s="141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  <c r="AN415" s="144"/>
      <c r="AO415" s="144"/>
      <c r="AP415" s="130"/>
      <c r="AQ415" s="130"/>
      <c r="AR415" s="130"/>
      <c r="AS415" s="130"/>
      <c r="AT415" s="130"/>
      <c r="AU415" s="130"/>
      <c r="AV415" s="130"/>
      <c r="AW415" s="130"/>
      <c r="AX415" s="129"/>
      <c r="AY415" s="129"/>
      <c r="AZ415" s="129"/>
      <c r="BA415" s="129"/>
      <c r="BB415" s="129"/>
      <c r="BC415" s="129"/>
      <c r="BD415" s="129"/>
      <c r="BE415" s="129"/>
      <c r="BF415" s="129"/>
      <c r="BG415" s="145"/>
    </row>
    <row r="416" ht="15.75" customHeight="1">
      <c r="A416" s="141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  <c r="AN416" s="144"/>
      <c r="AO416" s="144"/>
      <c r="AP416" s="130"/>
      <c r="AQ416" s="130"/>
      <c r="AR416" s="130"/>
      <c r="AS416" s="130"/>
      <c r="AT416" s="130"/>
      <c r="AU416" s="130"/>
      <c r="AV416" s="130"/>
      <c r="AW416" s="130"/>
      <c r="AX416" s="129"/>
      <c r="AY416" s="129"/>
      <c r="AZ416" s="129"/>
      <c r="BA416" s="129"/>
      <c r="BB416" s="129"/>
      <c r="BC416" s="129"/>
      <c r="BD416" s="129"/>
      <c r="BE416" s="129"/>
      <c r="BF416" s="129"/>
      <c r="BG416" s="145"/>
    </row>
    <row r="417" ht="15.75" customHeight="1">
      <c r="A417" s="141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  <c r="AN417" s="144"/>
      <c r="AO417" s="144"/>
      <c r="AP417" s="130"/>
      <c r="AQ417" s="130"/>
      <c r="AR417" s="130"/>
      <c r="AS417" s="130"/>
      <c r="AT417" s="130"/>
      <c r="AU417" s="130"/>
      <c r="AV417" s="130"/>
      <c r="AW417" s="130"/>
      <c r="AX417" s="129"/>
      <c r="AY417" s="129"/>
      <c r="AZ417" s="129"/>
      <c r="BA417" s="129"/>
      <c r="BB417" s="129"/>
      <c r="BC417" s="129"/>
      <c r="BD417" s="129"/>
      <c r="BE417" s="129"/>
      <c r="BF417" s="129"/>
      <c r="BG417" s="145"/>
    </row>
    <row r="418" ht="15.75" customHeight="1">
      <c r="A418" s="141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  <c r="AN418" s="144"/>
      <c r="AO418" s="144"/>
      <c r="AP418" s="130"/>
      <c r="AQ418" s="130"/>
      <c r="AR418" s="130"/>
      <c r="AS418" s="130"/>
      <c r="AT418" s="130"/>
      <c r="AU418" s="130"/>
      <c r="AV418" s="130"/>
      <c r="AW418" s="130"/>
      <c r="AX418" s="129"/>
      <c r="AY418" s="129"/>
      <c r="AZ418" s="129"/>
      <c r="BA418" s="129"/>
      <c r="BB418" s="129"/>
      <c r="BC418" s="129"/>
      <c r="BD418" s="129"/>
      <c r="BE418" s="129"/>
      <c r="BF418" s="129"/>
      <c r="BG418" s="145"/>
    </row>
    <row r="419" ht="15.75" customHeight="1">
      <c r="A419" s="141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  <c r="AN419" s="144"/>
      <c r="AO419" s="144"/>
      <c r="AP419" s="130"/>
      <c r="AQ419" s="130"/>
      <c r="AR419" s="130"/>
      <c r="AS419" s="130"/>
      <c r="AT419" s="130"/>
      <c r="AU419" s="130"/>
      <c r="AV419" s="130"/>
      <c r="AW419" s="130"/>
      <c r="AX419" s="129"/>
      <c r="AY419" s="129"/>
      <c r="AZ419" s="129"/>
      <c r="BA419" s="129"/>
      <c r="BB419" s="129"/>
      <c r="BC419" s="129"/>
      <c r="BD419" s="129"/>
      <c r="BE419" s="129"/>
      <c r="BF419" s="129"/>
      <c r="BG419" s="145"/>
    </row>
    <row r="420" ht="15.75" customHeight="1">
      <c r="A420" s="141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44"/>
      <c r="AO420" s="144"/>
      <c r="AP420" s="130"/>
      <c r="AQ420" s="130"/>
      <c r="AR420" s="130"/>
      <c r="AS420" s="130"/>
      <c r="AT420" s="130"/>
      <c r="AU420" s="130"/>
      <c r="AV420" s="130"/>
      <c r="AW420" s="130"/>
      <c r="AX420" s="129"/>
      <c r="AY420" s="129"/>
      <c r="AZ420" s="129"/>
      <c r="BA420" s="129"/>
      <c r="BB420" s="129"/>
      <c r="BC420" s="129"/>
      <c r="BD420" s="129"/>
      <c r="BE420" s="129"/>
      <c r="BF420" s="129"/>
      <c r="BG420" s="145"/>
    </row>
    <row r="421" ht="15.75" customHeight="1">
      <c r="A421" s="141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44"/>
      <c r="AO421" s="144"/>
      <c r="AP421" s="130"/>
      <c r="AQ421" s="130"/>
      <c r="AR421" s="130"/>
      <c r="AS421" s="130"/>
      <c r="AT421" s="130"/>
      <c r="AU421" s="130"/>
      <c r="AV421" s="130"/>
      <c r="AW421" s="130"/>
      <c r="AX421" s="129"/>
      <c r="AY421" s="129"/>
      <c r="AZ421" s="129"/>
      <c r="BA421" s="129"/>
      <c r="BB421" s="129"/>
      <c r="BC421" s="129"/>
      <c r="BD421" s="129"/>
      <c r="BE421" s="129"/>
      <c r="BF421" s="129"/>
      <c r="BG421" s="145"/>
    </row>
    <row r="422" ht="15.75" customHeight="1">
      <c r="A422" s="141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  <c r="AN422" s="144"/>
      <c r="AO422" s="144"/>
      <c r="AP422" s="130"/>
      <c r="AQ422" s="130"/>
      <c r="AR422" s="130"/>
      <c r="AS422" s="130"/>
      <c r="AT422" s="130"/>
      <c r="AU422" s="130"/>
      <c r="AV422" s="130"/>
      <c r="AW422" s="130"/>
      <c r="AX422" s="129"/>
      <c r="AY422" s="129"/>
      <c r="AZ422" s="129"/>
      <c r="BA422" s="129"/>
      <c r="BB422" s="129"/>
      <c r="BC422" s="129"/>
      <c r="BD422" s="129"/>
      <c r="BE422" s="129"/>
      <c r="BF422" s="129"/>
      <c r="BG422" s="145"/>
    </row>
    <row r="423" ht="15.75" customHeight="1">
      <c r="A423" s="141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  <c r="AN423" s="144"/>
      <c r="AO423" s="144"/>
      <c r="AP423" s="130"/>
      <c r="AQ423" s="130"/>
      <c r="AR423" s="130"/>
      <c r="AS423" s="130"/>
      <c r="AT423" s="130"/>
      <c r="AU423" s="130"/>
      <c r="AV423" s="130"/>
      <c r="AW423" s="130"/>
      <c r="AX423" s="129"/>
      <c r="AY423" s="129"/>
      <c r="AZ423" s="129"/>
      <c r="BA423" s="129"/>
      <c r="BB423" s="129"/>
      <c r="BC423" s="129"/>
      <c r="BD423" s="129"/>
      <c r="BE423" s="129"/>
      <c r="BF423" s="129"/>
      <c r="BG423" s="145"/>
    </row>
    <row r="424" ht="15.75" customHeight="1">
      <c r="A424" s="141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44"/>
      <c r="AO424" s="144"/>
      <c r="AP424" s="130"/>
      <c r="AQ424" s="130"/>
      <c r="AR424" s="130"/>
      <c r="AS424" s="130"/>
      <c r="AT424" s="130"/>
      <c r="AU424" s="130"/>
      <c r="AV424" s="130"/>
      <c r="AW424" s="130"/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45"/>
    </row>
    <row r="425" ht="15.75" customHeight="1">
      <c r="A425" s="141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44"/>
      <c r="AO425" s="144"/>
      <c r="AP425" s="130"/>
      <c r="AQ425" s="130"/>
      <c r="AR425" s="130"/>
      <c r="AS425" s="130"/>
      <c r="AT425" s="130"/>
      <c r="AU425" s="130"/>
      <c r="AV425" s="130"/>
      <c r="AW425" s="130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45"/>
    </row>
    <row r="426" ht="15.75" customHeight="1">
      <c r="A426" s="141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  <c r="AN426" s="144"/>
      <c r="AO426" s="144"/>
      <c r="AP426" s="130"/>
      <c r="AQ426" s="130"/>
      <c r="AR426" s="130"/>
      <c r="AS426" s="130"/>
      <c r="AT426" s="130"/>
      <c r="AU426" s="130"/>
      <c r="AV426" s="130"/>
      <c r="AW426" s="130"/>
      <c r="AX426" s="129"/>
      <c r="AY426" s="129"/>
      <c r="AZ426" s="129"/>
      <c r="BA426" s="129"/>
      <c r="BB426" s="129"/>
      <c r="BC426" s="129"/>
      <c r="BD426" s="129"/>
      <c r="BE426" s="129"/>
      <c r="BF426" s="129"/>
      <c r="BG426" s="145"/>
    </row>
    <row r="427" ht="15.75" customHeight="1">
      <c r="A427" s="141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  <c r="AN427" s="144"/>
      <c r="AO427" s="144"/>
      <c r="AP427" s="130"/>
      <c r="AQ427" s="130"/>
      <c r="AR427" s="130"/>
      <c r="AS427" s="130"/>
      <c r="AT427" s="130"/>
      <c r="AU427" s="130"/>
      <c r="AV427" s="130"/>
      <c r="AW427" s="130"/>
      <c r="AX427" s="129"/>
      <c r="AY427" s="129"/>
      <c r="AZ427" s="129"/>
      <c r="BA427" s="129"/>
      <c r="BB427" s="129"/>
      <c r="BC427" s="129"/>
      <c r="BD427" s="129"/>
      <c r="BE427" s="129"/>
      <c r="BF427" s="129"/>
      <c r="BG427" s="145"/>
    </row>
    <row r="428" ht="15.75" customHeight="1">
      <c r="A428" s="141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44"/>
      <c r="AO428" s="144"/>
      <c r="AP428" s="130"/>
      <c r="AQ428" s="130"/>
      <c r="AR428" s="130"/>
      <c r="AS428" s="130"/>
      <c r="AT428" s="130"/>
      <c r="AU428" s="130"/>
      <c r="AV428" s="130"/>
      <c r="AW428" s="130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45"/>
    </row>
    <row r="429" ht="15.75" customHeight="1">
      <c r="A429" s="141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44"/>
      <c r="AO429" s="144"/>
      <c r="AP429" s="130"/>
      <c r="AQ429" s="130"/>
      <c r="AR429" s="130"/>
      <c r="AS429" s="130"/>
      <c r="AT429" s="130"/>
      <c r="AU429" s="130"/>
      <c r="AV429" s="130"/>
      <c r="AW429" s="130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45"/>
    </row>
    <row r="430" ht="15.75" customHeight="1">
      <c r="A430" s="141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44"/>
      <c r="AO430" s="144"/>
      <c r="AP430" s="130"/>
      <c r="AQ430" s="130"/>
      <c r="AR430" s="130"/>
      <c r="AS430" s="130"/>
      <c r="AT430" s="130"/>
      <c r="AU430" s="130"/>
      <c r="AV430" s="130"/>
      <c r="AW430" s="130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45"/>
    </row>
    <row r="431" ht="15.75" customHeight="1">
      <c r="A431" s="141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44"/>
      <c r="AO431" s="144"/>
      <c r="AP431" s="130"/>
      <c r="AQ431" s="130"/>
      <c r="AR431" s="130"/>
      <c r="AS431" s="130"/>
      <c r="AT431" s="130"/>
      <c r="AU431" s="130"/>
      <c r="AV431" s="130"/>
      <c r="AW431" s="130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45"/>
    </row>
    <row r="432" ht="15.75" customHeight="1">
      <c r="A432" s="141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44"/>
      <c r="AO432" s="144"/>
      <c r="AP432" s="130"/>
      <c r="AQ432" s="130"/>
      <c r="AR432" s="130"/>
      <c r="AS432" s="130"/>
      <c r="AT432" s="130"/>
      <c r="AU432" s="130"/>
      <c r="AV432" s="130"/>
      <c r="AW432" s="130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45"/>
    </row>
    <row r="433" ht="15.75" customHeight="1">
      <c r="A433" s="141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44"/>
      <c r="AO433" s="144"/>
      <c r="AP433" s="130"/>
      <c r="AQ433" s="130"/>
      <c r="AR433" s="130"/>
      <c r="AS433" s="130"/>
      <c r="AT433" s="130"/>
      <c r="AU433" s="130"/>
      <c r="AV433" s="130"/>
      <c r="AW433" s="130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45"/>
    </row>
    <row r="434" ht="15.75" customHeight="1">
      <c r="A434" s="141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44"/>
      <c r="AO434" s="144"/>
      <c r="AP434" s="130"/>
      <c r="AQ434" s="130"/>
      <c r="AR434" s="130"/>
      <c r="AS434" s="130"/>
      <c r="AT434" s="130"/>
      <c r="AU434" s="130"/>
      <c r="AV434" s="130"/>
      <c r="AW434" s="130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45"/>
    </row>
    <row r="435" ht="15.75" customHeight="1">
      <c r="A435" s="141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44"/>
      <c r="AO435" s="144"/>
      <c r="AP435" s="130"/>
      <c r="AQ435" s="130"/>
      <c r="AR435" s="130"/>
      <c r="AS435" s="130"/>
      <c r="AT435" s="130"/>
      <c r="AU435" s="130"/>
      <c r="AV435" s="130"/>
      <c r="AW435" s="130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45"/>
    </row>
    <row r="436" ht="15.75" customHeight="1">
      <c r="A436" s="141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44"/>
      <c r="AO436" s="144"/>
      <c r="AP436" s="130"/>
      <c r="AQ436" s="130"/>
      <c r="AR436" s="130"/>
      <c r="AS436" s="130"/>
      <c r="AT436" s="130"/>
      <c r="AU436" s="130"/>
      <c r="AV436" s="130"/>
      <c r="AW436" s="130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45"/>
    </row>
    <row r="437" ht="15.75" customHeight="1">
      <c r="A437" s="141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44"/>
      <c r="AO437" s="144"/>
      <c r="AP437" s="130"/>
      <c r="AQ437" s="130"/>
      <c r="AR437" s="130"/>
      <c r="AS437" s="130"/>
      <c r="AT437" s="130"/>
      <c r="AU437" s="130"/>
      <c r="AV437" s="130"/>
      <c r="AW437" s="130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45"/>
    </row>
    <row r="438" ht="15.75" customHeight="1">
      <c r="A438" s="141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44"/>
      <c r="AO438" s="144"/>
      <c r="AP438" s="130"/>
      <c r="AQ438" s="130"/>
      <c r="AR438" s="130"/>
      <c r="AS438" s="130"/>
      <c r="AT438" s="130"/>
      <c r="AU438" s="130"/>
      <c r="AV438" s="130"/>
      <c r="AW438" s="130"/>
      <c r="AX438" s="129"/>
      <c r="AY438" s="129"/>
      <c r="AZ438" s="129"/>
      <c r="BA438" s="129"/>
      <c r="BB438" s="129"/>
      <c r="BC438" s="129"/>
      <c r="BD438" s="129"/>
      <c r="BE438" s="129"/>
      <c r="BF438" s="129"/>
      <c r="BG438" s="145"/>
    </row>
    <row r="439" ht="15.75" customHeight="1">
      <c r="A439" s="141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44"/>
      <c r="AO439" s="144"/>
      <c r="AP439" s="130"/>
      <c r="AQ439" s="130"/>
      <c r="AR439" s="130"/>
      <c r="AS439" s="130"/>
      <c r="AT439" s="130"/>
      <c r="AU439" s="130"/>
      <c r="AV439" s="130"/>
      <c r="AW439" s="130"/>
      <c r="AX439" s="129"/>
      <c r="AY439" s="129"/>
      <c r="AZ439" s="129"/>
      <c r="BA439" s="129"/>
      <c r="BB439" s="129"/>
      <c r="BC439" s="129"/>
      <c r="BD439" s="129"/>
      <c r="BE439" s="129"/>
      <c r="BF439" s="129"/>
      <c r="BG439" s="145"/>
    </row>
    <row r="440" ht="15.75" customHeight="1">
      <c r="A440" s="141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44"/>
      <c r="AO440" s="144"/>
      <c r="AP440" s="130"/>
      <c r="AQ440" s="130"/>
      <c r="AR440" s="130"/>
      <c r="AS440" s="130"/>
      <c r="AT440" s="130"/>
      <c r="AU440" s="130"/>
      <c r="AV440" s="130"/>
      <c r="AW440" s="130"/>
      <c r="AX440" s="129"/>
      <c r="AY440" s="129"/>
      <c r="AZ440" s="129"/>
      <c r="BA440" s="129"/>
      <c r="BB440" s="129"/>
      <c r="BC440" s="129"/>
      <c r="BD440" s="129"/>
      <c r="BE440" s="129"/>
      <c r="BF440" s="129"/>
      <c r="BG440" s="145"/>
    </row>
    <row r="441" ht="15.75" customHeight="1">
      <c r="A441" s="141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44"/>
      <c r="AO441" s="144"/>
      <c r="AP441" s="130"/>
      <c r="AQ441" s="130"/>
      <c r="AR441" s="130"/>
      <c r="AS441" s="130"/>
      <c r="AT441" s="130"/>
      <c r="AU441" s="130"/>
      <c r="AV441" s="130"/>
      <c r="AW441" s="130"/>
      <c r="AX441" s="129"/>
      <c r="AY441" s="129"/>
      <c r="AZ441" s="129"/>
      <c r="BA441" s="129"/>
      <c r="BB441" s="129"/>
      <c r="BC441" s="129"/>
      <c r="BD441" s="129"/>
      <c r="BE441" s="129"/>
      <c r="BF441" s="129"/>
      <c r="BG441" s="145"/>
    </row>
    <row r="442" ht="15.75" customHeight="1">
      <c r="A442" s="141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44"/>
      <c r="AO442" s="144"/>
      <c r="AP442" s="130"/>
      <c r="AQ442" s="130"/>
      <c r="AR442" s="130"/>
      <c r="AS442" s="130"/>
      <c r="AT442" s="130"/>
      <c r="AU442" s="130"/>
      <c r="AV442" s="130"/>
      <c r="AW442" s="130"/>
      <c r="AX442" s="129"/>
      <c r="AY442" s="129"/>
      <c r="AZ442" s="129"/>
      <c r="BA442" s="129"/>
      <c r="BB442" s="129"/>
      <c r="BC442" s="129"/>
      <c r="BD442" s="129"/>
      <c r="BE442" s="129"/>
      <c r="BF442" s="129"/>
      <c r="BG442" s="145"/>
    </row>
    <row r="443" ht="15.75" customHeight="1">
      <c r="A443" s="141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44"/>
      <c r="AO443" s="144"/>
      <c r="AP443" s="130"/>
      <c r="AQ443" s="130"/>
      <c r="AR443" s="130"/>
      <c r="AS443" s="130"/>
      <c r="AT443" s="130"/>
      <c r="AU443" s="130"/>
      <c r="AV443" s="130"/>
      <c r="AW443" s="130"/>
      <c r="AX443" s="129"/>
      <c r="AY443" s="129"/>
      <c r="AZ443" s="129"/>
      <c r="BA443" s="129"/>
      <c r="BB443" s="129"/>
      <c r="BC443" s="129"/>
      <c r="BD443" s="129"/>
      <c r="BE443" s="129"/>
      <c r="BF443" s="129"/>
      <c r="BG443" s="145"/>
    </row>
    <row r="444" ht="15.75" customHeight="1">
      <c r="A444" s="141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44"/>
      <c r="AO444" s="144"/>
      <c r="AP444" s="130"/>
      <c r="AQ444" s="130"/>
      <c r="AR444" s="130"/>
      <c r="AS444" s="130"/>
      <c r="AT444" s="130"/>
      <c r="AU444" s="130"/>
      <c r="AV444" s="130"/>
      <c r="AW444" s="130"/>
      <c r="AX444" s="129"/>
      <c r="AY444" s="129"/>
      <c r="AZ444" s="129"/>
      <c r="BA444" s="129"/>
      <c r="BB444" s="129"/>
      <c r="BC444" s="129"/>
      <c r="BD444" s="129"/>
      <c r="BE444" s="129"/>
      <c r="BF444" s="129"/>
      <c r="BG444" s="145"/>
    </row>
    <row r="445" ht="15.75" customHeight="1">
      <c r="A445" s="141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44"/>
      <c r="AO445" s="144"/>
      <c r="AP445" s="130"/>
      <c r="AQ445" s="130"/>
      <c r="AR445" s="130"/>
      <c r="AS445" s="130"/>
      <c r="AT445" s="130"/>
      <c r="AU445" s="130"/>
      <c r="AV445" s="130"/>
      <c r="AW445" s="130"/>
      <c r="AX445" s="129"/>
      <c r="AY445" s="129"/>
      <c r="AZ445" s="129"/>
      <c r="BA445" s="129"/>
      <c r="BB445" s="129"/>
      <c r="BC445" s="129"/>
      <c r="BD445" s="129"/>
      <c r="BE445" s="129"/>
      <c r="BF445" s="129"/>
      <c r="BG445" s="145"/>
    </row>
    <row r="446" ht="15.75" customHeight="1">
      <c r="A446" s="141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44"/>
      <c r="AO446" s="144"/>
      <c r="AP446" s="130"/>
      <c r="AQ446" s="130"/>
      <c r="AR446" s="130"/>
      <c r="AS446" s="130"/>
      <c r="AT446" s="130"/>
      <c r="AU446" s="130"/>
      <c r="AV446" s="130"/>
      <c r="AW446" s="130"/>
      <c r="AX446" s="129"/>
      <c r="AY446" s="129"/>
      <c r="AZ446" s="129"/>
      <c r="BA446" s="129"/>
      <c r="BB446" s="129"/>
      <c r="BC446" s="129"/>
      <c r="BD446" s="129"/>
      <c r="BE446" s="129"/>
      <c r="BF446" s="129"/>
      <c r="BG446" s="145"/>
    </row>
    <row r="447" ht="15.75" customHeight="1">
      <c r="A447" s="141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44"/>
      <c r="AO447" s="144"/>
      <c r="AP447" s="130"/>
      <c r="AQ447" s="130"/>
      <c r="AR447" s="130"/>
      <c r="AS447" s="130"/>
      <c r="AT447" s="130"/>
      <c r="AU447" s="130"/>
      <c r="AV447" s="130"/>
      <c r="AW447" s="130"/>
      <c r="AX447" s="129"/>
      <c r="AY447" s="129"/>
      <c r="AZ447" s="129"/>
      <c r="BA447" s="129"/>
      <c r="BB447" s="129"/>
      <c r="BC447" s="129"/>
      <c r="BD447" s="129"/>
      <c r="BE447" s="129"/>
      <c r="BF447" s="129"/>
      <c r="BG447" s="145"/>
    </row>
    <row r="448" ht="15.75" customHeight="1">
      <c r="A448" s="141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44"/>
      <c r="AO448" s="144"/>
      <c r="AP448" s="130"/>
      <c r="AQ448" s="130"/>
      <c r="AR448" s="130"/>
      <c r="AS448" s="130"/>
      <c r="AT448" s="130"/>
      <c r="AU448" s="130"/>
      <c r="AV448" s="130"/>
      <c r="AW448" s="130"/>
      <c r="AX448" s="129"/>
      <c r="AY448" s="129"/>
      <c r="AZ448" s="129"/>
      <c r="BA448" s="129"/>
      <c r="BB448" s="129"/>
      <c r="BC448" s="129"/>
      <c r="BD448" s="129"/>
      <c r="BE448" s="129"/>
      <c r="BF448" s="129"/>
      <c r="BG448" s="145"/>
    </row>
    <row r="449" ht="15.75" customHeight="1">
      <c r="A449" s="141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44"/>
      <c r="AO449" s="144"/>
      <c r="AP449" s="130"/>
      <c r="AQ449" s="130"/>
      <c r="AR449" s="130"/>
      <c r="AS449" s="130"/>
      <c r="AT449" s="130"/>
      <c r="AU449" s="130"/>
      <c r="AV449" s="130"/>
      <c r="AW449" s="130"/>
      <c r="AX449" s="129"/>
      <c r="AY449" s="129"/>
      <c r="AZ449" s="129"/>
      <c r="BA449" s="129"/>
      <c r="BB449" s="129"/>
      <c r="BC449" s="129"/>
      <c r="BD449" s="129"/>
      <c r="BE449" s="129"/>
      <c r="BF449" s="129"/>
      <c r="BG449" s="145"/>
    </row>
    <row r="450" ht="15.75" customHeight="1">
      <c r="A450" s="141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44"/>
      <c r="AO450" s="144"/>
      <c r="AP450" s="130"/>
      <c r="AQ450" s="130"/>
      <c r="AR450" s="130"/>
      <c r="AS450" s="130"/>
      <c r="AT450" s="130"/>
      <c r="AU450" s="130"/>
      <c r="AV450" s="130"/>
      <c r="AW450" s="130"/>
      <c r="AX450" s="129"/>
      <c r="AY450" s="129"/>
      <c r="AZ450" s="129"/>
      <c r="BA450" s="129"/>
      <c r="BB450" s="129"/>
      <c r="BC450" s="129"/>
      <c r="BD450" s="129"/>
      <c r="BE450" s="129"/>
      <c r="BF450" s="129"/>
      <c r="BG450" s="145"/>
    </row>
    <row r="451" ht="15.75" customHeight="1">
      <c r="A451" s="141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44"/>
      <c r="AO451" s="144"/>
      <c r="AP451" s="130"/>
      <c r="AQ451" s="130"/>
      <c r="AR451" s="130"/>
      <c r="AS451" s="130"/>
      <c r="AT451" s="130"/>
      <c r="AU451" s="130"/>
      <c r="AV451" s="130"/>
      <c r="AW451" s="130"/>
      <c r="AX451" s="129"/>
      <c r="AY451" s="129"/>
      <c r="AZ451" s="129"/>
      <c r="BA451" s="129"/>
      <c r="BB451" s="129"/>
      <c r="BC451" s="129"/>
      <c r="BD451" s="129"/>
      <c r="BE451" s="129"/>
      <c r="BF451" s="129"/>
      <c r="BG451" s="145"/>
    </row>
    <row r="452" ht="15.75" customHeight="1">
      <c r="A452" s="141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44"/>
      <c r="AO452" s="144"/>
      <c r="AP452" s="130"/>
      <c r="AQ452" s="130"/>
      <c r="AR452" s="130"/>
      <c r="AS452" s="130"/>
      <c r="AT452" s="130"/>
      <c r="AU452" s="130"/>
      <c r="AV452" s="130"/>
      <c r="AW452" s="130"/>
      <c r="AX452" s="129"/>
      <c r="AY452" s="129"/>
      <c r="AZ452" s="129"/>
      <c r="BA452" s="129"/>
      <c r="BB452" s="129"/>
      <c r="BC452" s="129"/>
      <c r="BD452" s="129"/>
      <c r="BE452" s="129"/>
      <c r="BF452" s="129"/>
      <c r="BG452" s="145"/>
    </row>
    <row r="453" ht="15.75" customHeight="1">
      <c r="A453" s="141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44"/>
      <c r="AO453" s="144"/>
      <c r="AP453" s="130"/>
      <c r="AQ453" s="130"/>
      <c r="AR453" s="130"/>
      <c r="AS453" s="130"/>
      <c r="AT453" s="130"/>
      <c r="AU453" s="130"/>
      <c r="AV453" s="130"/>
      <c r="AW453" s="130"/>
      <c r="AX453" s="129"/>
      <c r="AY453" s="129"/>
      <c r="AZ453" s="129"/>
      <c r="BA453" s="129"/>
      <c r="BB453" s="129"/>
      <c r="BC453" s="129"/>
      <c r="BD453" s="129"/>
      <c r="BE453" s="129"/>
      <c r="BF453" s="129"/>
      <c r="BG453" s="145"/>
    </row>
    <row r="454" ht="15.75" customHeight="1">
      <c r="A454" s="141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44"/>
      <c r="AO454" s="144"/>
      <c r="AP454" s="130"/>
      <c r="AQ454" s="130"/>
      <c r="AR454" s="130"/>
      <c r="AS454" s="130"/>
      <c r="AT454" s="130"/>
      <c r="AU454" s="130"/>
      <c r="AV454" s="130"/>
      <c r="AW454" s="130"/>
      <c r="AX454" s="129"/>
      <c r="AY454" s="129"/>
      <c r="AZ454" s="129"/>
      <c r="BA454" s="129"/>
      <c r="BB454" s="129"/>
      <c r="BC454" s="129"/>
      <c r="BD454" s="129"/>
      <c r="BE454" s="129"/>
      <c r="BF454" s="129"/>
      <c r="BG454" s="145"/>
    </row>
    <row r="455" ht="15.75" customHeight="1">
      <c r="A455" s="141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44"/>
      <c r="AO455" s="144"/>
      <c r="AP455" s="130"/>
      <c r="AQ455" s="130"/>
      <c r="AR455" s="130"/>
      <c r="AS455" s="130"/>
      <c r="AT455" s="130"/>
      <c r="AU455" s="130"/>
      <c r="AV455" s="130"/>
      <c r="AW455" s="130"/>
      <c r="AX455" s="129"/>
      <c r="AY455" s="129"/>
      <c r="AZ455" s="129"/>
      <c r="BA455" s="129"/>
      <c r="BB455" s="129"/>
      <c r="BC455" s="129"/>
      <c r="BD455" s="129"/>
      <c r="BE455" s="129"/>
      <c r="BF455" s="129"/>
      <c r="BG455" s="145"/>
    </row>
    <row r="456" ht="15.75" customHeight="1">
      <c r="A456" s="141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  <c r="AN456" s="144"/>
      <c r="AO456" s="144"/>
      <c r="AP456" s="130"/>
      <c r="AQ456" s="130"/>
      <c r="AR456" s="130"/>
      <c r="AS456" s="130"/>
      <c r="AT456" s="130"/>
      <c r="AU456" s="130"/>
      <c r="AV456" s="130"/>
      <c r="AW456" s="130"/>
      <c r="AX456" s="129"/>
      <c r="AY456" s="129"/>
      <c r="AZ456" s="129"/>
      <c r="BA456" s="129"/>
      <c r="BB456" s="129"/>
      <c r="BC456" s="129"/>
      <c r="BD456" s="129"/>
      <c r="BE456" s="129"/>
      <c r="BF456" s="129"/>
      <c r="BG456" s="145"/>
    </row>
    <row r="457" ht="15.75" customHeight="1">
      <c r="A457" s="141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  <c r="AN457" s="144"/>
      <c r="AO457" s="144"/>
      <c r="AP457" s="130"/>
      <c r="AQ457" s="130"/>
      <c r="AR457" s="130"/>
      <c r="AS457" s="130"/>
      <c r="AT457" s="130"/>
      <c r="AU457" s="130"/>
      <c r="AV457" s="130"/>
      <c r="AW457" s="130"/>
      <c r="AX457" s="129"/>
      <c r="AY457" s="129"/>
      <c r="AZ457" s="129"/>
      <c r="BA457" s="129"/>
      <c r="BB457" s="129"/>
      <c r="BC457" s="129"/>
      <c r="BD457" s="129"/>
      <c r="BE457" s="129"/>
      <c r="BF457" s="129"/>
      <c r="BG457" s="145"/>
    </row>
    <row r="458" ht="15.75" customHeight="1">
      <c r="A458" s="141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44"/>
      <c r="AO458" s="144"/>
      <c r="AP458" s="130"/>
      <c r="AQ458" s="130"/>
      <c r="AR458" s="130"/>
      <c r="AS458" s="130"/>
      <c r="AT458" s="130"/>
      <c r="AU458" s="130"/>
      <c r="AV458" s="130"/>
      <c r="AW458" s="130"/>
      <c r="AX458" s="129"/>
      <c r="AY458" s="129"/>
      <c r="AZ458" s="129"/>
      <c r="BA458" s="129"/>
      <c r="BB458" s="129"/>
      <c r="BC458" s="129"/>
      <c r="BD458" s="129"/>
      <c r="BE458" s="129"/>
      <c r="BF458" s="129"/>
      <c r="BG458" s="145"/>
    </row>
    <row r="459" ht="15.75" customHeight="1">
      <c r="A459" s="141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  <c r="AN459" s="144"/>
      <c r="AO459" s="144"/>
      <c r="AP459" s="130"/>
      <c r="AQ459" s="130"/>
      <c r="AR459" s="130"/>
      <c r="AS459" s="130"/>
      <c r="AT459" s="130"/>
      <c r="AU459" s="130"/>
      <c r="AV459" s="130"/>
      <c r="AW459" s="130"/>
      <c r="AX459" s="129"/>
      <c r="AY459" s="129"/>
      <c r="AZ459" s="129"/>
      <c r="BA459" s="129"/>
      <c r="BB459" s="129"/>
      <c r="BC459" s="129"/>
      <c r="BD459" s="129"/>
      <c r="BE459" s="129"/>
      <c r="BF459" s="129"/>
      <c r="BG459" s="145"/>
    </row>
    <row r="460" ht="15.75" customHeight="1">
      <c r="A460" s="141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  <c r="AN460" s="144"/>
      <c r="AO460" s="144"/>
      <c r="AP460" s="130"/>
      <c r="AQ460" s="130"/>
      <c r="AR460" s="130"/>
      <c r="AS460" s="130"/>
      <c r="AT460" s="130"/>
      <c r="AU460" s="130"/>
      <c r="AV460" s="130"/>
      <c r="AW460" s="130"/>
      <c r="AX460" s="129"/>
      <c r="AY460" s="129"/>
      <c r="AZ460" s="129"/>
      <c r="BA460" s="129"/>
      <c r="BB460" s="129"/>
      <c r="BC460" s="129"/>
      <c r="BD460" s="129"/>
      <c r="BE460" s="129"/>
      <c r="BF460" s="129"/>
      <c r="BG460" s="145"/>
    </row>
    <row r="461" ht="15.75" customHeight="1">
      <c r="A461" s="141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  <c r="AN461" s="144"/>
      <c r="AO461" s="144"/>
      <c r="AP461" s="130"/>
      <c r="AQ461" s="130"/>
      <c r="AR461" s="130"/>
      <c r="AS461" s="130"/>
      <c r="AT461" s="130"/>
      <c r="AU461" s="130"/>
      <c r="AV461" s="130"/>
      <c r="AW461" s="130"/>
      <c r="AX461" s="129"/>
      <c r="AY461" s="129"/>
      <c r="AZ461" s="129"/>
      <c r="BA461" s="129"/>
      <c r="BB461" s="129"/>
      <c r="BC461" s="129"/>
      <c r="BD461" s="129"/>
      <c r="BE461" s="129"/>
      <c r="BF461" s="129"/>
      <c r="BG461" s="145"/>
    </row>
    <row r="462" ht="15.75" customHeight="1">
      <c r="A462" s="141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44"/>
      <c r="AO462" s="144"/>
      <c r="AP462" s="130"/>
      <c r="AQ462" s="130"/>
      <c r="AR462" s="130"/>
      <c r="AS462" s="130"/>
      <c r="AT462" s="130"/>
      <c r="AU462" s="130"/>
      <c r="AV462" s="130"/>
      <c r="AW462" s="130"/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45"/>
    </row>
    <row r="463" ht="15.75" customHeight="1">
      <c r="A463" s="141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44"/>
      <c r="AO463" s="144"/>
      <c r="AP463" s="130"/>
      <c r="AQ463" s="130"/>
      <c r="AR463" s="130"/>
      <c r="AS463" s="130"/>
      <c r="AT463" s="130"/>
      <c r="AU463" s="130"/>
      <c r="AV463" s="130"/>
      <c r="AW463" s="130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45"/>
    </row>
    <row r="464" ht="15.75" customHeight="1">
      <c r="A464" s="141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  <c r="AN464" s="144"/>
      <c r="AO464" s="144"/>
      <c r="AP464" s="130"/>
      <c r="AQ464" s="130"/>
      <c r="AR464" s="130"/>
      <c r="AS464" s="130"/>
      <c r="AT464" s="130"/>
      <c r="AU464" s="130"/>
      <c r="AV464" s="130"/>
      <c r="AW464" s="130"/>
      <c r="AX464" s="129"/>
      <c r="AY464" s="129"/>
      <c r="AZ464" s="129"/>
      <c r="BA464" s="129"/>
      <c r="BB464" s="129"/>
      <c r="BC464" s="129"/>
      <c r="BD464" s="129"/>
      <c r="BE464" s="129"/>
      <c r="BF464" s="129"/>
      <c r="BG464" s="145"/>
    </row>
    <row r="465" ht="15.75" customHeight="1">
      <c r="A465" s="141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  <c r="AN465" s="144"/>
      <c r="AO465" s="144"/>
      <c r="AP465" s="130"/>
      <c r="AQ465" s="130"/>
      <c r="AR465" s="130"/>
      <c r="AS465" s="130"/>
      <c r="AT465" s="130"/>
      <c r="AU465" s="130"/>
      <c r="AV465" s="130"/>
      <c r="AW465" s="130"/>
      <c r="AX465" s="129"/>
      <c r="AY465" s="129"/>
      <c r="AZ465" s="129"/>
      <c r="BA465" s="129"/>
      <c r="BB465" s="129"/>
      <c r="BC465" s="129"/>
      <c r="BD465" s="129"/>
      <c r="BE465" s="129"/>
      <c r="BF465" s="129"/>
      <c r="BG465" s="145"/>
    </row>
    <row r="466" ht="15.75" customHeight="1">
      <c r="A466" s="141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44"/>
      <c r="AO466" s="144"/>
      <c r="AP466" s="130"/>
      <c r="AQ466" s="130"/>
      <c r="AR466" s="130"/>
      <c r="AS466" s="130"/>
      <c r="AT466" s="130"/>
      <c r="AU466" s="130"/>
      <c r="AV466" s="130"/>
      <c r="AW466" s="130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45"/>
    </row>
    <row r="467" ht="15.75" customHeight="1">
      <c r="A467" s="141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44"/>
      <c r="AO467" s="144"/>
      <c r="AP467" s="130"/>
      <c r="AQ467" s="130"/>
      <c r="AR467" s="130"/>
      <c r="AS467" s="130"/>
      <c r="AT467" s="130"/>
      <c r="AU467" s="130"/>
      <c r="AV467" s="130"/>
      <c r="AW467" s="130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45"/>
    </row>
    <row r="468" ht="15.75" customHeight="1">
      <c r="A468" s="141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44"/>
      <c r="AO468" s="144"/>
      <c r="AP468" s="130"/>
      <c r="AQ468" s="130"/>
      <c r="AR468" s="130"/>
      <c r="AS468" s="130"/>
      <c r="AT468" s="130"/>
      <c r="AU468" s="130"/>
      <c r="AV468" s="130"/>
      <c r="AW468" s="130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45"/>
    </row>
    <row r="469" ht="15.75" customHeight="1">
      <c r="A469" s="141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44"/>
      <c r="AO469" s="144"/>
      <c r="AP469" s="130"/>
      <c r="AQ469" s="130"/>
      <c r="AR469" s="130"/>
      <c r="AS469" s="130"/>
      <c r="AT469" s="130"/>
      <c r="AU469" s="130"/>
      <c r="AV469" s="130"/>
      <c r="AW469" s="130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45"/>
    </row>
    <row r="470" ht="15.75" customHeight="1">
      <c r="A470" s="141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44"/>
      <c r="AO470" s="144"/>
      <c r="AP470" s="130"/>
      <c r="AQ470" s="130"/>
      <c r="AR470" s="130"/>
      <c r="AS470" s="130"/>
      <c r="AT470" s="130"/>
      <c r="AU470" s="130"/>
      <c r="AV470" s="130"/>
      <c r="AW470" s="130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45"/>
    </row>
    <row r="471" ht="15.75" customHeight="1">
      <c r="A471" s="141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44"/>
      <c r="AO471" s="144"/>
      <c r="AP471" s="130"/>
      <c r="AQ471" s="130"/>
      <c r="AR471" s="130"/>
      <c r="AS471" s="130"/>
      <c r="AT471" s="130"/>
      <c r="AU471" s="130"/>
      <c r="AV471" s="130"/>
      <c r="AW471" s="130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45"/>
    </row>
    <row r="472" ht="15.75" customHeight="1">
      <c r="A472" s="141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44"/>
      <c r="AO472" s="144"/>
      <c r="AP472" s="130"/>
      <c r="AQ472" s="130"/>
      <c r="AR472" s="130"/>
      <c r="AS472" s="130"/>
      <c r="AT472" s="130"/>
      <c r="AU472" s="130"/>
      <c r="AV472" s="130"/>
      <c r="AW472" s="130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45"/>
    </row>
    <row r="473" ht="15.75" customHeight="1">
      <c r="A473" s="141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44"/>
      <c r="AO473" s="144"/>
      <c r="AP473" s="130"/>
      <c r="AQ473" s="130"/>
      <c r="AR473" s="130"/>
      <c r="AS473" s="130"/>
      <c r="AT473" s="130"/>
      <c r="AU473" s="130"/>
      <c r="AV473" s="130"/>
      <c r="AW473" s="130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45"/>
    </row>
    <row r="474" ht="15.75" customHeight="1">
      <c r="A474" s="141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44"/>
      <c r="AO474" s="144"/>
      <c r="AP474" s="130"/>
      <c r="AQ474" s="130"/>
      <c r="AR474" s="130"/>
      <c r="AS474" s="130"/>
      <c r="AT474" s="130"/>
      <c r="AU474" s="130"/>
      <c r="AV474" s="130"/>
      <c r="AW474" s="130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45"/>
    </row>
    <row r="475" ht="15.75" customHeight="1">
      <c r="A475" s="141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44"/>
      <c r="AO475" s="144"/>
      <c r="AP475" s="130"/>
      <c r="AQ475" s="130"/>
      <c r="AR475" s="130"/>
      <c r="AS475" s="130"/>
      <c r="AT475" s="130"/>
      <c r="AU475" s="130"/>
      <c r="AV475" s="130"/>
      <c r="AW475" s="130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45"/>
    </row>
    <row r="476" ht="15.75" customHeight="1">
      <c r="A476" s="141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  <c r="AN476" s="144"/>
      <c r="AO476" s="144"/>
      <c r="AP476" s="130"/>
      <c r="AQ476" s="130"/>
      <c r="AR476" s="130"/>
      <c r="AS476" s="130"/>
      <c r="AT476" s="130"/>
      <c r="AU476" s="130"/>
      <c r="AV476" s="130"/>
      <c r="AW476" s="130"/>
      <c r="AX476" s="129"/>
      <c r="AY476" s="129"/>
      <c r="AZ476" s="129"/>
      <c r="BA476" s="129"/>
      <c r="BB476" s="129"/>
      <c r="BC476" s="129"/>
      <c r="BD476" s="129"/>
      <c r="BE476" s="129"/>
      <c r="BF476" s="129"/>
      <c r="BG476" s="145"/>
    </row>
    <row r="477" ht="15.75" customHeight="1">
      <c r="A477" s="141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  <c r="AN477" s="144"/>
      <c r="AO477" s="144"/>
      <c r="AP477" s="130"/>
      <c r="AQ477" s="130"/>
      <c r="AR477" s="130"/>
      <c r="AS477" s="130"/>
      <c r="AT477" s="130"/>
      <c r="AU477" s="130"/>
      <c r="AV477" s="130"/>
      <c r="AW477" s="130"/>
      <c r="AX477" s="129"/>
      <c r="AY477" s="129"/>
      <c r="AZ477" s="129"/>
      <c r="BA477" s="129"/>
      <c r="BB477" s="129"/>
      <c r="BC477" s="129"/>
      <c r="BD477" s="129"/>
      <c r="BE477" s="129"/>
      <c r="BF477" s="129"/>
      <c r="BG477" s="145"/>
    </row>
    <row r="478" ht="15.75" customHeight="1">
      <c r="A478" s="141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  <c r="AN478" s="144"/>
      <c r="AO478" s="144"/>
      <c r="AP478" s="130"/>
      <c r="AQ478" s="130"/>
      <c r="AR478" s="130"/>
      <c r="AS478" s="130"/>
      <c r="AT478" s="130"/>
      <c r="AU478" s="130"/>
      <c r="AV478" s="130"/>
      <c r="AW478" s="130"/>
      <c r="AX478" s="129"/>
      <c r="AY478" s="129"/>
      <c r="AZ478" s="129"/>
      <c r="BA478" s="129"/>
      <c r="BB478" s="129"/>
      <c r="BC478" s="129"/>
      <c r="BD478" s="129"/>
      <c r="BE478" s="129"/>
      <c r="BF478" s="129"/>
      <c r="BG478" s="145"/>
    </row>
    <row r="479" ht="15.75" customHeight="1">
      <c r="A479" s="141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  <c r="AN479" s="144"/>
      <c r="AO479" s="144"/>
      <c r="AP479" s="130"/>
      <c r="AQ479" s="130"/>
      <c r="AR479" s="130"/>
      <c r="AS479" s="130"/>
      <c r="AT479" s="130"/>
      <c r="AU479" s="130"/>
      <c r="AV479" s="130"/>
      <c r="AW479" s="130"/>
      <c r="AX479" s="129"/>
      <c r="AY479" s="129"/>
      <c r="AZ479" s="129"/>
      <c r="BA479" s="129"/>
      <c r="BB479" s="129"/>
      <c r="BC479" s="129"/>
      <c r="BD479" s="129"/>
      <c r="BE479" s="129"/>
      <c r="BF479" s="129"/>
      <c r="BG479" s="145"/>
    </row>
    <row r="480" ht="15.75" customHeight="1">
      <c r="A480" s="141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  <c r="AN480" s="144"/>
      <c r="AO480" s="144"/>
      <c r="AP480" s="130"/>
      <c r="AQ480" s="130"/>
      <c r="AR480" s="130"/>
      <c r="AS480" s="130"/>
      <c r="AT480" s="130"/>
      <c r="AU480" s="130"/>
      <c r="AV480" s="130"/>
      <c r="AW480" s="130"/>
      <c r="AX480" s="129"/>
      <c r="AY480" s="129"/>
      <c r="AZ480" s="129"/>
      <c r="BA480" s="129"/>
      <c r="BB480" s="129"/>
      <c r="BC480" s="129"/>
      <c r="BD480" s="129"/>
      <c r="BE480" s="129"/>
      <c r="BF480" s="129"/>
      <c r="BG480" s="145"/>
    </row>
    <row r="481" ht="15.75" customHeight="1">
      <c r="A481" s="141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44"/>
      <c r="AO481" s="144"/>
      <c r="AP481" s="130"/>
      <c r="AQ481" s="130"/>
      <c r="AR481" s="130"/>
      <c r="AS481" s="130"/>
      <c r="AT481" s="130"/>
      <c r="AU481" s="130"/>
      <c r="AV481" s="130"/>
      <c r="AW481" s="130"/>
      <c r="AX481" s="129"/>
      <c r="AY481" s="129"/>
      <c r="AZ481" s="129"/>
      <c r="BA481" s="129"/>
      <c r="BB481" s="129"/>
      <c r="BC481" s="129"/>
      <c r="BD481" s="129"/>
      <c r="BE481" s="129"/>
      <c r="BF481" s="129"/>
      <c r="BG481" s="145"/>
    </row>
    <row r="482" ht="15.75" customHeight="1">
      <c r="A482" s="141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44"/>
      <c r="AO482" s="144"/>
      <c r="AP482" s="130"/>
      <c r="AQ482" s="130"/>
      <c r="AR482" s="130"/>
      <c r="AS482" s="130"/>
      <c r="AT482" s="130"/>
      <c r="AU482" s="130"/>
      <c r="AV482" s="130"/>
      <c r="AW482" s="130"/>
      <c r="AX482" s="129"/>
      <c r="AY482" s="129"/>
      <c r="AZ482" s="129"/>
      <c r="BA482" s="129"/>
      <c r="BB482" s="129"/>
      <c r="BC482" s="129"/>
      <c r="BD482" s="129"/>
      <c r="BE482" s="129"/>
      <c r="BF482" s="129"/>
      <c r="BG482" s="145"/>
    </row>
    <row r="483" ht="15.75" customHeight="1">
      <c r="A483" s="141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44"/>
      <c r="AO483" s="144"/>
      <c r="AP483" s="130"/>
      <c r="AQ483" s="130"/>
      <c r="AR483" s="130"/>
      <c r="AS483" s="130"/>
      <c r="AT483" s="130"/>
      <c r="AU483" s="130"/>
      <c r="AV483" s="130"/>
      <c r="AW483" s="130"/>
      <c r="AX483" s="129"/>
      <c r="AY483" s="129"/>
      <c r="AZ483" s="129"/>
      <c r="BA483" s="129"/>
      <c r="BB483" s="129"/>
      <c r="BC483" s="129"/>
      <c r="BD483" s="129"/>
      <c r="BE483" s="129"/>
      <c r="BF483" s="129"/>
      <c r="BG483" s="145"/>
    </row>
    <row r="484" ht="15.75" customHeight="1">
      <c r="A484" s="141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44"/>
      <c r="AO484" s="144"/>
      <c r="AP484" s="130"/>
      <c r="AQ484" s="130"/>
      <c r="AR484" s="130"/>
      <c r="AS484" s="130"/>
      <c r="AT484" s="130"/>
      <c r="AU484" s="130"/>
      <c r="AV484" s="130"/>
      <c r="AW484" s="130"/>
      <c r="AX484" s="129"/>
      <c r="AY484" s="129"/>
      <c r="AZ484" s="129"/>
      <c r="BA484" s="129"/>
      <c r="BB484" s="129"/>
      <c r="BC484" s="129"/>
      <c r="BD484" s="129"/>
      <c r="BE484" s="129"/>
      <c r="BF484" s="129"/>
      <c r="BG484" s="145"/>
    </row>
    <row r="485" ht="15.75" customHeight="1">
      <c r="A485" s="141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44"/>
      <c r="AO485" s="144"/>
      <c r="AP485" s="130"/>
      <c r="AQ485" s="130"/>
      <c r="AR485" s="130"/>
      <c r="AS485" s="130"/>
      <c r="AT485" s="130"/>
      <c r="AU485" s="130"/>
      <c r="AV485" s="130"/>
      <c r="AW485" s="130"/>
      <c r="AX485" s="129"/>
      <c r="AY485" s="129"/>
      <c r="AZ485" s="129"/>
      <c r="BA485" s="129"/>
      <c r="BB485" s="129"/>
      <c r="BC485" s="129"/>
      <c r="BD485" s="129"/>
      <c r="BE485" s="129"/>
      <c r="BF485" s="129"/>
      <c r="BG485" s="145"/>
    </row>
    <row r="486" ht="15.75" customHeight="1">
      <c r="A486" s="141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44"/>
      <c r="AO486" s="144"/>
      <c r="AP486" s="130"/>
      <c r="AQ486" s="130"/>
      <c r="AR486" s="130"/>
      <c r="AS486" s="130"/>
      <c r="AT486" s="130"/>
      <c r="AU486" s="130"/>
      <c r="AV486" s="130"/>
      <c r="AW486" s="130"/>
      <c r="AX486" s="129"/>
      <c r="AY486" s="129"/>
      <c r="AZ486" s="129"/>
      <c r="BA486" s="129"/>
      <c r="BB486" s="129"/>
      <c r="BC486" s="129"/>
      <c r="BD486" s="129"/>
      <c r="BE486" s="129"/>
      <c r="BF486" s="129"/>
      <c r="BG486" s="145"/>
    </row>
    <row r="487" ht="15.75" customHeight="1">
      <c r="A487" s="141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44"/>
      <c r="AO487" s="144"/>
      <c r="AP487" s="130"/>
      <c r="AQ487" s="130"/>
      <c r="AR487" s="130"/>
      <c r="AS487" s="130"/>
      <c r="AT487" s="130"/>
      <c r="AU487" s="130"/>
      <c r="AV487" s="130"/>
      <c r="AW487" s="130"/>
      <c r="AX487" s="129"/>
      <c r="AY487" s="129"/>
      <c r="AZ487" s="129"/>
      <c r="BA487" s="129"/>
      <c r="BB487" s="129"/>
      <c r="BC487" s="129"/>
      <c r="BD487" s="129"/>
      <c r="BE487" s="129"/>
      <c r="BF487" s="129"/>
      <c r="BG487" s="145"/>
    </row>
    <row r="488" ht="15.75" customHeight="1">
      <c r="A488" s="141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44"/>
      <c r="AO488" s="144"/>
      <c r="AP488" s="130"/>
      <c r="AQ488" s="130"/>
      <c r="AR488" s="130"/>
      <c r="AS488" s="130"/>
      <c r="AT488" s="130"/>
      <c r="AU488" s="130"/>
      <c r="AV488" s="130"/>
      <c r="AW488" s="130"/>
      <c r="AX488" s="129"/>
      <c r="AY488" s="129"/>
      <c r="AZ488" s="129"/>
      <c r="BA488" s="129"/>
      <c r="BB488" s="129"/>
      <c r="BC488" s="129"/>
      <c r="BD488" s="129"/>
      <c r="BE488" s="129"/>
      <c r="BF488" s="129"/>
      <c r="BG488" s="145"/>
    </row>
    <row r="489" ht="15.75" customHeight="1">
      <c r="A489" s="141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44"/>
      <c r="AO489" s="144"/>
      <c r="AP489" s="130"/>
      <c r="AQ489" s="130"/>
      <c r="AR489" s="130"/>
      <c r="AS489" s="130"/>
      <c r="AT489" s="130"/>
      <c r="AU489" s="130"/>
      <c r="AV489" s="130"/>
      <c r="AW489" s="130"/>
      <c r="AX489" s="129"/>
      <c r="AY489" s="129"/>
      <c r="AZ489" s="129"/>
      <c r="BA489" s="129"/>
      <c r="BB489" s="129"/>
      <c r="BC489" s="129"/>
      <c r="BD489" s="129"/>
      <c r="BE489" s="129"/>
      <c r="BF489" s="129"/>
      <c r="BG489" s="145"/>
    </row>
    <row r="490" ht="15.75" customHeight="1">
      <c r="A490" s="141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44"/>
      <c r="AO490" s="144"/>
      <c r="AP490" s="130"/>
      <c r="AQ490" s="130"/>
      <c r="AR490" s="130"/>
      <c r="AS490" s="130"/>
      <c r="AT490" s="130"/>
      <c r="AU490" s="130"/>
      <c r="AV490" s="130"/>
      <c r="AW490" s="130"/>
      <c r="AX490" s="129"/>
      <c r="AY490" s="129"/>
      <c r="AZ490" s="129"/>
      <c r="BA490" s="129"/>
      <c r="BB490" s="129"/>
      <c r="BC490" s="129"/>
      <c r="BD490" s="129"/>
      <c r="BE490" s="129"/>
      <c r="BF490" s="129"/>
      <c r="BG490" s="145"/>
    </row>
    <row r="491" ht="15.75" customHeight="1">
      <c r="A491" s="141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44"/>
      <c r="AO491" s="144"/>
      <c r="AP491" s="130"/>
      <c r="AQ491" s="130"/>
      <c r="AR491" s="130"/>
      <c r="AS491" s="130"/>
      <c r="AT491" s="130"/>
      <c r="AU491" s="130"/>
      <c r="AV491" s="130"/>
      <c r="AW491" s="130"/>
      <c r="AX491" s="129"/>
      <c r="AY491" s="129"/>
      <c r="AZ491" s="129"/>
      <c r="BA491" s="129"/>
      <c r="BB491" s="129"/>
      <c r="BC491" s="129"/>
      <c r="BD491" s="129"/>
      <c r="BE491" s="129"/>
      <c r="BF491" s="129"/>
      <c r="BG491" s="145"/>
    </row>
    <row r="492" ht="15.75" customHeight="1">
      <c r="A492" s="141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44"/>
      <c r="AO492" s="144"/>
      <c r="AP492" s="130"/>
      <c r="AQ492" s="130"/>
      <c r="AR492" s="130"/>
      <c r="AS492" s="130"/>
      <c r="AT492" s="130"/>
      <c r="AU492" s="130"/>
      <c r="AV492" s="130"/>
      <c r="AW492" s="130"/>
      <c r="AX492" s="129"/>
      <c r="AY492" s="129"/>
      <c r="AZ492" s="129"/>
      <c r="BA492" s="129"/>
      <c r="BB492" s="129"/>
      <c r="BC492" s="129"/>
      <c r="BD492" s="129"/>
      <c r="BE492" s="129"/>
      <c r="BF492" s="129"/>
      <c r="BG492" s="145"/>
    </row>
    <row r="493" ht="15.75" customHeight="1">
      <c r="A493" s="141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44"/>
      <c r="AO493" s="144"/>
      <c r="AP493" s="130"/>
      <c r="AQ493" s="130"/>
      <c r="AR493" s="130"/>
      <c r="AS493" s="130"/>
      <c r="AT493" s="130"/>
      <c r="AU493" s="130"/>
      <c r="AV493" s="130"/>
      <c r="AW493" s="130"/>
      <c r="AX493" s="129"/>
      <c r="AY493" s="129"/>
      <c r="AZ493" s="129"/>
      <c r="BA493" s="129"/>
      <c r="BB493" s="129"/>
      <c r="BC493" s="129"/>
      <c r="BD493" s="129"/>
      <c r="BE493" s="129"/>
      <c r="BF493" s="129"/>
      <c r="BG493" s="145"/>
    </row>
    <row r="494" ht="15.75" customHeight="1">
      <c r="A494" s="141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44"/>
      <c r="AO494" s="144"/>
      <c r="AP494" s="130"/>
      <c r="AQ494" s="130"/>
      <c r="AR494" s="130"/>
      <c r="AS494" s="130"/>
      <c r="AT494" s="130"/>
      <c r="AU494" s="130"/>
      <c r="AV494" s="130"/>
      <c r="AW494" s="130"/>
      <c r="AX494" s="129"/>
      <c r="AY494" s="129"/>
      <c r="AZ494" s="129"/>
      <c r="BA494" s="129"/>
      <c r="BB494" s="129"/>
      <c r="BC494" s="129"/>
      <c r="BD494" s="129"/>
      <c r="BE494" s="129"/>
      <c r="BF494" s="129"/>
      <c r="BG494" s="145"/>
    </row>
    <row r="495" ht="15.75" customHeight="1">
      <c r="A495" s="141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44"/>
      <c r="AO495" s="144"/>
      <c r="AP495" s="130"/>
      <c r="AQ495" s="130"/>
      <c r="AR495" s="130"/>
      <c r="AS495" s="130"/>
      <c r="AT495" s="130"/>
      <c r="AU495" s="130"/>
      <c r="AV495" s="130"/>
      <c r="AW495" s="130"/>
      <c r="AX495" s="129"/>
      <c r="AY495" s="129"/>
      <c r="AZ495" s="129"/>
      <c r="BA495" s="129"/>
      <c r="BB495" s="129"/>
      <c r="BC495" s="129"/>
      <c r="BD495" s="129"/>
      <c r="BE495" s="129"/>
      <c r="BF495" s="129"/>
      <c r="BG495" s="145"/>
    </row>
    <row r="496" ht="15.75" customHeight="1">
      <c r="A496" s="141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44"/>
      <c r="AO496" s="144"/>
      <c r="AP496" s="130"/>
      <c r="AQ496" s="130"/>
      <c r="AR496" s="130"/>
      <c r="AS496" s="130"/>
      <c r="AT496" s="130"/>
      <c r="AU496" s="130"/>
      <c r="AV496" s="130"/>
      <c r="AW496" s="130"/>
      <c r="AX496" s="129"/>
      <c r="AY496" s="129"/>
      <c r="AZ496" s="129"/>
      <c r="BA496" s="129"/>
      <c r="BB496" s="129"/>
      <c r="BC496" s="129"/>
      <c r="BD496" s="129"/>
      <c r="BE496" s="129"/>
      <c r="BF496" s="129"/>
      <c r="BG496" s="145"/>
    </row>
    <row r="497" ht="15.75" customHeight="1">
      <c r="A497" s="141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44"/>
      <c r="AO497" s="144"/>
      <c r="AP497" s="130"/>
      <c r="AQ497" s="130"/>
      <c r="AR497" s="130"/>
      <c r="AS497" s="130"/>
      <c r="AT497" s="130"/>
      <c r="AU497" s="130"/>
      <c r="AV497" s="130"/>
      <c r="AW497" s="130"/>
      <c r="AX497" s="129"/>
      <c r="AY497" s="129"/>
      <c r="AZ497" s="129"/>
      <c r="BA497" s="129"/>
      <c r="BB497" s="129"/>
      <c r="BC497" s="129"/>
      <c r="BD497" s="129"/>
      <c r="BE497" s="129"/>
      <c r="BF497" s="129"/>
      <c r="BG497" s="145"/>
    </row>
    <row r="498" ht="15.75" customHeight="1">
      <c r="A498" s="141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44"/>
      <c r="AO498" s="144"/>
      <c r="AP498" s="130"/>
      <c r="AQ498" s="130"/>
      <c r="AR498" s="130"/>
      <c r="AS498" s="130"/>
      <c r="AT498" s="130"/>
      <c r="AU498" s="130"/>
      <c r="AV498" s="130"/>
      <c r="AW498" s="130"/>
      <c r="AX498" s="129"/>
      <c r="AY498" s="129"/>
      <c r="AZ498" s="129"/>
      <c r="BA498" s="129"/>
      <c r="BB498" s="129"/>
      <c r="BC498" s="129"/>
      <c r="BD498" s="129"/>
      <c r="BE498" s="129"/>
      <c r="BF498" s="129"/>
      <c r="BG498" s="145"/>
    </row>
    <row r="499" ht="15.75" customHeight="1">
      <c r="A499" s="141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44"/>
      <c r="AO499" s="144"/>
      <c r="AP499" s="130"/>
      <c r="AQ499" s="130"/>
      <c r="AR499" s="130"/>
      <c r="AS499" s="130"/>
      <c r="AT499" s="130"/>
      <c r="AU499" s="130"/>
      <c r="AV499" s="130"/>
      <c r="AW499" s="130"/>
      <c r="AX499" s="129"/>
      <c r="AY499" s="129"/>
      <c r="AZ499" s="129"/>
      <c r="BA499" s="129"/>
      <c r="BB499" s="129"/>
      <c r="BC499" s="129"/>
      <c r="BD499" s="129"/>
      <c r="BE499" s="129"/>
      <c r="BF499" s="129"/>
      <c r="BG499" s="145"/>
    </row>
    <row r="500" ht="15.75" customHeight="1">
      <c r="A500" s="141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44"/>
      <c r="AO500" s="144"/>
      <c r="AP500" s="130"/>
      <c r="AQ500" s="130"/>
      <c r="AR500" s="130"/>
      <c r="AS500" s="130"/>
      <c r="AT500" s="130"/>
      <c r="AU500" s="130"/>
      <c r="AV500" s="130"/>
      <c r="AW500" s="130"/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45"/>
    </row>
    <row r="501" ht="15.75" customHeight="1">
      <c r="A501" s="141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44"/>
      <c r="AO501" s="144"/>
      <c r="AP501" s="130"/>
      <c r="AQ501" s="130"/>
      <c r="AR501" s="130"/>
      <c r="AS501" s="130"/>
      <c r="AT501" s="130"/>
      <c r="AU501" s="130"/>
      <c r="AV501" s="130"/>
      <c r="AW501" s="130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45"/>
    </row>
    <row r="502" ht="15.75" customHeight="1">
      <c r="A502" s="141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44"/>
      <c r="AO502" s="144"/>
      <c r="AP502" s="130"/>
      <c r="AQ502" s="130"/>
      <c r="AR502" s="130"/>
      <c r="AS502" s="130"/>
      <c r="AT502" s="130"/>
      <c r="AU502" s="130"/>
      <c r="AV502" s="130"/>
      <c r="AW502" s="130"/>
      <c r="AX502" s="129"/>
      <c r="AY502" s="129"/>
      <c r="AZ502" s="129"/>
      <c r="BA502" s="129"/>
      <c r="BB502" s="129"/>
      <c r="BC502" s="129"/>
      <c r="BD502" s="129"/>
      <c r="BE502" s="129"/>
      <c r="BF502" s="129"/>
      <c r="BG502" s="145"/>
    </row>
    <row r="503" ht="15.75" customHeight="1">
      <c r="A503" s="141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44"/>
      <c r="AO503" s="144"/>
      <c r="AP503" s="130"/>
      <c r="AQ503" s="130"/>
      <c r="AR503" s="130"/>
      <c r="AS503" s="130"/>
      <c r="AT503" s="130"/>
      <c r="AU503" s="130"/>
      <c r="AV503" s="130"/>
      <c r="AW503" s="130"/>
      <c r="AX503" s="129"/>
      <c r="AY503" s="129"/>
      <c r="AZ503" s="129"/>
      <c r="BA503" s="129"/>
      <c r="BB503" s="129"/>
      <c r="BC503" s="129"/>
      <c r="BD503" s="129"/>
      <c r="BE503" s="129"/>
      <c r="BF503" s="129"/>
      <c r="BG503" s="145"/>
    </row>
    <row r="504" ht="15.75" customHeight="1">
      <c r="A504" s="141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44"/>
      <c r="AO504" s="144"/>
      <c r="AP504" s="130"/>
      <c r="AQ504" s="130"/>
      <c r="AR504" s="130"/>
      <c r="AS504" s="130"/>
      <c r="AT504" s="130"/>
      <c r="AU504" s="130"/>
      <c r="AV504" s="130"/>
      <c r="AW504" s="130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45"/>
    </row>
    <row r="505" ht="15.75" customHeight="1">
      <c r="A505" s="141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44"/>
      <c r="AO505" s="144"/>
      <c r="AP505" s="130"/>
      <c r="AQ505" s="130"/>
      <c r="AR505" s="130"/>
      <c r="AS505" s="130"/>
      <c r="AT505" s="130"/>
      <c r="AU505" s="130"/>
      <c r="AV505" s="130"/>
      <c r="AW505" s="130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45"/>
    </row>
    <row r="506" ht="15.75" customHeight="1">
      <c r="A506" s="141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44"/>
      <c r="AO506" s="144"/>
      <c r="AP506" s="130"/>
      <c r="AQ506" s="130"/>
      <c r="AR506" s="130"/>
      <c r="AS506" s="130"/>
      <c r="AT506" s="130"/>
      <c r="AU506" s="130"/>
      <c r="AV506" s="130"/>
      <c r="AW506" s="130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45"/>
    </row>
    <row r="507" ht="15.75" customHeight="1">
      <c r="A507" s="141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44"/>
      <c r="AO507" s="144"/>
      <c r="AP507" s="130"/>
      <c r="AQ507" s="130"/>
      <c r="AR507" s="130"/>
      <c r="AS507" s="130"/>
      <c r="AT507" s="130"/>
      <c r="AU507" s="130"/>
      <c r="AV507" s="130"/>
      <c r="AW507" s="130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45"/>
    </row>
    <row r="508" ht="15.75" customHeight="1">
      <c r="A508" s="141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44"/>
      <c r="AO508" s="144"/>
      <c r="AP508" s="130"/>
      <c r="AQ508" s="130"/>
      <c r="AR508" s="130"/>
      <c r="AS508" s="130"/>
      <c r="AT508" s="130"/>
      <c r="AU508" s="130"/>
      <c r="AV508" s="130"/>
      <c r="AW508" s="130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45"/>
    </row>
    <row r="509" ht="15.75" customHeight="1">
      <c r="A509" s="141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44"/>
      <c r="AO509" s="144"/>
      <c r="AP509" s="130"/>
      <c r="AQ509" s="130"/>
      <c r="AR509" s="130"/>
      <c r="AS509" s="130"/>
      <c r="AT509" s="130"/>
      <c r="AU509" s="130"/>
      <c r="AV509" s="130"/>
      <c r="AW509" s="130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45"/>
    </row>
    <row r="510" ht="15.75" customHeight="1">
      <c r="A510" s="141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44"/>
      <c r="AO510" s="144"/>
      <c r="AP510" s="130"/>
      <c r="AQ510" s="130"/>
      <c r="AR510" s="130"/>
      <c r="AS510" s="130"/>
      <c r="AT510" s="130"/>
      <c r="AU510" s="130"/>
      <c r="AV510" s="130"/>
      <c r="AW510" s="130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45"/>
    </row>
    <row r="511" ht="15.75" customHeight="1">
      <c r="A511" s="141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44"/>
      <c r="AO511" s="144"/>
      <c r="AP511" s="130"/>
      <c r="AQ511" s="130"/>
      <c r="AR511" s="130"/>
      <c r="AS511" s="130"/>
      <c r="AT511" s="130"/>
      <c r="AU511" s="130"/>
      <c r="AV511" s="130"/>
      <c r="AW511" s="130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45"/>
    </row>
    <row r="512" ht="15.75" customHeight="1">
      <c r="A512" s="141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44"/>
      <c r="AO512" s="144"/>
      <c r="AP512" s="130"/>
      <c r="AQ512" s="130"/>
      <c r="AR512" s="130"/>
      <c r="AS512" s="130"/>
      <c r="AT512" s="130"/>
      <c r="AU512" s="130"/>
      <c r="AV512" s="130"/>
      <c r="AW512" s="130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45"/>
    </row>
    <row r="513" ht="15.75" customHeight="1">
      <c r="A513" s="141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44"/>
      <c r="AO513" s="144"/>
      <c r="AP513" s="130"/>
      <c r="AQ513" s="130"/>
      <c r="AR513" s="130"/>
      <c r="AS513" s="130"/>
      <c r="AT513" s="130"/>
      <c r="AU513" s="130"/>
      <c r="AV513" s="130"/>
      <c r="AW513" s="130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45"/>
    </row>
    <row r="514" ht="15.75" customHeight="1">
      <c r="A514" s="141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44"/>
      <c r="AO514" s="144"/>
      <c r="AP514" s="130"/>
      <c r="AQ514" s="130"/>
      <c r="AR514" s="130"/>
      <c r="AS514" s="130"/>
      <c r="AT514" s="130"/>
      <c r="AU514" s="130"/>
      <c r="AV514" s="130"/>
      <c r="AW514" s="130"/>
      <c r="AX514" s="129"/>
      <c r="AY514" s="129"/>
      <c r="AZ514" s="129"/>
      <c r="BA514" s="129"/>
      <c r="BB514" s="129"/>
      <c r="BC514" s="129"/>
      <c r="BD514" s="129"/>
      <c r="BE514" s="129"/>
      <c r="BF514" s="129"/>
      <c r="BG514" s="145"/>
    </row>
    <row r="515" ht="15.75" customHeight="1">
      <c r="A515" s="141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44"/>
      <c r="AO515" s="144"/>
      <c r="AP515" s="130"/>
      <c r="AQ515" s="130"/>
      <c r="AR515" s="130"/>
      <c r="AS515" s="130"/>
      <c r="AT515" s="130"/>
      <c r="AU515" s="130"/>
      <c r="AV515" s="130"/>
      <c r="AW515" s="130"/>
      <c r="AX515" s="129"/>
      <c r="AY515" s="129"/>
      <c r="AZ515" s="129"/>
      <c r="BA515" s="129"/>
      <c r="BB515" s="129"/>
      <c r="BC515" s="129"/>
      <c r="BD515" s="129"/>
      <c r="BE515" s="129"/>
      <c r="BF515" s="129"/>
      <c r="BG515" s="145"/>
    </row>
    <row r="516" ht="15.75" customHeight="1">
      <c r="A516" s="141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44"/>
      <c r="AO516" s="144"/>
      <c r="AP516" s="130"/>
      <c r="AQ516" s="130"/>
      <c r="AR516" s="130"/>
      <c r="AS516" s="130"/>
      <c r="AT516" s="130"/>
      <c r="AU516" s="130"/>
      <c r="AV516" s="130"/>
      <c r="AW516" s="130"/>
      <c r="AX516" s="129"/>
      <c r="AY516" s="129"/>
      <c r="AZ516" s="129"/>
      <c r="BA516" s="129"/>
      <c r="BB516" s="129"/>
      <c r="BC516" s="129"/>
      <c r="BD516" s="129"/>
      <c r="BE516" s="129"/>
      <c r="BF516" s="129"/>
      <c r="BG516" s="145"/>
    </row>
    <row r="517" ht="15.75" customHeight="1">
      <c r="A517" s="141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44"/>
      <c r="AO517" s="144"/>
      <c r="AP517" s="130"/>
      <c r="AQ517" s="130"/>
      <c r="AR517" s="130"/>
      <c r="AS517" s="130"/>
      <c r="AT517" s="130"/>
      <c r="AU517" s="130"/>
      <c r="AV517" s="130"/>
      <c r="AW517" s="130"/>
      <c r="AX517" s="129"/>
      <c r="AY517" s="129"/>
      <c r="AZ517" s="129"/>
      <c r="BA517" s="129"/>
      <c r="BB517" s="129"/>
      <c r="BC517" s="129"/>
      <c r="BD517" s="129"/>
      <c r="BE517" s="129"/>
      <c r="BF517" s="129"/>
      <c r="BG517" s="145"/>
    </row>
    <row r="518" ht="15.75" customHeight="1">
      <c r="A518" s="141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44"/>
      <c r="AO518" s="144"/>
      <c r="AP518" s="130"/>
      <c r="AQ518" s="130"/>
      <c r="AR518" s="130"/>
      <c r="AS518" s="130"/>
      <c r="AT518" s="130"/>
      <c r="AU518" s="130"/>
      <c r="AV518" s="130"/>
      <c r="AW518" s="130"/>
      <c r="AX518" s="129"/>
      <c r="AY518" s="129"/>
      <c r="AZ518" s="129"/>
      <c r="BA518" s="129"/>
      <c r="BB518" s="129"/>
      <c r="BC518" s="129"/>
      <c r="BD518" s="129"/>
      <c r="BE518" s="129"/>
      <c r="BF518" s="129"/>
      <c r="BG518" s="145"/>
    </row>
    <row r="519" ht="15.75" customHeight="1">
      <c r="A519" s="141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44"/>
      <c r="AO519" s="144"/>
      <c r="AP519" s="130"/>
      <c r="AQ519" s="130"/>
      <c r="AR519" s="130"/>
      <c r="AS519" s="130"/>
      <c r="AT519" s="130"/>
      <c r="AU519" s="130"/>
      <c r="AV519" s="130"/>
      <c r="AW519" s="130"/>
      <c r="AX519" s="129"/>
      <c r="AY519" s="129"/>
      <c r="AZ519" s="129"/>
      <c r="BA519" s="129"/>
      <c r="BB519" s="129"/>
      <c r="BC519" s="129"/>
      <c r="BD519" s="129"/>
      <c r="BE519" s="129"/>
      <c r="BF519" s="129"/>
      <c r="BG519" s="145"/>
    </row>
    <row r="520" ht="15.75" customHeight="1">
      <c r="A520" s="141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44"/>
      <c r="AO520" s="144"/>
      <c r="AP520" s="130"/>
      <c r="AQ520" s="130"/>
      <c r="AR520" s="130"/>
      <c r="AS520" s="130"/>
      <c r="AT520" s="130"/>
      <c r="AU520" s="130"/>
      <c r="AV520" s="130"/>
      <c r="AW520" s="130"/>
      <c r="AX520" s="129"/>
      <c r="AY520" s="129"/>
      <c r="AZ520" s="129"/>
      <c r="BA520" s="129"/>
      <c r="BB520" s="129"/>
      <c r="BC520" s="129"/>
      <c r="BD520" s="129"/>
      <c r="BE520" s="129"/>
      <c r="BF520" s="129"/>
      <c r="BG520" s="145"/>
    </row>
    <row r="521" ht="15.75" customHeight="1">
      <c r="A521" s="141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44"/>
      <c r="AO521" s="144"/>
      <c r="AP521" s="130"/>
      <c r="AQ521" s="130"/>
      <c r="AR521" s="130"/>
      <c r="AS521" s="130"/>
      <c r="AT521" s="130"/>
      <c r="AU521" s="130"/>
      <c r="AV521" s="130"/>
      <c r="AW521" s="130"/>
      <c r="AX521" s="129"/>
      <c r="AY521" s="129"/>
      <c r="AZ521" s="129"/>
      <c r="BA521" s="129"/>
      <c r="BB521" s="129"/>
      <c r="BC521" s="129"/>
      <c r="BD521" s="129"/>
      <c r="BE521" s="129"/>
      <c r="BF521" s="129"/>
      <c r="BG521" s="145"/>
    </row>
    <row r="522" ht="15.75" customHeight="1">
      <c r="A522" s="141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44"/>
      <c r="AO522" s="144"/>
      <c r="AP522" s="130"/>
      <c r="AQ522" s="130"/>
      <c r="AR522" s="130"/>
      <c r="AS522" s="130"/>
      <c r="AT522" s="130"/>
      <c r="AU522" s="130"/>
      <c r="AV522" s="130"/>
      <c r="AW522" s="130"/>
      <c r="AX522" s="129"/>
      <c r="AY522" s="129"/>
      <c r="AZ522" s="129"/>
      <c r="BA522" s="129"/>
      <c r="BB522" s="129"/>
      <c r="BC522" s="129"/>
      <c r="BD522" s="129"/>
      <c r="BE522" s="129"/>
      <c r="BF522" s="129"/>
      <c r="BG522" s="145"/>
    </row>
    <row r="523" ht="15.75" customHeight="1">
      <c r="A523" s="141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44"/>
      <c r="AO523" s="144"/>
      <c r="AP523" s="130"/>
      <c r="AQ523" s="130"/>
      <c r="AR523" s="130"/>
      <c r="AS523" s="130"/>
      <c r="AT523" s="130"/>
      <c r="AU523" s="130"/>
      <c r="AV523" s="130"/>
      <c r="AW523" s="130"/>
      <c r="AX523" s="129"/>
      <c r="AY523" s="129"/>
      <c r="AZ523" s="129"/>
      <c r="BA523" s="129"/>
      <c r="BB523" s="129"/>
      <c r="BC523" s="129"/>
      <c r="BD523" s="129"/>
      <c r="BE523" s="129"/>
      <c r="BF523" s="129"/>
      <c r="BG523" s="145"/>
    </row>
    <row r="524" ht="15.75" customHeight="1">
      <c r="A524" s="141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44"/>
      <c r="AO524" s="144"/>
      <c r="AP524" s="130"/>
      <c r="AQ524" s="130"/>
      <c r="AR524" s="130"/>
      <c r="AS524" s="130"/>
      <c r="AT524" s="130"/>
      <c r="AU524" s="130"/>
      <c r="AV524" s="130"/>
      <c r="AW524" s="130"/>
      <c r="AX524" s="129"/>
      <c r="AY524" s="129"/>
      <c r="AZ524" s="129"/>
      <c r="BA524" s="129"/>
      <c r="BB524" s="129"/>
      <c r="BC524" s="129"/>
      <c r="BD524" s="129"/>
      <c r="BE524" s="129"/>
      <c r="BF524" s="129"/>
      <c r="BG524" s="145"/>
    </row>
    <row r="525" ht="15.75" customHeight="1">
      <c r="A525" s="141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44"/>
      <c r="AO525" s="144"/>
      <c r="AP525" s="130"/>
      <c r="AQ525" s="130"/>
      <c r="AR525" s="130"/>
      <c r="AS525" s="130"/>
      <c r="AT525" s="130"/>
      <c r="AU525" s="130"/>
      <c r="AV525" s="130"/>
      <c r="AW525" s="130"/>
      <c r="AX525" s="129"/>
      <c r="AY525" s="129"/>
      <c r="AZ525" s="129"/>
      <c r="BA525" s="129"/>
      <c r="BB525" s="129"/>
      <c r="BC525" s="129"/>
      <c r="BD525" s="129"/>
      <c r="BE525" s="129"/>
      <c r="BF525" s="129"/>
      <c r="BG525" s="145"/>
    </row>
    <row r="526" ht="15.75" customHeight="1">
      <c r="A526" s="141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44"/>
      <c r="AO526" s="144"/>
      <c r="AP526" s="130"/>
      <c r="AQ526" s="130"/>
      <c r="AR526" s="130"/>
      <c r="AS526" s="130"/>
      <c r="AT526" s="130"/>
      <c r="AU526" s="130"/>
      <c r="AV526" s="130"/>
      <c r="AW526" s="130"/>
      <c r="AX526" s="129"/>
      <c r="AY526" s="129"/>
      <c r="AZ526" s="129"/>
      <c r="BA526" s="129"/>
      <c r="BB526" s="129"/>
      <c r="BC526" s="129"/>
      <c r="BD526" s="129"/>
      <c r="BE526" s="129"/>
      <c r="BF526" s="129"/>
      <c r="BG526" s="145"/>
    </row>
    <row r="527" ht="15.75" customHeight="1">
      <c r="A527" s="141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44"/>
      <c r="AO527" s="144"/>
      <c r="AP527" s="130"/>
      <c r="AQ527" s="130"/>
      <c r="AR527" s="130"/>
      <c r="AS527" s="130"/>
      <c r="AT527" s="130"/>
      <c r="AU527" s="130"/>
      <c r="AV527" s="130"/>
      <c r="AW527" s="130"/>
      <c r="AX527" s="129"/>
      <c r="AY527" s="129"/>
      <c r="AZ527" s="129"/>
      <c r="BA527" s="129"/>
      <c r="BB527" s="129"/>
      <c r="BC527" s="129"/>
      <c r="BD527" s="129"/>
      <c r="BE527" s="129"/>
      <c r="BF527" s="129"/>
      <c r="BG527" s="145"/>
    </row>
    <row r="528" ht="15.75" customHeight="1">
      <c r="A528" s="141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44"/>
      <c r="AO528" s="144"/>
      <c r="AP528" s="130"/>
      <c r="AQ528" s="130"/>
      <c r="AR528" s="130"/>
      <c r="AS528" s="130"/>
      <c r="AT528" s="130"/>
      <c r="AU528" s="130"/>
      <c r="AV528" s="130"/>
      <c r="AW528" s="130"/>
      <c r="AX528" s="129"/>
      <c r="AY528" s="129"/>
      <c r="AZ528" s="129"/>
      <c r="BA528" s="129"/>
      <c r="BB528" s="129"/>
      <c r="BC528" s="129"/>
      <c r="BD528" s="129"/>
      <c r="BE528" s="129"/>
      <c r="BF528" s="129"/>
      <c r="BG528" s="145"/>
    </row>
    <row r="529" ht="15.75" customHeight="1">
      <c r="A529" s="141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44"/>
      <c r="AO529" s="144"/>
      <c r="AP529" s="130"/>
      <c r="AQ529" s="130"/>
      <c r="AR529" s="130"/>
      <c r="AS529" s="130"/>
      <c r="AT529" s="130"/>
      <c r="AU529" s="130"/>
      <c r="AV529" s="130"/>
      <c r="AW529" s="130"/>
      <c r="AX529" s="129"/>
      <c r="AY529" s="129"/>
      <c r="AZ529" s="129"/>
      <c r="BA529" s="129"/>
      <c r="BB529" s="129"/>
      <c r="BC529" s="129"/>
      <c r="BD529" s="129"/>
      <c r="BE529" s="129"/>
      <c r="BF529" s="129"/>
      <c r="BG529" s="145"/>
    </row>
    <row r="530" ht="15.75" customHeight="1">
      <c r="A530" s="141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44"/>
      <c r="AO530" s="144"/>
      <c r="AP530" s="130"/>
      <c r="AQ530" s="130"/>
      <c r="AR530" s="130"/>
      <c r="AS530" s="130"/>
      <c r="AT530" s="130"/>
      <c r="AU530" s="130"/>
      <c r="AV530" s="130"/>
      <c r="AW530" s="130"/>
      <c r="AX530" s="129"/>
      <c r="AY530" s="129"/>
      <c r="AZ530" s="129"/>
      <c r="BA530" s="129"/>
      <c r="BB530" s="129"/>
      <c r="BC530" s="129"/>
      <c r="BD530" s="129"/>
      <c r="BE530" s="129"/>
      <c r="BF530" s="129"/>
      <c r="BG530" s="145"/>
    </row>
    <row r="531" ht="15.75" customHeight="1">
      <c r="A531" s="141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44"/>
      <c r="AO531" s="144"/>
      <c r="AP531" s="130"/>
      <c r="AQ531" s="130"/>
      <c r="AR531" s="130"/>
      <c r="AS531" s="130"/>
      <c r="AT531" s="130"/>
      <c r="AU531" s="130"/>
      <c r="AV531" s="130"/>
      <c r="AW531" s="130"/>
      <c r="AX531" s="129"/>
      <c r="AY531" s="129"/>
      <c r="AZ531" s="129"/>
      <c r="BA531" s="129"/>
      <c r="BB531" s="129"/>
      <c r="BC531" s="129"/>
      <c r="BD531" s="129"/>
      <c r="BE531" s="129"/>
      <c r="BF531" s="129"/>
      <c r="BG531" s="145"/>
    </row>
    <row r="532" ht="15.75" customHeight="1">
      <c r="A532" s="141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44"/>
      <c r="AO532" s="144"/>
      <c r="AP532" s="130"/>
      <c r="AQ532" s="130"/>
      <c r="AR532" s="130"/>
      <c r="AS532" s="130"/>
      <c r="AT532" s="130"/>
      <c r="AU532" s="130"/>
      <c r="AV532" s="130"/>
      <c r="AW532" s="130"/>
      <c r="AX532" s="129"/>
      <c r="AY532" s="129"/>
      <c r="AZ532" s="129"/>
      <c r="BA532" s="129"/>
      <c r="BB532" s="129"/>
      <c r="BC532" s="129"/>
      <c r="BD532" s="129"/>
      <c r="BE532" s="129"/>
      <c r="BF532" s="129"/>
      <c r="BG532" s="145"/>
    </row>
    <row r="533" ht="15.75" customHeight="1">
      <c r="A533" s="141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44"/>
      <c r="AO533" s="144"/>
      <c r="AP533" s="130"/>
      <c r="AQ533" s="130"/>
      <c r="AR533" s="130"/>
      <c r="AS533" s="130"/>
      <c r="AT533" s="130"/>
      <c r="AU533" s="130"/>
      <c r="AV533" s="130"/>
      <c r="AW533" s="130"/>
      <c r="AX533" s="129"/>
      <c r="AY533" s="129"/>
      <c r="AZ533" s="129"/>
      <c r="BA533" s="129"/>
      <c r="BB533" s="129"/>
      <c r="BC533" s="129"/>
      <c r="BD533" s="129"/>
      <c r="BE533" s="129"/>
      <c r="BF533" s="129"/>
      <c r="BG533" s="145"/>
    </row>
    <row r="534" ht="15.75" customHeight="1">
      <c r="A534" s="141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44"/>
      <c r="AO534" s="144"/>
      <c r="AP534" s="130"/>
      <c r="AQ534" s="130"/>
      <c r="AR534" s="130"/>
      <c r="AS534" s="130"/>
      <c r="AT534" s="130"/>
      <c r="AU534" s="130"/>
      <c r="AV534" s="130"/>
      <c r="AW534" s="130"/>
      <c r="AX534" s="129"/>
      <c r="AY534" s="129"/>
      <c r="AZ534" s="129"/>
      <c r="BA534" s="129"/>
      <c r="BB534" s="129"/>
      <c r="BC534" s="129"/>
      <c r="BD534" s="129"/>
      <c r="BE534" s="129"/>
      <c r="BF534" s="129"/>
      <c r="BG534" s="145"/>
    </row>
    <row r="535" ht="15.75" customHeight="1">
      <c r="A535" s="141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44"/>
      <c r="AO535" s="144"/>
      <c r="AP535" s="130"/>
      <c r="AQ535" s="130"/>
      <c r="AR535" s="130"/>
      <c r="AS535" s="130"/>
      <c r="AT535" s="130"/>
      <c r="AU535" s="130"/>
      <c r="AV535" s="130"/>
      <c r="AW535" s="130"/>
      <c r="AX535" s="129"/>
      <c r="AY535" s="129"/>
      <c r="AZ535" s="129"/>
      <c r="BA535" s="129"/>
      <c r="BB535" s="129"/>
      <c r="BC535" s="129"/>
      <c r="BD535" s="129"/>
      <c r="BE535" s="129"/>
      <c r="BF535" s="129"/>
      <c r="BG535" s="145"/>
    </row>
    <row r="536" ht="15.75" customHeight="1">
      <c r="A536" s="141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44"/>
      <c r="AO536" s="144"/>
      <c r="AP536" s="130"/>
      <c r="AQ536" s="130"/>
      <c r="AR536" s="130"/>
      <c r="AS536" s="130"/>
      <c r="AT536" s="130"/>
      <c r="AU536" s="130"/>
      <c r="AV536" s="130"/>
      <c r="AW536" s="130"/>
      <c r="AX536" s="129"/>
      <c r="AY536" s="129"/>
      <c r="AZ536" s="129"/>
      <c r="BA536" s="129"/>
      <c r="BB536" s="129"/>
      <c r="BC536" s="129"/>
      <c r="BD536" s="129"/>
      <c r="BE536" s="129"/>
      <c r="BF536" s="129"/>
      <c r="BG536" s="145"/>
    </row>
    <row r="537" ht="15.75" customHeight="1">
      <c r="A537" s="141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44"/>
      <c r="AO537" s="144"/>
      <c r="AP537" s="130"/>
      <c r="AQ537" s="130"/>
      <c r="AR537" s="130"/>
      <c r="AS537" s="130"/>
      <c r="AT537" s="130"/>
      <c r="AU537" s="130"/>
      <c r="AV537" s="130"/>
      <c r="AW537" s="130"/>
      <c r="AX537" s="129"/>
      <c r="AY537" s="129"/>
      <c r="AZ537" s="129"/>
      <c r="BA537" s="129"/>
      <c r="BB537" s="129"/>
      <c r="BC537" s="129"/>
      <c r="BD537" s="129"/>
      <c r="BE537" s="129"/>
      <c r="BF537" s="129"/>
      <c r="BG537" s="145"/>
    </row>
    <row r="538" ht="15.75" customHeight="1">
      <c r="A538" s="141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44"/>
      <c r="AO538" s="144"/>
      <c r="AP538" s="130"/>
      <c r="AQ538" s="130"/>
      <c r="AR538" s="130"/>
      <c r="AS538" s="130"/>
      <c r="AT538" s="130"/>
      <c r="AU538" s="130"/>
      <c r="AV538" s="130"/>
      <c r="AW538" s="130"/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45"/>
    </row>
    <row r="539" ht="15.75" customHeight="1">
      <c r="A539" s="141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44"/>
      <c r="AO539" s="144"/>
      <c r="AP539" s="130"/>
      <c r="AQ539" s="130"/>
      <c r="AR539" s="130"/>
      <c r="AS539" s="130"/>
      <c r="AT539" s="130"/>
      <c r="AU539" s="130"/>
      <c r="AV539" s="130"/>
      <c r="AW539" s="130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45"/>
    </row>
    <row r="540" ht="15.75" customHeight="1">
      <c r="A540" s="141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44"/>
      <c r="AO540" s="144"/>
      <c r="AP540" s="130"/>
      <c r="AQ540" s="130"/>
      <c r="AR540" s="130"/>
      <c r="AS540" s="130"/>
      <c r="AT540" s="130"/>
      <c r="AU540" s="130"/>
      <c r="AV540" s="130"/>
      <c r="AW540" s="130"/>
      <c r="AX540" s="129"/>
      <c r="AY540" s="129"/>
      <c r="AZ540" s="129"/>
      <c r="BA540" s="129"/>
      <c r="BB540" s="129"/>
      <c r="BC540" s="129"/>
      <c r="BD540" s="129"/>
      <c r="BE540" s="129"/>
      <c r="BF540" s="129"/>
      <c r="BG540" s="145"/>
    </row>
    <row r="541" ht="15.75" customHeight="1">
      <c r="A541" s="141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44"/>
      <c r="AO541" s="144"/>
      <c r="AP541" s="130"/>
      <c r="AQ541" s="130"/>
      <c r="AR541" s="130"/>
      <c r="AS541" s="130"/>
      <c r="AT541" s="130"/>
      <c r="AU541" s="130"/>
      <c r="AV541" s="130"/>
      <c r="AW541" s="130"/>
      <c r="AX541" s="129"/>
      <c r="AY541" s="129"/>
      <c r="AZ541" s="129"/>
      <c r="BA541" s="129"/>
      <c r="BB541" s="129"/>
      <c r="BC541" s="129"/>
      <c r="BD541" s="129"/>
      <c r="BE541" s="129"/>
      <c r="BF541" s="129"/>
      <c r="BG541" s="145"/>
    </row>
    <row r="542" ht="15.75" customHeight="1">
      <c r="A542" s="141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44"/>
      <c r="AO542" s="144"/>
      <c r="AP542" s="130"/>
      <c r="AQ542" s="130"/>
      <c r="AR542" s="130"/>
      <c r="AS542" s="130"/>
      <c r="AT542" s="130"/>
      <c r="AU542" s="130"/>
      <c r="AV542" s="130"/>
      <c r="AW542" s="130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45"/>
    </row>
    <row r="543" ht="15.75" customHeight="1">
      <c r="A543" s="141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44"/>
      <c r="AO543" s="144"/>
      <c r="AP543" s="130"/>
      <c r="AQ543" s="130"/>
      <c r="AR543" s="130"/>
      <c r="AS543" s="130"/>
      <c r="AT543" s="130"/>
      <c r="AU543" s="130"/>
      <c r="AV543" s="130"/>
      <c r="AW543" s="130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45"/>
    </row>
    <row r="544" ht="15.75" customHeight="1">
      <c r="A544" s="141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44"/>
      <c r="AO544" s="144"/>
      <c r="AP544" s="130"/>
      <c r="AQ544" s="130"/>
      <c r="AR544" s="130"/>
      <c r="AS544" s="130"/>
      <c r="AT544" s="130"/>
      <c r="AU544" s="130"/>
      <c r="AV544" s="130"/>
      <c r="AW544" s="130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45"/>
    </row>
    <row r="545" ht="15.75" customHeight="1">
      <c r="A545" s="141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44"/>
      <c r="AO545" s="144"/>
      <c r="AP545" s="130"/>
      <c r="AQ545" s="130"/>
      <c r="AR545" s="130"/>
      <c r="AS545" s="130"/>
      <c r="AT545" s="130"/>
      <c r="AU545" s="130"/>
      <c r="AV545" s="130"/>
      <c r="AW545" s="130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45"/>
    </row>
    <row r="546" ht="15.75" customHeight="1">
      <c r="A546" s="141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44"/>
      <c r="AO546" s="144"/>
      <c r="AP546" s="130"/>
      <c r="AQ546" s="130"/>
      <c r="AR546" s="130"/>
      <c r="AS546" s="130"/>
      <c r="AT546" s="130"/>
      <c r="AU546" s="130"/>
      <c r="AV546" s="130"/>
      <c r="AW546" s="130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45"/>
    </row>
    <row r="547" ht="15.75" customHeight="1">
      <c r="A547" s="141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44"/>
      <c r="AO547" s="144"/>
      <c r="AP547" s="130"/>
      <c r="AQ547" s="130"/>
      <c r="AR547" s="130"/>
      <c r="AS547" s="130"/>
      <c r="AT547" s="130"/>
      <c r="AU547" s="130"/>
      <c r="AV547" s="130"/>
      <c r="AW547" s="130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45"/>
    </row>
    <row r="548" ht="15.75" customHeight="1">
      <c r="A548" s="141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44"/>
      <c r="AO548" s="144"/>
      <c r="AP548" s="130"/>
      <c r="AQ548" s="130"/>
      <c r="AR548" s="130"/>
      <c r="AS548" s="130"/>
      <c r="AT548" s="130"/>
      <c r="AU548" s="130"/>
      <c r="AV548" s="130"/>
      <c r="AW548" s="130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45"/>
    </row>
    <row r="549" ht="15.75" customHeight="1">
      <c r="A549" s="141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44"/>
      <c r="AO549" s="144"/>
      <c r="AP549" s="130"/>
      <c r="AQ549" s="130"/>
      <c r="AR549" s="130"/>
      <c r="AS549" s="130"/>
      <c r="AT549" s="130"/>
      <c r="AU549" s="130"/>
      <c r="AV549" s="130"/>
      <c r="AW549" s="130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45"/>
    </row>
    <row r="550" ht="15.75" customHeight="1">
      <c r="A550" s="141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44"/>
      <c r="AO550" s="144"/>
      <c r="AP550" s="130"/>
      <c r="AQ550" s="130"/>
      <c r="AR550" s="130"/>
      <c r="AS550" s="130"/>
      <c r="AT550" s="130"/>
      <c r="AU550" s="130"/>
      <c r="AV550" s="130"/>
      <c r="AW550" s="130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45"/>
    </row>
    <row r="551" ht="15.75" customHeight="1">
      <c r="A551" s="141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44"/>
      <c r="AO551" s="144"/>
      <c r="AP551" s="130"/>
      <c r="AQ551" s="130"/>
      <c r="AR551" s="130"/>
      <c r="AS551" s="130"/>
      <c r="AT551" s="130"/>
      <c r="AU551" s="130"/>
      <c r="AV551" s="130"/>
      <c r="AW551" s="130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45"/>
    </row>
    <row r="552" ht="15.75" customHeight="1">
      <c r="A552" s="141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44"/>
      <c r="AO552" s="144"/>
      <c r="AP552" s="130"/>
      <c r="AQ552" s="130"/>
      <c r="AR552" s="130"/>
      <c r="AS552" s="130"/>
      <c r="AT552" s="130"/>
      <c r="AU552" s="130"/>
      <c r="AV552" s="130"/>
      <c r="AW552" s="130"/>
      <c r="AX552" s="129"/>
      <c r="AY552" s="129"/>
      <c r="AZ552" s="129"/>
      <c r="BA552" s="129"/>
      <c r="BB552" s="129"/>
      <c r="BC552" s="129"/>
      <c r="BD552" s="129"/>
      <c r="BE552" s="129"/>
      <c r="BF552" s="129"/>
      <c r="BG552" s="145"/>
    </row>
    <row r="553" ht="15.75" customHeight="1">
      <c r="A553" s="141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44"/>
      <c r="AO553" s="144"/>
      <c r="AP553" s="130"/>
      <c r="AQ553" s="130"/>
      <c r="AR553" s="130"/>
      <c r="AS553" s="130"/>
      <c r="AT553" s="130"/>
      <c r="AU553" s="130"/>
      <c r="AV553" s="130"/>
      <c r="AW553" s="130"/>
      <c r="AX553" s="129"/>
      <c r="AY553" s="129"/>
      <c r="AZ553" s="129"/>
      <c r="BA553" s="129"/>
      <c r="BB553" s="129"/>
      <c r="BC553" s="129"/>
      <c r="BD553" s="129"/>
      <c r="BE553" s="129"/>
      <c r="BF553" s="129"/>
      <c r="BG553" s="145"/>
    </row>
    <row r="554" ht="15.75" customHeight="1">
      <c r="A554" s="141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44"/>
      <c r="AO554" s="144"/>
      <c r="AP554" s="130"/>
      <c r="AQ554" s="130"/>
      <c r="AR554" s="130"/>
      <c r="AS554" s="130"/>
      <c r="AT554" s="130"/>
      <c r="AU554" s="130"/>
      <c r="AV554" s="130"/>
      <c r="AW554" s="130"/>
      <c r="AX554" s="129"/>
      <c r="AY554" s="129"/>
      <c r="AZ554" s="129"/>
      <c r="BA554" s="129"/>
      <c r="BB554" s="129"/>
      <c r="BC554" s="129"/>
      <c r="BD554" s="129"/>
      <c r="BE554" s="129"/>
      <c r="BF554" s="129"/>
      <c r="BG554" s="145"/>
    </row>
    <row r="555" ht="15.75" customHeight="1">
      <c r="A555" s="141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44"/>
      <c r="AO555" s="144"/>
      <c r="AP555" s="130"/>
      <c r="AQ555" s="130"/>
      <c r="AR555" s="130"/>
      <c r="AS555" s="130"/>
      <c r="AT555" s="130"/>
      <c r="AU555" s="130"/>
      <c r="AV555" s="130"/>
      <c r="AW555" s="130"/>
      <c r="AX555" s="129"/>
      <c r="AY555" s="129"/>
      <c r="AZ555" s="129"/>
      <c r="BA555" s="129"/>
      <c r="BB555" s="129"/>
      <c r="BC555" s="129"/>
      <c r="BD555" s="129"/>
      <c r="BE555" s="129"/>
      <c r="BF555" s="129"/>
      <c r="BG555" s="145"/>
    </row>
    <row r="556" ht="15.75" customHeight="1">
      <c r="A556" s="141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44"/>
      <c r="AO556" s="144"/>
      <c r="AP556" s="130"/>
      <c r="AQ556" s="130"/>
      <c r="AR556" s="130"/>
      <c r="AS556" s="130"/>
      <c r="AT556" s="130"/>
      <c r="AU556" s="130"/>
      <c r="AV556" s="130"/>
      <c r="AW556" s="130"/>
      <c r="AX556" s="129"/>
      <c r="AY556" s="129"/>
      <c r="AZ556" s="129"/>
      <c r="BA556" s="129"/>
      <c r="BB556" s="129"/>
      <c r="BC556" s="129"/>
      <c r="BD556" s="129"/>
      <c r="BE556" s="129"/>
      <c r="BF556" s="129"/>
      <c r="BG556" s="145"/>
    </row>
    <row r="557" ht="15.75" customHeight="1">
      <c r="A557" s="141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44"/>
      <c r="AO557" s="144"/>
      <c r="AP557" s="130"/>
      <c r="AQ557" s="130"/>
      <c r="AR557" s="130"/>
      <c r="AS557" s="130"/>
      <c r="AT557" s="130"/>
      <c r="AU557" s="130"/>
      <c r="AV557" s="130"/>
      <c r="AW557" s="130"/>
      <c r="AX557" s="129"/>
      <c r="AY557" s="129"/>
      <c r="AZ557" s="129"/>
      <c r="BA557" s="129"/>
      <c r="BB557" s="129"/>
      <c r="BC557" s="129"/>
      <c r="BD557" s="129"/>
      <c r="BE557" s="129"/>
      <c r="BF557" s="129"/>
      <c r="BG557" s="145"/>
    </row>
    <row r="558" ht="15.75" customHeight="1">
      <c r="A558" s="141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44"/>
      <c r="AO558" s="144"/>
      <c r="AP558" s="130"/>
      <c r="AQ558" s="130"/>
      <c r="AR558" s="130"/>
      <c r="AS558" s="130"/>
      <c r="AT558" s="130"/>
      <c r="AU558" s="130"/>
      <c r="AV558" s="130"/>
      <c r="AW558" s="130"/>
      <c r="AX558" s="129"/>
      <c r="AY558" s="129"/>
      <c r="AZ558" s="129"/>
      <c r="BA558" s="129"/>
      <c r="BB558" s="129"/>
      <c r="BC558" s="129"/>
      <c r="BD558" s="129"/>
      <c r="BE558" s="129"/>
      <c r="BF558" s="129"/>
      <c r="BG558" s="145"/>
    </row>
    <row r="559" ht="15.75" customHeight="1">
      <c r="A559" s="141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44"/>
      <c r="AO559" s="144"/>
      <c r="AP559" s="130"/>
      <c r="AQ559" s="130"/>
      <c r="AR559" s="130"/>
      <c r="AS559" s="130"/>
      <c r="AT559" s="130"/>
      <c r="AU559" s="130"/>
      <c r="AV559" s="130"/>
      <c r="AW559" s="130"/>
      <c r="AX559" s="129"/>
      <c r="AY559" s="129"/>
      <c r="AZ559" s="129"/>
      <c r="BA559" s="129"/>
      <c r="BB559" s="129"/>
      <c r="BC559" s="129"/>
      <c r="BD559" s="129"/>
      <c r="BE559" s="129"/>
      <c r="BF559" s="129"/>
      <c r="BG559" s="145"/>
    </row>
    <row r="560" ht="15.75" customHeight="1">
      <c r="A560" s="141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44"/>
      <c r="AO560" s="144"/>
      <c r="AP560" s="130"/>
      <c r="AQ560" s="130"/>
      <c r="AR560" s="130"/>
      <c r="AS560" s="130"/>
      <c r="AT560" s="130"/>
      <c r="AU560" s="130"/>
      <c r="AV560" s="130"/>
      <c r="AW560" s="130"/>
      <c r="AX560" s="129"/>
      <c r="AY560" s="129"/>
      <c r="AZ560" s="129"/>
      <c r="BA560" s="129"/>
      <c r="BB560" s="129"/>
      <c r="BC560" s="129"/>
      <c r="BD560" s="129"/>
      <c r="BE560" s="129"/>
      <c r="BF560" s="129"/>
      <c r="BG560" s="145"/>
    </row>
    <row r="561" ht="15.75" customHeight="1">
      <c r="A561" s="141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44"/>
      <c r="AO561" s="144"/>
      <c r="AP561" s="130"/>
      <c r="AQ561" s="130"/>
      <c r="AR561" s="130"/>
      <c r="AS561" s="130"/>
      <c r="AT561" s="130"/>
      <c r="AU561" s="130"/>
      <c r="AV561" s="130"/>
      <c r="AW561" s="130"/>
      <c r="AX561" s="129"/>
      <c r="AY561" s="129"/>
      <c r="AZ561" s="129"/>
      <c r="BA561" s="129"/>
      <c r="BB561" s="129"/>
      <c r="BC561" s="129"/>
      <c r="BD561" s="129"/>
      <c r="BE561" s="129"/>
      <c r="BF561" s="129"/>
      <c r="BG561" s="145"/>
    </row>
    <row r="562" ht="15.75" customHeight="1">
      <c r="A562" s="141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44"/>
      <c r="AO562" s="144"/>
      <c r="AP562" s="130"/>
      <c r="AQ562" s="130"/>
      <c r="AR562" s="130"/>
      <c r="AS562" s="130"/>
      <c r="AT562" s="130"/>
      <c r="AU562" s="130"/>
      <c r="AV562" s="130"/>
      <c r="AW562" s="130"/>
      <c r="AX562" s="129"/>
      <c r="AY562" s="129"/>
      <c r="AZ562" s="129"/>
      <c r="BA562" s="129"/>
      <c r="BB562" s="129"/>
      <c r="BC562" s="129"/>
      <c r="BD562" s="129"/>
      <c r="BE562" s="129"/>
      <c r="BF562" s="129"/>
      <c r="BG562" s="145"/>
    </row>
    <row r="563" ht="15.75" customHeight="1">
      <c r="A563" s="141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44"/>
      <c r="AO563" s="144"/>
      <c r="AP563" s="130"/>
      <c r="AQ563" s="130"/>
      <c r="AR563" s="130"/>
      <c r="AS563" s="130"/>
      <c r="AT563" s="130"/>
      <c r="AU563" s="130"/>
      <c r="AV563" s="130"/>
      <c r="AW563" s="130"/>
      <c r="AX563" s="129"/>
      <c r="AY563" s="129"/>
      <c r="AZ563" s="129"/>
      <c r="BA563" s="129"/>
      <c r="BB563" s="129"/>
      <c r="BC563" s="129"/>
      <c r="BD563" s="129"/>
      <c r="BE563" s="129"/>
      <c r="BF563" s="129"/>
      <c r="BG563" s="145"/>
    </row>
    <row r="564" ht="15.75" customHeight="1">
      <c r="A564" s="141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44"/>
      <c r="AO564" s="144"/>
      <c r="AP564" s="130"/>
      <c r="AQ564" s="130"/>
      <c r="AR564" s="130"/>
      <c r="AS564" s="130"/>
      <c r="AT564" s="130"/>
      <c r="AU564" s="130"/>
      <c r="AV564" s="130"/>
      <c r="AW564" s="130"/>
      <c r="AX564" s="129"/>
      <c r="AY564" s="129"/>
      <c r="AZ564" s="129"/>
      <c r="BA564" s="129"/>
      <c r="BB564" s="129"/>
      <c r="BC564" s="129"/>
      <c r="BD564" s="129"/>
      <c r="BE564" s="129"/>
      <c r="BF564" s="129"/>
      <c r="BG564" s="145"/>
    </row>
    <row r="565" ht="15.75" customHeight="1">
      <c r="A565" s="141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44"/>
      <c r="AO565" s="144"/>
      <c r="AP565" s="130"/>
      <c r="AQ565" s="130"/>
      <c r="AR565" s="130"/>
      <c r="AS565" s="130"/>
      <c r="AT565" s="130"/>
      <c r="AU565" s="130"/>
      <c r="AV565" s="130"/>
      <c r="AW565" s="130"/>
      <c r="AX565" s="129"/>
      <c r="AY565" s="129"/>
      <c r="AZ565" s="129"/>
      <c r="BA565" s="129"/>
      <c r="BB565" s="129"/>
      <c r="BC565" s="129"/>
      <c r="BD565" s="129"/>
      <c r="BE565" s="129"/>
      <c r="BF565" s="129"/>
      <c r="BG565" s="145"/>
    </row>
    <row r="566" ht="15.75" customHeight="1">
      <c r="A566" s="141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44"/>
      <c r="AO566" s="144"/>
      <c r="AP566" s="130"/>
      <c r="AQ566" s="130"/>
      <c r="AR566" s="130"/>
      <c r="AS566" s="130"/>
      <c r="AT566" s="130"/>
      <c r="AU566" s="130"/>
      <c r="AV566" s="130"/>
      <c r="AW566" s="130"/>
      <c r="AX566" s="129"/>
      <c r="AY566" s="129"/>
      <c r="AZ566" s="129"/>
      <c r="BA566" s="129"/>
      <c r="BB566" s="129"/>
      <c r="BC566" s="129"/>
      <c r="BD566" s="129"/>
      <c r="BE566" s="129"/>
      <c r="BF566" s="129"/>
      <c r="BG566" s="145"/>
    </row>
    <row r="567" ht="15.75" customHeight="1">
      <c r="A567" s="141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44"/>
      <c r="AO567" s="144"/>
      <c r="AP567" s="130"/>
      <c r="AQ567" s="130"/>
      <c r="AR567" s="130"/>
      <c r="AS567" s="130"/>
      <c r="AT567" s="130"/>
      <c r="AU567" s="130"/>
      <c r="AV567" s="130"/>
      <c r="AW567" s="130"/>
      <c r="AX567" s="129"/>
      <c r="AY567" s="129"/>
      <c r="AZ567" s="129"/>
      <c r="BA567" s="129"/>
      <c r="BB567" s="129"/>
      <c r="BC567" s="129"/>
      <c r="BD567" s="129"/>
      <c r="BE567" s="129"/>
      <c r="BF567" s="129"/>
      <c r="BG567" s="145"/>
    </row>
    <row r="568" ht="15.75" customHeight="1">
      <c r="A568" s="141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44"/>
      <c r="AO568" s="144"/>
      <c r="AP568" s="130"/>
      <c r="AQ568" s="130"/>
      <c r="AR568" s="130"/>
      <c r="AS568" s="130"/>
      <c r="AT568" s="130"/>
      <c r="AU568" s="130"/>
      <c r="AV568" s="130"/>
      <c r="AW568" s="130"/>
      <c r="AX568" s="129"/>
      <c r="AY568" s="129"/>
      <c r="AZ568" s="129"/>
      <c r="BA568" s="129"/>
      <c r="BB568" s="129"/>
      <c r="BC568" s="129"/>
      <c r="BD568" s="129"/>
      <c r="BE568" s="129"/>
      <c r="BF568" s="129"/>
      <c r="BG568" s="145"/>
    </row>
    <row r="569" ht="15.75" customHeight="1">
      <c r="A569" s="141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44"/>
      <c r="AO569" s="144"/>
      <c r="AP569" s="130"/>
      <c r="AQ569" s="130"/>
      <c r="AR569" s="130"/>
      <c r="AS569" s="130"/>
      <c r="AT569" s="130"/>
      <c r="AU569" s="130"/>
      <c r="AV569" s="130"/>
      <c r="AW569" s="130"/>
      <c r="AX569" s="129"/>
      <c r="AY569" s="129"/>
      <c r="AZ569" s="129"/>
      <c r="BA569" s="129"/>
      <c r="BB569" s="129"/>
      <c r="BC569" s="129"/>
      <c r="BD569" s="129"/>
      <c r="BE569" s="129"/>
      <c r="BF569" s="129"/>
      <c r="BG569" s="145"/>
    </row>
    <row r="570" ht="15.75" customHeight="1">
      <c r="A570" s="141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44"/>
      <c r="AO570" s="144"/>
      <c r="AP570" s="130"/>
      <c r="AQ570" s="130"/>
      <c r="AR570" s="130"/>
      <c r="AS570" s="130"/>
      <c r="AT570" s="130"/>
      <c r="AU570" s="130"/>
      <c r="AV570" s="130"/>
      <c r="AW570" s="130"/>
      <c r="AX570" s="129"/>
      <c r="AY570" s="129"/>
      <c r="AZ570" s="129"/>
      <c r="BA570" s="129"/>
      <c r="BB570" s="129"/>
      <c r="BC570" s="129"/>
      <c r="BD570" s="129"/>
      <c r="BE570" s="129"/>
      <c r="BF570" s="129"/>
      <c r="BG570" s="145"/>
    </row>
    <row r="571" ht="15.75" customHeight="1">
      <c r="A571" s="141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44"/>
      <c r="AO571" s="144"/>
      <c r="AP571" s="130"/>
      <c r="AQ571" s="130"/>
      <c r="AR571" s="130"/>
      <c r="AS571" s="130"/>
      <c r="AT571" s="130"/>
      <c r="AU571" s="130"/>
      <c r="AV571" s="130"/>
      <c r="AW571" s="130"/>
      <c r="AX571" s="129"/>
      <c r="AY571" s="129"/>
      <c r="AZ571" s="129"/>
      <c r="BA571" s="129"/>
      <c r="BB571" s="129"/>
      <c r="BC571" s="129"/>
      <c r="BD571" s="129"/>
      <c r="BE571" s="129"/>
      <c r="BF571" s="129"/>
      <c r="BG571" s="145"/>
    </row>
    <row r="572" ht="15.75" customHeight="1">
      <c r="A572" s="141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44"/>
      <c r="AO572" s="144"/>
      <c r="AP572" s="130"/>
      <c r="AQ572" s="130"/>
      <c r="AR572" s="130"/>
      <c r="AS572" s="130"/>
      <c r="AT572" s="130"/>
      <c r="AU572" s="130"/>
      <c r="AV572" s="130"/>
      <c r="AW572" s="130"/>
      <c r="AX572" s="129"/>
      <c r="AY572" s="129"/>
      <c r="AZ572" s="129"/>
      <c r="BA572" s="129"/>
      <c r="BB572" s="129"/>
      <c r="BC572" s="129"/>
      <c r="BD572" s="129"/>
      <c r="BE572" s="129"/>
      <c r="BF572" s="129"/>
      <c r="BG572" s="145"/>
    </row>
    <row r="573" ht="15.75" customHeight="1">
      <c r="A573" s="141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44"/>
      <c r="AO573" s="144"/>
      <c r="AP573" s="130"/>
      <c r="AQ573" s="130"/>
      <c r="AR573" s="130"/>
      <c r="AS573" s="130"/>
      <c r="AT573" s="130"/>
      <c r="AU573" s="130"/>
      <c r="AV573" s="130"/>
      <c r="AW573" s="130"/>
      <c r="AX573" s="129"/>
      <c r="AY573" s="129"/>
      <c r="AZ573" s="129"/>
      <c r="BA573" s="129"/>
      <c r="BB573" s="129"/>
      <c r="BC573" s="129"/>
      <c r="BD573" s="129"/>
      <c r="BE573" s="129"/>
      <c r="BF573" s="129"/>
      <c r="BG573" s="145"/>
    </row>
    <row r="574" ht="15.75" customHeight="1">
      <c r="A574" s="141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44"/>
      <c r="AO574" s="144"/>
      <c r="AP574" s="130"/>
      <c r="AQ574" s="130"/>
      <c r="AR574" s="130"/>
      <c r="AS574" s="130"/>
      <c r="AT574" s="130"/>
      <c r="AU574" s="130"/>
      <c r="AV574" s="130"/>
      <c r="AW574" s="130"/>
      <c r="AX574" s="129"/>
      <c r="AY574" s="129"/>
      <c r="AZ574" s="129"/>
      <c r="BA574" s="129"/>
      <c r="BB574" s="129"/>
      <c r="BC574" s="129"/>
      <c r="BD574" s="129"/>
      <c r="BE574" s="129"/>
      <c r="BF574" s="129"/>
      <c r="BG574" s="145"/>
    </row>
    <row r="575" ht="15.75" customHeight="1">
      <c r="A575" s="141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44"/>
      <c r="AO575" s="144"/>
      <c r="AP575" s="130"/>
      <c r="AQ575" s="130"/>
      <c r="AR575" s="130"/>
      <c r="AS575" s="130"/>
      <c r="AT575" s="130"/>
      <c r="AU575" s="130"/>
      <c r="AV575" s="130"/>
      <c r="AW575" s="130"/>
      <c r="AX575" s="129"/>
      <c r="AY575" s="129"/>
      <c r="AZ575" s="129"/>
      <c r="BA575" s="129"/>
      <c r="BB575" s="129"/>
      <c r="BC575" s="129"/>
      <c r="BD575" s="129"/>
      <c r="BE575" s="129"/>
      <c r="BF575" s="129"/>
      <c r="BG575" s="145"/>
    </row>
    <row r="576" ht="15.75" customHeight="1">
      <c r="A576" s="141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44"/>
      <c r="AO576" s="144"/>
      <c r="AP576" s="130"/>
      <c r="AQ576" s="130"/>
      <c r="AR576" s="130"/>
      <c r="AS576" s="130"/>
      <c r="AT576" s="130"/>
      <c r="AU576" s="130"/>
      <c r="AV576" s="130"/>
      <c r="AW576" s="130"/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45"/>
    </row>
    <row r="577" ht="15.75" customHeight="1">
      <c r="A577" s="141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44"/>
      <c r="AO577" s="144"/>
      <c r="AP577" s="130"/>
      <c r="AQ577" s="130"/>
      <c r="AR577" s="130"/>
      <c r="AS577" s="130"/>
      <c r="AT577" s="130"/>
      <c r="AU577" s="130"/>
      <c r="AV577" s="130"/>
      <c r="AW577" s="130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45"/>
    </row>
    <row r="578" ht="15.75" customHeight="1">
      <c r="A578" s="141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44"/>
      <c r="AO578" s="144"/>
      <c r="AP578" s="130"/>
      <c r="AQ578" s="130"/>
      <c r="AR578" s="130"/>
      <c r="AS578" s="130"/>
      <c r="AT578" s="130"/>
      <c r="AU578" s="130"/>
      <c r="AV578" s="130"/>
      <c r="AW578" s="130"/>
      <c r="AX578" s="129"/>
      <c r="AY578" s="129"/>
      <c r="AZ578" s="129"/>
      <c r="BA578" s="129"/>
      <c r="BB578" s="129"/>
      <c r="BC578" s="129"/>
      <c r="BD578" s="129"/>
      <c r="BE578" s="129"/>
      <c r="BF578" s="129"/>
      <c r="BG578" s="145"/>
    </row>
    <row r="579" ht="15.75" customHeight="1">
      <c r="A579" s="141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44"/>
      <c r="AO579" s="144"/>
      <c r="AP579" s="130"/>
      <c r="AQ579" s="130"/>
      <c r="AR579" s="130"/>
      <c r="AS579" s="130"/>
      <c r="AT579" s="130"/>
      <c r="AU579" s="130"/>
      <c r="AV579" s="130"/>
      <c r="AW579" s="130"/>
      <c r="AX579" s="129"/>
      <c r="AY579" s="129"/>
      <c r="AZ579" s="129"/>
      <c r="BA579" s="129"/>
      <c r="BB579" s="129"/>
      <c r="BC579" s="129"/>
      <c r="BD579" s="129"/>
      <c r="BE579" s="129"/>
      <c r="BF579" s="129"/>
      <c r="BG579" s="145"/>
    </row>
    <row r="580" ht="15.75" customHeight="1">
      <c r="A580" s="141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44"/>
      <c r="AO580" s="144"/>
      <c r="AP580" s="130"/>
      <c r="AQ580" s="130"/>
      <c r="AR580" s="130"/>
      <c r="AS580" s="130"/>
      <c r="AT580" s="130"/>
      <c r="AU580" s="130"/>
      <c r="AV580" s="130"/>
      <c r="AW580" s="130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45"/>
    </row>
    <row r="581" ht="15.75" customHeight="1">
      <c r="A581" s="141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44"/>
      <c r="AO581" s="144"/>
      <c r="AP581" s="130"/>
      <c r="AQ581" s="130"/>
      <c r="AR581" s="130"/>
      <c r="AS581" s="130"/>
      <c r="AT581" s="130"/>
      <c r="AU581" s="130"/>
      <c r="AV581" s="130"/>
      <c r="AW581" s="130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45"/>
    </row>
    <row r="582" ht="15.75" customHeight="1">
      <c r="A582" s="141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44"/>
      <c r="AO582" s="144"/>
      <c r="AP582" s="130"/>
      <c r="AQ582" s="130"/>
      <c r="AR582" s="130"/>
      <c r="AS582" s="130"/>
      <c r="AT582" s="130"/>
      <c r="AU582" s="130"/>
      <c r="AV582" s="130"/>
      <c r="AW582" s="130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45"/>
    </row>
    <row r="583" ht="15.75" customHeight="1">
      <c r="A583" s="141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44"/>
      <c r="AO583" s="144"/>
      <c r="AP583" s="130"/>
      <c r="AQ583" s="130"/>
      <c r="AR583" s="130"/>
      <c r="AS583" s="130"/>
      <c r="AT583" s="130"/>
      <c r="AU583" s="130"/>
      <c r="AV583" s="130"/>
      <c r="AW583" s="130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45"/>
    </row>
    <row r="584" ht="15.75" customHeight="1">
      <c r="A584" s="141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44"/>
      <c r="AO584" s="144"/>
      <c r="AP584" s="130"/>
      <c r="AQ584" s="130"/>
      <c r="AR584" s="130"/>
      <c r="AS584" s="130"/>
      <c r="AT584" s="130"/>
      <c r="AU584" s="130"/>
      <c r="AV584" s="130"/>
      <c r="AW584" s="130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45"/>
    </row>
    <row r="585" ht="15.75" customHeight="1">
      <c r="A585" s="141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44"/>
      <c r="AO585" s="144"/>
      <c r="AP585" s="130"/>
      <c r="AQ585" s="130"/>
      <c r="AR585" s="130"/>
      <c r="AS585" s="130"/>
      <c r="AT585" s="130"/>
      <c r="AU585" s="130"/>
      <c r="AV585" s="130"/>
      <c r="AW585" s="130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45"/>
    </row>
    <row r="586" ht="15.75" customHeight="1">
      <c r="A586" s="141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44"/>
      <c r="AO586" s="144"/>
      <c r="AP586" s="130"/>
      <c r="AQ586" s="130"/>
      <c r="AR586" s="130"/>
      <c r="AS586" s="130"/>
      <c r="AT586" s="130"/>
      <c r="AU586" s="130"/>
      <c r="AV586" s="130"/>
      <c r="AW586" s="130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45"/>
    </row>
    <row r="587" ht="15.75" customHeight="1">
      <c r="A587" s="141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44"/>
      <c r="AO587" s="144"/>
      <c r="AP587" s="130"/>
      <c r="AQ587" s="130"/>
      <c r="AR587" s="130"/>
      <c r="AS587" s="130"/>
      <c r="AT587" s="130"/>
      <c r="AU587" s="130"/>
      <c r="AV587" s="130"/>
      <c r="AW587" s="130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45"/>
    </row>
    <row r="588" ht="15.75" customHeight="1">
      <c r="A588" s="141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44"/>
      <c r="AO588" s="144"/>
      <c r="AP588" s="130"/>
      <c r="AQ588" s="130"/>
      <c r="AR588" s="130"/>
      <c r="AS588" s="130"/>
      <c r="AT588" s="130"/>
      <c r="AU588" s="130"/>
      <c r="AV588" s="130"/>
      <c r="AW588" s="130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45"/>
    </row>
    <row r="589" ht="15.75" customHeight="1">
      <c r="A589" s="141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44"/>
      <c r="AO589" s="144"/>
      <c r="AP589" s="130"/>
      <c r="AQ589" s="130"/>
      <c r="AR589" s="130"/>
      <c r="AS589" s="130"/>
      <c r="AT589" s="130"/>
      <c r="AU589" s="130"/>
      <c r="AV589" s="130"/>
      <c r="AW589" s="130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45"/>
    </row>
    <row r="590" ht="15.75" customHeight="1">
      <c r="A590" s="141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44"/>
      <c r="AO590" s="144"/>
      <c r="AP590" s="130"/>
      <c r="AQ590" s="130"/>
      <c r="AR590" s="130"/>
      <c r="AS590" s="130"/>
      <c r="AT590" s="130"/>
      <c r="AU590" s="130"/>
      <c r="AV590" s="130"/>
      <c r="AW590" s="130"/>
      <c r="AX590" s="129"/>
      <c r="AY590" s="129"/>
      <c r="AZ590" s="129"/>
      <c r="BA590" s="129"/>
      <c r="BB590" s="129"/>
      <c r="BC590" s="129"/>
      <c r="BD590" s="129"/>
      <c r="BE590" s="129"/>
      <c r="BF590" s="129"/>
      <c r="BG590" s="145"/>
    </row>
    <row r="591" ht="15.75" customHeight="1">
      <c r="A591" s="141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44"/>
      <c r="AO591" s="144"/>
      <c r="AP591" s="130"/>
      <c r="AQ591" s="130"/>
      <c r="AR591" s="130"/>
      <c r="AS591" s="130"/>
      <c r="AT591" s="130"/>
      <c r="AU591" s="130"/>
      <c r="AV591" s="130"/>
      <c r="AW591" s="130"/>
      <c r="AX591" s="129"/>
      <c r="AY591" s="129"/>
      <c r="AZ591" s="129"/>
      <c r="BA591" s="129"/>
      <c r="BB591" s="129"/>
      <c r="BC591" s="129"/>
      <c r="BD591" s="129"/>
      <c r="BE591" s="129"/>
      <c r="BF591" s="129"/>
      <c r="BG591" s="145"/>
    </row>
    <row r="592" ht="15.75" customHeight="1">
      <c r="A592" s="141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44"/>
      <c r="AO592" s="144"/>
      <c r="AP592" s="130"/>
      <c r="AQ592" s="130"/>
      <c r="AR592" s="130"/>
      <c r="AS592" s="130"/>
      <c r="AT592" s="130"/>
      <c r="AU592" s="130"/>
      <c r="AV592" s="130"/>
      <c r="AW592" s="130"/>
      <c r="AX592" s="129"/>
      <c r="AY592" s="129"/>
      <c r="AZ592" s="129"/>
      <c r="BA592" s="129"/>
      <c r="BB592" s="129"/>
      <c r="BC592" s="129"/>
      <c r="BD592" s="129"/>
      <c r="BE592" s="129"/>
      <c r="BF592" s="129"/>
      <c r="BG592" s="145"/>
    </row>
    <row r="593" ht="15.75" customHeight="1">
      <c r="A593" s="141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44"/>
      <c r="AO593" s="144"/>
      <c r="AP593" s="130"/>
      <c r="AQ593" s="130"/>
      <c r="AR593" s="130"/>
      <c r="AS593" s="130"/>
      <c r="AT593" s="130"/>
      <c r="AU593" s="130"/>
      <c r="AV593" s="130"/>
      <c r="AW593" s="130"/>
      <c r="AX593" s="129"/>
      <c r="AY593" s="129"/>
      <c r="AZ593" s="129"/>
      <c r="BA593" s="129"/>
      <c r="BB593" s="129"/>
      <c r="BC593" s="129"/>
      <c r="BD593" s="129"/>
      <c r="BE593" s="129"/>
      <c r="BF593" s="129"/>
      <c r="BG593" s="145"/>
    </row>
    <row r="594" ht="15.75" customHeight="1">
      <c r="A594" s="141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44"/>
      <c r="AO594" s="144"/>
      <c r="AP594" s="130"/>
      <c r="AQ594" s="130"/>
      <c r="AR594" s="130"/>
      <c r="AS594" s="130"/>
      <c r="AT594" s="130"/>
      <c r="AU594" s="130"/>
      <c r="AV594" s="130"/>
      <c r="AW594" s="130"/>
      <c r="AX594" s="129"/>
      <c r="AY594" s="129"/>
      <c r="AZ594" s="129"/>
      <c r="BA594" s="129"/>
      <c r="BB594" s="129"/>
      <c r="BC594" s="129"/>
      <c r="BD594" s="129"/>
      <c r="BE594" s="129"/>
      <c r="BF594" s="129"/>
      <c r="BG594" s="145"/>
    </row>
    <row r="595" ht="15.75" customHeight="1">
      <c r="A595" s="141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44"/>
      <c r="AO595" s="144"/>
      <c r="AP595" s="130"/>
      <c r="AQ595" s="130"/>
      <c r="AR595" s="130"/>
      <c r="AS595" s="130"/>
      <c r="AT595" s="130"/>
      <c r="AU595" s="130"/>
      <c r="AV595" s="130"/>
      <c r="AW595" s="130"/>
      <c r="AX595" s="129"/>
      <c r="AY595" s="129"/>
      <c r="AZ595" s="129"/>
      <c r="BA595" s="129"/>
      <c r="BB595" s="129"/>
      <c r="BC595" s="129"/>
      <c r="BD595" s="129"/>
      <c r="BE595" s="129"/>
      <c r="BF595" s="129"/>
      <c r="BG595" s="145"/>
    </row>
    <row r="596" ht="15.75" customHeight="1">
      <c r="A596" s="141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44"/>
      <c r="AO596" s="144"/>
      <c r="AP596" s="130"/>
      <c r="AQ596" s="130"/>
      <c r="AR596" s="130"/>
      <c r="AS596" s="130"/>
      <c r="AT596" s="130"/>
      <c r="AU596" s="130"/>
      <c r="AV596" s="130"/>
      <c r="AW596" s="130"/>
      <c r="AX596" s="129"/>
      <c r="AY596" s="129"/>
      <c r="AZ596" s="129"/>
      <c r="BA596" s="129"/>
      <c r="BB596" s="129"/>
      <c r="BC596" s="129"/>
      <c r="BD596" s="129"/>
      <c r="BE596" s="129"/>
      <c r="BF596" s="129"/>
      <c r="BG596" s="145"/>
    </row>
    <row r="597" ht="15.75" customHeight="1">
      <c r="A597" s="141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44"/>
      <c r="AO597" s="144"/>
      <c r="AP597" s="130"/>
      <c r="AQ597" s="130"/>
      <c r="AR597" s="130"/>
      <c r="AS597" s="130"/>
      <c r="AT597" s="130"/>
      <c r="AU597" s="130"/>
      <c r="AV597" s="130"/>
      <c r="AW597" s="130"/>
      <c r="AX597" s="129"/>
      <c r="AY597" s="129"/>
      <c r="AZ597" s="129"/>
      <c r="BA597" s="129"/>
      <c r="BB597" s="129"/>
      <c r="BC597" s="129"/>
      <c r="BD597" s="129"/>
      <c r="BE597" s="129"/>
      <c r="BF597" s="129"/>
      <c r="BG597" s="145"/>
    </row>
    <row r="598" ht="15.75" customHeight="1">
      <c r="A598" s="141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44"/>
      <c r="AO598" s="144"/>
      <c r="AP598" s="130"/>
      <c r="AQ598" s="130"/>
      <c r="AR598" s="130"/>
      <c r="AS598" s="130"/>
      <c r="AT598" s="130"/>
      <c r="AU598" s="130"/>
      <c r="AV598" s="130"/>
      <c r="AW598" s="130"/>
      <c r="AX598" s="129"/>
      <c r="AY598" s="129"/>
      <c r="AZ598" s="129"/>
      <c r="BA598" s="129"/>
      <c r="BB598" s="129"/>
      <c r="BC598" s="129"/>
      <c r="BD598" s="129"/>
      <c r="BE598" s="129"/>
      <c r="BF598" s="129"/>
      <c r="BG598" s="145"/>
    </row>
    <row r="599" ht="15.75" customHeight="1">
      <c r="A599" s="141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44"/>
      <c r="AO599" s="144"/>
      <c r="AP599" s="130"/>
      <c r="AQ599" s="130"/>
      <c r="AR599" s="130"/>
      <c r="AS599" s="130"/>
      <c r="AT599" s="130"/>
      <c r="AU599" s="130"/>
      <c r="AV599" s="130"/>
      <c r="AW599" s="130"/>
      <c r="AX599" s="129"/>
      <c r="AY599" s="129"/>
      <c r="AZ599" s="129"/>
      <c r="BA599" s="129"/>
      <c r="BB599" s="129"/>
      <c r="BC599" s="129"/>
      <c r="BD599" s="129"/>
      <c r="BE599" s="129"/>
      <c r="BF599" s="129"/>
      <c r="BG599" s="145"/>
    </row>
    <row r="600" ht="15.75" customHeight="1">
      <c r="A600" s="141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44"/>
      <c r="AO600" s="144"/>
      <c r="AP600" s="130"/>
      <c r="AQ600" s="130"/>
      <c r="AR600" s="130"/>
      <c r="AS600" s="130"/>
      <c r="AT600" s="130"/>
      <c r="AU600" s="130"/>
      <c r="AV600" s="130"/>
      <c r="AW600" s="130"/>
      <c r="AX600" s="129"/>
      <c r="AY600" s="129"/>
      <c r="AZ600" s="129"/>
      <c r="BA600" s="129"/>
      <c r="BB600" s="129"/>
      <c r="BC600" s="129"/>
      <c r="BD600" s="129"/>
      <c r="BE600" s="129"/>
      <c r="BF600" s="129"/>
      <c r="BG600" s="145"/>
    </row>
    <row r="601" ht="15.75" customHeight="1">
      <c r="A601" s="141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44"/>
      <c r="AO601" s="144"/>
      <c r="AP601" s="130"/>
      <c r="AQ601" s="130"/>
      <c r="AR601" s="130"/>
      <c r="AS601" s="130"/>
      <c r="AT601" s="130"/>
      <c r="AU601" s="130"/>
      <c r="AV601" s="130"/>
      <c r="AW601" s="130"/>
      <c r="AX601" s="129"/>
      <c r="AY601" s="129"/>
      <c r="AZ601" s="129"/>
      <c r="BA601" s="129"/>
      <c r="BB601" s="129"/>
      <c r="BC601" s="129"/>
      <c r="BD601" s="129"/>
      <c r="BE601" s="129"/>
      <c r="BF601" s="129"/>
      <c r="BG601" s="145"/>
    </row>
    <row r="602" ht="15.75" customHeight="1">
      <c r="A602" s="141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44"/>
      <c r="AO602" s="144"/>
      <c r="AP602" s="130"/>
      <c r="AQ602" s="130"/>
      <c r="AR602" s="130"/>
      <c r="AS602" s="130"/>
      <c r="AT602" s="130"/>
      <c r="AU602" s="130"/>
      <c r="AV602" s="130"/>
      <c r="AW602" s="130"/>
      <c r="AX602" s="129"/>
      <c r="AY602" s="129"/>
      <c r="AZ602" s="129"/>
      <c r="BA602" s="129"/>
      <c r="BB602" s="129"/>
      <c r="BC602" s="129"/>
      <c r="BD602" s="129"/>
      <c r="BE602" s="129"/>
      <c r="BF602" s="129"/>
      <c r="BG602" s="145"/>
    </row>
    <row r="603" ht="15.75" customHeight="1">
      <c r="A603" s="141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44"/>
      <c r="AO603" s="144"/>
      <c r="AP603" s="130"/>
      <c r="AQ603" s="130"/>
      <c r="AR603" s="130"/>
      <c r="AS603" s="130"/>
      <c r="AT603" s="130"/>
      <c r="AU603" s="130"/>
      <c r="AV603" s="130"/>
      <c r="AW603" s="130"/>
      <c r="AX603" s="129"/>
      <c r="AY603" s="129"/>
      <c r="AZ603" s="129"/>
      <c r="BA603" s="129"/>
      <c r="BB603" s="129"/>
      <c r="BC603" s="129"/>
      <c r="BD603" s="129"/>
      <c r="BE603" s="129"/>
      <c r="BF603" s="129"/>
      <c r="BG603" s="145"/>
    </row>
    <row r="604" ht="15.75" customHeight="1">
      <c r="A604" s="141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44"/>
      <c r="AO604" s="144"/>
      <c r="AP604" s="130"/>
      <c r="AQ604" s="130"/>
      <c r="AR604" s="130"/>
      <c r="AS604" s="130"/>
      <c r="AT604" s="130"/>
      <c r="AU604" s="130"/>
      <c r="AV604" s="130"/>
      <c r="AW604" s="130"/>
      <c r="AX604" s="129"/>
      <c r="AY604" s="129"/>
      <c r="AZ604" s="129"/>
      <c r="BA604" s="129"/>
      <c r="BB604" s="129"/>
      <c r="BC604" s="129"/>
      <c r="BD604" s="129"/>
      <c r="BE604" s="129"/>
      <c r="BF604" s="129"/>
      <c r="BG604" s="145"/>
    </row>
    <row r="605" ht="15.75" customHeight="1">
      <c r="A605" s="141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44"/>
      <c r="AO605" s="144"/>
      <c r="AP605" s="130"/>
      <c r="AQ605" s="130"/>
      <c r="AR605" s="130"/>
      <c r="AS605" s="130"/>
      <c r="AT605" s="130"/>
      <c r="AU605" s="130"/>
      <c r="AV605" s="130"/>
      <c r="AW605" s="130"/>
      <c r="AX605" s="129"/>
      <c r="AY605" s="129"/>
      <c r="AZ605" s="129"/>
      <c r="BA605" s="129"/>
      <c r="BB605" s="129"/>
      <c r="BC605" s="129"/>
      <c r="BD605" s="129"/>
      <c r="BE605" s="129"/>
      <c r="BF605" s="129"/>
      <c r="BG605" s="145"/>
    </row>
    <row r="606" ht="15.75" customHeight="1">
      <c r="A606" s="141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44"/>
      <c r="AO606" s="144"/>
      <c r="AP606" s="130"/>
      <c r="AQ606" s="130"/>
      <c r="AR606" s="130"/>
      <c r="AS606" s="130"/>
      <c r="AT606" s="130"/>
      <c r="AU606" s="130"/>
      <c r="AV606" s="130"/>
      <c r="AW606" s="130"/>
      <c r="AX606" s="129"/>
      <c r="AY606" s="129"/>
      <c r="AZ606" s="129"/>
      <c r="BA606" s="129"/>
      <c r="BB606" s="129"/>
      <c r="BC606" s="129"/>
      <c r="BD606" s="129"/>
      <c r="BE606" s="129"/>
      <c r="BF606" s="129"/>
      <c r="BG606" s="145"/>
    </row>
    <row r="607" ht="15.75" customHeight="1">
      <c r="A607" s="141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44"/>
      <c r="AO607" s="144"/>
      <c r="AP607" s="130"/>
      <c r="AQ607" s="130"/>
      <c r="AR607" s="130"/>
      <c r="AS607" s="130"/>
      <c r="AT607" s="130"/>
      <c r="AU607" s="130"/>
      <c r="AV607" s="130"/>
      <c r="AW607" s="130"/>
      <c r="AX607" s="129"/>
      <c r="AY607" s="129"/>
      <c r="AZ607" s="129"/>
      <c r="BA607" s="129"/>
      <c r="BB607" s="129"/>
      <c r="BC607" s="129"/>
      <c r="BD607" s="129"/>
      <c r="BE607" s="129"/>
      <c r="BF607" s="129"/>
      <c r="BG607" s="145"/>
    </row>
    <row r="608" ht="15.75" customHeight="1">
      <c r="A608" s="141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44"/>
      <c r="AO608" s="144"/>
      <c r="AP608" s="130"/>
      <c r="AQ608" s="130"/>
      <c r="AR608" s="130"/>
      <c r="AS608" s="130"/>
      <c r="AT608" s="130"/>
      <c r="AU608" s="130"/>
      <c r="AV608" s="130"/>
      <c r="AW608" s="130"/>
      <c r="AX608" s="129"/>
      <c r="AY608" s="129"/>
      <c r="AZ608" s="129"/>
      <c r="BA608" s="129"/>
      <c r="BB608" s="129"/>
      <c r="BC608" s="129"/>
      <c r="BD608" s="129"/>
      <c r="BE608" s="129"/>
      <c r="BF608" s="129"/>
      <c r="BG608" s="145"/>
    </row>
    <row r="609" ht="15.75" customHeight="1">
      <c r="A609" s="141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44"/>
      <c r="AO609" s="144"/>
      <c r="AP609" s="130"/>
      <c r="AQ609" s="130"/>
      <c r="AR609" s="130"/>
      <c r="AS609" s="130"/>
      <c r="AT609" s="130"/>
      <c r="AU609" s="130"/>
      <c r="AV609" s="130"/>
      <c r="AW609" s="130"/>
      <c r="AX609" s="129"/>
      <c r="AY609" s="129"/>
      <c r="AZ609" s="129"/>
      <c r="BA609" s="129"/>
      <c r="BB609" s="129"/>
      <c r="BC609" s="129"/>
      <c r="BD609" s="129"/>
      <c r="BE609" s="129"/>
      <c r="BF609" s="129"/>
      <c r="BG609" s="145"/>
    </row>
    <row r="610" ht="15.75" customHeight="1">
      <c r="A610" s="141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44"/>
      <c r="AO610" s="144"/>
      <c r="AP610" s="130"/>
      <c r="AQ610" s="130"/>
      <c r="AR610" s="130"/>
      <c r="AS610" s="130"/>
      <c r="AT610" s="130"/>
      <c r="AU610" s="130"/>
      <c r="AV610" s="130"/>
      <c r="AW610" s="130"/>
      <c r="AX610" s="129"/>
      <c r="AY610" s="129"/>
      <c r="AZ610" s="129"/>
      <c r="BA610" s="129"/>
      <c r="BB610" s="129"/>
      <c r="BC610" s="129"/>
      <c r="BD610" s="129"/>
      <c r="BE610" s="129"/>
      <c r="BF610" s="129"/>
      <c r="BG610" s="145"/>
    </row>
    <row r="611" ht="15.75" customHeight="1">
      <c r="A611" s="141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44"/>
      <c r="AO611" s="144"/>
      <c r="AP611" s="130"/>
      <c r="AQ611" s="130"/>
      <c r="AR611" s="130"/>
      <c r="AS611" s="130"/>
      <c r="AT611" s="130"/>
      <c r="AU611" s="130"/>
      <c r="AV611" s="130"/>
      <c r="AW611" s="130"/>
      <c r="AX611" s="129"/>
      <c r="AY611" s="129"/>
      <c r="AZ611" s="129"/>
      <c r="BA611" s="129"/>
      <c r="BB611" s="129"/>
      <c r="BC611" s="129"/>
      <c r="BD611" s="129"/>
      <c r="BE611" s="129"/>
      <c r="BF611" s="129"/>
      <c r="BG611" s="145"/>
    </row>
    <row r="612" ht="15.75" customHeight="1">
      <c r="A612" s="141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44"/>
      <c r="AO612" s="144"/>
      <c r="AP612" s="130"/>
      <c r="AQ612" s="130"/>
      <c r="AR612" s="130"/>
      <c r="AS612" s="130"/>
      <c r="AT612" s="130"/>
      <c r="AU612" s="130"/>
      <c r="AV612" s="130"/>
      <c r="AW612" s="130"/>
      <c r="AX612" s="129"/>
      <c r="AY612" s="129"/>
      <c r="AZ612" s="129"/>
      <c r="BA612" s="129"/>
      <c r="BB612" s="129"/>
      <c r="BC612" s="129"/>
      <c r="BD612" s="129"/>
      <c r="BE612" s="129"/>
      <c r="BF612" s="129"/>
      <c r="BG612" s="145"/>
    </row>
    <row r="613" ht="15.75" customHeight="1">
      <c r="A613" s="141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44"/>
      <c r="AO613" s="144"/>
      <c r="AP613" s="130"/>
      <c r="AQ613" s="130"/>
      <c r="AR613" s="130"/>
      <c r="AS613" s="130"/>
      <c r="AT613" s="130"/>
      <c r="AU613" s="130"/>
      <c r="AV613" s="130"/>
      <c r="AW613" s="130"/>
      <c r="AX613" s="129"/>
      <c r="AY613" s="129"/>
      <c r="AZ613" s="129"/>
      <c r="BA613" s="129"/>
      <c r="BB613" s="129"/>
      <c r="BC613" s="129"/>
      <c r="BD613" s="129"/>
      <c r="BE613" s="129"/>
      <c r="BF613" s="129"/>
      <c r="BG613" s="145"/>
    </row>
    <row r="614" ht="15.75" customHeight="1">
      <c r="A614" s="141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44"/>
      <c r="AO614" s="144"/>
      <c r="AP614" s="130"/>
      <c r="AQ614" s="130"/>
      <c r="AR614" s="130"/>
      <c r="AS614" s="130"/>
      <c r="AT614" s="130"/>
      <c r="AU614" s="130"/>
      <c r="AV614" s="130"/>
      <c r="AW614" s="130"/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45"/>
    </row>
    <row r="615" ht="15.75" customHeight="1">
      <c r="A615" s="141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44"/>
      <c r="AO615" s="144"/>
      <c r="AP615" s="130"/>
      <c r="AQ615" s="130"/>
      <c r="AR615" s="130"/>
      <c r="AS615" s="130"/>
      <c r="AT615" s="130"/>
      <c r="AU615" s="130"/>
      <c r="AV615" s="130"/>
      <c r="AW615" s="130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45"/>
    </row>
    <row r="616" ht="15.75" customHeight="1">
      <c r="A616" s="141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44"/>
      <c r="AO616" s="144"/>
      <c r="AP616" s="130"/>
      <c r="AQ616" s="130"/>
      <c r="AR616" s="130"/>
      <c r="AS616" s="130"/>
      <c r="AT616" s="130"/>
      <c r="AU616" s="130"/>
      <c r="AV616" s="130"/>
      <c r="AW616" s="130"/>
      <c r="AX616" s="129"/>
      <c r="AY616" s="129"/>
      <c r="AZ616" s="129"/>
      <c r="BA616" s="129"/>
      <c r="BB616" s="129"/>
      <c r="BC616" s="129"/>
      <c r="BD616" s="129"/>
      <c r="BE616" s="129"/>
      <c r="BF616" s="129"/>
      <c r="BG616" s="145"/>
    </row>
    <row r="617" ht="15.75" customHeight="1">
      <c r="A617" s="141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44"/>
      <c r="AO617" s="144"/>
      <c r="AP617" s="130"/>
      <c r="AQ617" s="130"/>
      <c r="AR617" s="130"/>
      <c r="AS617" s="130"/>
      <c r="AT617" s="130"/>
      <c r="AU617" s="130"/>
      <c r="AV617" s="130"/>
      <c r="AW617" s="130"/>
      <c r="AX617" s="129"/>
      <c r="AY617" s="129"/>
      <c r="AZ617" s="129"/>
      <c r="BA617" s="129"/>
      <c r="BB617" s="129"/>
      <c r="BC617" s="129"/>
      <c r="BD617" s="129"/>
      <c r="BE617" s="129"/>
      <c r="BF617" s="129"/>
      <c r="BG617" s="145"/>
    </row>
    <row r="618" ht="15.75" customHeight="1">
      <c r="A618" s="141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44"/>
      <c r="AO618" s="144"/>
      <c r="AP618" s="130"/>
      <c r="AQ618" s="130"/>
      <c r="AR618" s="130"/>
      <c r="AS618" s="130"/>
      <c r="AT618" s="130"/>
      <c r="AU618" s="130"/>
      <c r="AV618" s="130"/>
      <c r="AW618" s="130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45"/>
    </row>
    <row r="619" ht="15.75" customHeight="1">
      <c r="A619" s="141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44"/>
      <c r="AO619" s="144"/>
      <c r="AP619" s="130"/>
      <c r="AQ619" s="130"/>
      <c r="AR619" s="130"/>
      <c r="AS619" s="130"/>
      <c r="AT619" s="130"/>
      <c r="AU619" s="130"/>
      <c r="AV619" s="130"/>
      <c r="AW619" s="130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45"/>
    </row>
    <row r="620" ht="15.75" customHeight="1">
      <c r="A620" s="141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44"/>
      <c r="AO620" s="144"/>
      <c r="AP620" s="130"/>
      <c r="AQ620" s="130"/>
      <c r="AR620" s="130"/>
      <c r="AS620" s="130"/>
      <c r="AT620" s="130"/>
      <c r="AU620" s="130"/>
      <c r="AV620" s="130"/>
      <c r="AW620" s="130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45"/>
    </row>
    <row r="621" ht="15.75" customHeight="1">
      <c r="A621" s="141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44"/>
      <c r="AO621" s="144"/>
      <c r="AP621" s="130"/>
      <c r="AQ621" s="130"/>
      <c r="AR621" s="130"/>
      <c r="AS621" s="130"/>
      <c r="AT621" s="130"/>
      <c r="AU621" s="130"/>
      <c r="AV621" s="130"/>
      <c r="AW621" s="130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45"/>
    </row>
    <row r="622" ht="15.75" customHeight="1">
      <c r="A622" s="141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44"/>
      <c r="AO622" s="144"/>
      <c r="AP622" s="130"/>
      <c r="AQ622" s="130"/>
      <c r="AR622" s="130"/>
      <c r="AS622" s="130"/>
      <c r="AT622" s="130"/>
      <c r="AU622" s="130"/>
      <c r="AV622" s="130"/>
      <c r="AW622" s="130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45"/>
    </row>
    <row r="623" ht="15.75" customHeight="1">
      <c r="A623" s="141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44"/>
      <c r="AO623" s="144"/>
      <c r="AP623" s="130"/>
      <c r="AQ623" s="130"/>
      <c r="AR623" s="130"/>
      <c r="AS623" s="130"/>
      <c r="AT623" s="130"/>
      <c r="AU623" s="130"/>
      <c r="AV623" s="130"/>
      <c r="AW623" s="130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45"/>
    </row>
    <row r="624" ht="15.75" customHeight="1">
      <c r="A624" s="141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44"/>
      <c r="AO624" s="144"/>
      <c r="AP624" s="130"/>
      <c r="AQ624" s="130"/>
      <c r="AR624" s="130"/>
      <c r="AS624" s="130"/>
      <c r="AT624" s="130"/>
      <c r="AU624" s="130"/>
      <c r="AV624" s="130"/>
      <c r="AW624" s="130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45"/>
    </row>
    <row r="625" ht="15.75" customHeight="1">
      <c r="A625" s="141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44"/>
      <c r="AO625" s="144"/>
      <c r="AP625" s="130"/>
      <c r="AQ625" s="130"/>
      <c r="AR625" s="130"/>
      <c r="AS625" s="130"/>
      <c r="AT625" s="130"/>
      <c r="AU625" s="130"/>
      <c r="AV625" s="130"/>
      <c r="AW625" s="130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45"/>
    </row>
    <row r="626" ht="15.75" customHeight="1">
      <c r="A626" s="141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44"/>
      <c r="AO626" s="144"/>
      <c r="AP626" s="130"/>
      <c r="AQ626" s="130"/>
      <c r="AR626" s="130"/>
      <c r="AS626" s="130"/>
      <c r="AT626" s="130"/>
      <c r="AU626" s="130"/>
      <c r="AV626" s="130"/>
      <c r="AW626" s="130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45"/>
    </row>
    <row r="627" ht="15.75" customHeight="1">
      <c r="A627" s="141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44"/>
      <c r="AO627" s="144"/>
      <c r="AP627" s="130"/>
      <c r="AQ627" s="130"/>
      <c r="AR627" s="130"/>
      <c r="AS627" s="130"/>
      <c r="AT627" s="130"/>
      <c r="AU627" s="130"/>
      <c r="AV627" s="130"/>
      <c r="AW627" s="130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45"/>
    </row>
    <row r="628" ht="15.75" customHeight="1">
      <c r="A628" s="141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44"/>
      <c r="AO628" s="144"/>
      <c r="AP628" s="130"/>
      <c r="AQ628" s="130"/>
      <c r="AR628" s="130"/>
      <c r="AS628" s="130"/>
      <c r="AT628" s="130"/>
      <c r="AU628" s="130"/>
      <c r="AV628" s="130"/>
      <c r="AW628" s="130"/>
      <c r="AX628" s="129"/>
      <c r="AY628" s="129"/>
      <c r="AZ628" s="129"/>
      <c r="BA628" s="129"/>
      <c r="BB628" s="129"/>
      <c r="BC628" s="129"/>
      <c r="BD628" s="129"/>
      <c r="BE628" s="129"/>
      <c r="BF628" s="129"/>
      <c r="BG628" s="145"/>
    </row>
    <row r="629" ht="15.75" customHeight="1">
      <c r="A629" s="141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44"/>
      <c r="AO629" s="144"/>
      <c r="AP629" s="130"/>
      <c r="AQ629" s="130"/>
      <c r="AR629" s="130"/>
      <c r="AS629" s="130"/>
      <c r="AT629" s="130"/>
      <c r="AU629" s="130"/>
      <c r="AV629" s="130"/>
      <c r="AW629" s="130"/>
      <c r="AX629" s="129"/>
      <c r="AY629" s="129"/>
      <c r="AZ629" s="129"/>
      <c r="BA629" s="129"/>
      <c r="BB629" s="129"/>
      <c r="BC629" s="129"/>
      <c r="BD629" s="129"/>
      <c r="BE629" s="129"/>
      <c r="BF629" s="129"/>
      <c r="BG629" s="145"/>
    </row>
    <row r="630" ht="15.75" customHeight="1">
      <c r="A630" s="141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44"/>
      <c r="AO630" s="144"/>
      <c r="AP630" s="130"/>
      <c r="AQ630" s="130"/>
      <c r="AR630" s="130"/>
      <c r="AS630" s="130"/>
      <c r="AT630" s="130"/>
      <c r="AU630" s="130"/>
      <c r="AV630" s="130"/>
      <c r="AW630" s="130"/>
      <c r="AX630" s="129"/>
      <c r="AY630" s="129"/>
      <c r="AZ630" s="129"/>
      <c r="BA630" s="129"/>
      <c r="BB630" s="129"/>
      <c r="BC630" s="129"/>
      <c r="BD630" s="129"/>
      <c r="BE630" s="129"/>
      <c r="BF630" s="129"/>
      <c r="BG630" s="145"/>
    </row>
    <row r="631" ht="15.75" customHeight="1">
      <c r="A631" s="141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44"/>
      <c r="AO631" s="144"/>
      <c r="AP631" s="130"/>
      <c r="AQ631" s="130"/>
      <c r="AR631" s="130"/>
      <c r="AS631" s="130"/>
      <c r="AT631" s="130"/>
      <c r="AU631" s="130"/>
      <c r="AV631" s="130"/>
      <c r="AW631" s="130"/>
      <c r="AX631" s="129"/>
      <c r="AY631" s="129"/>
      <c r="AZ631" s="129"/>
      <c r="BA631" s="129"/>
      <c r="BB631" s="129"/>
      <c r="BC631" s="129"/>
      <c r="BD631" s="129"/>
      <c r="BE631" s="129"/>
      <c r="BF631" s="129"/>
      <c r="BG631" s="145"/>
    </row>
    <row r="632" ht="15.75" customHeight="1">
      <c r="A632" s="141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44"/>
      <c r="AO632" s="144"/>
      <c r="AP632" s="130"/>
      <c r="AQ632" s="130"/>
      <c r="AR632" s="130"/>
      <c r="AS632" s="130"/>
      <c r="AT632" s="130"/>
      <c r="AU632" s="130"/>
      <c r="AV632" s="130"/>
      <c r="AW632" s="130"/>
      <c r="AX632" s="129"/>
      <c r="AY632" s="129"/>
      <c r="AZ632" s="129"/>
      <c r="BA632" s="129"/>
      <c r="BB632" s="129"/>
      <c r="BC632" s="129"/>
      <c r="BD632" s="129"/>
      <c r="BE632" s="129"/>
      <c r="BF632" s="129"/>
      <c r="BG632" s="145"/>
    </row>
    <row r="633" ht="15.75" customHeight="1">
      <c r="A633" s="141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44"/>
      <c r="AO633" s="144"/>
      <c r="AP633" s="130"/>
      <c r="AQ633" s="130"/>
      <c r="AR633" s="130"/>
      <c r="AS633" s="130"/>
      <c r="AT633" s="130"/>
      <c r="AU633" s="130"/>
      <c r="AV633" s="130"/>
      <c r="AW633" s="130"/>
      <c r="AX633" s="129"/>
      <c r="AY633" s="129"/>
      <c r="AZ633" s="129"/>
      <c r="BA633" s="129"/>
      <c r="BB633" s="129"/>
      <c r="BC633" s="129"/>
      <c r="BD633" s="129"/>
      <c r="BE633" s="129"/>
      <c r="BF633" s="129"/>
      <c r="BG633" s="145"/>
    </row>
    <row r="634" ht="15.75" customHeight="1">
      <c r="A634" s="141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44"/>
      <c r="AO634" s="144"/>
      <c r="AP634" s="130"/>
      <c r="AQ634" s="130"/>
      <c r="AR634" s="130"/>
      <c r="AS634" s="130"/>
      <c r="AT634" s="130"/>
      <c r="AU634" s="130"/>
      <c r="AV634" s="130"/>
      <c r="AW634" s="130"/>
      <c r="AX634" s="129"/>
      <c r="AY634" s="129"/>
      <c r="AZ634" s="129"/>
      <c r="BA634" s="129"/>
      <c r="BB634" s="129"/>
      <c r="BC634" s="129"/>
      <c r="BD634" s="129"/>
      <c r="BE634" s="129"/>
      <c r="BF634" s="129"/>
      <c r="BG634" s="145"/>
    </row>
    <row r="635" ht="15.75" customHeight="1">
      <c r="A635" s="141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44"/>
      <c r="AO635" s="144"/>
      <c r="AP635" s="130"/>
      <c r="AQ635" s="130"/>
      <c r="AR635" s="130"/>
      <c r="AS635" s="130"/>
      <c r="AT635" s="130"/>
      <c r="AU635" s="130"/>
      <c r="AV635" s="130"/>
      <c r="AW635" s="130"/>
      <c r="AX635" s="129"/>
      <c r="AY635" s="129"/>
      <c r="AZ635" s="129"/>
      <c r="BA635" s="129"/>
      <c r="BB635" s="129"/>
      <c r="BC635" s="129"/>
      <c r="BD635" s="129"/>
      <c r="BE635" s="129"/>
      <c r="BF635" s="129"/>
      <c r="BG635" s="145"/>
    </row>
    <row r="636" ht="15.75" customHeight="1">
      <c r="A636" s="141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44"/>
      <c r="AO636" s="144"/>
      <c r="AP636" s="130"/>
      <c r="AQ636" s="130"/>
      <c r="AR636" s="130"/>
      <c r="AS636" s="130"/>
      <c r="AT636" s="130"/>
      <c r="AU636" s="130"/>
      <c r="AV636" s="130"/>
      <c r="AW636" s="130"/>
      <c r="AX636" s="129"/>
      <c r="AY636" s="129"/>
      <c r="AZ636" s="129"/>
      <c r="BA636" s="129"/>
      <c r="BB636" s="129"/>
      <c r="BC636" s="129"/>
      <c r="BD636" s="129"/>
      <c r="BE636" s="129"/>
      <c r="BF636" s="129"/>
      <c r="BG636" s="145"/>
    </row>
    <row r="637" ht="15.75" customHeight="1">
      <c r="A637" s="141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44"/>
      <c r="AO637" s="144"/>
      <c r="AP637" s="130"/>
      <c r="AQ637" s="130"/>
      <c r="AR637" s="130"/>
      <c r="AS637" s="130"/>
      <c r="AT637" s="130"/>
      <c r="AU637" s="130"/>
      <c r="AV637" s="130"/>
      <c r="AW637" s="130"/>
      <c r="AX637" s="129"/>
      <c r="AY637" s="129"/>
      <c r="AZ637" s="129"/>
      <c r="BA637" s="129"/>
      <c r="BB637" s="129"/>
      <c r="BC637" s="129"/>
      <c r="BD637" s="129"/>
      <c r="BE637" s="129"/>
      <c r="BF637" s="129"/>
      <c r="BG637" s="145"/>
    </row>
    <row r="638" ht="15.75" customHeight="1">
      <c r="A638" s="141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44"/>
      <c r="AO638" s="144"/>
      <c r="AP638" s="130"/>
      <c r="AQ638" s="130"/>
      <c r="AR638" s="130"/>
      <c r="AS638" s="130"/>
      <c r="AT638" s="130"/>
      <c r="AU638" s="130"/>
      <c r="AV638" s="130"/>
      <c r="AW638" s="130"/>
      <c r="AX638" s="129"/>
      <c r="AY638" s="129"/>
      <c r="AZ638" s="129"/>
      <c r="BA638" s="129"/>
      <c r="BB638" s="129"/>
      <c r="BC638" s="129"/>
      <c r="BD638" s="129"/>
      <c r="BE638" s="129"/>
      <c r="BF638" s="129"/>
      <c r="BG638" s="145"/>
    </row>
    <row r="639" ht="15.75" customHeight="1">
      <c r="A639" s="141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44"/>
      <c r="AO639" s="144"/>
      <c r="AP639" s="130"/>
      <c r="AQ639" s="130"/>
      <c r="AR639" s="130"/>
      <c r="AS639" s="130"/>
      <c r="AT639" s="130"/>
      <c r="AU639" s="130"/>
      <c r="AV639" s="130"/>
      <c r="AW639" s="130"/>
      <c r="AX639" s="129"/>
      <c r="AY639" s="129"/>
      <c r="AZ639" s="129"/>
      <c r="BA639" s="129"/>
      <c r="BB639" s="129"/>
      <c r="BC639" s="129"/>
      <c r="BD639" s="129"/>
      <c r="BE639" s="129"/>
      <c r="BF639" s="129"/>
      <c r="BG639" s="145"/>
    </row>
    <row r="640" ht="15.75" customHeight="1">
      <c r="A640" s="141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44"/>
      <c r="AO640" s="144"/>
      <c r="AP640" s="130"/>
      <c r="AQ640" s="130"/>
      <c r="AR640" s="130"/>
      <c r="AS640" s="130"/>
      <c r="AT640" s="130"/>
      <c r="AU640" s="130"/>
      <c r="AV640" s="130"/>
      <c r="AW640" s="130"/>
      <c r="AX640" s="129"/>
      <c r="AY640" s="129"/>
      <c r="AZ640" s="129"/>
      <c r="BA640" s="129"/>
      <c r="BB640" s="129"/>
      <c r="BC640" s="129"/>
      <c r="BD640" s="129"/>
      <c r="BE640" s="129"/>
      <c r="BF640" s="129"/>
      <c r="BG640" s="145"/>
    </row>
    <row r="641" ht="15.75" customHeight="1">
      <c r="A641" s="141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44"/>
      <c r="AO641" s="144"/>
      <c r="AP641" s="130"/>
      <c r="AQ641" s="130"/>
      <c r="AR641" s="130"/>
      <c r="AS641" s="130"/>
      <c r="AT641" s="130"/>
      <c r="AU641" s="130"/>
      <c r="AV641" s="130"/>
      <c r="AW641" s="130"/>
      <c r="AX641" s="129"/>
      <c r="AY641" s="129"/>
      <c r="AZ641" s="129"/>
      <c r="BA641" s="129"/>
      <c r="BB641" s="129"/>
      <c r="BC641" s="129"/>
      <c r="BD641" s="129"/>
      <c r="BE641" s="129"/>
      <c r="BF641" s="129"/>
      <c r="BG641" s="145"/>
    </row>
    <row r="642" ht="15.75" customHeight="1">
      <c r="A642" s="141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44"/>
      <c r="AO642" s="144"/>
      <c r="AP642" s="130"/>
      <c r="AQ642" s="130"/>
      <c r="AR642" s="130"/>
      <c r="AS642" s="130"/>
      <c r="AT642" s="130"/>
      <c r="AU642" s="130"/>
      <c r="AV642" s="130"/>
      <c r="AW642" s="130"/>
      <c r="AX642" s="129"/>
      <c r="AY642" s="129"/>
      <c r="AZ642" s="129"/>
      <c r="BA642" s="129"/>
      <c r="BB642" s="129"/>
      <c r="BC642" s="129"/>
      <c r="BD642" s="129"/>
      <c r="BE642" s="129"/>
      <c r="BF642" s="129"/>
      <c r="BG642" s="145"/>
    </row>
    <row r="643" ht="15.75" customHeight="1">
      <c r="A643" s="141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44"/>
      <c r="AO643" s="144"/>
      <c r="AP643" s="130"/>
      <c r="AQ643" s="130"/>
      <c r="AR643" s="130"/>
      <c r="AS643" s="130"/>
      <c r="AT643" s="130"/>
      <c r="AU643" s="130"/>
      <c r="AV643" s="130"/>
      <c r="AW643" s="130"/>
      <c r="AX643" s="129"/>
      <c r="AY643" s="129"/>
      <c r="AZ643" s="129"/>
      <c r="BA643" s="129"/>
      <c r="BB643" s="129"/>
      <c r="BC643" s="129"/>
      <c r="BD643" s="129"/>
      <c r="BE643" s="129"/>
      <c r="BF643" s="129"/>
      <c r="BG643" s="145"/>
    </row>
    <row r="644" ht="15.75" customHeight="1">
      <c r="A644" s="141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44"/>
      <c r="AO644" s="144"/>
      <c r="AP644" s="130"/>
      <c r="AQ644" s="130"/>
      <c r="AR644" s="130"/>
      <c r="AS644" s="130"/>
      <c r="AT644" s="130"/>
      <c r="AU644" s="130"/>
      <c r="AV644" s="130"/>
      <c r="AW644" s="130"/>
      <c r="AX644" s="129"/>
      <c r="AY644" s="129"/>
      <c r="AZ644" s="129"/>
      <c r="BA644" s="129"/>
      <c r="BB644" s="129"/>
      <c r="BC644" s="129"/>
      <c r="BD644" s="129"/>
      <c r="BE644" s="129"/>
      <c r="BF644" s="129"/>
      <c r="BG644" s="145"/>
    </row>
    <row r="645" ht="15.75" customHeight="1">
      <c r="A645" s="141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44"/>
      <c r="AO645" s="144"/>
      <c r="AP645" s="130"/>
      <c r="AQ645" s="130"/>
      <c r="AR645" s="130"/>
      <c r="AS645" s="130"/>
      <c r="AT645" s="130"/>
      <c r="AU645" s="130"/>
      <c r="AV645" s="130"/>
      <c r="AW645" s="130"/>
      <c r="AX645" s="129"/>
      <c r="AY645" s="129"/>
      <c r="AZ645" s="129"/>
      <c r="BA645" s="129"/>
      <c r="BB645" s="129"/>
      <c r="BC645" s="129"/>
      <c r="BD645" s="129"/>
      <c r="BE645" s="129"/>
      <c r="BF645" s="129"/>
      <c r="BG645" s="145"/>
    </row>
    <row r="646" ht="15.75" customHeight="1">
      <c r="A646" s="141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44"/>
      <c r="AO646" s="144"/>
      <c r="AP646" s="130"/>
      <c r="AQ646" s="130"/>
      <c r="AR646" s="130"/>
      <c r="AS646" s="130"/>
      <c r="AT646" s="130"/>
      <c r="AU646" s="130"/>
      <c r="AV646" s="130"/>
      <c r="AW646" s="130"/>
      <c r="AX646" s="129"/>
      <c r="AY646" s="129"/>
      <c r="AZ646" s="129"/>
      <c r="BA646" s="129"/>
      <c r="BB646" s="129"/>
      <c r="BC646" s="129"/>
      <c r="BD646" s="129"/>
      <c r="BE646" s="129"/>
      <c r="BF646" s="129"/>
      <c r="BG646" s="145"/>
    </row>
    <row r="647" ht="15.75" customHeight="1">
      <c r="A647" s="141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44"/>
      <c r="AO647" s="144"/>
      <c r="AP647" s="130"/>
      <c r="AQ647" s="130"/>
      <c r="AR647" s="130"/>
      <c r="AS647" s="130"/>
      <c r="AT647" s="130"/>
      <c r="AU647" s="130"/>
      <c r="AV647" s="130"/>
      <c r="AW647" s="130"/>
      <c r="AX647" s="129"/>
      <c r="AY647" s="129"/>
      <c r="AZ647" s="129"/>
      <c r="BA647" s="129"/>
      <c r="BB647" s="129"/>
      <c r="BC647" s="129"/>
      <c r="BD647" s="129"/>
      <c r="BE647" s="129"/>
      <c r="BF647" s="129"/>
      <c r="BG647" s="145"/>
    </row>
    <row r="648" ht="15.75" customHeight="1">
      <c r="A648" s="141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44"/>
      <c r="AO648" s="144"/>
      <c r="AP648" s="130"/>
      <c r="AQ648" s="130"/>
      <c r="AR648" s="130"/>
      <c r="AS648" s="130"/>
      <c r="AT648" s="130"/>
      <c r="AU648" s="130"/>
      <c r="AV648" s="130"/>
      <c r="AW648" s="130"/>
      <c r="AX648" s="129"/>
      <c r="AY648" s="129"/>
      <c r="AZ648" s="129"/>
      <c r="BA648" s="129"/>
      <c r="BB648" s="129"/>
      <c r="BC648" s="129"/>
      <c r="BD648" s="129"/>
      <c r="BE648" s="129"/>
      <c r="BF648" s="129"/>
      <c r="BG648" s="145"/>
    </row>
    <row r="649" ht="15.75" customHeight="1">
      <c r="A649" s="141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44"/>
      <c r="AO649" s="144"/>
      <c r="AP649" s="130"/>
      <c r="AQ649" s="130"/>
      <c r="AR649" s="130"/>
      <c r="AS649" s="130"/>
      <c r="AT649" s="130"/>
      <c r="AU649" s="130"/>
      <c r="AV649" s="130"/>
      <c r="AW649" s="130"/>
      <c r="AX649" s="129"/>
      <c r="AY649" s="129"/>
      <c r="AZ649" s="129"/>
      <c r="BA649" s="129"/>
      <c r="BB649" s="129"/>
      <c r="BC649" s="129"/>
      <c r="BD649" s="129"/>
      <c r="BE649" s="129"/>
      <c r="BF649" s="129"/>
      <c r="BG649" s="145"/>
    </row>
    <row r="650" ht="15.75" customHeight="1">
      <c r="A650" s="141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44"/>
      <c r="AO650" s="144"/>
      <c r="AP650" s="130"/>
      <c r="AQ650" s="130"/>
      <c r="AR650" s="130"/>
      <c r="AS650" s="130"/>
      <c r="AT650" s="130"/>
      <c r="AU650" s="130"/>
      <c r="AV650" s="130"/>
      <c r="AW650" s="130"/>
      <c r="AX650" s="129"/>
      <c r="AY650" s="129"/>
      <c r="AZ650" s="129"/>
      <c r="BA650" s="129"/>
      <c r="BB650" s="129"/>
      <c r="BC650" s="129"/>
      <c r="BD650" s="129"/>
      <c r="BE650" s="129"/>
      <c r="BF650" s="129"/>
      <c r="BG650" s="145"/>
    </row>
    <row r="651" ht="15.75" customHeight="1">
      <c r="A651" s="141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44"/>
      <c r="AO651" s="144"/>
      <c r="AP651" s="130"/>
      <c r="AQ651" s="130"/>
      <c r="AR651" s="130"/>
      <c r="AS651" s="130"/>
      <c r="AT651" s="130"/>
      <c r="AU651" s="130"/>
      <c r="AV651" s="130"/>
      <c r="AW651" s="130"/>
      <c r="AX651" s="129"/>
      <c r="AY651" s="129"/>
      <c r="AZ651" s="129"/>
      <c r="BA651" s="129"/>
      <c r="BB651" s="129"/>
      <c r="BC651" s="129"/>
      <c r="BD651" s="129"/>
      <c r="BE651" s="129"/>
      <c r="BF651" s="129"/>
      <c r="BG651" s="145"/>
    </row>
    <row r="652" ht="15.75" customHeight="1">
      <c r="A652" s="141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44"/>
      <c r="AO652" s="144"/>
      <c r="AP652" s="130"/>
      <c r="AQ652" s="130"/>
      <c r="AR652" s="130"/>
      <c r="AS652" s="130"/>
      <c r="AT652" s="130"/>
      <c r="AU652" s="130"/>
      <c r="AV652" s="130"/>
      <c r="AW652" s="130"/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45"/>
    </row>
    <row r="653" ht="15.75" customHeight="1">
      <c r="A653" s="141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44"/>
      <c r="AO653" s="144"/>
      <c r="AP653" s="130"/>
      <c r="AQ653" s="130"/>
      <c r="AR653" s="130"/>
      <c r="AS653" s="130"/>
      <c r="AT653" s="130"/>
      <c r="AU653" s="130"/>
      <c r="AV653" s="130"/>
      <c r="AW653" s="130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45"/>
    </row>
    <row r="654" ht="15.75" customHeight="1">
      <c r="A654" s="141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44"/>
      <c r="AO654" s="144"/>
      <c r="AP654" s="130"/>
      <c r="AQ654" s="130"/>
      <c r="AR654" s="130"/>
      <c r="AS654" s="130"/>
      <c r="AT654" s="130"/>
      <c r="AU654" s="130"/>
      <c r="AV654" s="130"/>
      <c r="AW654" s="130"/>
      <c r="AX654" s="129"/>
      <c r="AY654" s="129"/>
      <c r="AZ654" s="129"/>
      <c r="BA654" s="129"/>
      <c r="BB654" s="129"/>
      <c r="BC654" s="129"/>
      <c r="BD654" s="129"/>
      <c r="BE654" s="129"/>
      <c r="BF654" s="129"/>
      <c r="BG654" s="145"/>
    </row>
    <row r="655" ht="15.75" customHeight="1">
      <c r="A655" s="141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44"/>
      <c r="AO655" s="144"/>
      <c r="AP655" s="130"/>
      <c r="AQ655" s="130"/>
      <c r="AR655" s="130"/>
      <c r="AS655" s="130"/>
      <c r="AT655" s="130"/>
      <c r="AU655" s="130"/>
      <c r="AV655" s="130"/>
      <c r="AW655" s="130"/>
      <c r="AX655" s="129"/>
      <c r="AY655" s="129"/>
      <c r="AZ655" s="129"/>
      <c r="BA655" s="129"/>
      <c r="BB655" s="129"/>
      <c r="BC655" s="129"/>
      <c r="BD655" s="129"/>
      <c r="BE655" s="129"/>
      <c r="BF655" s="129"/>
      <c r="BG655" s="145"/>
    </row>
    <row r="656" ht="15.75" customHeight="1">
      <c r="A656" s="141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44"/>
      <c r="AO656" s="144"/>
      <c r="AP656" s="130"/>
      <c r="AQ656" s="130"/>
      <c r="AR656" s="130"/>
      <c r="AS656" s="130"/>
      <c r="AT656" s="130"/>
      <c r="AU656" s="130"/>
      <c r="AV656" s="130"/>
      <c r="AW656" s="130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45"/>
    </row>
    <row r="657" ht="15.75" customHeight="1">
      <c r="A657" s="141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44"/>
      <c r="AO657" s="144"/>
      <c r="AP657" s="130"/>
      <c r="AQ657" s="130"/>
      <c r="AR657" s="130"/>
      <c r="AS657" s="130"/>
      <c r="AT657" s="130"/>
      <c r="AU657" s="130"/>
      <c r="AV657" s="130"/>
      <c r="AW657" s="130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45"/>
    </row>
    <row r="658" ht="15.75" customHeight="1">
      <c r="A658" s="141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44"/>
      <c r="AO658" s="144"/>
      <c r="AP658" s="130"/>
      <c r="AQ658" s="130"/>
      <c r="AR658" s="130"/>
      <c r="AS658" s="130"/>
      <c r="AT658" s="130"/>
      <c r="AU658" s="130"/>
      <c r="AV658" s="130"/>
      <c r="AW658" s="130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45"/>
    </row>
    <row r="659" ht="15.75" customHeight="1">
      <c r="A659" s="141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44"/>
      <c r="AO659" s="144"/>
      <c r="AP659" s="130"/>
      <c r="AQ659" s="130"/>
      <c r="AR659" s="130"/>
      <c r="AS659" s="130"/>
      <c r="AT659" s="130"/>
      <c r="AU659" s="130"/>
      <c r="AV659" s="130"/>
      <c r="AW659" s="130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45"/>
    </row>
    <row r="660" ht="15.75" customHeight="1">
      <c r="A660" s="141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44"/>
      <c r="AO660" s="144"/>
      <c r="AP660" s="130"/>
      <c r="AQ660" s="130"/>
      <c r="AR660" s="130"/>
      <c r="AS660" s="130"/>
      <c r="AT660" s="130"/>
      <c r="AU660" s="130"/>
      <c r="AV660" s="130"/>
      <c r="AW660" s="130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45"/>
    </row>
    <row r="661" ht="15.75" customHeight="1">
      <c r="A661" s="141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44"/>
      <c r="AO661" s="144"/>
      <c r="AP661" s="130"/>
      <c r="AQ661" s="130"/>
      <c r="AR661" s="130"/>
      <c r="AS661" s="130"/>
      <c r="AT661" s="130"/>
      <c r="AU661" s="130"/>
      <c r="AV661" s="130"/>
      <c r="AW661" s="130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45"/>
    </row>
    <row r="662" ht="15.75" customHeight="1">
      <c r="A662" s="141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44"/>
      <c r="AO662" s="144"/>
      <c r="AP662" s="130"/>
      <c r="AQ662" s="130"/>
      <c r="AR662" s="130"/>
      <c r="AS662" s="130"/>
      <c r="AT662" s="130"/>
      <c r="AU662" s="130"/>
      <c r="AV662" s="130"/>
      <c r="AW662" s="130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45"/>
    </row>
    <row r="663" ht="15.75" customHeight="1">
      <c r="A663" s="141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44"/>
      <c r="AO663" s="144"/>
      <c r="AP663" s="130"/>
      <c r="AQ663" s="130"/>
      <c r="AR663" s="130"/>
      <c r="AS663" s="130"/>
      <c r="AT663" s="130"/>
      <c r="AU663" s="130"/>
      <c r="AV663" s="130"/>
      <c r="AW663" s="130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45"/>
    </row>
    <row r="664" ht="15.75" customHeight="1">
      <c r="A664" s="141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44"/>
      <c r="AO664" s="144"/>
      <c r="AP664" s="130"/>
      <c r="AQ664" s="130"/>
      <c r="AR664" s="130"/>
      <c r="AS664" s="130"/>
      <c r="AT664" s="130"/>
      <c r="AU664" s="130"/>
      <c r="AV664" s="130"/>
      <c r="AW664" s="130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45"/>
    </row>
    <row r="665" ht="15.75" customHeight="1">
      <c r="A665" s="141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44"/>
      <c r="AO665" s="144"/>
      <c r="AP665" s="130"/>
      <c r="AQ665" s="130"/>
      <c r="AR665" s="130"/>
      <c r="AS665" s="130"/>
      <c r="AT665" s="130"/>
      <c r="AU665" s="130"/>
      <c r="AV665" s="130"/>
      <c r="AW665" s="130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45"/>
    </row>
    <row r="666" ht="15.75" customHeight="1">
      <c r="A666" s="141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44"/>
      <c r="AO666" s="144"/>
      <c r="AP666" s="130"/>
      <c r="AQ666" s="130"/>
      <c r="AR666" s="130"/>
      <c r="AS666" s="130"/>
      <c r="AT666" s="130"/>
      <c r="AU666" s="130"/>
      <c r="AV666" s="130"/>
      <c r="AW666" s="130"/>
      <c r="AX666" s="129"/>
      <c r="AY666" s="129"/>
      <c r="AZ666" s="129"/>
      <c r="BA666" s="129"/>
      <c r="BB666" s="129"/>
      <c r="BC666" s="129"/>
      <c r="BD666" s="129"/>
      <c r="BE666" s="129"/>
      <c r="BF666" s="129"/>
      <c r="BG666" s="145"/>
    </row>
    <row r="667" ht="15.75" customHeight="1">
      <c r="A667" s="141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44"/>
      <c r="AO667" s="144"/>
      <c r="AP667" s="130"/>
      <c r="AQ667" s="130"/>
      <c r="AR667" s="130"/>
      <c r="AS667" s="130"/>
      <c r="AT667" s="130"/>
      <c r="AU667" s="130"/>
      <c r="AV667" s="130"/>
      <c r="AW667" s="130"/>
      <c r="AX667" s="129"/>
      <c r="AY667" s="129"/>
      <c r="AZ667" s="129"/>
      <c r="BA667" s="129"/>
      <c r="BB667" s="129"/>
      <c r="BC667" s="129"/>
      <c r="BD667" s="129"/>
      <c r="BE667" s="129"/>
      <c r="BF667" s="129"/>
      <c r="BG667" s="145"/>
    </row>
    <row r="668" ht="15.75" customHeight="1">
      <c r="A668" s="141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44"/>
      <c r="AO668" s="144"/>
      <c r="AP668" s="130"/>
      <c r="AQ668" s="130"/>
      <c r="AR668" s="130"/>
      <c r="AS668" s="130"/>
      <c r="AT668" s="130"/>
      <c r="AU668" s="130"/>
      <c r="AV668" s="130"/>
      <c r="AW668" s="130"/>
      <c r="AX668" s="129"/>
      <c r="AY668" s="129"/>
      <c r="AZ668" s="129"/>
      <c r="BA668" s="129"/>
      <c r="BB668" s="129"/>
      <c r="BC668" s="129"/>
      <c r="BD668" s="129"/>
      <c r="BE668" s="129"/>
      <c r="BF668" s="129"/>
      <c r="BG668" s="145"/>
    </row>
    <row r="669" ht="15.75" customHeight="1">
      <c r="A669" s="141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44"/>
      <c r="AO669" s="144"/>
      <c r="AP669" s="130"/>
      <c r="AQ669" s="130"/>
      <c r="AR669" s="130"/>
      <c r="AS669" s="130"/>
      <c r="AT669" s="130"/>
      <c r="AU669" s="130"/>
      <c r="AV669" s="130"/>
      <c r="AW669" s="130"/>
      <c r="AX669" s="129"/>
      <c r="AY669" s="129"/>
      <c r="AZ669" s="129"/>
      <c r="BA669" s="129"/>
      <c r="BB669" s="129"/>
      <c r="BC669" s="129"/>
      <c r="BD669" s="129"/>
      <c r="BE669" s="129"/>
      <c r="BF669" s="129"/>
      <c r="BG669" s="145"/>
    </row>
    <row r="670" ht="15.75" customHeight="1">
      <c r="A670" s="141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44"/>
      <c r="AO670" s="144"/>
      <c r="AP670" s="130"/>
      <c r="AQ670" s="130"/>
      <c r="AR670" s="130"/>
      <c r="AS670" s="130"/>
      <c r="AT670" s="130"/>
      <c r="AU670" s="130"/>
      <c r="AV670" s="130"/>
      <c r="AW670" s="130"/>
      <c r="AX670" s="129"/>
      <c r="AY670" s="129"/>
      <c r="AZ670" s="129"/>
      <c r="BA670" s="129"/>
      <c r="BB670" s="129"/>
      <c r="BC670" s="129"/>
      <c r="BD670" s="129"/>
      <c r="BE670" s="129"/>
      <c r="BF670" s="129"/>
      <c r="BG670" s="145"/>
    </row>
    <row r="671" ht="15.75" customHeight="1">
      <c r="A671" s="141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44"/>
      <c r="AO671" s="144"/>
      <c r="AP671" s="130"/>
      <c r="AQ671" s="130"/>
      <c r="AR671" s="130"/>
      <c r="AS671" s="130"/>
      <c r="AT671" s="130"/>
      <c r="AU671" s="130"/>
      <c r="AV671" s="130"/>
      <c r="AW671" s="130"/>
      <c r="AX671" s="129"/>
      <c r="AY671" s="129"/>
      <c r="AZ671" s="129"/>
      <c r="BA671" s="129"/>
      <c r="BB671" s="129"/>
      <c r="BC671" s="129"/>
      <c r="BD671" s="129"/>
      <c r="BE671" s="129"/>
      <c r="BF671" s="129"/>
      <c r="BG671" s="145"/>
    </row>
    <row r="672" ht="15.75" customHeight="1">
      <c r="A672" s="141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44"/>
      <c r="AO672" s="144"/>
      <c r="AP672" s="130"/>
      <c r="AQ672" s="130"/>
      <c r="AR672" s="130"/>
      <c r="AS672" s="130"/>
      <c r="AT672" s="130"/>
      <c r="AU672" s="130"/>
      <c r="AV672" s="130"/>
      <c r="AW672" s="130"/>
      <c r="AX672" s="129"/>
      <c r="AY672" s="129"/>
      <c r="AZ672" s="129"/>
      <c r="BA672" s="129"/>
      <c r="BB672" s="129"/>
      <c r="BC672" s="129"/>
      <c r="BD672" s="129"/>
      <c r="BE672" s="129"/>
      <c r="BF672" s="129"/>
      <c r="BG672" s="145"/>
    </row>
    <row r="673" ht="15.75" customHeight="1">
      <c r="A673" s="141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44"/>
      <c r="AO673" s="144"/>
      <c r="AP673" s="130"/>
      <c r="AQ673" s="130"/>
      <c r="AR673" s="130"/>
      <c r="AS673" s="130"/>
      <c r="AT673" s="130"/>
      <c r="AU673" s="130"/>
      <c r="AV673" s="130"/>
      <c r="AW673" s="130"/>
      <c r="AX673" s="129"/>
      <c r="AY673" s="129"/>
      <c r="AZ673" s="129"/>
      <c r="BA673" s="129"/>
      <c r="BB673" s="129"/>
      <c r="BC673" s="129"/>
      <c r="BD673" s="129"/>
      <c r="BE673" s="129"/>
      <c r="BF673" s="129"/>
      <c r="BG673" s="145"/>
    </row>
    <row r="674" ht="15.75" customHeight="1">
      <c r="A674" s="141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44"/>
      <c r="AO674" s="144"/>
      <c r="AP674" s="130"/>
      <c r="AQ674" s="130"/>
      <c r="AR674" s="130"/>
      <c r="AS674" s="130"/>
      <c r="AT674" s="130"/>
      <c r="AU674" s="130"/>
      <c r="AV674" s="130"/>
      <c r="AW674" s="130"/>
      <c r="AX674" s="129"/>
      <c r="AY674" s="129"/>
      <c r="AZ674" s="129"/>
      <c r="BA674" s="129"/>
      <c r="BB674" s="129"/>
      <c r="BC674" s="129"/>
      <c r="BD674" s="129"/>
      <c r="BE674" s="129"/>
      <c r="BF674" s="129"/>
      <c r="BG674" s="145"/>
    </row>
    <row r="675" ht="15.75" customHeight="1">
      <c r="A675" s="141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44"/>
      <c r="AO675" s="144"/>
      <c r="AP675" s="130"/>
      <c r="AQ675" s="130"/>
      <c r="AR675" s="130"/>
      <c r="AS675" s="130"/>
      <c r="AT675" s="130"/>
      <c r="AU675" s="130"/>
      <c r="AV675" s="130"/>
      <c r="AW675" s="130"/>
      <c r="AX675" s="129"/>
      <c r="AY675" s="129"/>
      <c r="AZ675" s="129"/>
      <c r="BA675" s="129"/>
      <c r="BB675" s="129"/>
      <c r="BC675" s="129"/>
      <c r="BD675" s="129"/>
      <c r="BE675" s="129"/>
      <c r="BF675" s="129"/>
      <c r="BG675" s="145"/>
    </row>
    <row r="676" ht="15.75" customHeight="1">
      <c r="A676" s="141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44"/>
      <c r="AO676" s="144"/>
      <c r="AP676" s="130"/>
      <c r="AQ676" s="130"/>
      <c r="AR676" s="130"/>
      <c r="AS676" s="130"/>
      <c r="AT676" s="130"/>
      <c r="AU676" s="130"/>
      <c r="AV676" s="130"/>
      <c r="AW676" s="130"/>
      <c r="AX676" s="129"/>
      <c r="AY676" s="129"/>
      <c r="AZ676" s="129"/>
      <c r="BA676" s="129"/>
      <c r="BB676" s="129"/>
      <c r="BC676" s="129"/>
      <c r="BD676" s="129"/>
      <c r="BE676" s="129"/>
      <c r="BF676" s="129"/>
      <c r="BG676" s="145"/>
    </row>
    <row r="677" ht="15.75" customHeight="1">
      <c r="A677" s="141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44"/>
      <c r="AO677" s="144"/>
      <c r="AP677" s="130"/>
      <c r="AQ677" s="130"/>
      <c r="AR677" s="130"/>
      <c r="AS677" s="130"/>
      <c r="AT677" s="130"/>
      <c r="AU677" s="130"/>
      <c r="AV677" s="130"/>
      <c r="AW677" s="130"/>
      <c r="AX677" s="129"/>
      <c r="AY677" s="129"/>
      <c r="AZ677" s="129"/>
      <c r="BA677" s="129"/>
      <c r="BB677" s="129"/>
      <c r="BC677" s="129"/>
      <c r="BD677" s="129"/>
      <c r="BE677" s="129"/>
      <c r="BF677" s="129"/>
      <c r="BG677" s="145"/>
    </row>
    <row r="678" ht="15.75" customHeight="1">
      <c r="A678" s="141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44"/>
      <c r="AO678" s="144"/>
      <c r="AP678" s="130"/>
      <c r="AQ678" s="130"/>
      <c r="AR678" s="130"/>
      <c r="AS678" s="130"/>
      <c r="AT678" s="130"/>
      <c r="AU678" s="130"/>
      <c r="AV678" s="130"/>
      <c r="AW678" s="130"/>
      <c r="AX678" s="129"/>
      <c r="AY678" s="129"/>
      <c r="AZ678" s="129"/>
      <c r="BA678" s="129"/>
      <c r="BB678" s="129"/>
      <c r="BC678" s="129"/>
      <c r="BD678" s="129"/>
      <c r="BE678" s="129"/>
      <c r="BF678" s="129"/>
      <c r="BG678" s="145"/>
    </row>
    <row r="679" ht="15.75" customHeight="1">
      <c r="A679" s="141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44"/>
      <c r="AO679" s="144"/>
      <c r="AP679" s="130"/>
      <c r="AQ679" s="130"/>
      <c r="AR679" s="130"/>
      <c r="AS679" s="130"/>
      <c r="AT679" s="130"/>
      <c r="AU679" s="130"/>
      <c r="AV679" s="130"/>
      <c r="AW679" s="130"/>
      <c r="AX679" s="129"/>
      <c r="AY679" s="129"/>
      <c r="AZ679" s="129"/>
      <c r="BA679" s="129"/>
      <c r="BB679" s="129"/>
      <c r="BC679" s="129"/>
      <c r="BD679" s="129"/>
      <c r="BE679" s="129"/>
      <c r="BF679" s="129"/>
      <c r="BG679" s="145"/>
    </row>
    <row r="680" ht="15.75" customHeight="1">
      <c r="A680" s="141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44"/>
      <c r="AO680" s="144"/>
      <c r="AP680" s="130"/>
      <c r="AQ680" s="130"/>
      <c r="AR680" s="130"/>
      <c r="AS680" s="130"/>
      <c r="AT680" s="130"/>
      <c r="AU680" s="130"/>
      <c r="AV680" s="130"/>
      <c r="AW680" s="130"/>
      <c r="AX680" s="129"/>
      <c r="AY680" s="129"/>
      <c r="AZ680" s="129"/>
      <c r="BA680" s="129"/>
      <c r="BB680" s="129"/>
      <c r="BC680" s="129"/>
      <c r="BD680" s="129"/>
      <c r="BE680" s="129"/>
      <c r="BF680" s="129"/>
      <c r="BG680" s="145"/>
    </row>
    <row r="681" ht="15.75" customHeight="1">
      <c r="A681" s="141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44"/>
      <c r="AO681" s="144"/>
      <c r="AP681" s="130"/>
      <c r="AQ681" s="130"/>
      <c r="AR681" s="130"/>
      <c r="AS681" s="130"/>
      <c r="AT681" s="130"/>
      <c r="AU681" s="130"/>
      <c r="AV681" s="130"/>
      <c r="AW681" s="130"/>
      <c r="AX681" s="129"/>
      <c r="AY681" s="129"/>
      <c r="AZ681" s="129"/>
      <c r="BA681" s="129"/>
      <c r="BB681" s="129"/>
      <c r="BC681" s="129"/>
      <c r="BD681" s="129"/>
      <c r="BE681" s="129"/>
      <c r="BF681" s="129"/>
      <c r="BG681" s="145"/>
    </row>
    <row r="682" ht="15.75" customHeight="1">
      <c r="A682" s="141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44"/>
      <c r="AO682" s="144"/>
      <c r="AP682" s="130"/>
      <c r="AQ682" s="130"/>
      <c r="AR682" s="130"/>
      <c r="AS682" s="130"/>
      <c r="AT682" s="130"/>
      <c r="AU682" s="130"/>
      <c r="AV682" s="130"/>
      <c r="AW682" s="130"/>
      <c r="AX682" s="129"/>
      <c r="AY682" s="129"/>
      <c r="AZ682" s="129"/>
      <c r="BA682" s="129"/>
      <c r="BB682" s="129"/>
      <c r="BC682" s="129"/>
      <c r="BD682" s="129"/>
      <c r="BE682" s="129"/>
      <c r="BF682" s="129"/>
      <c r="BG682" s="145"/>
    </row>
    <row r="683" ht="15.75" customHeight="1">
      <c r="A683" s="141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44"/>
      <c r="AO683" s="144"/>
      <c r="AP683" s="130"/>
      <c r="AQ683" s="130"/>
      <c r="AR683" s="130"/>
      <c r="AS683" s="130"/>
      <c r="AT683" s="130"/>
      <c r="AU683" s="130"/>
      <c r="AV683" s="130"/>
      <c r="AW683" s="130"/>
      <c r="AX683" s="129"/>
      <c r="AY683" s="129"/>
      <c r="AZ683" s="129"/>
      <c r="BA683" s="129"/>
      <c r="BB683" s="129"/>
      <c r="BC683" s="129"/>
      <c r="BD683" s="129"/>
      <c r="BE683" s="129"/>
      <c r="BF683" s="129"/>
      <c r="BG683" s="145"/>
    </row>
    <row r="684" ht="15.75" customHeight="1">
      <c r="A684" s="141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44"/>
      <c r="AO684" s="144"/>
      <c r="AP684" s="130"/>
      <c r="AQ684" s="130"/>
      <c r="AR684" s="130"/>
      <c r="AS684" s="130"/>
      <c r="AT684" s="130"/>
      <c r="AU684" s="130"/>
      <c r="AV684" s="130"/>
      <c r="AW684" s="130"/>
      <c r="AX684" s="129"/>
      <c r="AY684" s="129"/>
      <c r="AZ684" s="129"/>
      <c r="BA684" s="129"/>
      <c r="BB684" s="129"/>
      <c r="BC684" s="129"/>
      <c r="BD684" s="129"/>
      <c r="BE684" s="129"/>
      <c r="BF684" s="129"/>
      <c r="BG684" s="145"/>
    </row>
    <row r="685" ht="15.75" customHeight="1">
      <c r="A685" s="141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44"/>
      <c r="AO685" s="144"/>
      <c r="AP685" s="130"/>
      <c r="AQ685" s="130"/>
      <c r="AR685" s="130"/>
      <c r="AS685" s="130"/>
      <c r="AT685" s="130"/>
      <c r="AU685" s="130"/>
      <c r="AV685" s="130"/>
      <c r="AW685" s="130"/>
      <c r="AX685" s="129"/>
      <c r="AY685" s="129"/>
      <c r="AZ685" s="129"/>
      <c r="BA685" s="129"/>
      <c r="BB685" s="129"/>
      <c r="BC685" s="129"/>
      <c r="BD685" s="129"/>
      <c r="BE685" s="129"/>
      <c r="BF685" s="129"/>
      <c r="BG685" s="145"/>
    </row>
    <row r="686" ht="15.75" customHeight="1">
      <c r="A686" s="141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44"/>
      <c r="AO686" s="144"/>
      <c r="AP686" s="130"/>
      <c r="AQ686" s="130"/>
      <c r="AR686" s="130"/>
      <c r="AS686" s="130"/>
      <c r="AT686" s="130"/>
      <c r="AU686" s="130"/>
      <c r="AV686" s="130"/>
      <c r="AW686" s="130"/>
      <c r="AX686" s="129"/>
      <c r="AY686" s="129"/>
      <c r="AZ686" s="129"/>
      <c r="BA686" s="129"/>
      <c r="BB686" s="129"/>
      <c r="BC686" s="129"/>
      <c r="BD686" s="129"/>
      <c r="BE686" s="129"/>
      <c r="BF686" s="129"/>
      <c r="BG686" s="145"/>
    </row>
    <row r="687" ht="15.75" customHeight="1">
      <c r="A687" s="141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44"/>
      <c r="AO687" s="144"/>
      <c r="AP687" s="130"/>
      <c r="AQ687" s="130"/>
      <c r="AR687" s="130"/>
      <c r="AS687" s="130"/>
      <c r="AT687" s="130"/>
      <c r="AU687" s="130"/>
      <c r="AV687" s="130"/>
      <c r="AW687" s="130"/>
      <c r="AX687" s="129"/>
      <c r="AY687" s="129"/>
      <c r="AZ687" s="129"/>
      <c r="BA687" s="129"/>
      <c r="BB687" s="129"/>
      <c r="BC687" s="129"/>
      <c r="BD687" s="129"/>
      <c r="BE687" s="129"/>
      <c r="BF687" s="129"/>
      <c r="BG687" s="145"/>
    </row>
    <row r="688" ht="15.75" customHeight="1">
      <c r="A688" s="141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44"/>
      <c r="AO688" s="144"/>
      <c r="AP688" s="130"/>
      <c r="AQ688" s="130"/>
      <c r="AR688" s="130"/>
      <c r="AS688" s="130"/>
      <c r="AT688" s="130"/>
      <c r="AU688" s="130"/>
      <c r="AV688" s="130"/>
      <c r="AW688" s="130"/>
      <c r="AX688" s="129"/>
      <c r="AY688" s="129"/>
      <c r="AZ688" s="129"/>
      <c r="BA688" s="129"/>
      <c r="BB688" s="129"/>
      <c r="BC688" s="129"/>
      <c r="BD688" s="129"/>
      <c r="BE688" s="129"/>
      <c r="BF688" s="129"/>
      <c r="BG688" s="145"/>
    </row>
    <row r="689" ht="15.75" customHeight="1">
      <c r="A689" s="141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44"/>
      <c r="AO689" s="144"/>
      <c r="AP689" s="130"/>
      <c r="AQ689" s="130"/>
      <c r="AR689" s="130"/>
      <c r="AS689" s="130"/>
      <c r="AT689" s="130"/>
      <c r="AU689" s="130"/>
      <c r="AV689" s="130"/>
      <c r="AW689" s="130"/>
      <c r="AX689" s="129"/>
      <c r="AY689" s="129"/>
      <c r="AZ689" s="129"/>
      <c r="BA689" s="129"/>
      <c r="BB689" s="129"/>
      <c r="BC689" s="129"/>
      <c r="BD689" s="129"/>
      <c r="BE689" s="129"/>
      <c r="BF689" s="129"/>
      <c r="BG689" s="145"/>
    </row>
    <row r="690" ht="15.75" customHeight="1">
      <c r="A690" s="141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44"/>
      <c r="AO690" s="144"/>
      <c r="AP690" s="130"/>
      <c r="AQ690" s="130"/>
      <c r="AR690" s="130"/>
      <c r="AS690" s="130"/>
      <c r="AT690" s="130"/>
      <c r="AU690" s="130"/>
      <c r="AV690" s="130"/>
      <c r="AW690" s="130"/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45"/>
    </row>
    <row r="691" ht="15.75" customHeight="1">
      <c r="A691" s="141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44"/>
      <c r="AO691" s="144"/>
      <c r="AP691" s="130"/>
      <c r="AQ691" s="130"/>
      <c r="AR691" s="130"/>
      <c r="AS691" s="130"/>
      <c r="AT691" s="130"/>
      <c r="AU691" s="130"/>
      <c r="AV691" s="130"/>
      <c r="AW691" s="130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45"/>
    </row>
    <row r="692" ht="15.75" customHeight="1">
      <c r="A692" s="141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44"/>
      <c r="AO692" s="144"/>
      <c r="AP692" s="130"/>
      <c r="AQ692" s="130"/>
      <c r="AR692" s="130"/>
      <c r="AS692" s="130"/>
      <c r="AT692" s="130"/>
      <c r="AU692" s="130"/>
      <c r="AV692" s="130"/>
      <c r="AW692" s="130"/>
      <c r="AX692" s="129"/>
      <c r="AY692" s="129"/>
      <c r="AZ692" s="129"/>
      <c r="BA692" s="129"/>
      <c r="BB692" s="129"/>
      <c r="BC692" s="129"/>
      <c r="BD692" s="129"/>
      <c r="BE692" s="129"/>
      <c r="BF692" s="129"/>
      <c r="BG692" s="145"/>
    </row>
    <row r="693" ht="15.75" customHeight="1">
      <c r="A693" s="141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44"/>
      <c r="AO693" s="144"/>
      <c r="AP693" s="130"/>
      <c r="AQ693" s="130"/>
      <c r="AR693" s="130"/>
      <c r="AS693" s="130"/>
      <c r="AT693" s="130"/>
      <c r="AU693" s="130"/>
      <c r="AV693" s="130"/>
      <c r="AW693" s="130"/>
      <c r="AX693" s="129"/>
      <c r="AY693" s="129"/>
      <c r="AZ693" s="129"/>
      <c r="BA693" s="129"/>
      <c r="BB693" s="129"/>
      <c r="BC693" s="129"/>
      <c r="BD693" s="129"/>
      <c r="BE693" s="129"/>
      <c r="BF693" s="129"/>
      <c r="BG693" s="145"/>
    </row>
    <row r="694" ht="15.75" customHeight="1">
      <c r="A694" s="141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44"/>
      <c r="AO694" s="144"/>
      <c r="AP694" s="130"/>
      <c r="AQ694" s="130"/>
      <c r="AR694" s="130"/>
      <c r="AS694" s="130"/>
      <c r="AT694" s="130"/>
      <c r="AU694" s="130"/>
      <c r="AV694" s="130"/>
      <c r="AW694" s="130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45"/>
    </row>
    <row r="695" ht="15.75" customHeight="1">
      <c r="A695" s="141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44"/>
      <c r="AO695" s="144"/>
      <c r="AP695" s="130"/>
      <c r="AQ695" s="130"/>
      <c r="AR695" s="130"/>
      <c r="AS695" s="130"/>
      <c r="AT695" s="130"/>
      <c r="AU695" s="130"/>
      <c r="AV695" s="130"/>
      <c r="AW695" s="130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45"/>
    </row>
    <row r="696" ht="15.75" customHeight="1">
      <c r="A696" s="141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44"/>
      <c r="AO696" s="144"/>
      <c r="AP696" s="130"/>
      <c r="AQ696" s="130"/>
      <c r="AR696" s="130"/>
      <c r="AS696" s="130"/>
      <c r="AT696" s="130"/>
      <c r="AU696" s="130"/>
      <c r="AV696" s="130"/>
      <c r="AW696" s="130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45"/>
    </row>
    <row r="697" ht="15.75" customHeight="1">
      <c r="A697" s="141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44"/>
      <c r="AO697" s="144"/>
      <c r="AP697" s="130"/>
      <c r="AQ697" s="130"/>
      <c r="AR697" s="130"/>
      <c r="AS697" s="130"/>
      <c r="AT697" s="130"/>
      <c r="AU697" s="130"/>
      <c r="AV697" s="130"/>
      <c r="AW697" s="130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45"/>
    </row>
    <row r="698" ht="15.75" customHeight="1">
      <c r="A698" s="141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44"/>
      <c r="AO698" s="144"/>
      <c r="AP698" s="130"/>
      <c r="AQ698" s="130"/>
      <c r="AR698" s="130"/>
      <c r="AS698" s="130"/>
      <c r="AT698" s="130"/>
      <c r="AU698" s="130"/>
      <c r="AV698" s="130"/>
      <c r="AW698" s="130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45"/>
    </row>
    <row r="699" ht="15.75" customHeight="1">
      <c r="A699" s="141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44"/>
      <c r="AO699" s="144"/>
      <c r="AP699" s="130"/>
      <c r="AQ699" s="130"/>
      <c r="AR699" s="130"/>
      <c r="AS699" s="130"/>
      <c r="AT699" s="130"/>
      <c r="AU699" s="130"/>
      <c r="AV699" s="130"/>
      <c r="AW699" s="130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45"/>
    </row>
    <row r="700" ht="15.75" customHeight="1">
      <c r="A700" s="141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44"/>
      <c r="AO700" s="144"/>
      <c r="AP700" s="130"/>
      <c r="AQ700" s="130"/>
      <c r="AR700" s="130"/>
      <c r="AS700" s="130"/>
      <c r="AT700" s="130"/>
      <c r="AU700" s="130"/>
      <c r="AV700" s="130"/>
      <c r="AW700" s="130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45"/>
    </row>
    <row r="701" ht="15.75" customHeight="1">
      <c r="A701" s="141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44"/>
      <c r="AO701" s="144"/>
      <c r="AP701" s="130"/>
      <c r="AQ701" s="130"/>
      <c r="AR701" s="130"/>
      <c r="AS701" s="130"/>
      <c r="AT701" s="130"/>
      <c r="AU701" s="130"/>
      <c r="AV701" s="130"/>
      <c r="AW701" s="130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45"/>
    </row>
    <row r="702" ht="15.75" customHeight="1">
      <c r="A702" s="141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44"/>
      <c r="AO702" s="144"/>
      <c r="AP702" s="130"/>
      <c r="AQ702" s="130"/>
      <c r="AR702" s="130"/>
      <c r="AS702" s="130"/>
      <c r="AT702" s="130"/>
      <c r="AU702" s="130"/>
      <c r="AV702" s="130"/>
      <c r="AW702" s="130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45"/>
    </row>
    <row r="703" ht="15.75" customHeight="1">
      <c r="A703" s="141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44"/>
      <c r="AO703" s="144"/>
      <c r="AP703" s="130"/>
      <c r="AQ703" s="130"/>
      <c r="AR703" s="130"/>
      <c r="AS703" s="130"/>
      <c r="AT703" s="130"/>
      <c r="AU703" s="130"/>
      <c r="AV703" s="130"/>
      <c r="AW703" s="130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45"/>
    </row>
    <row r="704" ht="15.75" customHeight="1">
      <c r="A704" s="141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44"/>
      <c r="AO704" s="144"/>
      <c r="AP704" s="130"/>
      <c r="AQ704" s="130"/>
      <c r="AR704" s="130"/>
      <c r="AS704" s="130"/>
      <c r="AT704" s="130"/>
      <c r="AU704" s="130"/>
      <c r="AV704" s="130"/>
      <c r="AW704" s="130"/>
      <c r="AX704" s="129"/>
      <c r="AY704" s="129"/>
      <c r="AZ704" s="129"/>
      <c r="BA704" s="129"/>
      <c r="BB704" s="129"/>
      <c r="BC704" s="129"/>
      <c r="BD704" s="129"/>
      <c r="BE704" s="129"/>
      <c r="BF704" s="129"/>
      <c r="BG704" s="145"/>
    </row>
    <row r="705" ht="15.75" customHeight="1">
      <c r="A705" s="141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44"/>
      <c r="AO705" s="144"/>
      <c r="AP705" s="130"/>
      <c r="AQ705" s="130"/>
      <c r="AR705" s="130"/>
      <c r="AS705" s="130"/>
      <c r="AT705" s="130"/>
      <c r="AU705" s="130"/>
      <c r="AV705" s="130"/>
      <c r="AW705" s="130"/>
      <c r="AX705" s="129"/>
      <c r="AY705" s="129"/>
      <c r="AZ705" s="129"/>
      <c r="BA705" s="129"/>
      <c r="BB705" s="129"/>
      <c r="BC705" s="129"/>
      <c r="BD705" s="129"/>
      <c r="BE705" s="129"/>
      <c r="BF705" s="129"/>
      <c r="BG705" s="145"/>
    </row>
    <row r="706" ht="15.75" customHeight="1">
      <c r="A706" s="141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44"/>
      <c r="AO706" s="144"/>
      <c r="AP706" s="130"/>
      <c r="AQ706" s="130"/>
      <c r="AR706" s="130"/>
      <c r="AS706" s="130"/>
      <c r="AT706" s="130"/>
      <c r="AU706" s="130"/>
      <c r="AV706" s="130"/>
      <c r="AW706" s="130"/>
      <c r="AX706" s="129"/>
      <c r="AY706" s="129"/>
      <c r="AZ706" s="129"/>
      <c r="BA706" s="129"/>
      <c r="BB706" s="129"/>
      <c r="BC706" s="129"/>
      <c r="BD706" s="129"/>
      <c r="BE706" s="129"/>
      <c r="BF706" s="129"/>
      <c r="BG706" s="145"/>
    </row>
    <row r="707" ht="15.75" customHeight="1">
      <c r="A707" s="141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44"/>
      <c r="AO707" s="144"/>
      <c r="AP707" s="130"/>
      <c r="AQ707" s="130"/>
      <c r="AR707" s="130"/>
      <c r="AS707" s="130"/>
      <c r="AT707" s="130"/>
      <c r="AU707" s="130"/>
      <c r="AV707" s="130"/>
      <c r="AW707" s="130"/>
      <c r="AX707" s="129"/>
      <c r="AY707" s="129"/>
      <c r="AZ707" s="129"/>
      <c r="BA707" s="129"/>
      <c r="BB707" s="129"/>
      <c r="BC707" s="129"/>
      <c r="BD707" s="129"/>
      <c r="BE707" s="129"/>
      <c r="BF707" s="129"/>
      <c r="BG707" s="145"/>
    </row>
    <row r="708" ht="15.75" customHeight="1">
      <c r="A708" s="141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44"/>
      <c r="AO708" s="144"/>
      <c r="AP708" s="130"/>
      <c r="AQ708" s="130"/>
      <c r="AR708" s="130"/>
      <c r="AS708" s="130"/>
      <c r="AT708" s="130"/>
      <c r="AU708" s="130"/>
      <c r="AV708" s="130"/>
      <c r="AW708" s="130"/>
      <c r="AX708" s="129"/>
      <c r="AY708" s="129"/>
      <c r="AZ708" s="129"/>
      <c r="BA708" s="129"/>
      <c r="BB708" s="129"/>
      <c r="BC708" s="129"/>
      <c r="BD708" s="129"/>
      <c r="BE708" s="129"/>
      <c r="BF708" s="129"/>
      <c r="BG708" s="145"/>
    </row>
    <row r="709" ht="15.75" customHeight="1">
      <c r="A709" s="141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44"/>
      <c r="AO709" s="144"/>
      <c r="AP709" s="130"/>
      <c r="AQ709" s="130"/>
      <c r="AR709" s="130"/>
      <c r="AS709" s="130"/>
      <c r="AT709" s="130"/>
      <c r="AU709" s="130"/>
      <c r="AV709" s="130"/>
      <c r="AW709" s="130"/>
      <c r="AX709" s="129"/>
      <c r="AY709" s="129"/>
      <c r="AZ709" s="129"/>
      <c r="BA709" s="129"/>
      <c r="BB709" s="129"/>
      <c r="BC709" s="129"/>
      <c r="BD709" s="129"/>
      <c r="BE709" s="129"/>
      <c r="BF709" s="129"/>
      <c r="BG709" s="145"/>
    </row>
    <row r="710" ht="15.75" customHeight="1">
      <c r="A710" s="141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44"/>
      <c r="AO710" s="144"/>
      <c r="AP710" s="130"/>
      <c r="AQ710" s="130"/>
      <c r="AR710" s="130"/>
      <c r="AS710" s="130"/>
      <c r="AT710" s="130"/>
      <c r="AU710" s="130"/>
      <c r="AV710" s="130"/>
      <c r="AW710" s="130"/>
      <c r="AX710" s="129"/>
      <c r="AY710" s="129"/>
      <c r="AZ710" s="129"/>
      <c r="BA710" s="129"/>
      <c r="BB710" s="129"/>
      <c r="BC710" s="129"/>
      <c r="BD710" s="129"/>
      <c r="BE710" s="129"/>
      <c r="BF710" s="129"/>
      <c r="BG710" s="145"/>
    </row>
    <row r="711" ht="15.75" customHeight="1">
      <c r="A711" s="141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44"/>
      <c r="AO711" s="144"/>
      <c r="AP711" s="130"/>
      <c r="AQ711" s="130"/>
      <c r="AR711" s="130"/>
      <c r="AS711" s="130"/>
      <c r="AT711" s="130"/>
      <c r="AU711" s="130"/>
      <c r="AV711" s="130"/>
      <c r="AW711" s="130"/>
      <c r="AX711" s="129"/>
      <c r="AY711" s="129"/>
      <c r="AZ711" s="129"/>
      <c r="BA711" s="129"/>
      <c r="BB711" s="129"/>
      <c r="BC711" s="129"/>
      <c r="BD711" s="129"/>
      <c r="BE711" s="129"/>
      <c r="BF711" s="129"/>
      <c r="BG711" s="145"/>
    </row>
    <row r="712" ht="15.75" customHeight="1">
      <c r="A712" s="141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44"/>
      <c r="AO712" s="144"/>
      <c r="AP712" s="130"/>
      <c r="AQ712" s="130"/>
      <c r="AR712" s="130"/>
      <c r="AS712" s="130"/>
      <c r="AT712" s="130"/>
      <c r="AU712" s="130"/>
      <c r="AV712" s="130"/>
      <c r="AW712" s="130"/>
      <c r="AX712" s="129"/>
      <c r="AY712" s="129"/>
      <c r="AZ712" s="129"/>
      <c r="BA712" s="129"/>
      <c r="BB712" s="129"/>
      <c r="BC712" s="129"/>
      <c r="BD712" s="129"/>
      <c r="BE712" s="129"/>
      <c r="BF712" s="129"/>
      <c r="BG712" s="145"/>
    </row>
    <row r="713" ht="15.75" customHeight="1">
      <c r="A713" s="141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44"/>
      <c r="AO713" s="144"/>
      <c r="AP713" s="130"/>
      <c r="AQ713" s="130"/>
      <c r="AR713" s="130"/>
      <c r="AS713" s="130"/>
      <c r="AT713" s="130"/>
      <c r="AU713" s="130"/>
      <c r="AV713" s="130"/>
      <c r="AW713" s="130"/>
      <c r="AX713" s="129"/>
      <c r="AY713" s="129"/>
      <c r="AZ713" s="129"/>
      <c r="BA713" s="129"/>
      <c r="BB713" s="129"/>
      <c r="BC713" s="129"/>
      <c r="BD713" s="129"/>
      <c r="BE713" s="129"/>
      <c r="BF713" s="129"/>
      <c r="BG713" s="145"/>
    </row>
    <row r="714" ht="15.75" customHeight="1">
      <c r="A714" s="141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44"/>
      <c r="AO714" s="144"/>
      <c r="AP714" s="130"/>
      <c r="AQ714" s="130"/>
      <c r="AR714" s="130"/>
      <c r="AS714" s="130"/>
      <c r="AT714" s="130"/>
      <c r="AU714" s="130"/>
      <c r="AV714" s="130"/>
      <c r="AW714" s="130"/>
      <c r="AX714" s="129"/>
      <c r="AY714" s="129"/>
      <c r="AZ714" s="129"/>
      <c r="BA714" s="129"/>
      <c r="BB714" s="129"/>
      <c r="BC714" s="129"/>
      <c r="BD714" s="129"/>
      <c r="BE714" s="129"/>
      <c r="BF714" s="129"/>
      <c r="BG714" s="145"/>
    </row>
    <row r="715" ht="15.75" customHeight="1">
      <c r="A715" s="141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44"/>
      <c r="AO715" s="144"/>
      <c r="AP715" s="130"/>
      <c r="AQ715" s="130"/>
      <c r="AR715" s="130"/>
      <c r="AS715" s="130"/>
      <c r="AT715" s="130"/>
      <c r="AU715" s="130"/>
      <c r="AV715" s="130"/>
      <c r="AW715" s="130"/>
      <c r="AX715" s="129"/>
      <c r="AY715" s="129"/>
      <c r="AZ715" s="129"/>
      <c r="BA715" s="129"/>
      <c r="BB715" s="129"/>
      <c r="BC715" s="129"/>
      <c r="BD715" s="129"/>
      <c r="BE715" s="129"/>
      <c r="BF715" s="129"/>
      <c r="BG715" s="145"/>
    </row>
    <row r="716" ht="15.75" customHeight="1">
      <c r="A716" s="141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44"/>
      <c r="AO716" s="144"/>
      <c r="AP716" s="130"/>
      <c r="AQ716" s="130"/>
      <c r="AR716" s="130"/>
      <c r="AS716" s="130"/>
      <c r="AT716" s="130"/>
      <c r="AU716" s="130"/>
      <c r="AV716" s="130"/>
      <c r="AW716" s="130"/>
      <c r="AX716" s="129"/>
      <c r="AY716" s="129"/>
      <c r="AZ716" s="129"/>
      <c r="BA716" s="129"/>
      <c r="BB716" s="129"/>
      <c r="BC716" s="129"/>
      <c r="BD716" s="129"/>
      <c r="BE716" s="129"/>
      <c r="BF716" s="129"/>
      <c r="BG716" s="145"/>
    </row>
    <row r="717" ht="15.75" customHeight="1">
      <c r="A717" s="141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44"/>
      <c r="AO717" s="144"/>
      <c r="AP717" s="130"/>
      <c r="AQ717" s="130"/>
      <c r="AR717" s="130"/>
      <c r="AS717" s="130"/>
      <c r="AT717" s="130"/>
      <c r="AU717" s="130"/>
      <c r="AV717" s="130"/>
      <c r="AW717" s="130"/>
      <c r="AX717" s="129"/>
      <c r="AY717" s="129"/>
      <c r="AZ717" s="129"/>
      <c r="BA717" s="129"/>
      <c r="BB717" s="129"/>
      <c r="BC717" s="129"/>
      <c r="BD717" s="129"/>
      <c r="BE717" s="129"/>
      <c r="BF717" s="129"/>
      <c r="BG717" s="145"/>
    </row>
    <row r="718" ht="15.75" customHeight="1">
      <c r="A718" s="141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44"/>
      <c r="AO718" s="144"/>
      <c r="AP718" s="130"/>
      <c r="AQ718" s="130"/>
      <c r="AR718" s="130"/>
      <c r="AS718" s="130"/>
      <c r="AT718" s="130"/>
      <c r="AU718" s="130"/>
      <c r="AV718" s="130"/>
      <c r="AW718" s="130"/>
      <c r="AX718" s="129"/>
      <c r="AY718" s="129"/>
      <c r="AZ718" s="129"/>
      <c r="BA718" s="129"/>
      <c r="BB718" s="129"/>
      <c r="BC718" s="129"/>
      <c r="BD718" s="129"/>
      <c r="BE718" s="129"/>
      <c r="BF718" s="129"/>
      <c r="BG718" s="145"/>
    </row>
    <row r="719" ht="15.75" customHeight="1">
      <c r="A719" s="141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44"/>
      <c r="AO719" s="144"/>
      <c r="AP719" s="130"/>
      <c r="AQ719" s="130"/>
      <c r="AR719" s="130"/>
      <c r="AS719" s="130"/>
      <c r="AT719" s="130"/>
      <c r="AU719" s="130"/>
      <c r="AV719" s="130"/>
      <c r="AW719" s="130"/>
      <c r="AX719" s="129"/>
      <c r="AY719" s="129"/>
      <c r="AZ719" s="129"/>
      <c r="BA719" s="129"/>
      <c r="BB719" s="129"/>
      <c r="BC719" s="129"/>
      <c r="BD719" s="129"/>
      <c r="BE719" s="129"/>
      <c r="BF719" s="129"/>
      <c r="BG719" s="145"/>
    </row>
    <row r="720" ht="15.75" customHeight="1">
      <c r="A720" s="141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44"/>
      <c r="AO720" s="144"/>
      <c r="AP720" s="130"/>
      <c r="AQ720" s="130"/>
      <c r="AR720" s="130"/>
      <c r="AS720" s="130"/>
      <c r="AT720" s="130"/>
      <c r="AU720" s="130"/>
      <c r="AV720" s="130"/>
      <c r="AW720" s="130"/>
      <c r="AX720" s="129"/>
      <c r="AY720" s="129"/>
      <c r="AZ720" s="129"/>
      <c r="BA720" s="129"/>
      <c r="BB720" s="129"/>
      <c r="BC720" s="129"/>
      <c r="BD720" s="129"/>
      <c r="BE720" s="129"/>
      <c r="BF720" s="129"/>
      <c r="BG720" s="145"/>
    </row>
    <row r="721" ht="15.75" customHeight="1">
      <c r="A721" s="141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44"/>
      <c r="AO721" s="144"/>
      <c r="AP721" s="130"/>
      <c r="AQ721" s="130"/>
      <c r="AR721" s="130"/>
      <c r="AS721" s="130"/>
      <c r="AT721" s="130"/>
      <c r="AU721" s="130"/>
      <c r="AV721" s="130"/>
      <c r="AW721" s="130"/>
      <c r="AX721" s="129"/>
      <c r="AY721" s="129"/>
      <c r="AZ721" s="129"/>
      <c r="BA721" s="129"/>
      <c r="BB721" s="129"/>
      <c r="BC721" s="129"/>
      <c r="BD721" s="129"/>
      <c r="BE721" s="129"/>
      <c r="BF721" s="129"/>
      <c r="BG721" s="145"/>
    </row>
    <row r="722" ht="15.75" customHeight="1">
      <c r="A722" s="141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44"/>
      <c r="AO722" s="144"/>
      <c r="AP722" s="130"/>
      <c r="AQ722" s="130"/>
      <c r="AR722" s="130"/>
      <c r="AS722" s="130"/>
      <c r="AT722" s="130"/>
      <c r="AU722" s="130"/>
      <c r="AV722" s="130"/>
      <c r="AW722" s="130"/>
      <c r="AX722" s="129"/>
      <c r="AY722" s="129"/>
      <c r="AZ722" s="129"/>
      <c r="BA722" s="129"/>
      <c r="BB722" s="129"/>
      <c r="BC722" s="129"/>
      <c r="BD722" s="129"/>
      <c r="BE722" s="129"/>
      <c r="BF722" s="129"/>
      <c r="BG722" s="145"/>
    </row>
    <row r="723" ht="15.75" customHeight="1">
      <c r="A723" s="141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44"/>
      <c r="AO723" s="144"/>
      <c r="AP723" s="130"/>
      <c r="AQ723" s="130"/>
      <c r="AR723" s="130"/>
      <c r="AS723" s="130"/>
      <c r="AT723" s="130"/>
      <c r="AU723" s="130"/>
      <c r="AV723" s="130"/>
      <c r="AW723" s="130"/>
      <c r="AX723" s="129"/>
      <c r="AY723" s="129"/>
      <c r="AZ723" s="129"/>
      <c r="BA723" s="129"/>
      <c r="BB723" s="129"/>
      <c r="BC723" s="129"/>
      <c r="BD723" s="129"/>
      <c r="BE723" s="129"/>
      <c r="BF723" s="129"/>
      <c r="BG723" s="145"/>
    </row>
    <row r="724" ht="15.75" customHeight="1">
      <c r="A724" s="141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44"/>
      <c r="AO724" s="144"/>
      <c r="AP724" s="130"/>
      <c r="AQ724" s="130"/>
      <c r="AR724" s="130"/>
      <c r="AS724" s="130"/>
      <c r="AT724" s="130"/>
      <c r="AU724" s="130"/>
      <c r="AV724" s="130"/>
      <c r="AW724" s="130"/>
      <c r="AX724" s="129"/>
      <c r="AY724" s="129"/>
      <c r="AZ724" s="129"/>
      <c r="BA724" s="129"/>
      <c r="BB724" s="129"/>
      <c r="BC724" s="129"/>
      <c r="BD724" s="129"/>
      <c r="BE724" s="129"/>
      <c r="BF724" s="129"/>
      <c r="BG724" s="145"/>
    </row>
    <row r="725" ht="15.75" customHeight="1">
      <c r="A725" s="141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44"/>
      <c r="AO725" s="144"/>
      <c r="AP725" s="130"/>
      <c r="AQ725" s="130"/>
      <c r="AR725" s="130"/>
      <c r="AS725" s="130"/>
      <c r="AT725" s="130"/>
      <c r="AU725" s="130"/>
      <c r="AV725" s="130"/>
      <c r="AW725" s="130"/>
      <c r="AX725" s="129"/>
      <c r="AY725" s="129"/>
      <c r="AZ725" s="129"/>
      <c r="BA725" s="129"/>
      <c r="BB725" s="129"/>
      <c r="BC725" s="129"/>
      <c r="BD725" s="129"/>
      <c r="BE725" s="129"/>
      <c r="BF725" s="129"/>
      <c r="BG725" s="145"/>
    </row>
    <row r="726" ht="15.75" customHeight="1">
      <c r="A726" s="141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44"/>
      <c r="AO726" s="144"/>
      <c r="AP726" s="130"/>
      <c r="AQ726" s="130"/>
      <c r="AR726" s="130"/>
      <c r="AS726" s="130"/>
      <c r="AT726" s="130"/>
      <c r="AU726" s="130"/>
      <c r="AV726" s="130"/>
      <c r="AW726" s="130"/>
      <c r="AX726" s="129"/>
      <c r="AY726" s="129"/>
      <c r="AZ726" s="129"/>
      <c r="BA726" s="129"/>
      <c r="BB726" s="129"/>
      <c r="BC726" s="129"/>
      <c r="BD726" s="129"/>
      <c r="BE726" s="129"/>
      <c r="BF726" s="129"/>
      <c r="BG726" s="145"/>
    </row>
    <row r="727" ht="15.75" customHeight="1">
      <c r="A727" s="141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44"/>
      <c r="AO727" s="144"/>
      <c r="AP727" s="130"/>
      <c r="AQ727" s="130"/>
      <c r="AR727" s="130"/>
      <c r="AS727" s="130"/>
      <c r="AT727" s="130"/>
      <c r="AU727" s="130"/>
      <c r="AV727" s="130"/>
      <c r="AW727" s="130"/>
      <c r="AX727" s="129"/>
      <c r="AY727" s="129"/>
      <c r="AZ727" s="129"/>
      <c r="BA727" s="129"/>
      <c r="BB727" s="129"/>
      <c r="BC727" s="129"/>
      <c r="BD727" s="129"/>
      <c r="BE727" s="129"/>
      <c r="BF727" s="129"/>
      <c r="BG727" s="145"/>
    </row>
    <row r="728" ht="15.75" customHeight="1">
      <c r="A728" s="141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44"/>
      <c r="AO728" s="144"/>
      <c r="AP728" s="130"/>
      <c r="AQ728" s="130"/>
      <c r="AR728" s="130"/>
      <c r="AS728" s="130"/>
      <c r="AT728" s="130"/>
      <c r="AU728" s="130"/>
      <c r="AV728" s="130"/>
      <c r="AW728" s="130"/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45"/>
    </row>
    <row r="729" ht="15.75" customHeight="1">
      <c r="A729" s="141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44"/>
      <c r="AO729" s="144"/>
      <c r="AP729" s="130"/>
      <c r="AQ729" s="130"/>
      <c r="AR729" s="130"/>
      <c r="AS729" s="130"/>
      <c r="AT729" s="130"/>
      <c r="AU729" s="130"/>
      <c r="AV729" s="130"/>
      <c r="AW729" s="130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45"/>
    </row>
    <row r="730" ht="15.75" customHeight="1">
      <c r="A730" s="141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44"/>
      <c r="AO730" s="144"/>
      <c r="AP730" s="130"/>
      <c r="AQ730" s="130"/>
      <c r="AR730" s="130"/>
      <c r="AS730" s="130"/>
      <c r="AT730" s="130"/>
      <c r="AU730" s="130"/>
      <c r="AV730" s="130"/>
      <c r="AW730" s="130"/>
      <c r="AX730" s="129"/>
      <c r="AY730" s="129"/>
      <c r="AZ730" s="129"/>
      <c r="BA730" s="129"/>
      <c r="BB730" s="129"/>
      <c r="BC730" s="129"/>
      <c r="BD730" s="129"/>
      <c r="BE730" s="129"/>
      <c r="BF730" s="129"/>
      <c r="BG730" s="145"/>
    </row>
    <row r="731" ht="15.75" customHeight="1">
      <c r="A731" s="141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44"/>
      <c r="AO731" s="144"/>
      <c r="AP731" s="130"/>
      <c r="AQ731" s="130"/>
      <c r="AR731" s="130"/>
      <c r="AS731" s="130"/>
      <c r="AT731" s="130"/>
      <c r="AU731" s="130"/>
      <c r="AV731" s="130"/>
      <c r="AW731" s="130"/>
      <c r="AX731" s="129"/>
      <c r="AY731" s="129"/>
      <c r="AZ731" s="129"/>
      <c r="BA731" s="129"/>
      <c r="BB731" s="129"/>
      <c r="BC731" s="129"/>
      <c r="BD731" s="129"/>
      <c r="BE731" s="129"/>
      <c r="BF731" s="129"/>
      <c r="BG731" s="145"/>
    </row>
    <row r="732" ht="15.75" customHeight="1">
      <c r="A732" s="141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44"/>
      <c r="AO732" s="144"/>
      <c r="AP732" s="130"/>
      <c r="AQ732" s="130"/>
      <c r="AR732" s="130"/>
      <c r="AS732" s="130"/>
      <c r="AT732" s="130"/>
      <c r="AU732" s="130"/>
      <c r="AV732" s="130"/>
      <c r="AW732" s="130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45"/>
    </row>
    <row r="733" ht="15.75" customHeight="1">
      <c r="A733" s="141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44"/>
      <c r="AO733" s="144"/>
      <c r="AP733" s="130"/>
      <c r="AQ733" s="130"/>
      <c r="AR733" s="130"/>
      <c r="AS733" s="130"/>
      <c r="AT733" s="130"/>
      <c r="AU733" s="130"/>
      <c r="AV733" s="130"/>
      <c r="AW733" s="130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45"/>
    </row>
    <row r="734" ht="15.75" customHeight="1">
      <c r="A734" s="141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44"/>
      <c r="AO734" s="144"/>
      <c r="AP734" s="130"/>
      <c r="AQ734" s="130"/>
      <c r="AR734" s="130"/>
      <c r="AS734" s="130"/>
      <c r="AT734" s="130"/>
      <c r="AU734" s="130"/>
      <c r="AV734" s="130"/>
      <c r="AW734" s="130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45"/>
    </row>
    <row r="735" ht="15.75" customHeight="1">
      <c r="A735" s="141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44"/>
      <c r="AO735" s="144"/>
      <c r="AP735" s="130"/>
      <c r="AQ735" s="130"/>
      <c r="AR735" s="130"/>
      <c r="AS735" s="130"/>
      <c r="AT735" s="130"/>
      <c r="AU735" s="130"/>
      <c r="AV735" s="130"/>
      <c r="AW735" s="130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45"/>
    </row>
    <row r="736" ht="15.75" customHeight="1">
      <c r="A736" s="141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44"/>
      <c r="AO736" s="144"/>
      <c r="AP736" s="130"/>
      <c r="AQ736" s="130"/>
      <c r="AR736" s="130"/>
      <c r="AS736" s="130"/>
      <c r="AT736" s="130"/>
      <c r="AU736" s="130"/>
      <c r="AV736" s="130"/>
      <c r="AW736" s="130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45"/>
    </row>
    <row r="737" ht="15.75" customHeight="1">
      <c r="A737" s="141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44"/>
      <c r="AO737" s="144"/>
      <c r="AP737" s="130"/>
      <c r="AQ737" s="130"/>
      <c r="AR737" s="130"/>
      <c r="AS737" s="130"/>
      <c r="AT737" s="130"/>
      <c r="AU737" s="130"/>
      <c r="AV737" s="130"/>
      <c r="AW737" s="130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45"/>
    </row>
    <row r="738" ht="15.75" customHeight="1">
      <c r="A738" s="141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44"/>
      <c r="AO738" s="144"/>
      <c r="AP738" s="130"/>
      <c r="AQ738" s="130"/>
      <c r="AR738" s="130"/>
      <c r="AS738" s="130"/>
      <c r="AT738" s="130"/>
      <c r="AU738" s="130"/>
      <c r="AV738" s="130"/>
      <c r="AW738" s="130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45"/>
    </row>
    <row r="739" ht="15.75" customHeight="1">
      <c r="A739" s="141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44"/>
      <c r="AO739" s="144"/>
      <c r="AP739" s="130"/>
      <c r="AQ739" s="130"/>
      <c r="AR739" s="130"/>
      <c r="AS739" s="130"/>
      <c r="AT739" s="130"/>
      <c r="AU739" s="130"/>
      <c r="AV739" s="130"/>
      <c r="AW739" s="130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45"/>
    </row>
    <row r="740" ht="15.75" customHeight="1">
      <c r="A740" s="141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44"/>
      <c r="AO740" s="144"/>
      <c r="AP740" s="130"/>
      <c r="AQ740" s="130"/>
      <c r="AR740" s="130"/>
      <c r="AS740" s="130"/>
      <c r="AT740" s="130"/>
      <c r="AU740" s="130"/>
      <c r="AV740" s="130"/>
      <c r="AW740" s="130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45"/>
    </row>
    <row r="741" ht="15.75" customHeight="1">
      <c r="A741" s="141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44"/>
      <c r="AO741" s="144"/>
      <c r="AP741" s="130"/>
      <c r="AQ741" s="130"/>
      <c r="AR741" s="130"/>
      <c r="AS741" s="130"/>
      <c r="AT741" s="130"/>
      <c r="AU741" s="130"/>
      <c r="AV741" s="130"/>
      <c r="AW741" s="130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45"/>
    </row>
    <row r="742" ht="15.75" customHeight="1">
      <c r="A742" s="141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44"/>
      <c r="AO742" s="144"/>
      <c r="AP742" s="130"/>
      <c r="AQ742" s="130"/>
      <c r="AR742" s="130"/>
      <c r="AS742" s="130"/>
      <c r="AT742" s="130"/>
      <c r="AU742" s="130"/>
      <c r="AV742" s="130"/>
      <c r="AW742" s="130"/>
      <c r="AX742" s="129"/>
      <c r="AY742" s="129"/>
      <c r="AZ742" s="129"/>
      <c r="BA742" s="129"/>
      <c r="BB742" s="129"/>
      <c r="BC742" s="129"/>
      <c r="BD742" s="129"/>
      <c r="BE742" s="129"/>
      <c r="BF742" s="129"/>
      <c r="BG742" s="145"/>
    </row>
    <row r="743" ht="15.75" customHeight="1">
      <c r="A743" s="141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44"/>
      <c r="AO743" s="144"/>
      <c r="AP743" s="130"/>
      <c r="AQ743" s="130"/>
      <c r="AR743" s="130"/>
      <c r="AS743" s="130"/>
      <c r="AT743" s="130"/>
      <c r="AU743" s="130"/>
      <c r="AV743" s="130"/>
      <c r="AW743" s="130"/>
      <c r="AX743" s="129"/>
      <c r="AY743" s="129"/>
      <c r="AZ743" s="129"/>
      <c r="BA743" s="129"/>
      <c r="BB743" s="129"/>
      <c r="BC743" s="129"/>
      <c r="BD743" s="129"/>
      <c r="BE743" s="129"/>
      <c r="BF743" s="129"/>
      <c r="BG743" s="145"/>
    </row>
    <row r="744" ht="15.75" customHeight="1">
      <c r="A744" s="141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44"/>
      <c r="AO744" s="144"/>
      <c r="AP744" s="130"/>
      <c r="AQ744" s="130"/>
      <c r="AR744" s="130"/>
      <c r="AS744" s="130"/>
      <c r="AT744" s="130"/>
      <c r="AU744" s="130"/>
      <c r="AV744" s="130"/>
      <c r="AW744" s="130"/>
      <c r="AX744" s="129"/>
      <c r="AY744" s="129"/>
      <c r="AZ744" s="129"/>
      <c r="BA744" s="129"/>
      <c r="BB744" s="129"/>
      <c r="BC744" s="129"/>
      <c r="BD744" s="129"/>
      <c r="BE744" s="129"/>
      <c r="BF744" s="129"/>
      <c r="BG744" s="145"/>
    </row>
    <row r="745" ht="15.75" customHeight="1">
      <c r="A745" s="141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44"/>
      <c r="AO745" s="144"/>
      <c r="AP745" s="130"/>
      <c r="AQ745" s="130"/>
      <c r="AR745" s="130"/>
      <c r="AS745" s="130"/>
      <c r="AT745" s="130"/>
      <c r="AU745" s="130"/>
      <c r="AV745" s="130"/>
      <c r="AW745" s="130"/>
      <c r="AX745" s="129"/>
      <c r="AY745" s="129"/>
      <c r="AZ745" s="129"/>
      <c r="BA745" s="129"/>
      <c r="BB745" s="129"/>
      <c r="BC745" s="129"/>
      <c r="BD745" s="129"/>
      <c r="BE745" s="129"/>
      <c r="BF745" s="129"/>
      <c r="BG745" s="145"/>
    </row>
    <row r="746" ht="15.75" customHeight="1">
      <c r="A746" s="141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44"/>
      <c r="AO746" s="144"/>
      <c r="AP746" s="130"/>
      <c r="AQ746" s="130"/>
      <c r="AR746" s="130"/>
      <c r="AS746" s="130"/>
      <c r="AT746" s="130"/>
      <c r="AU746" s="130"/>
      <c r="AV746" s="130"/>
      <c r="AW746" s="130"/>
      <c r="AX746" s="129"/>
      <c r="AY746" s="129"/>
      <c r="AZ746" s="129"/>
      <c r="BA746" s="129"/>
      <c r="BB746" s="129"/>
      <c r="BC746" s="129"/>
      <c r="BD746" s="129"/>
      <c r="BE746" s="129"/>
      <c r="BF746" s="129"/>
      <c r="BG746" s="145"/>
    </row>
    <row r="747" ht="15.75" customHeight="1">
      <c r="A747" s="141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44"/>
      <c r="AO747" s="144"/>
      <c r="AP747" s="130"/>
      <c r="AQ747" s="130"/>
      <c r="AR747" s="130"/>
      <c r="AS747" s="130"/>
      <c r="AT747" s="130"/>
      <c r="AU747" s="130"/>
      <c r="AV747" s="130"/>
      <c r="AW747" s="130"/>
      <c r="AX747" s="129"/>
      <c r="AY747" s="129"/>
      <c r="AZ747" s="129"/>
      <c r="BA747" s="129"/>
      <c r="BB747" s="129"/>
      <c r="BC747" s="129"/>
      <c r="BD747" s="129"/>
      <c r="BE747" s="129"/>
      <c r="BF747" s="129"/>
      <c r="BG747" s="145"/>
    </row>
    <row r="748" ht="15.75" customHeight="1">
      <c r="A748" s="141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44"/>
      <c r="AO748" s="144"/>
      <c r="AP748" s="130"/>
      <c r="AQ748" s="130"/>
      <c r="AR748" s="130"/>
      <c r="AS748" s="130"/>
      <c r="AT748" s="130"/>
      <c r="AU748" s="130"/>
      <c r="AV748" s="130"/>
      <c r="AW748" s="130"/>
      <c r="AX748" s="129"/>
      <c r="AY748" s="129"/>
      <c r="AZ748" s="129"/>
      <c r="BA748" s="129"/>
      <c r="BB748" s="129"/>
      <c r="BC748" s="129"/>
      <c r="BD748" s="129"/>
      <c r="BE748" s="129"/>
      <c r="BF748" s="129"/>
      <c r="BG748" s="145"/>
    </row>
    <row r="749" ht="15.75" customHeight="1">
      <c r="A749" s="141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44"/>
      <c r="AO749" s="144"/>
      <c r="AP749" s="130"/>
      <c r="AQ749" s="130"/>
      <c r="AR749" s="130"/>
      <c r="AS749" s="130"/>
      <c r="AT749" s="130"/>
      <c r="AU749" s="130"/>
      <c r="AV749" s="130"/>
      <c r="AW749" s="130"/>
      <c r="AX749" s="129"/>
      <c r="AY749" s="129"/>
      <c r="AZ749" s="129"/>
      <c r="BA749" s="129"/>
      <c r="BB749" s="129"/>
      <c r="BC749" s="129"/>
      <c r="BD749" s="129"/>
      <c r="BE749" s="129"/>
      <c r="BF749" s="129"/>
      <c r="BG749" s="145"/>
    </row>
    <row r="750" ht="15.75" customHeight="1">
      <c r="A750" s="141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44"/>
      <c r="AO750" s="144"/>
      <c r="AP750" s="130"/>
      <c r="AQ750" s="130"/>
      <c r="AR750" s="130"/>
      <c r="AS750" s="130"/>
      <c r="AT750" s="130"/>
      <c r="AU750" s="130"/>
      <c r="AV750" s="130"/>
      <c r="AW750" s="130"/>
      <c r="AX750" s="129"/>
      <c r="AY750" s="129"/>
      <c r="AZ750" s="129"/>
      <c r="BA750" s="129"/>
      <c r="BB750" s="129"/>
      <c r="BC750" s="129"/>
      <c r="BD750" s="129"/>
      <c r="BE750" s="129"/>
      <c r="BF750" s="129"/>
      <c r="BG750" s="145"/>
    </row>
    <row r="751" ht="15.75" customHeight="1">
      <c r="A751" s="141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44"/>
      <c r="AO751" s="144"/>
      <c r="AP751" s="130"/>
      <c r="AQ751" s="130"/>
      <c r="AR751" s="130"/>
      <c r="AS751" s="130"/>
      <c r="AT751" s="130"/>
      <c r="AU751" s="130"/>
      <c r="AV751" s="130"/>
      <c r="AW751" s="130"/>
      <c r="AX751" s="129"/>
      <c r="AY751" s="129"/>
      <c r="AZ751" s="129"/>
      <c r="BA751" s="129"/>
      <c r="BB751" s="129"/>
      <c r="BC751" s="129"/>
      <c r="BD751" s="129"/>
      <c r="BE751" s="129"/>
      <c r="BF751" s="129"/>
      <c r="BG751" s="145"/>
    </row>
    <row r="752" ht="15.75" customHeight="1">
      <c r="A752" s="141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44"/>
      <c r="AO752" s="144"/>
      <c r="AP752" s="130"/>
      <c r="AQ752" s="130"/>
      <c r="AR752" s="130"/>
      <c r="AS752" s="130"/>
      <c r="AT752" s="130"/>
      <c r="AU752" s="130"/>
      <c r="AV752" s="130"/>
      <c r="AW752" s="130"/>
      <c r="AX752" s="129"/>
      <c r="AY752" s="129"/>
      <c r="AZ752" s="129"/>
      <c r="BA752" s="129"/>
      <c r="BB752" s="129"/>
      <c r="BC752" s="129"/>
      <c r="BD752" s="129"/>
      <c r="BE752" s="129"/>
      <c r="BF752" s="129"/>
      <c r="BG752" s="145"/>
    </row>
    <row r="753" ht="15.75" customHeight="1">
      <c r="A753" s="141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44"/>
      <c r="AO753" s="144"/>
      <c r="AP753" s="130"/>
      <c r="AQ753" s="130"/>
      <c r="AR753" s="130"/>
      <c r="AS753" s="130"/>
      <c r="AT753" s="130"/>
      <c r="AU753" s="130"/>
      <c r="AV753" s="130"/>
      <c r="AW753" s="130"/>
      <c r="AX753" s="129"/>
      <c r="AY753" s="129"/>
      <c r="AZ753" s="129"/>
      <c r="BA753" s="129"/>
      <c r="BB753" s="129"/>
      <c r="BC753" s="129"/>
      <c r="BD753" s="129"/>
      <c r="BE753" s="129"/>
      <c r="BF753" s="129"/>
      <c r="BG753" s="145"/>
    </row>
    <row r="754" ht="15.75" customHeight="1">
      <c r="A754" s="141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44"/>
      <c r="AO754" s="144"/>
      <c r="AP754" s="130"/>
      <c r="AQ754" s="130"/>
      <c r="AR754" s="130"/>
      <c r="AS754" s="130"/>
      <c r="AT754" s="130"/>
      <c r="AU754" s="130"/>
      <c r="AV754" s="130"/>
      <c r="AW754" s="130"/>
      <c r="AX754" s="129"/>
      <c r="AY754" s="129"/>
      <c r="AZ754" s="129"/>
      <c r="BA754" s="129"/>
      <c r="BB754" s="129"/>
      <c r="BC754" s="129"/>
      <c r="BD754" s="129"/>
      <c r="BE754" s="129"/>
      <c r="BF754" s="129"/>
      <c r="BG754" s="145"/>
    </row>
    <row r="755" ht="15.75" customHeight="1">
      <c r="A755" s="141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44"/>
      <c r="AO755" s="144"/>
      <c r="AP755" s="130"/>
      <c r="AQ755" s="130"/>
      <c r="AR755" s="130"/>
      <c r="AS755" s="130"/>
      <c r="AT755" s="130"/>
      <c r="AU755" s="130"/>
      <c r="AV755" s="130"/>
      <c r="AW755" s="130"/>
      <c r="AX755" s="129"/>
      <c r="AY755" s="129"/>
      <c r="AZ755" s="129"/>
      <c r="BA755" s="129"/>
      <c r="BB755" s="129"/>
      <c r="BC755" s="129"/>
      <c r="BD755" s="129"/>
      <c r="BE755" s="129"/>
      <c r="BF755" s="129"/>
      <c r="BG755" s="145"/>
    </row>
    <row r="756" ht="15.75" customHeight="1">
      <c r="A756" s="141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44"/>
      <c r="AO756" s="144"/>
      <c r="AP756" s="130"/>
      <c r="AQ756" s="130"/>
      <c r="AR756" s="130"/>
      <c r="AS756" s="130"/>
      <c r="AT756" s="130"/>
      <c r="AU756" s="130"/>
      <c r="AV756" s="130"/>
      <c r="AW756" s="130"/>
      <c r="AX756" s="129"/>
      <c r="AY756" s="129"/>
      <c r="AZ756" s="129"/>
      <c r="BA756" s="129"/>
      <c r="BB756" s="129"/>
      <c r="BC756" s="129"/>
      <c r="BD756" s="129"/>
      <c r="BE756" s="129"/>
      <c r="BF756" s="129"/>
      <c r="BG756" s="145"/>
    </row>
    <row r="757" ht="15.75" customHeight="1">
      <c r="A757" s="141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44"/>
      <c r="AO757" s="144"/>
      <c r="AP757" s="130"/>
      <c r="AQ757" s="130"/>
      <c r="AR757" s="130"/>
      <c r="AS757" s="130"/>
      <c r="AT757" s="130"/>
      <c r="AU757" s="130"/>
      <c r="AV757" s="130"/>
      <c r="AW757" s="130"/>
      <c r="AX757" s="129"/>
      <c r="AY757" s="129"/>
      <c r="AZ757" s="129"/>
      <c r="BA757" s="129"/>
      <c r="BB757" s="129"/>
      <c r="BC757" s="129"/>
      <c r="BD757" s="129"/>
      <c r="BE757" s="129"/>
      <c r="BF757" s="129"/>
      <c r="BG757" s="145"/>
    </row>
    <row r="758" ht="15.75" customHeight="1">
      <c r="A758" s="141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44"/>
      <c r="AO758" s="144"/>
      <c r="AP758" s="130"/>
      <c r="AQ758" s="130"/>
      <c r="AR758" s="130"/>
      <c r="AS758" s="130"/>
      <c r="AT758" s="130"/>
      <c r="AU758" s="130"/>
      <c r="AV758" s="130"/>
      <c r="AW758" s="130"/>
      <c r="AX758" s="129"/>
      <c r="AY758" s="129"/>
      <c r="AZ758" s="129"/>
      <c r="BA758" s="129"/>
      <c r="BB758" s="129"/>
      <c r="BC758" s="129"/>
      <c r="BD758" s="129"/>
      <c r="BE758" s="129"/>
      <c r="BF758" s="129"/>
      <c r="BG758" s="145"/>
    </row>
    <row r="759" ht="15.75" customHeight="1">
      <c r="A759" s="141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44"/>
      <c r="AO759" s="144"/>
      <c r="AP759" s="130"/>
      <c r="AQ759" s="130"/>
      <c r="AR759" s="130"/>
      <c r="AS759" s="130"/>
      <c r="AT759" s="130"/>
      <c r="AU759" s="130"/>
      <c r="AV759" s="130"/>
      <c r="AW759" s="130"/>
      <c r="AX759" s="129"/>
      <c r="AY759" s="129"/>
      <c r="AZ759" s="129"/>
      <c r="BA759" s="129"/>
      <c r="BB759" s="129"/>
      <c r="BC759" s="129"/>
      <c r="BD759" s="129"/>
      <c r="BE759" s="129"/>
      <c r="BF759" s="129"/>
      <c r="BG759" s="145"/>
    </row>
    <row r="760" ht="15.75" customHeight="1">
      <c r="A760" s="141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44"/>
      <c r="AO760" s="144"/>
      <c r="AP760" s="130"/>
      <c r="AQ760" s="130"/>
      <c r="AR760" s="130"/>
      <c r="AS760" s="130"/>
      <c r="AT760" s="130"/>
      <c r="AU760" s="130"/>
      <c r="AV760" s="130"/>
      <c r="AW760" s="130"/>
      <c r="AX760" s="129"/>
      <c r="AY760" s="129"/>
      <c r="AZ760" s="129"/>
      <c r="BA760" s="129"/>
      <c r="BB760" s="129"/>
      <c r="BC760" s="129"/>
      <c r="BD760" s="129"/>
      <c r="BE760" s="129"/>
      <c r="BF760" s="129"/>
      <c r="BG760" s="145"/>
    </row>
    <row r="761" ht="15.75" customHeight="1">
      <c r="A761" s="141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44"/>
      <c r="AO761" s="144"/>
      <c r="AP761" s="130"/>
      <c r="AQ761" s="130"/>
      <c r="AR761" s="130"/>
      <c r="AS761" s="130"/>
      <c r="AT761" s="130"/>
      <c r="AU761" s="130"/>
      <c r="AV761" s="130"/>
      <c r="AW761" s="130"/>
      <c r="AX761" s="129"/>
      <c r="AY761" s="129"/>
      <c r="AZ761" s="129"/>
      <c r="BA761" s="129"/>
      <c r="BB761" s="129"/>
      <c r="BC761" s="129"/>
      <c r="BD761" s="129"/>
      <c r="BE761" s="129"/>
      <c r="BF761" s="129"/>
      <c r="BG761" s="145"/>
    </row>
    <row r="762" ht="15.75" customHeight="1">
      <c r="A762" s="141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44"/>
      <c r="AO762" s="144"/>
      <c r="AP762" s="130"/>
      <c r="AQ762" s="130"/>
      <c r="AR762" s="130"/>
      <c r="AS762" s="130"/>
      <c r="AT762" s="130"/>
      <c r="AU762" s="130"/>
      <c r="AV762" s="130"/>
      <c r="AW762" s="130"/>
      <c r="AX762" s="129"/>
      <c r="AY762" s="129"/>
      <c r="AZ762" s="129"/>
      <c r="BA762" s="129"/>
      <c r="BB762" s="129"/>
      <c r="BC762" s="129"/>
      <c r="BD762" s="129"/>
      <c r="BE762" s="129"/>
      <c r="BF762" s="129"/>
      <c r="BG762" s="145"/>
    </row>
    <row r="763" ht="15.75" customHeight="1">
      <c r="A763" s="141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44"/>
      <c r="AO763" s="144"/>
      <c r="AP763" s="130"/>
      <c r="AQ763" s="130"/>
      <c r="AR763" s="130"/>
      <c r="AS763" s="130"/>
      <c r="AT763" s="130"/>
      <c r="AU763" s="130"/>
      <c r="AV763" s="130"/>
      <c r="AW763" s="130"/>
      <c r="AX763" s="129"/>
      <c r="AY763" s="129"/>
      <c r="AZ763" s="129"/>
      <c r="BA763" s="129"/>
      <c r="BB763" s="129"/>
      <c r="BC763" s="129"/>
      <c r="BD763" s="129"/>
      <c r="BE763" s="129"/>
      <c r="BF763" s="129"/>
      <c r="BG763" s="145"/>
    </row>
    <row r="764" ht="15.75" customHeight="1">
      <c r="A764" s="141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44"/>
      <c r="AO764" s="144"/>
      <c r="AP764" s="130"/>
      <c r="AQ764" s="130"/>
      <c r="AR764" s="130"/>
      <c r="AS764" s="130"/>
      <c r="AT764" s="130"/>
      <c r="AU764" s="130"/>
      <c r="AV764" s="130"/>
      <c r="AW764" s="130"/>
      <c r="AX764" s="129"/>
      <c r="AY764" s="129"/>
      <c r="AZ764" s="129"/>
      <c r="BA764" s="129"/>
      <c r="BB764" s="129"/>
      <c r="BC764" s="129"/>
      <c r="BD764" s="129"/>
      <c r="BE764" s="129"/>
      <c r="BF764" s="129"/>
      <c r="BG764" s="145"/>
    </row>
    <row r="765" ht="15.75" customHeight="1">
      <c r="A765" s="141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44"/>
      <c r="AO765" s="144"/>
      <c r="AP765" s="130"/>
      <c r="AQ765" s="130"/>
      <c r="AR765" s="130"/>
      <c r="AS765" s="130"/>
      <c r="AT765" s="130"/>
      <c r="AU765" s="130"/>
      <c r="AV765" s="130"/>
      <c r="AW765" s="130"/>
      <c r="AX765" s="129"/>
      <c r="AY765" s="129"/>
      <c r="AZ765" s="129"/>
      <c r="BA765" s="129"/>
      <c r="BB765" s="129"/>
      <c r="BC765" s="129"/>
      <c r="BD765" s="129"/>
      <c r="BE765" s="129"/>
      <c r="BF765" s="129"/>
      <c r="BG765" s="145"/>
    </row>
    <row r="766" ht="15.75" customHeight="1">
      <c r="A766" s="141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44"/>
      <c r="AO766" s="144"/>
      <c r="AP766" s="130"/>
      <c r="AQ766" s="130"/>
      <c r="AR766" s="130"/>
      <c r="AS766" s="130"/>
      <c r="AT766" s="130"/>
      <c r="AU766" s="130"/>
      <c r="AV766" s="130"/>
      <c r="AW766" s="130"/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45"/>
    </row>
    <row r="767" ht="15.75" customHeight="1">
      <c r="A767" s="141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44"/>
      <c r="AO767" s="144"/>
      <c r="AP767" s="130"/>
      <c r="AQ767" s="130"/>
      <c r="AR767" s="130"/>
      <c r="AS767" s="130"/>
      <c r="AT767" s="130"/>
      <c r="AU767" s="130"/>
      <c r="AV767" s="130"/>
      <c r="AW767" s="130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45"/>
    </row>
    <row r="768" ht="15.75" customHeight="1">
      <c r="A768" s="141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44"/>
      <c r="AO768" s="144"/>
      <c r="AP768" s="130"/>
      <c r="AQ768" s="130"/>
      <c r="AR768" s="130"/>
      <c r="AS768" s="130"/>
      <c r="AT768" s="130"/>
      <c r="AU768" s="130"/>
      <c r="AV768" s="130"/>
      <c r="AW768" s="130"/>
      <c r="AX768" s="129"/>
      <c r="AY768" s="129"/>
      <c r="AZ768" s="129"/>
      <c r="BA768" s="129"/>
      <c r="BB768" s="129"/>
      <c r="BC768" s="129"/>
      <c r="BD768" s="129"/>
      <c r="BE768" s="129"/>
      <c r="BF768" s="129"/>
      <c r="BG768" s="145"/>
    </row>
    <row r="769" ht="15.75" customHeight="1">
      <c r="A769" s="141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44"/>
      <c r="AO769" s="144"/>
      <c r="AP769" s="130"/>
      <c r="AQ769" s="130"/>
      <c r="AR769" s="130"/>
      <c r="AS769" s="130"/>
      <c r="AT769" s="130"/>
      <c r="AU769" s="130"/>
      <c r="AV769" s="130"/>
      <c r="AW769" s="130"/>
      <c r="AX769" s="129"/>
      <c r="AY769" s="129"/>
      <c r="AZ769" s="129"/>
      <c r="BA769" s="129"/>
      <c r="BB769" s="129"/>
      <c r="BC769" s="129"/>
      <c r="BD769" s="129"/>
      <c r="BE769" s="129"/>
      <c r="BF769" s="129"/>
      <c r="BG769" s="145"/>
    </row>
    <row r="770" ht="15.75" customHeight="1">
      <c r="A770" s="141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44"/>
      <c r="AO770" s="144"/>
      <c r="AP770" s="130"/>
      <c r="AQ770" s="130"/>
      <c r="AR770" s="130"/>
      <c r="AS770" s="130"/>
      <c r="AT770" s="130"/>
      <c r="AU770" s="130"/>
      <c r="AV770" s="130"/>
      <c r="AW770" s="130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45"/>
    </row>
    <row r="771" ht="15.75" customHeight="1">
      <c r="A771" s="141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44"/>
      <c r="AO771" s="144"/>
      <c r="AP771" s="130"/>
      <c r="AQ771" s="130"/>
      <c r="AR771" s="130"/>
      <c r="AS771" s="130"/>
      <c r="AT771" s="130"/>
      <c r="AU771" s="130"/>
      <c r="AV771" s="130"/>
      <c r="AW771" s="130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45"/>
    </row>
    <row r="772" ht="15.75" customHeight="1">
      <c r="A772" s="141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44"/>
      <c r="AO772" s="144"/>
      <c r="AP772" s="130"/>
      <c r="AQ772" s="130"/>
      <c r="AR772" s="130"/>
      <c r="AS772" s="130"/>
      <c r="AT772" s="130"/>
      <c r="AU772" s="130"/>
      <c r="AV772" s="130"/>
      <c r="AW772" s="130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45"/>
    </row>
    <row r="773" ht="15.75" customHeight="1">
      <c r="A773" s="141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44"/>
      <c r="AO773" s="144"/>
      <c r="AP773" s="130"/>
      <c r="AQ773" s="130"/>
      <c r="AR773" s="130"/>
      <c r="AS773" s="130"/>
      <c r="AT773" s="130"/>
      <c r="AU773" s="130"/>
      <c r="AV773" s="130"/>
      <c r="AW773" s="130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45"/>
    </row>
    <row r="774" ht="15.75" customHeight="1">
      <c r="A774" s="141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44"/>
      <c r="AO774" s="144"/>
      <c r="AP774" s="130"/>
      <c r="AQ774" s="130"/>
      <c r="AR774" s="130"/>
      <c r="AS774" s="130"/>
      <c r="AT774" s="130"/>
      <c r="AU774" s="130"/>
      <c r="AV774" s="130"/>
      <c r="AW774" s="130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45"/>
    </row>
    <row r="775" ht="15.75" customHeight="1">
      <c r="A775" s="141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44"/>
      <c r="AO775" s="144"/>
      <c r="AP775" s="130"/>
      <c r="AQ775" s="130"/>
      <c r="AR775" s="130"/>
      <c r="AS775" s="130"/>
      <c r="AT775" s="130"/>
      <c r="AU775" s="130"/>
      <c r="AV775" s="130"/>
      <c r="AW775" s="130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45"/>
    </row>
    <row r="776" ht="15.75" customHeight="1">
      <c r="A776" s="141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44"/>
      <c r="AO776" s="144"/>
      <c r="AP776" s="130"/>
      <c r="AQ776" s="130"/>
      <c r="AR776" s="130"/>
      <c r="AS776" s="130"/>
      <c r="AT776" s="130"/>
      <c r="AU776" s="130"/>
      <c r="AV776" s="130"/>
      <c r="AW776" s="130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45"/>
    </row>
    <row r="777" ht="15.75" customHeight="1">
      <c r="A777" s="141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44"/>
      <c r="AO777" s="144"/>
      <c r="AP777" s="130"/>
      <c r="AQ777" s="130"/>
      <c r="AR777" s="130"/>
      <c r="AS777" s="130"/>
      <c r="AT777" s="130"/>
      <c r="AU777" s="130"/>
      <c r="AV777" s="130"/>
      <c r="AW777" s="130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45"/>
    </row>
    <row r="778" ht="15.75" customHeight="1">
      <c r="A778" s="141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44"/>
      <c r="AO778" s="144"/>
      <c r="AP778" s="130"/>
      <c r="AQ778" s="130"/>
      <c r="AR778" s="130"/>
      <c r="AS778" s="130"/>
      <c r="AT778" s="130"/>
      <c r="AU778" s="130"/>
      <c r="AV778" s="130"/>
      <c r="AW778" s="130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45"/>
    </row>
    <row r="779" ht="15.75" customHeight="1">
      <c r="A779" s="141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44"/>
      <c r="AO779" s="144"/>
      <c r="AP779" s="130"/>
      <c r="AQ779" s="130"/>
      <c r="AR779" s="130"/>
      <c r="AS779" s="130"/>
      <c r="AT779" s="130"/>
      <c r="AU779" s="130"/>
      <c r="AV779" s="130"/>
      <c r="AW779" s="130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45"/>
    </row>
    <row r="780" ht="15.75" customHeight="1">
      <c r="A780" s="141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44"/>
      <c r="AO780" s="144"/>
      <c r="AP780" s="130"/>
      <c r="AQ780" s="130"/>
      <c r="AR780" s="130"/>
      <c r="AS780" s="130"/>
      <c r="AT780" s="130"/>
      <c r="AU780" s="130"/>
      <c r="AV780" s="130"/>
      <c r="AW780" s="130"/>
      <c r="AX780" s="129"/>
      <c r="AY780" s="129"/>
      <c r="AZ780" s="129"/>
      <c r="BA780" s="129"/>
      <c r="BB780" s="129"/>
      <c r="BC780" s="129"/>
      <c r="BD780" s="129"/>
      <c r="BE780" s="129"/>
      <c r="BF780" s="129"/>
      <c r="BG780" s="145"/>
    </row>
    <row r="781" ht="15.75" customHeight="1">
      <c r="A781" s="141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44"/>
      <c r="AO781" s="144"/>
      <c r="AP781" s="130"/>
      <c r="AQ781" s="130"/>
      <c r="AR781" s="130"/>
      <c r="AS781" s="130"/>
      <c r="AT781" s="130"/>
      <c r="AU781" s="130"/>
      <c r="AV781" s="130"/>
      <c r="AW781" s="130"/>
      <c r="AX781" s="129"/>
      <c r="AY781" s="129"/>
      <c r="AZ781" s="129"/>
      <c r="BA781" s="129"/>
      <c r="BB781" s="129"/>
      <c r="BC781" s="129"/>
      <c r="BD781" s="129"/>
      <c r="BE781" s="129"/>
      <c r="BF781" s="129"/>
      <c r="BG781" s="145"/>
    </row>
    <row r="782" ht="15.75" customHeight="1">
      <c r="A782" s="141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44"/>
      <c r="AO782" s="144"/>
      <c r="AP782" s="130"/>
      <c r="AQ782" s="130"/>
      <c r="AR782" s="130"/>
      <c r="AS782" s="130"/>
      <c r="AT782" s="130"/>
      <c r="AU782" s="130"/>
      <c r="AV782" s="130"/>
      <c r="AW782" s="130"/>
      <c r="AX782" s="129"/>
      <c r="AY782" s="129"/>
      <c r="AZ782" s="129"/>
      <c r="BA782" s="129"/>
      <c r="BB782" s="129"/>
      <c r="BC782" s="129"/>
      <c r="BD782" s="129"/>
      <c r="BE782" s="129"/>
      <c r="BF782" s="129"/>
      <c r="BG782" s="145"/>
    </row>
    <row r="783" ht="15.75" customHeight="1">
      <c r="A783" s="141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44"/>
      <c r="AO783" s="144"/>
      <c r="AP783" s="130"/>
      <c r="AQ783" s="130"/>
      <c r="AR783" s="130"/>
      <c r="AS783" s="130"/>
      <c r="AT783" s="130"/>
      <c r="AU783" s="130"/>
      <c r="AV783" s="130"/>
      <c r="AW783" s="130"/>
      <c r="AX783" s="129"/>
      <c r="AY783" s="129"/>
      <c r="AZ783" s="129"/>
      <c r="BA783" s="129"/>
      <c r="BB783" s="129"/>
      <c r="BC783" s="129"/>
      <c r="BD783" s="129"/>
      <c r="BE783" s="129"/>
      <c r="BF783" s="129"/>
      <c r="BG783" s="145"/>
    </row>
    <row r="784" ht="15.75" customHeight="1">
      <c r="A784" s="141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44"/>
      <c r="AO784" s="144"/>
      <c r="AP784" s="130"/>
      <c r="AQ784" s="130"/>
      <c r="AR784" s="130"/>
      <c r="AS784" s="130"/>
      <c r="AT784" s="130"/>
      <c r="AU784" s="130"/>
      <c r="AV784" s="130"/>
      <c r="AW784" s="130"/>
      <c r="AX784" s="129"/>
      <c r="AY784" s="129"/>
      <c r="AZ784" s="129"/>
      <c r="BA784" s="129"/>
      <c r="BB784" s="129"/>
      <c r="BC784" s="129"/>
      <c r="BD784" s="129"/>
      <c r="BE784" s="129"/>
      <c r="BF784" s="129"/>
      <c r="BG784" s="145"/>
    </row>
    <row r="785" ht="15.75" customHeight="1">
      <c r="A785" s="141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44"/>
      <c r="AO785" s="144"/>
      <c r="AP785" s="130"/>
      <c r="AQ785" s="130"/>
      <c r="AR785" s="130"/>
      <c r="AS785" s="130"/>
      <c r="AT785" s="130"/>
      <c r="AU785" s="130"/>
      <c r="AV785" s="130"/>
      <c r="AW785" s="130"/>
      <c r="AX785" s="129"/>
      <c r="AY785" s="129"/>
      <c r="AZ785" s="129"/>
      <c r="BA785" s="129"/>
      <c r="BB785" s="129"/>
      <c r="BC785" s="129"/>
      <c r="BD785" s="129"/>
      <c r="BE785" s="129"/>
      <c r="BF785" s="129"/>
      <c r="BG785" s="145"/>
    </row>
    <row r="786" ht="15.75" customHeight="1">
      <c r="A786" s="141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44"/>
      <c r="AO786" s="144"/>
      <c r="AP786" s="130"/>
      <c r="AQ786" s="130"/>
      <c r="AR786" s="130"/>
      <c r="AS786" s="130"/>
      <c r="AT786" s="130"/>
      <c r="AU786" s="130"/>
      <c r="AV786" s="130"/>
      <c r="AW786" s="130"/>
      <c r="AX786" s="129"/>
      <c r="AY786" s="129"/>
      <c r="AZ786" s="129"/>
      <c r="BA786" s="129"/>
      <c r="BB786" s="129"/>
      <c r="BC786" s="129"/>
      <c r="BD786" s="129"/>
      <c r="BE786" s="129"/>
      <c r="BF786" s="129"/>
      <c r="BG786" s="145"/>
    </row>
    <row r="787" ht="15.75" customHeight="1">
      <c r="A787" s="141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44"/>
      <c r="AO787" s="144"/>
      <c r="AP787" s="130"/>
      <c r="AQ787" s="130"/>
      <c r="AR787" s="130"/>
      <c r="AS787" s="130"/>
      <c r="AT787" s="130"/>
      <c r="AU787" s="130"/>
      <c r="AV787" s="130"/>
      <c r="AW787" s="130"/>
      <c r="AX787" s="129"/>
      <c r="AY787" s="129"/>
      <c r="AZ787" s="129"/>
      <c r="BA787" s="129"/>
      <c r="BB787" s="129"/>
      <c r="BC787" s="129"/>
      <c r="BD787" s="129"/>
      <c r="BE787" s="129"/>
      <c r="BF787" s="129"/>
      <c r="BG787" s="145"/>
    </row>
    <row r="788" ht="15.75" customHeight="1">
      <c r="A788" s="141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44"/>
      <c r="AO788" s="144"/>
      <c r="AP788" s="130"/>
      <c r="AQ788" s="130"/>
      <c r="AR788" s="130"/>
      <c r="AS788" s="130"/>
      <c r="AT788" s="130"/>
      <c r="AU788" s="130"/>
      <c r="AV788" s="130"/>
      <c r="AW788" s="130"/>
      <c r="AX788" s="129"/>
      <c r="AY788" s="129"/>
      <c r="AZ788" s="129"/>
      <c r="BA788" s="129"/>
      <c r="BB788" s="129"/>
      <c r="BC788" s="129"/>
      <c r="BD788" s="129"/>
      <c r="BE788" s="129"/>
      <c r="BF788" s="129"/>
      <c r="BG788" s="145"/>
    </row>
    <row r="789" ht="15.75" customHeight="1">
      <c r="A789" s="141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44"/>
      <c r="AO789" s="144"/>
      <c r="AP789" s="130"/>
      <c r="AQ789" s="130"/>
      <c r="AR789" s="130"/>
      <c r="AS789" s="130"/>
      <c r="AT789" s="130"/>
      <c r="AU789" s="130"/>
      <c r="AV789" s="130"/>
      <c r="AW789" s="130"/>
      <c r="AX789" s="129"/>
      <c r="AY789" s="129"/>
      <c r="AZ789" s="129"/>
      <c r="BA789" s="129"/>
      <c r="BB789" s="129"/>
      <c r="BC789" s="129"/>
      <c r="BD789" s="129"/>
      <c r="BE789" s="129"/>
      <c r="BF789" s="129"/>
      <c r="BG789" s="145"/>
    </row>
    <row r="790" ht="15.75" customHeight="1">
      <c r="A790" s="141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44"/>
      <c r="AO790" s="144"/>
      <c r="AP790" s="130"/>
      <c r="AQ790" s="130"/>
      <c r="AR790" s="130"/>
      <c r="AS790" s="130"/>
      <c r="AT790" s="130"/>
      <c r="AU790" s="130"/>
      <c r="AV790" s="130"/>
      <c r="AW790" s="130"/>
      <c r="AX790" s="129"/>
      <c r="AY790" s="129"/>
      <c r="AZ790" s="129"/>
      <c r="BA790" s="129"/>
      <c r="BB790" s="129"/>
      <c r="BC790" s="129"/>
      <c r="BD790" s="129"/>
      <c r="BE790" s="129"/>
      <c r="BF790" s="129"/>
      <c r="BG790" s="145"/>
    </row>
    <row r="791" ht="15.75" customHeight="1">
      <c r="A791" s="141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44"/>
      <c r="AO791" s="144"/>
      <c r="AP791" s="130"/>
      <c r="AQ791" s="130"/>
      <c r="AR791" s="130"/>
      <c r="AS791" s="130"/>
      <c r="AT791" s="130"/>
      <c r="AU791" s="130"/>
      <c r="AV791" s="130"/>
      <c r="AW791" s="130"/>
      <c r="AX791" s="129"/>
      <c r="AY791" s="129"/>
      <c r="AZ791" s="129"/>
      <c r="BA791" s="129"/>
      <c r="BB791" s="129"/>
      <c r="BC791" s="129"/>
      <c r="BD791" s="129"/>
      <c r="BE791" s="129"/>
      <c r="BF791" s="129"/>
      <c r="BG791" s="145"/>
    </row>
    <row r="792" ht="15.75" customHeight="1">
      <c r="A792" s="141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44"/>
      <c r="AO792" s="144"/>
      <c r="AP792" s="130"/>
      <c r="AQ792" s="130"/>
      <c r="AR792" s="130"/>
      <c r="AS792" s="130"/>
      <c r="AT792" s="130"/>
      <c r="AU792" s="130"/>
      <c r="AV792" s="130"/>
      <c r="AW792" s="130"/>
      <c r="AX792" s="129"/>
      <c r="AY792" s="129"/>
      <c r="AZ792" s="129"/>
      <c r="BA792" s="129"/>
      <c r="BB792" s="129"/>
      <c r="BC792" s="129"/>
      <c r="BD792" s="129"/>
      <c r="BE792" s="129"/>
      <c r="BF792" s="129"/>
      <c r="BG792" s="145"/>
    </row>
    <row r="793" ht="15.75" customHeight="1">
      <c r="A793" s="141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44"/>
      <c r="AO793" s="144"/>
      <c r="AP793" s="130"/>
      <c r="AQ793" s="130"/>
      <c r="AR793" s="130"/>
      <c r="AS793" s="130"/>
      <c r="AT793" s="130"/>
      <c r="AU793" s="130"/>
      <c r="AV793" s="130"/>
      <c r="AW793" s="130"/>
      <c r="AX793" s="129"/>
      <c r="AY793" s="129"/>
      <c r="AZ793" s="129"/>
      <c r="BA793" s="129"/>
      <c r="BB793" s="129"/>
      <c r="BC793" s="129"/>
      <c r="BD793" s="129"/>
      <c r="BE793" s="129"/>
      <c r="BF793" s="129"/>
      <c r="BG793" s="145"/>
    </row>
    <row r="794" ht="15.75" customHeight="1">
      <c r="A794" s="141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44"/>
      <c r="AO794" s="144"/>
      <c r="AP794" s="130"/>
      <c r="AQ794" s="130"/>
      <c r="AR794" s="130"/>
      <c r="AS794" s="130"/>
      <c r="AT794" s="130"/>
      <c r="AU794" s="130"/>
      <c r="AV794" s="130"/>
      <c r="AW794" s="130"/>
      <c r="AX794" s="129"/>
      <c r="AY794" s="129"/>
      <c r="AZ794" s="129"/>
      <c r="BA794" s="129"/>
      <c r="BB794" s="129"/>
      <c r="BC794" s="129"/>
      <c r="BD794" s="129"/>
      <c r="BE794" s="129"/>
      <c r="BF794" s="129"/>
      <c r="BG794" s="145"/>
    </row>
    <row r="795" ht="15.75" customHeight="1">
      <c r="A795" s="141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44"/>
      <c r="AO795" s="144"/>
      <c r="AP795" s="130"/>
      <c r="AQ795" s="130"/>
      <c r="AR795" s="130"/>
      <c r="AS795" s="130"/>
      <c r="AT795" s="130"/>
      <c r="AU795" s="130"/>
      <c r="AV795" s="130"/>
      <c r="AW795" s="130"/>
      <c r="AX795" s="129"/>
      <c r="AY795" s="129"/>
      <c r="AZ795" s="129"/>
      <c r="BA795" s="129"/>
      <c r="BB795" s="129"/>
      <c r="BC795" s="129"/>
      <c r="BD795" s="129"/>
      <c r="BE795" s="129"/>
      <c r="BF795" s="129"/>
      <c r="BG795" s="145"/>
    </row>
    <row r="796" ht="15.75" customHeight="1">
      <c r="A796" s="141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44"/>
      <c r="AO796" s="144"/>
      <c r="AP796" s="130"/>
      <c r="AQ796" s="130"/>
      <c r="AR796" s="130"/>
      <c r="AS796" s="130"/>
      <c r="AT796" s="130"/>
      <c r="AU796" s="130"/>
      <c r="AV796" s="130"/>
      <c r="AW796" s="130"/>
      <c r="AX796" s="129"/>
      <c r="AY796" s="129"/>
      <c r="AZ796" s="129"/>
      <c r="BA796" s="129"/>
      <c r="BB796" s="129"/>
      <c r="BC796" s="129"/>
      <c r="BD796" s="129"/>
      <c r="BE796" s="129"/>
      <c r="BF796" s="129"/>
      <c r="BG796" s="145"/>
    </row>
    <row r="797" ht="15.75" customHeight="1">
      <c r="A797" s="141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44"/>
      <c r="AO797" s="144"/>
      <c r="AP797" s="130"/>
      <c r="AQ797" s="130"/>
      <c r="AR797" s="130"/>
      <c r="AS797" s="130"/>
      <c r="AT797" s="130"/>
      <c r="AU797" s="130"/>
      <c r="AV797" s="130"/>
      <c r="AW797" s="130"/>
      <c r="AX797" s="129"/>
      <c r="AY797" s="129"/>
      <c r="AZ797" s="129"/>
      <c r="BA797" s="129"/>
      <c r="BB797" s="129"/>
      <c r="BC797" s="129"/>
      <c r="BD797" s="129"/>
      <c r="BE797" s="129"/>
      <c r="BF797" s="129"/>
      <c r="BG797" s="145"/>
    </row>
    <row r="798" ht="15.75" customHeight="1">
      <c r="A798" s="141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44"/>
      <c r="AO798" s="144"/>
      <c r="AP798" s="130"/>
      <c r="AQ798" s="130"/>
      <c r="AR798" s="130"/>
      <c r="AS798" s="130"/>
      <c r="AT798" s="130"/>
      <c r="AU798" s="130"/>
      <c r="AV798" s="130"/>
      <c r="AW798" s="130"/>
      <c r="AX798" s="129"/>
      <c r="AY798" s="129"/>
      <c r="AZ798" s="129"/>
      <c r="BA798" s="129"/>
      <c r="BB798" s="129"/>
      <c r="BC798" s="129"/>
      <c r="BD798" s="129"/>
      <c r="BE798" s="129"/>
      <c r="BF798" s="129"/>
      <c r="BG798" s="145"/>
    </row>
    <row r="799" ht="15.75" customHeight="1">
      <c r="A799" s="141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44"/>
      <c r="AO799" s="144"/>
      <c r="AP799" s="130"/>
      <c r="AQ799" s="130"/>
      <c r="AR799" s="130"/>
      <c r="AS799" s="130"/>
      <c r="AT799" s="130"/>
      <c r="AU799" s="130"/>
      <c r="AV799" s="130"/>
      <c r="AW799" s="130"/>
      <c r="AX799" s="129"/>
      <c r="AY799" s="129"/>
      <c r="AZ799" s="129"/>
      <c r="BA799" s="129"/>
      <c r="BB799" s="129"/>
      <c r="BC799" s="129"/>
      <c r="BD799" s="129"/>
      <c r="BE799" s="129"/>
      <c r="BF799" s="129"/>
      <c r="BG799" s="145"/>
    </row>
    <row r="800" ht="15.75" customHeight="1">
      <c r="A800" s="141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44"/>
      <c r="AO800" s="144"/>
      <c r="AP800" s="130"/>
      <c r="AQ800" s="130"/>
      <c r="AR800" s="130"/>
      <c r="AS800" s="130"/>
      <c r="AT800" s="130"/>
      <c r="AU800" s="130"/>
      <c r="AV800" s="130"/>
      <c r="AW800" s="130"/>
      <c r="AX800" s="129"/>
      <c r="AY800" s="129"/>
      <c r="AZ800" s="129"/>
      <c r="BA800" s="129"/>
      <c r="BB800" s="129"/>
      <c r="BC800" s="129"/>
      <c r="BD800" s="129"/>
      <c r="BE800" s="129"/>
      <c r="BF800" s="129"/>
      <c r="BG800" s="145"/>
    </row>
    <row r="801" ht="15.75" customHeight="1">
      <c r="A801" s="141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44"/>
      <c r="AO801" s="144"/>
      <c r="AP801" s="130"/>
      <c r="AQ801" s="130"/>
      <c r="AR801" s="130"/>
      <c r="AS801" s="130"/>
      <c r="AT801" s="130"/>
      <c r="AU801" s="130"/>
      <c r="AV801" s="130"/>
      <c r="AW801" s="130"/>
      <c r="AX801" s="129"/>
      <c r="AY801" s="129"/>
      <c r="AZ801" s="129"/>
      <c r="BA801" s="129"/>
      <c r="BB801" s="129"/>
      <c r="BC801" s="129"/>
      <c r="BD801" s="129"/>
      <c r="BE801" s="129"/>
      <c r="BF801" s="129"/>
      <c r="BG801" s="145"/>
    </row>
    <row r="802" ht="15.75" customHeight="1">
      <c r="A802" s="141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44"/>
      <c r="AO802" s="144"/>
      <c r="AP802" s="130"/>
      <c r="AQ802" s="130"/>
      <c r="AR802" s="130"/>
      <c r="AS802" s="130"/>
      <c r="AT802" s="130"/>
      <c r="AU802" s="130"/>
      <c r="AV802" s="130"/>
      <c r="AW802" s="130"/>
      <c r="AX802" s="129"/>
      <c r="AY802" s="129"/>
      <c r="AZ802" s="129"/>
      <c r="BA802" s="129"/>
      <c r="BB802" s="129"/>
      <c r="BC802" s="129"/>
      <c r="BD802" s="129"/>
      <c r="BE802" s="129"/>
      <c r="BF802" s="129"/>
      <c r="BG802" s="145"/>
    </row>
    <row r="803" ht="15.75" customHeight="1">
      <c r="A803" s="141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44"/>
      <c r="AO803" s="144"/>
      <c r="AP803" s="130"/>
      <c r="AQ803" s="130"/>
      <c r="AR803" s="130"/>
      <c r="AS803" s="130"/>
      <c r="AT803" s="130"/>
      <c r="AU803" s="130"/>
      <c r="AV803" s="130"/>
      <c r="AW803" s="130"/>
      <c r="AX803" s="129"/>
      <c r="AY803" s="129"/>
      <c r="AZ803" s="129"/>
      <c r="BA803" s="129"/>
      <c r="BB803" s="129"/>
      <c r="BC803" s="129"/>
      <c r="BD803" s="129"/>
      <c r="BE803" s="129"/>
      <c r="BF803" s="129"/>
      <c r="BG803" s="145"/>
    </row>
    <row r="804" ht="15.75" customHeight="1">
      <c r="A804" s="141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44"/>
      <c r="AO804" s="144"/>
      <c r="AP804" s="130"/>
      <c r="AQ804" s="130"/>
      <c r="AR804" s="130"/>
      <c r="AS804" s="130"/>
      <c r="AT804" s="130"/>
      <c r="AU804" s="130"/>
      <c r="AV804" s="130"/>
      <c r="AW804" s="130"/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45"/>
    </row>
    <row r="805" ht="15.75" customHeight="1">
      <c r="A805" s="141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44"/>
      <c r="AO805" s="144"/>
      <c r="AP805" s="130"/>
      <c r="AQ805" s="130"/>
      <c r="AR805" s="130"/>
      <c r="AS805" s="130"/>
      <c r="AT805" s="130"/>
      <c r="AU805" s="130"/>
      <c r="AV805" s="130"/>
      <c r="AW805" s="130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45"/>
    </row>
    <row r="806" ht="15.75" customHeight="1">
      <c r="A806" s="141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44"/>
      <c r="AO806" s="144"/>
      <c r="AP806" s="130"/>
      <c r="AQ806" s="130"/>
      <c r="AR806" s="130"/>
      <c r="AS806" s="130"/>
      <c r="AT806" s="130"/>
      <c r="AU806" s="130"/>
      <c r="AV806" s="130"/>
      <c r="AW806" s="130"/>
      <c r="AX806" s="129"/>
      <c r="AY806" s="129"/>
      <c r="AZ806" s="129"/>
      <c r="BA806" s="129"/>
      <c r="BB806" s="129"/>
      <c r="BC806" s="129"/>
      <c r="BD806" s="129"/>
      <c r="BE806" s="129"/>
      <c r="BF806" s="129"/>
      <c r="BG806" s="145"/>
    </row>
    <row r="807" ht="15.75" customHeight="1">
      <c r="A807" s="141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44"/>
      <c r="AO807" s="144"/>
      <c r="AP807" s="130"/>
      <c r="AQ807" s="130"/>
      <c r="AR807" s="130"/>
      <c r="AS807" s="130"/>
      <c r="AT807" s="130"/>
      <c r="AU807" s="130"/>
      <c r="AV807" s="130"/>
      <c r="AW807" s="130"/>
      <c r="AX807" s="129"/>
      <c r="AY807" s="129"/>
      <c r="AZ807" s="129"/>
      <c r="BA807" s="129"/>
      <c r="BB807" s="129"/>
      <c r="BC807" s="129"/>
      <c r="BD807" s="129"/>
      <c r="BE807" s="129"/>
      <c r="BF807" s="129"/>
      <c r="BG807" s="145"/>
    </row>
    <row r="808" ht="15.75" customHeight="1">
      <c r="A808" s="141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44"/>
      <c r="AO808" s="144"/>
      <c r="AP808" s="130"/>
      <c r="AQ808" s="130"/>
      <c r="AR808" s="130"/>
      <c r="AS808" s="130"/>
      <c r="AT808" s="130"/>
      <c r="AU808" s="130"/>
      <c r="AV808" s="130"/>
      <c r="AW808" s="130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45"/>
    </row>
    <row r="809" ht="15.75" customHeight="1">
      <c r="A809" s="141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44"/>
      <c r="AO809" s="144"/>
      <c r="AP809" s="130"/>
      <c r="AQ809" s="130"/>
      <c r="AR809" s="130"/>
      <c r="AS809" s="130"/>
      <c r="AT809" s="130"/>
      <c r="AU809" s="130"/>
      <c r="AV809" s="130"/>
      <c r="AW809" s="130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45"/>
    </row>
    <row r="810" ht="15.75" customHeight="1">
      <c r="A810" s="141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44"/>
      <c r="AO810" s="144"/>
      <c r="AP810" s="130"/>
      <c r="AQ810" s="130"/>
      <c r="AR810" s="130"/>
      <c r="AS810" s="130"/>
      <c r="AT810" s="130"/>
      <c r="AU810" s="130"/>
      <c r="AV810" s="130"/>
      <c r="AW810" s="130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45"/>
    </row>
    <row r="811" ht="15.75" customHeight="1">
      <c r="A811" s="141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44"/>
      <c r="AO811" s="144"/>
      <c r="AP811" s="130"/>
      <c r="AQ811" s="130"/>
      <c r="AR811" s="130"/>
      <c r="AS811" s="130"/>
      <c r="AT811" s="130"/>
      <c r="AU811" s="130"/>
      <c r="AV811" s="130"/>
      <c r="AW811" s="130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45"/>
    </row>
    <row r="812" ht="15.75" customHeight="1">
      <c r="A812" s="141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44"/>
      <c r="AO812" s="144"/>
      <c r="AP812" s="130"/>
      <c r="AQ812" s="130"/>
      <c r="AR812" s="130"/>
      <c r="AS812" s="130"/>
      <c r="AT812" s="130"/>
      <c r="AU812" s="130"/>
      <c r="AV812" s="130"/>
      <c r="AW812" s="130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45"/>
    </row>
    <row r="813" ht="15.75" customHeight="1">
      <c r="A813" s="141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44"/>
      <c r="AO813" s="144"/>
      <c r="AP813" s="130"/>
      <c r="AQ813" s="130"/>
      <c r="AR813" s="130"/>
      <c r="AS813" s="130"/>
      <c r="AT813" s="130"/>
      <c r="AU813" s="130"/>
      <c r="AV813" s="130"/>
      <c r="AW813" s="130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45"/>
    </row>
    <row r="814" ht="15.75" customHeight="1">
      <c r="A814" s="141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44"/>
      <c r="AO814" s="144"/>
      <c r="AP814" s="130"/>
      <c r="AQ814" s="130"/>
      <c r="AR814" s="130"/>
      <c r="AS814" s="130"/>
      <c r="AT814" s="130"/>
      <c r="AU814" s="130"/>
      <c r="AV814" s="130"/>
      <c r="AW814" s="130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45"/>
    </row>
    <row r="815" ht="15.75" customHeight="1">
      <c r="A815" s="141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44"/>
      <c r="AO815" s="144"/>
      <c r="AP815" s="130"/>
      <c r="AQ815" s="130"/>
      <c r="AR815" s="130"/>
      <c r="AS815" s="130"/>
      <c r="AT815" s="130"/>
      <c r="AU815" s="130"/>
      <c r="AV815" s="130"/>
      <c r="AW815" s="130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45"/>
    </row>
    <row r="816" ht="15.75" customHeight="1">
      <c r="A816" s="141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44"/>
      <c r="AO816" s="144"/>
      <c r="AP816" s="130"/>
      <c r="AQ816" s="130"/>
      <c r="AR816" s="130"/>
      <c r="AS816" s="130"/>
      <c r="AT816" s="130"/>
      <c r="AU816" s="130"/>
      <c r="AV816" s="130"/>
      <c r="AW816" s="130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45"/>
    </row>
    <row r="817" ht="15.75" customHeight="1">
      <c r="A817" s="141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44"/>
      <c r="AO817" s="144"/>
      <c r="AP817" s="130"/>
      <c r="AQ817" s="130"/>
      <c r="AR817" s="130"/>
      <c r="AS817" s="130"/>
      <c r="AT817" s="130"/>
      <c r="AU817" s="130"/>
      <c r="AV817" s="130"/>
      <c r="AW817" s="130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45"/>
    </row>
    <row r="818" ht="15.75" customHeight="1">
      <c r="A818" s="141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44"/>
      <c r="AO818" s="144"/>
      <c r="AP818" s="130"/>
      <c r="AQ818" s="130"/>
      <c r="AR818" s="130"/>
      <c r="AS818" s="130"/>
      <c r="AT818" s="130"/>
      <c r="AU818" s="130"/>
      <c r="AV818" s="130"/>
      <c r="AW818" s="130"/>
      <c r="AX818" s="129"/>
      <c r="AY818" s="129"/>
      <c r="AZ818" s="129"/>
      <c r="BA818" s="129"/>
      <c r="BB818" s="129"/>
      <c r="BC818" s="129"/>
      <c r="BD818" s="129"/>
      <c r="BE818" s="129"/>
      <c r="BF818" s="129"/>
      <c r="BG818" s="145"/>
    </row>
    <row r="819" ht="15.75" customHeight="1">
      <c r="A819" s="141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44"/>
      <c r="AO819" s="144"/>
      <c r="AP819" s="130"/>
      <c r="AQ819" s="130"/>
      <c r="AR819" s="130"/>
      <c r="AS819" s="130"/>
      <c r="AT819" s="130"/>
      <c r="AU819" s="130"/>
      <c r="AV819" s="130"/>
      <c r="AW819" s="130"/>
      <c r="AX819" s="129"/>
      <c r="AY819" s="129"/>
      <c r="AZ819" s="129"/>
      <c r="BA819" s="129"/>
      <c r="BB819" s="129"/>
      <c r="BC819" s="129"/>
      <c r="BD819" s="129"/>
      <c r="BE819" s="129"/>
      <c r="BF819" s="129"/>
      <c r="BG819" s="145"/>
    </row>
    <row r="820" ht="15.75" customHeight="1">
      <c r="A820" s="141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44"/>
      <c r="AO820" s="144"/>
      <c r="AP820" s="130"/>
      <c r="AQ820" s="130"/>
      <c r="AR820" s="130"/>
      <c r="AS820" s="130"/>
      <c r="AT820" s="130"/>
      <c r="AU820" s="130"/>
      <c r="AV820" s="130"/>
      <c r="AW820" s="130"/>
      <c r="AX820" s="129"/>
      <c r="AY820" s="129"/>
      <c r="AZ820" s="129"/>
      <c r="BA820" s="129"/>
      <c r="BB820" s="129"/>
      <c r="BC820" s="129"/>
      <c r="BD820" s="129"/>
      <c r="BE820" s="129"/>
      <c r="BF820" s="129"/>
      <c r="BG820" s="145"/>
    </row>
    <row r="821" ht="15.75" customHeight="1">
      <c r="A821" s="141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44"/>
      <c r="AO821" s="144"/>
      <c r="AP821" s="130"/>
      <c r="AQ821" s="130"/>
      <c r="AR821" s="130"/>
      <c r="AS821" s="130"/>
      <c r="AT821" s="130"/>
      <c r="AU821" s="130"/>
      <c r="AV821" s="130"/>
      <c r="AW821" s="130"/>
      <c r="AX821" s="129"/>
      <c r="AY821" s="129"/>
      <c r="AZ821" s="129"/>
      <c r="BA821" s="129"/>
      <c r="BB821" s="129"/>
      <c r="BC821" s="129"/>
      <c r="BD821" s="129"/>
      <c r="BE821" s="129"/>
      <c r="BF821" s="129"/>
      <c r="BG821" s="145"/>
    </row>
    <row r="822" ht="15.75" customHeight="1">
      <c r="A822" s="141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44"/>
      <c r="AO822" s="144"/>
      <c r="AP822" s="130"/>
      <c r="AQ822" s="130"/>
      <c r="AR822" s="130"/>
      <c r="AS822" s="130"/>
      <c r="AT822" s="130"/>
      <c r="AU822" s="130"/>
      <c r="AV822" s="130"/>
      <c r="AW822" s="130"/>
      <c r="AX822" s="129"/>
      <c r="AY822" s="129"/>
      <c r="AZ822" s="129"/>
      <c r="BA822" s="129"/>
      <c r="BB822" s="129"/>
      <c r="BC822" s="129"/>
      <c r="BD822" s="129"/>
      <c r="BE822" s="129"/>
      <c r="BF822" s="129"/>
      <c r="BG822" s="145"/>
    </row>
    <row r="823" ht="15.75" customHeight="1">
      <c r="A823" s="141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44"/>
      <c r="AO823" s="144"/>
      <c r="AP823" s="130"/>
      <c r="AQ823" s="130"/>
      <c r="AR823" s="130"/>
      <c r="AS823" s="130"/>
      <c r="AT823" s="130"/>
      <c r="AU823" s="130"/>
      <c r="AV823" s="130"/>
      <c r="AW823" s="130"/>
      <c r="AX823" s="129"/>
      <c r="AY823" s="129"/>
      <c r="AZ823" s="129"/>
      <c r="BA823" s="129"/>
      <c r="BB823" s="129"/>
      <c r="BC823" s="129"/>
      <c r="BD823" s="129"/>
      <c r="BE823" s="129"/>
      <c r="BF823" s="129"/>
      <c r="BG823" s="145"/>
    </row>
    <row r="824" ht="15.75" customHeight="1">
      <c r="A824" s="141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44"/>
      <c r="AO824" s="144"/>
      <c r="AP824" s="130"/>
      <c r="AQ824" s="130"/>
      <c r="AR824" s="130"/>
      <c r="AS824" s="130"/>
      <c r="AT824" s="130"/>
      <c r="AU824" s="130"/>
      <c r="AV824" s="130"/>
      <c r="AW824" s="130"/>
      <c r="AX824" s="129"/>
      <c r="AY824" s="129"/>
      <c r="AZ824" s="129"/>
      <c r="BA824" s="129"/>
      <c r="BB824" s="129"/>
      <c r="BC824" s="129"/>
      <c r="BD824" s="129"/>
      <c r="BE824" s="129"/>
      <c r="BF824" s="129"/>
      <c r="BG824" s="145"/>
    </row>
    <row r="825" ht="15.75" customHeight="1">
      <c r="A825" s="141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44"/>
      <c r="AO825" s="144"/>
      <c r="AP825" s="130"/>
      <c r="AQ825" s="130"/>
      <c r="AR825" s="130"/>
      <c r="AS825" s="130"/>
      <c r="AT825" s="130"/>
      <c r="AU825" s="130"/>
      <c r="AV825" s="130"/>
      <c r="AW825" s="130"/>
      <c r="AX825" s="129"/>
      <c r="AY825" s="129"/>
      <c r="AZ825" s="129"/>
      <c r="BA825" s="129"/>
      <c r="BB825" s="129"/>
      <c r="BC825" s="129"/>
      <c r="BD825" s="129"/>
      <c r="BE825" s="129"/>
      <c r="BF825" s="129"/>
      <c r="BG825" s="145"/>
    </row>
    <row r="826" ht="15.75" customHeight="1">
      <c r="A826" s="141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44"/>
      <c r="AO826" s="144"/>
      <c r="AP826" s="130"/>
      <c r="AQ826" s="130"/>
      <c r="AR826" s="130"/>
      <c r="AS826" s="130"/>
      <c r="AT826" s="130"/>
      <c r="AU826" s="130"/>
      <c r="AV826" s="130"/>
      <c r="AW826" s="130"/>
      <c r="AX826" s="129"/>
      <c r="AY826" s="129"/>
      <c r="AZ826" s="129"/>
      <c r="BA826" s="129"/>
      <c r="BB826" s="129"/>
      <c r="BC826" s="129"/>
      <c r="BD826" s="129"/>
      <c r="BE826" s="129"/>
      <c r="BF826" s="129"/>
      <c r="BG826" s="145"/>
    </row>
    <row r="827" ht="15.75" customHeight="1">
      <c r="A827" s="141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44"/>
      <c r="AO827" s="144"/>
      <c r="AP827" s="130"/>
      <c r="AQ827" s="130"/>
      <c r="AR827" s="130"/>
      <c r="AS827" s="130"/>
      <c r="AT827" s="130"/>
      <c r="AU827" s="130"/>
      <c r="AV827" s="130"/>
      <c r="AW827" s="130"/>
      <c r="AX827" s="129"/>
      <c r="AY827" s="129"/>
      <c r="AZ827" s="129"/>
      <c r="BA827" s="129"/>
      <c r="BB827" s="129"/>
      <c r="BC827" s="129"/>
      <c r="BD827" s="129"/>
      <c r="BE827" s="129"/>
      <c r="BF827" s="129"/>
      <c r="BG827" s="145"/>
    </row>
    <row r="828" ht="15.75" customHeight="1">
      <c r="A828" s="141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44"/>
      <c r="AO828" s="144"/>
      <c r="AP828" s="130"/>
      <c r="AQ828" s="130"/>
      <c r="AR828" s="130"/>
      <c r="AS828" s="130"/>
      <c r="AT828" s="130"/>
      <c r="AU828" s="130"/>
      <c r="AV828" s="130"/>
      <c r="AW828" s="130"/>
      <c r="AX828" s="129"/>
      <c r="AY828" s="129"/>
      <c r="AZ828" s="129"/>
      <c r="BA828" s="129"/>
      <c r="BB828" s="129"/>
      <c r="BC828" s="129"/>
      <c r="BD828" s="129"/>
      <c r="BE828" s="129"/>
      <c r="BF828" s="129"/>
      <c r="BG828" s="145"/>
    </row>
    <row r="829" ht="15.75" customHeight="1">
      <c r="A829" s="141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44"/>
      <c r="AO829" s="144"/>
      <c r="AP829" s="130"/>
      <c r="AQ829" s="130"/>
      <c r="AR829" s="130"/>
      <c r="AS829" s="130"/>
      <c r="AT829" s="130"/>
      <c r="AU829" s="130"/>
      <c r="AV829" s="130"/>
      <c r="AW829" s="130"/>
      <c r="AX829" s="129"/>
      <c r="AY829" s="129"/>
      <c r="AZ829" s="129"/>
      <c r="BA829" s="129"/>
      <c r="BB829" s="129"/>
      <c r="BC829" s="129"/>
      <c r="BD829" s="129"/>
      <c r="BE829" s="129"/>
      <c r="BF829" s="129"/>
      <c r="BG829" s="145"/>
    </row>
    <row r="830" ht="15.75" customHeight="1">
      <c r="A830" s="141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44"/>
      <c r="AO830" s="144"/>
      <c r="AP830" s="130"/>
      <c r="AQ830" s="130"/>
      <c r="AR830" s="130"/>
      <c r="AS830" s="130"/>
      <c r="AT830" s="130"/>
      <c r="AU830" s="130"/>
      <c r="AV830" s="130"/>
      <c r="AW830" s="130"/>
      <c r="AX830" s="129"/>
      <c r="AY830" s="129"/>
      <c r="AZ830" s="129"/>
      <c r="BA830" s="129"/>
      <c r="BB830" s="129"/>
      <c r="BC830" s="129"/>
      <c r="BD830" s="129"/>
      <c r="BE830" s="129"/>
      <c r="BF830" s="129"/>
      <c r="BG830" s="145"/>
    </row>
    <row r="831" ht="15.75" customHeight="1">
      <c r="A831" s="141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44"/>
      <c r="AO831" s="144"/>
      <c r="AP831" s="130"/>
      <c r="AQ831" s="130"/>
      <c r="AR831" s="130"/>
      <c r="AS831" s="130"/>
      <c r="AT831" s="130"/>
      <c r="AU831" s="130"/>
      <c r="AV831" s="130"/>
      <c r="AW831" s="130"/>
      <c r="AX831" s="129"/>
      <c r="AY831" s="129"/>
      <c r="AZ831" s="129"/>
      <c r="BA831" s="129"/>
      <c r="BB831" s="129"/>
      <c r="BC831" s="129"/>
      <c r="BD831" s="129"/>
      <c r="BE831" s="129"/>
      <c r="BF831" s="129"/>
      <c r="BG831" s="145"/>
    </row>
    <row r="832" ht="15.75" customHeight="1">
      <c r="A832" s="141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44"/>
      <c r="AO832" s="144"/>
      <c r="AP832" s="130"/>
      <c r="AQ832" s="130"/>
      <c r="AR832" s="130"/>
      <c r="AS832" s="130"/>
      <c r="AT832" s="130"/>
      <c r="AU832" s="130"/>
      <c r="AV832" s="130"/>
      <c r="AW832" s="130"/>
      <c r="AX832" s="129"/>
      <c r="AY832" s="129"/>
      <c r="AZ832" s="129"/>
      <c r="BA832" s="129"/>
      <c r="BB832" s="129"/>
      <c r="BC832" s="129"/>
      <c r="BD832" s="129"/>
      <c r="BE832" s="129"/>
      <c r="BF832" s="129"/>
      <c r="BG832" s="145"/>
    </row>
    <row r="833" ht="15.75" customHeight="1">
      <c r="A833" s="141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44"/>
      <c r="AO833" s="144"/>
      <c r="AP833" s="130"/>
      <c r="AQ833" s="130"/>
      <c r="AR833" s="130"/>
      <c r="AS833" s="130"/>
      <c r="AT833" s="130"/>
      <c r="AU833" s="130"/>
      <c r="AV833" s="130"/>
      <c r="AW833" s="130"/>
      <c r="AX833" s="129"/>
      <c r="AY833" s="129"/>
      <c r="AZ833" s="129"/>
      <c r="BA833" s="129"/>
      <c r="BB833" s="129"/>
      <c r="BC833" s="129"/>
      <c r="BD833" s="129"/>
      <c r="BE833" s="129"/>
      <c r="BF833" s="129"/>
      <c r="BG833" s="145"/>
    </row>
    <row r="834" ht="15.75" customHeight="1">
      <c r="A834" s="141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44"/>
      <c r="AO834" s="144"/>
      <c r="AP834" s="130"/>
      <c r="AQ834" s="130"/>
      <c r="AR834" s="130"/>
      <c r="AS834" s="130"/>
      <c r="AT834" s="130"/>
      <c r="AU834" s="130"/>
      <c r="AV834" s="130"/>
      <c r="AW834" s="130"/>
      <c r="AX834" s="129"/>
      <c r="AY834" s="129"/>
      <c r="AZ834" s="129"/>
      <c r="BA834" s="129"/>
      <c r="BB834" s="129"/>
      <c r="BC834" s="129"/>
      <c r="BD834" s="129"/>
      <c r="BE834" s="129"/>
      <c r="BF834" s="129"/>
      <c r="BG834" s="145"/>
    </row>
    <row r="835" ht="15.75" customHeight="1">
      <c r="A835" s="141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44"/>
      <c r="AO835" s="144"/>
      <c r="AP835" s="130"/>
      <c r="AQ835" s="130"/>
      <c r="AR835" s="130"/>
      <c r="AS835" s="130"/>
      <c r="AT835" s="130"/>
      <c r="AU835" s="130"/>
      <c r="AV835" s="130"/>
      <c r="AW835" s="130"/>
      <c r="AX835" s="129"/>
      <c r="AY835" s="129"/>
      <c r="AZ835" s="129"/>
      <c r="BA835" s="129"/>
      <c r="BB835" s="129"/>
      <c r="BC835" s="129"/>
      <c r="BD835" s="129"/>
      <c r="BE835" s="129"/>
      <c r="BF835" s="129"/>
      <c r="BG835" s="145"/>
    </row>
    <row r="836" ht="15.75" customHeight="1">
      <c r="A836" s="141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44"/>
      <c r="AO836" s="144"/>
      <c r="AP836" s="130"/>
      <c r="AQ836" s="130"/>
      <c r="AR836" s="130"/>
      <c r="AS836" s="130"/>
      <c r="AT836" s="130"/>
      <c r="AU836" s="130"/>
      <c r="AV836" s="130"/>
      <c r="AW836" s="130"/>
      <c r="AX836" s="129"/>
      <c r="AY836" s="129"/>
      <c r="AZ836" s="129"/>
      <c r="BA836" s="129"/>
      <c r="BB836" s="129"/>
      <c r="BC836" s="129"/>
      <c r="BD836" s="129"/>
      <c r="BE836" s="129"/>
      <c r="BF836" s="129"/>
      <c r="BG836" s="145"/>
    </row>
    <row r="837" ht="15.75" customHeight="1">
      <c r="A837" s="141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44"/>
      <c r="AO837" s="144"/>
      <c r="AP837" s="130"/>
      <c r="AQ837" s="130"/>
      <c r="AR837" s="130"/>
      <c r="AS837" s="130"/>
      <c r="AT837" s="130"/>
      <c r="AU837" s="130"/>
      <c r="AV837" s="130"/>
      <c r="AW837" s="130"/>
      <c r="AX837" s="129"/>
      <c r="AY837" s="129"/>
      <c r="AZ837" s="129"/>
      <c r="BA837" s="129"/>
      <c r="BB837" s="129"/>
      <c r="BC837" s="129"/>
      <c r="BD837" s="129"/>
      <c r="BE837" s="129"/>
      <c r="BF837" s="129"/>
      <c r="BG837" s="145"/>
    </row>
    <row r="838" ht="15.75" customHeight="1">
      <c r="A838" s="141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44"/>
      <c r="AO838" s="144"/>
      <c r="AP838" s="130"/>
      <c r="AQ838" s="130"/>
      <c r="AR838" s="130"/>
      <c r="AS838" s="130"/>
      <c r="AT838" s="130"/>
      <c r="AU838" s="130"/>
      <c r="AV838" s="130"/>
      <c r="AW838" s="130"/>
      <c r="AX838" s="129"/>
      <c r="AY838" s="129"/>
      <c r="AZ838" s="129"/>
      <c r="BA838" s="129"/>
      <c r="BB838" s="129"/>
      <c r="BC838" s="129"/>
      <c r="BD838" s="129"/>
      <c r="BE838" s="129"/>
      <c r="BF838" s="129"/>
      <c r="BG838" s="145"/>
    </row>
    <row r="839" ht="15.75" customHeight="1">
      <c r="A839" s="141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44"/>
      <c r="AO839" s="144"/>
      <c r="AP839" s="130"/>
      <c r="AQ839" s="130"/>
      <c r="AR839" s="130"/>
      <c r="AS839" s="130"/>
      <c r="AT839" s="130"/>
      <c r="AU839" s="130"/>
      <c r="AV839" s="130"/>
      <c r="AW839" s="130"/>
      <c r="AX839" s="129"/>
      <c r="AY839" s="129"/>
      <c r="AZ839" s="129"/>
      <c r="BA839" s="129"/>
      <c r="BB839" s="129"/>
      <c r="BC839" s="129"/>
      <c r="BD839" s="129"/>
      <c r="BE839" s="129"/>
      <c r="BF839" s="129"/>
      <c r="BG839" s="145"/>
    </row>
    <row r="840" ht="15.75" customHeight="1">
      <c r="A840" s="141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44"/>
      <c r="AO840" s="144"/>
      <c r="AP840" s="130"/>
      <c r="AQ840" s="130"/>
      <c r="AR840" s="130"/>
      <c r="AS840" s="130"/>
      <c r="AT840" s="130"/>
      <c r="AU840" s="130"/>
      <c r="AV840" s="130"/>
      <c r="AW840" s="130"/>
      <c r="AX840" s="129"/>
      <c r="AY840" s="129"/>
      <c r="AZ840" s="129"/>
      <c r="BA840" s="129"/>
      <c r="BB840" s="129"/>
      <c r="BC840" s="129"/>
      <c r="BD840" s="129"/>
      <c r="BE840" s="129"/>
      <c r="BF840" s="129"/>
      <c r="BG840" s="145"/>
    </row>
    <row r="841" ht="15.75" customHeight="1">
      <c r="A841" s="141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44"/>
      <c r="AO841" s="144"/>
      <c r="AP841" s="130"/>
      <c r="AQ841" s="130"/>
      <c r="AR841" s="130"/>
      <c r="AS841" s="130"/>
      <c r="AT841" s="130"/>
      <c r="AU841" s="130"/>
      <c r="AV841" s="130"/>
      <c r="AW841" s="130"/>
      <c r="AX841" s="129"/>
      <c r="AY841" s="129"/>
      <c r="AZ841" s="129"/>
      <c r="BA841" s="129"/>
      <c r="BB841" s="129"/>
      <c r="BC841" s="129"/>
      <c r="BD841" s="129"/>
      <c r="BE841" s="129"/>
      <c r="BF841" s="129"/>
      <c r="BG841" s="145"/>
    </row>
    <row r="842" ht="15.75" customHeight="1">
      <c r="A842" s="141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44"/>
      <c r="AO842" s="144"/>
      <c r="AP842" s="130"/>
      <c r="AQ842" s="130"/>
      <c r="AR842" s="130"/>
      <c r="AS842" s="130"/>
      <c r="AT842" s="130"/>
      <c r="AU842" s="130"/>
      <c r="AV842" s="130"/>
      <c r="AW842" s="130"/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45"/>
    </row>
    <row r="843" ht="15.75" customHeight="1">
      <c r="A843" s="141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44"/>
      <c r="AO843" s="144"/>
      <c r="AP843" s="130"/>
      <c r="AQ843" s="130"/>
      <c r="AR843" s="130"/>
      <c r="AS843" s="130"/>
      <c r="AT843" s="130"/>
      <c r="AU843" s="130"/>
      <c r="AV843" s="130"/>
      <c r="AW843" s="130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45"/>
    </row>
    <row r="844" ht="15.75" customHeight="1">
      <c r="A844" s="141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44"/>
      <c r="AO844" s="144"/>
      <c r="AP844" s="130"/>
      <c r="AQ844" s="130"/>
      <c r="AR844" s="130"/>
      <c r="AS844" s="130"/>
      <c r="AT844" s="130"/>
      <c r="AU844" s="130"/>
      <c r="AV844" s="130"/>
      <c r="AW844" s="130"/>
      <c r="AX844" s="129"/>
      <c r="AY844" s="129"/>
      <c r="AZ844" s="129"/>
      <c r="BA844" s="129"/>
      <c r="BB844" s="129"/>
      <c r="BC844" s="129"/>
      <c r="BD844" s="129"/>
      <c r="BE844" s="129"/>
      <c r="BF844" s="129"/>
      <c r="BG844" s="145"/>
    </row>
    <row r="845" ht="15.75" customHeight="1">
      <c r="A845" s="141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44"/>
      <c r="AO845" s="144"/>
      <c r="AP845" s="130"/>
      <c r="AQ845" s="130"/>
      <c r="AR845" s="130"/>
      <c r="AS845" s="130"/>
      <c r="AT845" s="130"/>
      <c r="AU845" s="130"/>
      <c r="AV845" s="130"/>
      <c r="AW845" s="130"/>
      <c r="AX845" s="129"/>
      <c r="AY845" s="129"/>
      <c r="AZ845" s="129"/>
      <c r="BA845" s="129"/>
      <c r="BB845" s="129"/>
      <c r="BC845" s="129"/>
      <c r="BD845" s="129"/>
      <c r="BE845" s="129"/>
      <c r="BF845" s="129"/>
      <c r="BG845" s="145"/>
    </row>
    <row r="846" ht="15.75" customHeight="1">
      <c r="A846" s="141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44"/>
      <c r="AO846" s="144"/>
      <c r="AP846" s="130"/>
      <c r="AQ846" s="130"/>
      <c r="AR846" s="130"/>
      <c r="AS846" s="130"/>
      <c r="AT846" s="130"/>
      <c r="AU846" s="130"/>
      <c r="AV846" s="130"/>
      <c r="AW846" s="130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45"/>
    </row>
    <row r="847" ht="15.75" customHeight="1">
      <c r="A847" s="141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44"/>
      <c r="AO847" s="144"/>
      <c r="AP847" s="130"/>
      <c r="AQ847" s="130"/>
      <c r="AR847" s="130"/>
      <c r="AS847" s="130"/>
      <c r="AT847" s="130"/>
      <c r="AU847" s="130"/>
      <c r="AV847" s="130"/>
      <c r="AW847" s="130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45"/>
    </row>
    <row r="848" ht="15.75" customHeight="1">
      <c r="A848" s="141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44"/>
      <c r="AO848" s="144"/>
      <c r="AP848" s="130"/>
      <c r="AQ848" s="130"/>
      <c r="AR848" s="130"/>
      <c r="AS848" s="130"/>
      <c r="AT848" s="130"/>
      <c r="AU848" s="130"/>
      <c r="AV848" s="130"/>
      <c r="AW848" s="130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45"/>
    </row>
    <row r="849" ht="15.75" customHeight="1">
      <c r="A849" s="141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44"/>
      <c r="AO849" s="144"/>
      <c r="AP849" s="130"/>
      <c r="AQ849" s="130"/>
      <c r="AR849" s="130"/>
      <c r="AS849" s="130"/>
      <c r="AT849" s="130"/>
      <c r="AU849" s="130"/>
      <c r="AV849" s="130"/>
      <c r="AW849" s="130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45"/>
    </row>
    <row r="850" ht="15.75" customHeight="1">
      <c r="A850" s="141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44"/>
      <c r="AO850" s="144"/>
      <c r="AP850" s="130"/>
      <c r="AQ850" s="130"/>
      <c r="AR850" s="130"/>
      <c r="AS850" s="130"/>
      <c r="AT850" s="130"/>
      <c r="AU850" s="130"/>
      <c r="AV850" s="130"/>
      <c r="AW850" s="130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45"/>
    </row>
    <row r="851" ht="15.75" customHeight="1">
      <c r="A851" s="141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44"/>
      <c r="AO851" s="144"/>
      <c r="AP851" s="130"/>
      <c r="AQ851" s="130"/>
      <c r="AR851" s="130"/>
      <c r="AS851" s="130"/>
      <c r="AT851" s="130"/>
      <c r="AU851" s="130"/>
      <c r="AV851" s="130"/>
      <c r="AW851" s="130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45"/>
    </row>
    <row r="852" ht="15.75" customHeight="1">
      <c r="A852" s="141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44"/>
      <c r="AO852" s="144"/>
      <c r="AP852" s="130"/>
      <c r="AQ852" s="130"/>
      <c r="AR852" s="130"/>
      <c r="AS852" s="130"/>
      <c r="AT852" s="130"/>
      <c r="AU852" s="130"/>
      <c r="AV852" s="130"/>
      <c r="AW852" s="130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45"/>
    </row>
    <row r="853" ht="15.75" customHeight="1">
      <c r="A853" s="141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44"/>
      <c r="AO853" s="144"/>
      <c r="AP853" s="130"/>
      <c r="AQ853" s="130"/>
      <c r="AR853" s="130"/>
      <c r="AS853" s="130"/>
      <c r="AT853" s="130"/>
      <c r="AU853" s="130"/>
      <c r="AV853" s="130"/>
      <c r="AW853" s="130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45"/>
    </row>
    <row r="854" ht="15.75" customHeight="1">
      <c r="A854" s="141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44"/>
      <c r="AO854" s="144"/>
      <c r="AP854" s="130"/>
      <c r="AQ854" s="130"/>
      <c r="AR854" s="130"/>
      <c r="AS854" s="130"/>
      <c r="AT854" s="130"/>
      <c r="AU854" s="130"/>
      <c r="AV854" s="130"/>
      <c r="AW854" s="130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45"/>
    </row>
    <row r="855" ht="15.75" customHeight="1">
      <c r="A855" s="141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44"/>
      <c r="AO855" s="144"/>
      <c r="AP855" s="130"/>
      <c r="AQ855" s="130"/>
      <c r="AR855" s="130"/>
      <c r="AS855" s="130"/>
      <c r="AT855" s="130"/>
      <c r="AU855" s="130"/>
      <c r="AV855" s="130"/>
      <c r="AW855" s="130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45"/>
    </row>
    <row r="856" ht="15.75" customHeight="1">
      <c r="A856" s="141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44"/>
      <c r="AO856" s="144"/>
      <c r="AP856" s="130"/>
      <c r="AQ856" s="130"/>
      <c r="AR856" s="130"/>
      <c r="AS856" s="130"/>
      <c r="AT856" s="130"/>
      <c r="AU856" s="130"/>
      <c r="AV856" s="130"/>
      <c r="AW856" s="130"/>
      <c r="AX856" s="129"/>
      <c r="AY856" s="129"/>
      <c r="AZ856" s="129"/>
      <c r="BA856" s="129"/>
      <c r="BB856" s="129"/>
      <c r="BC856" s="129"/>
      <c r="BD856" s="129"/>
      <c r="BE856" s="129"/>
      <c r="BF856" s="129"/>
      <c r="BG856" s="145"/>
    </row>
    <row r="857" ht="15.75" customHeight="1">
      <c r="A857" s="141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44"/>
      <c r="AO857" s="144"/>
      <c r="AP857" s="130"/>
      <c r="AQ857" s="130"/>
      <c r="AR857" s="130"/>
      <c r="AS857" s="130"/>
      <c r="AT857" s="130"/>
      <c r="AU857" s="130"/>
      <c r="AV857" s="130"/>
      <c r="AW857" s="130"/>
      <c r="AX857" s="129"/>
      <c r="AY857" s="129"/>
      <c r="AZ857" s="129"/>
      <c r="BA857" s="129"/>
      <c r="BB857" s="129"/>
      <c r="BC857" s="129"/>
      <c r="BD857" s="129"/>
      <c r="BE857" s="129"/>
      <c r="BF857" s="129"/>
      <c r="BG857" s="145"/>
    </row>
    <row r="858" ht="15.75" customHeight="1">
      <c r="A858" s="141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44"/>
      <c r="AO858" s="144"/>
      <c r="AP858" s="130"/>
      <c r="AQ858" s="130"/>
      <c r="AR858" s="130"/>
      <c r="AS858" s="130"/>
      <c r="AT858" s="130"/>
      <c r="AU858" s="130"/>
      <c r="AV858" s="130"/>
      <c r="AW858" s="130"/>
      <c r="AX858" s="129"/>
      <c r="AY858" s="129"/>
      <c r="AZ858" s="129"/>
      <c r="BA858" s="129"/>
      <c r="BB858" s="129"/>
      <c r="BC858" s="129"/>
      <c r="BD858" s="129"/>
      <c r="BE858" s="129"/>
      <c r="BF858" s="129"/>
      <c r="BG858" s="145"/>
    </row>
    <row r="859" ht="15.75" customHeight="1">
      <c r="A859" s="141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44"/>
      <c r="AO859" s="144"/>
      <c r="AP859" s="130"/>
      <c r="AQ859" s="130"/>
      <c r="AR859" s="130"/>
      <c r="AS859" s="130"/>
      <c r="AT859" s="130"/>
      <c r="AU859" s="130"/>
      <c r="AV859" s="130"/>
      <c r="AW859" s="130"/>
      <c r="AX859" s="129"/>
      <c r="AY859" s="129"/>
      <c r="AZ859" s="129"/>
      <c r="BA859" s="129"/>
      <c r="BB859" s="129"/>
      <c r="BC859" s="129"/>
      <c r="BD859" s="129"/>
      <c r="BE859" s="129"/>
      <c r="BF859" s="129"/>
      <c r="BG859" s="145"/>
    </row>
    <row r="860" ht="15.75" customHeight="1">
      <c r="A860" s="141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44"/>
      <c r="AO860" s="144"/>
      <c r="AP860" s="130"/>
      <c r="AQ860" s="130"/>
      <c r="AR860" s="130"/>
      <c r="AS860" s="130"/>
      <c r="AT860" s="130"/>
      <c r="AU860" s="130"/>
      <c r="AV860" s="130"/>
      <c r="AW860" s="130"/>
      <c r="AX860" s="129"/>
      <c r="AY860" s="129"/>
      <c r="AZ860" s="129"/>
      <c r="BA860" s="129"/>
      <c r="BB860" s="129"/>
      <c r="BC860" s="129"/>
      <c r="BD860" s="129"/>
      <c r="BE860" s="129"/>
      <c r="BF860" s="129"/>
      <c r="BG860" s="145"/>
    </row>
    <row r="861" ht="15.75" customHeight="1">
      <c r="A861" s="141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44"/>
      <c r="AO861" s="144"/>
      <c r="AP861" s="130"/>
      <c r="AQ861" s="130"/>
      <c r="AR861" s="130"/>
      <c r="AS861" s="130"/>
      <c r="AT861" s="130"/>
      <c r="AU861" s="130"/>
      <c r="AV861" s="130"/>
      <c r="AW861" s="130"/>
      <c r="AX861" s="129"/>
      <c r="AY861" s="129"/>
      <c r="AZ861" s="129"/>
      <c r="BA861" s="129"/>
      <c r="BB861" s="129"/>
      <c r="BC861" s="129"/>
      <c r="BD861" s="129"/>
      <c r="BE861" s="129"/>
      <c r="BF861" s="129"/>
      <c r="BG861" s="145"/>
    </row>
    <row r="862" ht="15.75" customHeight="1">
      <c r="A862" s="141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44"/>
      <c r="AO862" s="144"/>
      <c r="AP862" s="130"/>
      <c r="AQ862" s="130"/>
      <c r="AR862" s="130"/>
      <c r="AS862" s="130"/>
      <c r="AT862" s="130"/>
      <c r="AU862" s="130"/>
      <c r="AV862" s="130"/>
      <c r="AW862" s="130"/>
      <c r="AX862" s="129"/>
      <c r="AY862" s="129"/>
      <c r="AZ862" s="129"/>
      <c r="BA862" s="129"/>
      <c r="BB862" s="129"/>
      <c r="BC862" s="129"/>
      <c r="BD862" s="129"/>
      <c r="BE862" s="129"/>
      <c r="BF862" s="129"/>
      <c r="BG862" s="145"/>
    </row>
    <row r="863" ht="15.75" customHeight="1">
      <c r="A863" s="141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44"/>
      <c r="AO863" s="144"/>
      <c r="AP863" s="130"/>
      <c r="AQ863" s="130"/>
      <c r="AR863" s="130"/>
      <c r="AS863" s="130"/>
      <c r="AT863" s="130"/>
      <c r="AU863" s="130"/>
      <c r="AV863" s="130"/>
      <c r="AW863" s="130"/>
      <c r="AX863" s="129"/>
      <c r="AY863" s="129"/>
      <c r="AZ863" s="129"/>
      <c r="BA863" s="129"/>
      <c r="BB863" s="129"/>
      <c r="BC863" s="129"/>
      <c r="BD863" s="129"/>
      <c r="BE863" s="129"/>
      <c r="BF863" s="129"/>
      <c r="BG863" s="145"/>
    </row>
    <row r="864" ht="15.75" customHeight="1">
      <c r="A864" s="141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44"/>
      <c r="AO864" s="144"/>
      <c r="AP864" s="130"/>
      <c r="AQ864" s="130"/>
      <c r="AR864" s="130"/>
      <c r="AS864" s="130"/>
      <c r="AT864" s="130"/>
      <c r="AU864" s="130"/>
      <c r="AV864" s="130"/>
      <c r="AW864" s="130"/>
      <c r="AX864" s="129"/>
      <c r="AY864" s="129"/>
      <c r="AZ864" s="129"/>
      <c r="BA864" s="129"/>
      <c r="BB864" s="129"/>
      <c r="BC864" s="129"/>
      <c r="BD864" s="129"/>
      <c r="BE864" s="129"/>
      <c r="BF864" s="129"/>
      <c r="BG864" s="145"/>
    </row>
    <row r="865" ht="15.75" customHeight="1">
      <c r="A865" s="141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44"/>
      <c r="AO865" s="144"/>
      <c r="AP865" s="130"/>
      <c r="AQ865" s="130"/>
      <c r="AR865" s="130"/>
      <c r="AS865" s="130"/>
      <c r="AT865" s="130"/>
      <c r="AU865" s="130"/>
      <c r="AV865" s="130"/>
      <c r="AW865" s="130"/>
      <c r="AX865" s="129"/>
      <c r="AY865" s="129"/>
      <c r="AZ865" s="129"/>
      <c r="BA865" s="129"/>
      <c r="BB865" s="129"/>
      <c r="BC865" s="129"/>
      <c r="BD865" s="129"/>
      <c r="BE865" s="129"/>
      <c r="BF865" s="129"/>
      <c r="BG865" s="145"/>
    </row>
    <row r="866" ht="15.75" customHeight="1">
      <c r="A866" s="141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44"/>
      <c r="AO866" s="144"/>
      <c r="AP866" s="130"/>
      <c r="AQ866" s="130"/>
      <c r="AR866" s="130"/>
      <c r="AS866" s="130"/>
      <c r="AT866" s="130"/>
      <c r="AU866" s="130"/>
      <c r="AV866" s="130"/>
      <c r="AW866" s="130"/>
      <c r="AX866" s="129"/>
      <c r="AY866" s="129"/>
      <c r="AZ866" s="129"/>
      <c r="BA866" s="129"/>
      <c r="BB866" s="129"/>
      <c r="BC866" s="129"/>
      <c r="BD866" s="129"/>
      <c r="BE866" s="129"/>
      <c r="BF866" s="129"/>
      <c r="BG866" s="145"/>
    </row>
    <row r="867" ht="15.75" customHeight="1">
      <c r="A867" s="141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44"/>
      <c r="AO867" s="144"/>
      <c r="AP867" s="130"/>
      <c r="AQ867" s="130"/>
      <c r="AR867" s="130"/>
      <c r="AS867" s="130"/>
      <c r="AT867" s="130"/>
      <c r="AU867" s="130"/>
      <c r="AV867" s="130"/>
      <c r="AW867" s="130"/>
      <c r="AX867" s="129"/>
      <c r="AY867" s="129"/>
      <c r="AZ867" s="129"/>
      <c r="BA867" s="129"/>
      <c r="BB867" s="129"/>
      <c r="BC867" s="129"/>
      <c r="BD867" s="129"/>
      <c r="BE867" s="129"/>
      <c r="BF867" s="129"/>
      <c r="BG867" s="145"/>
    </row>
    <row r="868" ht="15.75" customHeight="1">
      <c r="A868" s="141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44"/>
      <c r="AO868" s="144"/>
      <c r="AP868" s="130"/>
      <c r="AQ868" s="130"/>
      <c r="AR868" s="130"/>
      <c r="AS868" s="130"/>
      <c r="AT868" s="130"/>
      <c r="AU868" s="130"/>
      <c r="AV868" s="130"/>
      <c r="AW868" s="130"/>
      <c r="AX868" s="129"/>
      <c r="AY868" s="129"/>
      <c r="AZ868" s="129"/>
      <c r="BA868" s="129"/>
      <c r="BB868" s="129"/>
      <c r="BC868" s="129"/>
      <c r="BD868" s="129"/>
      <c r="BE868" s="129"/>
      <c r="BF868" s="129"/>
      <c r="BG868" s="145"/>
    </row>
    <row r="869" ht="15.75" customHeight="1">
      <c r="A869" s="141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44"/>
      <c r="AO869" s="144"/>
      <c r="AP869" s="130"/>
      <c r="AQ869" s="130"/>
      <c r="AR869" s="130"/>
      <c r="AS869" s="130"/>
      <c r="AT869" s="130"/>
      <c r="AU869" s="130"/>
      <c r="AV869" s="130"/>
      <c r="AW869" s="130"/>
      <c r="AX869" s="129"/>
      <c r="AY869" s="129"/>
      <c r="AZ869" s="129"/>
      <c r="BA869" s="129"/>
      <c r="BB869" s="129"/>
      <c r="BC869" s="129"/>
      <c r="BD869" s="129"/>
      <c r="BE869" s="129"/>
      <c r="BF869" s="129"/>
      <c r="BG869" s="145"/>
    </row>
    <row r="870" ht="15.75" customHeight="1">
      <c r="A870" s="141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44"/>
      <c r="AO870" s="144"/>
      <c r="AP870" s="130"/>
      <c r="AQ870" s="130"/>
      <c r="AR870" s="130"/>
      <c r="AS870" s="130"/>
      <c r="AT870" s="130"/>
      <c r="AU870" s="130"/>
      <c r="AV870" s="130"/>
      <c r="AW870" s="130"/>
      <c r="AX870" s="129"/>
      <c r="AY870" s="129"/>
      <c r="AZ870" s="129"/>
      <c r="BA870" s="129"/>
      <c r="BB870" s="129"/>
      <c r="BC870" s="129"/>
      <c r="BD870" s="129"/>
      <c r="BE870" s="129"/>
      <c r="BF870" s="129"/>
      <c r="BG870" s="145"/>
    </row>
    <row r="871" ht="15.75" customHeight="1">
      <c r="A871" s="141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44"/>
      <c r="AO871" s="144"/>
      <c r="AP871" s="130"/>
      <c r="AQ871" s="130"/>
      <c r="AR871" s="130"/>
      <c r="AS871" s="130"/>
      <c r="AT871" s="130"/>
      <c r="AU871" s="130"/>
      <c r="AV871" s="130"/>
      <c r="AW871" s="130"/>
      <c r="AX871" s="129"/>
      <c r="AY871" s="129"/>
      <c r="AZ871" s="129"/>
      <c r="BA871" s="129"/>
      <c r="BB871" s="129"/>
      <c r="BC871" s="129"/>
      <c r="BD871" s="129"/>
      <c r="BE871" s="129"/>
      <c r="BF871" s="129"/>
      <c r="BG871" s="145"/>
    </row>
    <row r="872" ht="15.75" customHeight="1">
      <c r="A872" s="141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44"/>
      <c r="AO872" s="144"/>
      <c r="AP872" s="130"/>
      <c r="AQ872" s="130"/>
      <c r="AR872" s="130"/>
      <c r="AS872" s="130"/>
      <c r="AT872" s="130"/>
      <c r="AU872" s="130"/>
      <c r="AV872" s="130"/>
      <c r="AW872" s="130"/>
      <c r="AX872" s="129"/>
      <c r="AY872" s="129"/>
      <c r="AZ872" s="129"/>
      <c r="BA872" s="129"/>
      <c r="BB872" s="129"/>
      <c r="BC872" s="129"/>
      <c r="BD872" s="129"/>
      <c r="BE872" s="129"/>
      <c r="BF872" s="129"/>
      <c r="BG872" s="145"/>
    </row>
    <row r="873" ht="15.75" customHeight="1">
      <c r="A873" s="141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44"/>
      <c r="AO873" s="144"/>
      <c r="AP873" s="130"/>
      <c r="AQ873" s="130"/>
      <c r="AR873" s="130"/>
      <c r="AS873" s="130"/>
      <c r="AT873" s="130"/>
      <c r="AU873" s="130"/>
      <c r="AV873" s="130"/>
      <c r="AW873" s="130"/>
      <c r="AX873" s="129"/>
      <c r="AY873" s="129"/>
      <c r="AZ873" s="129"/>
      <c r="BA873" s="129"/>
      <c r="BB873" s="129"/>
      <c r="BC873" s="129"/>
      <c r="BD873" s="129"/>
      <c r="BE873" s="129"/>
      <c r="BF873" s="129"/>
      <c r="BG873" s="145"/>
    </row>
    <row r="874" ht="15.75" customHeight="1">
      <c r="A874" s="141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44"/>
      <c r="AO874" s="144"/>
      <c r="AP874" s="130"/>
      <c r="AQ874" s="130"/>
      <c r="AR874" s="130"/>
      <c r="AS874" s="130"/>
      <c r="AT874" s="130"/>
      <c r="AU874" s="130"/>
      <c r="AV874" s="130"/>
      <c r="AW874" s="130"/>
      <c r="AX874" s="129"/>
      <c r="AY874" s="129"/>
      <c r="AZ874" s="129"/>
      <c r="BA874" s="129"/>
      <c r="BB874" s="129"/>
      <c r="BC874" s="129"/>
      <c r="BD874" s="129"/>
      <c r="BE874" s="129"/>
      <c r="BF874" s="129"/>
      <c r="BG874" s="145"/>
    </row>
    <row r="875" ht="15.75" customHeight="1">
      <c r="A875" s="141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44"/>
      <c r="AO875" s="144"/>
      <c r="AP875" s="130"/>
      <c r="AQ875" s="130"/>
      <c r="AR875" s="130"/>
      <c r="AS875" s="130"/>
      <c r="AT875" s="130"/>
      <c r="AU875" s="130"/>
      <c r="AV875" s="130"/>
      <c r="AW875" s="130"/>
      <c r="AX875" s="129"/>
      <c r="AY875" s="129"/>
      <c r="AZ875" s="129"/>
      <c r="BA875" s="129"/>
      <c r="BB875" s="129"/>
      <c r="BC875" s="129"/>
      <c r="BD875" s="129"/>
      <c r="BE875" s="129"/>
      <c r="BF875" s="129"/>
      <c r="BG875" s="145"/>
    </row>
    <row r="876" ht="15.75" customHeight="1">
      <c r="A876" s="141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44"/>
      <c r="AO876" s="144"/>
      <c r="AP876" s="130"/>
      <c r="AQ876" s="130"/>
      <c r="AR876" s="130"/>
      <c r="AS876" s="130"/>
      <c r="AT876" s="130"/>
      <c r="AU876" s="130"/>
      <c r="AV876" s="130"/>
      <c r="AW876" s="130"/>
      <c r="AX876" s="129"/>
      <c r="AY876" s="129"/>
      <c r="AZ876" s="129"/>
      <c r="BA876" s="129"/>
      <c r="BB876" s="129"/>
      <c r="BC876" s="129"/>
      <c r="BD876" s="129"/>
      <c r="BE876" s="129"/>
      <c r="BF876" s="129"/>
      <c r="BG876" s="145"/>
    </row>
    <row r="877" ht="15.75" customHeight="1">
      <c r="A877" s="141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44"/>
      <c r="AO877" s="144"/>
      <c r="AP877" s="130"/>
      <c r="AQ877" s="130"/>
      <c r="AR877" s="130"/>
      <c r="AS877" s="130"/>
      <c r="AT877" s="130"/>
      <c r="AU877" s="130"/>
      <c r="AV877" s="130"/>
      <c r="AW877" s="130"/>
      <c r="AX877" s="129"/>
      <c r="AY877" s="129"/>
      <c r="AZ877" s="129"/>
      <c r="BA877" s="129"/>
      <c r="BB877" s="129"/>
      <c r="BC877" s="129"/>
      <c r="BD877" s="129"/>
      <c r="BE877" s="129"/>
      <c r="BF877" s="129"/>
      <c r="BG877" s="145"/>
    </row>
    <row r="878" ht="15.75" customHeight="1">
      <c r="A878" s="141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44"/>
      <c r="AO878" s="144"/>
      <c r="AP878" s="130"/>
      <c r="AQ878" s="130"/>
      <c r="AR878" s="130"/>
      <c r="AS878" s="130"/>
      <c r="AT878" s="130"/>
      <c r="AU878" s="130"/>
      <c r="AV878" s="130"/>
      <c r="AW878" s="130"/>
      <c r="AX878" s="129"/>
      <c r="AY878" s="129"/>
      <c r="AZ878" s="129"/>
      <c r="BA878" s="129"/>
      <c r="BB878" s="129"/>
      <c r="BC878" s="129"/>
      <c r="BD878" s="129"/>
      <c r="BE878" s="129"/>
      <c r="BF878" s="129"/>
      <c r="BG878" s="145"/>
    </row>
    <row r="879" ht="15.75" customHeight="1">
      <c r="A879" s="141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44"/>
      <c r="AO879" s="144"/>
      <c r="AP879" s="130"/>
      <c r="AQ879" s="130"/>
      <c r="AR879" s="130"/>
      <c r="AS879" s="130"/>
      <c r="AT879" s="130"/>
      <c r="AU879" s="130"/>
      <c r="AV879" s="130"/>
      <c r="AW879" s="130"/>
      <c r="AX879" s="129"/>
      <c r="AY879" s="129"/>
      <c r="AZ879" s="129"/>
      <c r="BA879" s="129"/>
      <c r="BB879" s="129"/>
      <c r="BC879" s="129"/>
      <c r="BD879" s="129"/>
      <c r="BE879" s="129"/>
      <c r="BF879" s="129"/>
      <c r="BG879" s="145"/>
    </row>
    <row r="880" ht="15.75" customHeight="1">
      <c r="A880" s="141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44"/>
      <c r="AO880" s="144"/>
      <c r="AP880" s="130"/>
      <c r="AQ880" s="130"/>
      <c r="AR880" s="130"/>
      <c r="AS880" s="130"/>
      <c r="AT880" s="130"/>
      <c r="AU880" s="130"/>
      <c r="AV880" s="130"/>
      <c r="AW880" s="130"/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45"/>
    </row>
    <row r="881" ht="15.75" customHeight="1">
      <c r="A881" s="141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44"/>
      <c r="AO881" s="144"/>
      <c r="AP881" s="130"/>
      <c r="AQ881" s="130"/>
      <c r="AR881" s="130"/>
      <c r="AS881" s="130"/>
      <c r="AT881" s="130"/>
      <c r="AU881" s="130"/>
      <c r="AV881" s="130"/>
      <c r="AW881" s="130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45"/>
    </row>
    <row r="882" ht="15.75" customHeight="1">
      <c r="A882" s="141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44"/>
      <c r="AO882" s="144"/>
      <c r="AP882" s="130"/>
      <c r="AQ882" s="130"/>
      <c r="AR882" s="130"/>
      <c r="AS882" s="130"/>
      <c r="AT882" s="130"/>
      <c r="AU882" s="130"/>
      <c r="AV882" s="130"/>
      <c r="AW882" s="130"/>
      <c r="AX882" s="129"/>
      <c r="AY882" s="129"/>
      <c r="AZ882" s="129"/>
      <c r="BA882" s="129"/>
      <c r="BB882" s="129"/>
      <c r="BC882" s="129"/>
      <c r="BD882" s="129"/>
      <c r="BE882" s="129"/>
      <c r="BF882" s="129"/>
      <c r="BG882" s="145"/>
    </row>
    <row r="883" ht="15.75" customHeight="1">
      <c r="A883" s="141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44"/>
      <c r="AO883" s="144"/>
      <c r="AP883" s="130"/>
      <c r="AQ883" s="130"/>
      <c r="AR883" s="130"/>
      <c r="AS883" s="130"/>
      <c r="AT883" s="130"/>
      <c r="AU883" s="130"/>
      <c r="AV883" s="130"/>
      <c r="AW883" s="130"/>
      <c r="AX883" s="129"/>
      <c r="AY883" s="129"/>
      <c r="AZ883" s="129"/>
      <c r="BA883" s="129"/>
      <c r="BB883" s="129"/>
      <c r="BC883" s="129"/>
      <c r="BD883" s="129"/>
      <c r="BE883" s="129"/>
      <c r="BF883" s="129"/>
      <c r="BG883" s="145"/>
    </row>
    <row r="884" ht="15.75" customHeight="1">
      <c r="A884" s="141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44"/>
      <c r="AO884" s="144"/>
      <c r="AP884" s="130"/>
      <c r="AQ884" s="130"/>
      <c r="AR884" s="130"/>
      <c r="AS884" s="130"/>
      <c r="AT884" s="130"/>
      <c r="AU884" s="130"/>
      <c r="AV884" s="130"/>
      <c r="AW884" s="130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45"/>
    </row>
    <row r="885" ht="15.75" customHeight="1">
      <c r="A885" s="141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44"/>
      <c r="AO885" s="144"/>
      <c r="AP885" s="130"/>
      <c r="AQ885" s="130"/>
      <c r="AR885" s="130"/>
      <c r="AS885" s="130"/>
      <c r="AT885" s="130"/>
      <c r="AU885" s="130"/>
      <c r="AV885" s="130"/>
      <c r="AW885" s="130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45"/>
    </row>
    <row r="886" ht="15.75" customHeight="1">
      <c r="A886" s="141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44"/>
      <c r="AO886" s="144"/>
      <c r="AP886" s="130"/>
      <c r="AQ886" s="130"/>
      <c r="AR886" s="130"/>
      <c r="AS886" s="130"/>
      <c r="AT886" s="130"/>
      <c r="AU886" s="130"/>
      <c r="AV886" s="130"/>
      <c r="AW886" s="130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45"/>
    </row>
    <row r="887" ht="15.75" customHeight="1">
      <c r="A887" s="141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44"/>
      <c r="AO887" s="144"/>
      <c r="AP887" s="130"/>
      <c r="AQ887" s="130"/>
      <c r="AR887" s="130"/>
      <c r="AS887" s="130"/>
      <c r="AT887" s="130"/>
      <c r="AU887" s="130"/>
      <c r="AV887" s="130"/>
      <c r="AW887" s="130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45"/>
    </row>
    <row r="888" ht="15.75" customHeight="1">
      <c r="A888" s="141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44"/>
      <c r="AO888" s="144"/>
      <c r="AP888" s="130"/>
      <c r="AQ888" s="130"/>
      <c r="AR888" s="130"/>
      <c r="AS888" s="130"/>
      <c r="AT888" s="130"/>
      <c r="AU888" s="130"/>
      <c r="AV888" s="130"/>
      <c r="AW888" s="130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45"/>
    </row>
    <row r="889" ht="15.75" customHeight="1">
      <c r="A889" s="141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44"/>
      <c r="AO889" s="144"/>
      <c r="AP889" s="130"/>
      <c r="AQ889" s="130"/>
      <c r="AR889" s="130"/>
      <c r="AS889" s="130"/>
      <c r="AT889" s="130"/>
      <c r="AU889" s="130"/>
      <c r="AV889" s="130"/>
      <c r="AW889" s="130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45"/>
    </row>
    <row r="890" ht="15.75" customHeight="1">
      <c r="A890" s="141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44"/>
      <c r="AO890" s="144"/>
      <c r="AP890" s="130"/>
      <c r="AQ890" s="130"/>
      <c r="AR890" s="130"/>
      <c r="AS890" s="130"/>
      <c r="AT890" s="130"/>
      <c r="AU890" s="130"/>
      <c r="AV890" s="130"/>
      <c r="AW890" s="130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45"/>
    </row>
    <row r="891" ht="15.75" customHeight="1">
      <c r="A891" s="141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44"/>
      <c r="AO891" s="144"/>
      <c r="AP891" s="130"/>
      <c r="AQ891" s="130"/>
      <c r="AR891" s="130"/>
      <c r="AS891" s="130"/>
      <c r="AT891" s="130"/>
      <c r="AU891" s="130"/>
      <c r="AV891" s="130"/>
      <c r="AW891" s="130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45"/>
    </row>
    <row r="892" ht="15.75" customHeight="1">
      <c r="A892" s="141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44"/>
      <c r="AO892" s="144"/>
      <c r="AP892" s="130"/>
      <c r="AQ892" s="130"/>
      <c r="AR892" s="130"/>
      <c r="AS892" s="130"/>
      <c r="AT892" s="130"/>
      <c r="AU892" s="130"/>
      <c r="AV892" s="130"/>
      <c r="AW892" s="130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45"/>
    </row>
    <row r="893" ht="15.75" customHeight="1">
      <c r="A893" s="141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44"/>
      <c r="AO893" s="144"/>
      <c r="AP893" s="130"/>
      <c r="AQ893" s="130"/>
      <c r="AR893" s="130"/>
      <c r="AS893" s="130"/>
      <c r="AT893" s="130"/>
      <c r="AU893" s="130"/>
      <c r="AV893" s="130"/>
      <c r="AW893" s="130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45"/>
    </row>
    <row r="894" ht="15.75" customHeight="1">
      <c r="A894" s="141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44"/>
      <c r="AO894" s="144"/>
      <c r="AP894" s="130"/>
      <c r="AQ894" s="130"/>
      <c r="AR894" s="130"/>
      <c r="AS894" s="130"/>
      <c r="AT894" s="130"/>
      <c r="AU894" s="130"/>
      <c r="AV894" s="130"/>
      <c r="AW894" s="130"/>
      <c r="AX894" s="129"/>
      <c r="AY894" s="129"/>
      <c r="AZ894" s="129"/>
      <c r="BA894" s="129"/>
      <c r="BB894" s="129"/>
      <c r="BC894" s="129"/>
      <c r="BD894" s="129"/>
      <c r="BE894" s="129"/>
      <c r="BF894" s="129"/>
      <c r="BG894" s="145"/>
    </row>
    <row r="895" ht="15.75" customHeight="1">
      <c r="A895" s="141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44"/>
      <c r="AO895" s="144"/>
      <c r="AP895" s="130"/>
      <c r="AQ895" s="130"/>
      <c r="AR895" s="130"/>
      <c r="AS895" s="130"/>
      <c r="AT895" s="130"/>
      <c r="AU895" s="130"/>
      <c r="AV895" s="130"/>
      <c r="AW895" s="130"/>
      <c r="AX895" s="129"/>
      <c r="AY895" s="129"/>
      <c r="AZ895" s="129"/>
      <c r="BA895" s="129"/>
      <c r="BB895" s="129"/>
      <c r="BC895" s="129"/>
      <c r="BD895" s="129"/>
      <c r="BE895" s="129"/>
      <c r="BF895" s="129"/>
      <c r="BG895" s="145"/>
    </row>
    <row r="896" ht="15.75" customHeight="1">
      <c r="A896" s="141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44"/>
      <c r="AO896" s="144"/>
      <c r="AP896" s="130"/>
      <c r="AQ896" s="130"/>
      <c r="AR896" s="130"/>
      <c r="AS896" s="130"/>
      <c r="AT896" s="130"/>
      <c r="AU896" s="130"/>
      <c r="AV896" s="130"/>
      <c r="AW896" s="130"/>
      <c r="AX896" s="129"/>
      <c r="AY896" s="129"/>
      <c r="AZ896" s="129"/>
      <c r="BA896" s="129"/>
      <c r="BB896" s="129"/>
      <c r="BC896" s="129"/>
      <c r="BD896" s="129"/>
      <c r="BE896" s="129"/>
      <c r="BF896" s="129"/>
      <c r="BG896" s="145"/>
    </row>
    <row r="897" ht="15.75" customHeight="1">
      <c r="A897" s="141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44"/>
      <c r="AO897" s="144"/>
      <c r="AP897" s="130"/>
      <c r="AQ897" s="130"/>
      <c r="AR897" s="130"/>
      <c r="AS897" s="130"/>
      <c r="AT897" s="130"/>
      <c r="AU897" s="130"/>
      <c r="AV897" s="130"/>
      <c r="AW897" s="130"/>
      <c r="AX897" s="129"/>
      <c r="AY897" s="129"/>
      <c r="AZ897" s="129"/>
      <c r="BA897" s="129"/>
      <c r="BB897" s="129"/>
      <c r="BC897" s="129"/>
      <c r="BD897" s="129"/>
      <c r="BE897" s="129"/>
      <c r="BF897" s="129"/>
      <c r="BG897" s="145"/>
    </row>
    <row r="898" ht="15.75" customHeight="1">
      <c r="A898" s="141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44"/>
      <c r="AO898" s="144"/>
      <c r="AP898" s="130"/>
      <c r="AQ898" s="130"/>
      <c r="AR898" s="130"/>
      <c r="AS898" s="130"/>
      <c r="AT898" s="130"/>
      <c r="AU898" s="130"/>
      <c r="AV898" s="130"/>
      <c r="AW898" s="130"/>
      <c r="AX898" s="129"/>
      <c r="AY898" s="129"/>
      <c r="AZ898" s="129"/>
      <c r="BA898" s="129"/>
      <c r="BB898" s="129"/>
      <c r="BC898" s="129"/>
      <c r="BD898" s="129"/>
      <c r="BE898" s="129"/>
      <c r="BF898" s="129"/>
      <c r="BG898" s="145"/>
    </row>
    <row r="899" ht="15.75" customHeight="1">
      <c r="A899" s="141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44"/>
      <c r="AO899" s="144"/>
      <c r="AP899" s="130"/>
      <c r="AQ899" s="130"/>
      <c r="AR899" s="130"/>
      <c r="AS899" s="130"/>
      <c r="AT899" s="130"/>
      <c r="AU899" s="130"/>
      <c r="AV899" s="130"/>
      <c r="AW899" s="130"/>
      <c r="AX899" s="129"/>
      <c r="AY899" s="129"/>
      <c r="AZ899" s="129"/>
      <c r="BA899" s="129"/>
      <c r="BB899" s="129"/>
      <c r="BC899" s="129"/>
      <c r="BD899" s="129"/>
      <c r="BE899" s="129"/>
      <c r="BF899" s="129"/>
      <c r="BG899" s="145"/>
    </row>
    <row r="900" ht="15.75" customHeight="1">
      <c r="A900" s="141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44"/>
      <c r="AO900" s="144"/>
      <c r="AP900" s="130"/>
      <c r="AQ900" s="130"/>
      <c r="AR900" s="130"/>
      <c r="AS900" s="130"/>
      <c r="AT900" s="130"/>
      <c r="AU900" s="130"/>
      <c r="AV900" s="130"/>
      <c r="AW900" s="130"/>
      <c r="AX900" s="129"/>
      <c r="AY900" s="129"/>
      <c r="AZ900" s="129"/>
      <c r="BA900" s="129"/>
      <c r="BB900" s="129"/>
      <c r="BC900" s="129"/>
      <c r="BD900" s="129"/>
      <c r="BE900" s="129"/>
      <c r="BF900" s="129"/>
      <c r="BG900" s="145"/>
    </row>
    <row r="901" ht="15.75" customHeight="1">
      <c r="A901" s="141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44"/>
      <c r="AO901" s="144"/>
      <c r="AP901" s="130"/>
      <c r="AQ901" s="130"/>
      <c r="AR901" s="130"/>
      <c r="AS901" s="130"/>
      <c r="AT901" s="130"/>
      <c r="AU901" s="130"/>
      <c r="AV901" s="130"/>
      <c r="AW901" s="130"/>
      <c r="AX901" s="129"/>
      <c r="AY901" s="129"/>
      <c r="AZ901" s="129"/>
      <c r="BA901" s="129"/>
      <c r="BB901" s="129"/>
      <c r="BC901" s="129"/>
      <c r="BD901" s="129"/>
      <c r="BE901" s="129"/>
      <c r="BF901" s="129"/>
      <c r="BG901" s="145"/>
    </row>
    <row r="902" ht="15.75" customHeight="1">
      <c r="A902" s="141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44"/>
      <c r="AO902" s="144"/>
      <c r="AP902" s="130"/>
      <c r="AQ902" s="130"/>
      <c r="AR902" s="130"/>
      <c r="AS902" s="130"/>
      <c r="AT902" s="130"/>
      <c r="AU902" s="130"/>
      <c r="AV902" s="130"/>
      <c r="AW902" s="130"/>
      <c r="AX902" s="129"/>
      <c r="AY902" s="129"/>
      <c r="AZ902" s="129"/>
      <c r="BA902" s="129"/>
      <c r="BB902" s="129"/>
      <c r="BC902" s="129"/>
      <c r="BD902" s="129"/>
      <c r="BE902" s="129"/>
      <c r="BF902" s="129"/>
      <c r="BG902" s="145"/>
    </row>
    <row r="903" ht="15.75" customHeight="1">
      <c r="A903" s="141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44"/>
      <c r="AO903" s="144"/>
      <c r="AP903" s="130"/>
      <c r="AQ903" s="130"/>
      <c r="AR903" s="130"/>
      <c r="AS903" s="130"/>
      <c r="AT903" s="130"/>
      <c r="AU903" s="130"/>
      <c r="AV903" s="130"/>
      <c r="AW903" s="130"/>
      <c r="AX903" s="129"/>
      <c r="AY903" s="129"/>
      <c r="AZ903" s="129"/>
      <c r="BA903" s="129"/>
      <c r="BB903" s="129"/>
      <c r="BC903" s="129"/>
      <c r="BD903" s="129"/>
      <c r="BE903" s="129"/>
      <c r="BF903" s="129"/>
      <c r="BG903" s="145"/>
    </row>
    <row r="904" ht="15.75" customHeight="1">
      <c r="A904" s="141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44"/>
      <c r="AO904" s="144"/>
      <c r="AP904" s="130"/>
      <c r="AQ904" s="130"/>
      <c r="AR904" s="130"/>
      <c r="AS904" s="130"/>
      <c r="AT904" s="130"/>
      <c r="AU904" s="130"/>
      <c r="AV904" s="130"/>
      <c r="AW904" s="130"/>
      <c r="AX904" s="129"/>
      <c r="AY904" s="129"/>
      <c r="AZ904" s="129"/>
      <c r="BA904" s="129"/>
      <c r="BB904" s="129"/>
      <c r="BC904" s="129"/>
      <c r="BD904" s="129"/>
      <c r="BE904" s="129"/>
      <c r="BF904" s="129"/>
      <c r="BG904" s="145"/>
    </row>
    <row r="905" ht="15.75" customHeight="1">
      <c r="A905" s="141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44"/>
      <c r="AO905" s="144"/>
      <c r="AP905" s="130"/>
      <c r="AQ905" s="130"/>
      <c r="AR905" s="130"/>
      <c r="AS905" s="130"/>
      <c r="AT905" s="130"/>
      <c r="AU905" s="130"/>
      <c r="AV905" s="130"/>
      <c r="AW905" s="130"/>
      <c r="AX905" s="129"/>
      <c r="AY905" s="129"/>
      <c r="AZ905" s="129"/>
      <c r="BA905" s="129"/>
      <c r="BB905" s="129"/>
      <c r="BC905" s="129"/>
      <c r="BD905" s="129"/>
      <c r="BE905" s="129"/>
      <c r="BF905" s="129"/>
      <c r="BG905" s="145"/>
    </row>
    <row r="906" ht="15.75" customHeight="1">
      <c r="A906" s="141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44"/>
      <c r="AO906" s="144"/>
      <c r="AP906" s="130"/>
      <c r="AQ906" s="130"/>
      <c r="AR906" s="130"/>
      <c r="AS906" s="130"/>
      <c r="AT906" s="130"/>
      <c r="AU906" s="130"/>
      <c r="AV906" s="130"/>
      <c r="AW906" s="130"/>
      <c r="AX906" s="129"/>
      <c r="AY906" s="129"/>
      <c r="AZ906" s="129"/>
      <c r="BA906" s="129"/>
      <c r="BB906" s="129"/>
      <c r="BC906" s="129"/>
      <c r="BD906" s="129"/>
      <c r="BE906" s="129"/>
      <c r="BF906" s="129"/>
      <c r="BG906" s="145"/>
    </row>
    <row r="907" ht="15.75" customHeight="1">
      <c r="A907" s="141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44"/>
      <c r="AO907" s="144"/>
      <c r="AP907" s="130"/>
      <c r="AQ907" s="130"/>
      <c r="AR907" s="130"/>
      <c r="AS907" s="130"/>
      <c r="AT907" s="130"/>
      <c r="AU907" s="130"/>
      <c r="AV907" s="130"/>
      <c r="AW907" s="130"/>
      <c r="AX907" s="129"/>
      <c r="AY907" s="129"/>
      <c r="AZ907" s="129"/>
      <c r="BA907" s="129"/>
      <c r="BB907" s="129"/>
      <c r="BC907" s="129"/>
      <c r="BD907" s="129"/>
      <c r="BE907" s="129"/>
      <c r="BF907" s="129"/>
      <c r="BG907" s="145"/>
    </row>
    <row r="908" ht="15.75" customHeight="1">
      <c r="A908" s="141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44"/>
      <c r="AO908" s="144"/>
      <c r="AP908" s="130"/>
      <c r="AQ908" s="130"/>
      <c r="AR908" s="130"/>
      <c r="AS908" s="130"/>
      <c r="AT908" s="130"/>
      <c r="AU908" s="130"/>
      <c r="AV908" s="130"/>
      <c r="AW908" s="130"/>
      <c r="AX908" s="129"/>
      <c r="AY908" s="129"/>
      <c r="AZ908" s="129"/>
      <c r="BA908" s="129"/>
      <c r="BB908" s="129"/>
      <c r="BC908" s="129"/>
      <c r="BD908" s="129"/>
      <c r="BE908" s="129"/>
      <c r="BF908" s="129"/>
      <c r="BG908" s="145"/>
    </row>
    <row r="909" ht="15.75" customHeight="1">
      <c r="A909" s="141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44"/>
      <c r="AO909" s="144"/>
      <c r="AP909" s="130"/>
      <c r="AQ909" s="130"/>
      <c r="AR909" s="130"/>
      <c r="AS909" s="130"/>
      <c r="AT909" s="130"/>
      <c r="AU909" s="130"/>
      <c r="AV909" s="130"/>
      <c r="AW909" s="130"/>
      <c r="AX909" s="129"/>
      <c r="AY909" s="129"/>
      <c r="AZ909" s="129"/>
      <c r="BA909" s="129"/>
      <c r="BB909" s="129"/>
      <c r="BC909" s="129"/>
      <c r="BD909" s="129"/>
      <c r="BE909" s="129"/>
      <c r="BF909" s="129"/>
      <c r="BG909" s="145"/>
    </row>
    <row r="910" ht="15.75" customHeight="1">
      <c r="A910" s="141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44"/>
      <c r="AO910" s="144"/>
      <c r="AP910" s="130"/>
      <c r="AQ910" s="130"/>
      <c r="AR910" s="130"/>
      <c r="AS910" s="130"/>
      <c r="AT910" s="130"/>
      <c r="AU910" s="130"/>
      <c r="AV910" s="130"/>
      <c r="AW910" s="130"/>
      <c r="AX910" s="129"/>
      <c r="AY910" s="129"/>
      <c r="AZ910" s="129"/>
      <c r="BA910" s="129"/>
      <c r="BB910" s="129"/>
      <c r="BC910" s="129"/>
      <c r="BD910" s="129"/>
      <c r="BE910" s="129"/>
      <c r="BF910" s="129"/>
      <c r="BG910" s="145"/>
    </row>
    <row r="911" ht="15.75" customHeight="1">
      <c r="A911" s="141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44"/>
      <c r="AO911" s="144"/>
      <c r="AP911" s="130"/>
      <c r="AQ911" s="130"/>
      <c r="AR911" s="130"/>
      <c r="AS911" s="130"/>
      <c r="AT911" s="130"/>
      <c r="AU911" s="130"/>
      <c r="AV911" s="130"/>
      <c r="AW911" s="130"/>
      <c r="AX911" s="129"/>
      <c r="AY911" s="129"/>
      <c r="AZ911" s="129"/>
      <c r="BA911" s="129"/>
      <c r="BB911" s="129"/>
      <c r="BC911" s="129"/>
      <c r="BD911" s="129"/>
      <c r="BE911" s="129"/>
      <c r="BF911" s="129"/>
      <c r="BG911" s="145"/>
    </row>
    <row r="912" ht="15.75" customHeight="1">
      <c r="A912" s="141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44"/>
      <c r="AO912" s="144"/>
      <c r="AP912" s="130"/>
      <c r="AQ912" s="130"/>
      <c r="AR912" s="130"/>
      <c r="AS912" s="130"/>
      <c r="AT912" s="130"/>
      <c r="AU912" s="130"/>
      <c r="AV912" s="130"/>
      <c r="AW912" s="130"/>
      <c r="AX912" s="129"/>
      <c r="AY912" s="129"/>
      <c r="AZ912" s="129"/>
      <c r="BA912" s="129"/>
      <c r="BB912" s="129"/>
      <c r="BC912" s="129"/>
      <c r="BD912" s="129"/>
      <c r="BE912" s="129"/>
      <c r="BF912" s="129"/>
      <c r="BG912" s="145"/>
    </row>
    <row r="913" ht="15.75" customHeight="1">
      <c r="A913" s="141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44"/>
      <c r="AO913" s="144"/>
      <c r="AP913" s="130"/>
      <c r="AQ913" s="130"/>
      <c r="AR913" s="130"/>
      <c r="AS913" s="130"/>
      <c r="AT913" s="130"/>
      <c r="AU913" s="130"/>
      <c r="AV913" s="130"/>
      <c r="AW913" s="130"/>
      <c r="AX913" s="129"/>
      <c r="AY913" s="129"/>
      <c r="AZ913" s="129"/>
      <c r="BA913" s="129"/>
      <c r="BB913" s="129"/>
      <c r="BC913" s="129"/>
      <c r="BD913" s="129"/>
      <c r="BE913" s="129"/>
      <c r="BF913" s="129"/>
      <c r="BG913" s="145"/>
    </row>
    <row r="914" ht="15.75" customHeight="1">
      <c r="A914" s="141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44"/>
      <c r="AO914" s="144"/>
      <c r="AP914" s="130"/>
      <c r="AQ914" s="130"/>
      <c r="AR914" s="130"/>
      <c r="AS914" s="130"/>
      <c r="AT914" s="130"/>
      <c r="AU914" s="130"/>
      <c r="AV914" s="130"/>
      <c r="AW914" s="130"/>
      <c r="AX914" s="129"/>
      <c r="AY914" s="129"/>
      <c r="AZ914" s="129"/>
      <c r="BA914" s="129"/>
      <c r="BB914" s="129"/>
      <c r="BC914" s="129"/>
      <c r="BD914" s="129"/>
      <c r="BE914" s="129"/>
      <c r="BF914" s="129"/>
      <c r="BG914" s="145"/>
    </row>
    <row r="915" ht="15.75" customHeight="1">
      <c r="A915" s="141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44"/>
      <c r="AO915" s="144"/>
      <c r="AP915" s="130"/>
      <c r="AQ915" s="130"/>
      <c r="AR915" s="130"/>
      <c r="AS915" s="130"/>
      <c r="AT915" s="130"/>
      <c r="AU915" s="130"/>
      <c r="AV915" s="130"/>
      <c r="AW915" s="130"/>
      <c r="AX915" s="129"/>
      <c r="AY915" s="129"/>
      <c r="AZ915" s="129"/>
      <c r="BA915" s="129"/>
      <c r="BB915" s="129"/>
      <c r="BC915" s="129"/>
      <c r="BD915" s="129"/>
      <c r="BE915" s="129"/>
      <c r="BF915" s="129"/>
      <c r="BG915" s="145"/>
    </row>
    <row r="916" ht="15.75" customHeight="1">
      <c r="A916" s="141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44"/>
      <c r="AO916" s="144"/>
      <c r="AP916" s="130"/>
      <c r="AQ916" s="130"/>
      <c r="AR916" s="130"/>
      <c r="AS916" s="130"/>
      <c r="AT916" s="130"/>
      <c r="AU916" s="130"/>
      <c r="AV916" s="130"/>
      <c r="AW916" s="130"/>
      <c r="AX916" s="129"/>
      <c r="AY916" s="129"/>
      <c r="AZ916" s="129"/>
      <c r="BA916" s="129"/>
      <c r="BB916" s="129"/>
      <c r="BC916" s="129"/>
      <c r="BD916" s="129"/>
      <c r="BE916" s="129"/>
      <c r="BF916" s="129"/>
      <c r="BG916" s="145"/>
    </row>
    <row r="917" ht="15.75" customHeight="1">
      <c r="A917" s="141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44"/>
      <c r="AO917" s="144"/>
      <c r="AP917" s="130"/>
      <c r="AQ917" s="130"/>
      <c r="AR917" s="130"/>
      <c r="AS917" s="130"/>
      <c r="AT917" s="130"/>
      <c r="AU917" s="130"/>
      <c r="AV917" s="130"/>
      <c r="AW917" s="130"/>
      <c r="AX917" s="129"/>
      <c r="AY917" s="129"/>
      <c r="AZ917" s="129"/>
      <c r="BA917" s="129"/>
      <c r="BB917" s="129"/>
      <c r="BC917" s="129"/>
      <c r="BD917" s="129"/>
      <c r="BE917" s="129"/>
      <c r="BF917" s="129"/>
      <c r="BG917" s="145"/>
    </row>
    <row r="918" ht="15.75" customHeight="1">
      <c r="A918" s="141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44"/>
      <c r="AO918" s="144"/>
      <c r="AP918" s="130"/>
      <c r="AQ918" s="130"/>
      <c r="AR918" s="130"/>
      <c r="AS918" s="130"/>
      <c r="AT918" s="130"/>
      <c r="AU918" s="130"/>
      <c r="AV918" s="130"/>
      <c r="AW918" s="130"/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45"/>
    </row>
    <row r="919" ht="15.75" customHeight="1">
      <c r="A919" s="141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44"/>
      <c r="AO919" s="144"/>
      <c r="AP919" s="130"/>
      <c r="AQ919" s="130"/>
      <c r="AR919" s="130"/>
      <c r="AS919" s="130"/>
      <c r="AT919" s="130"/>
      <c r="AU919" s="130"/>
      <c r="AV919" s="130"/>
      <c r="AW919" s="130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45"/>
    </row>
    <row r="920" ht="15.75" customHeight="1">
      <c r="A920" s="141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44"/>
      <c r="AO920" s="144"/>
      <c r="AP920" s="130"/>
      <c r="AQ920" s="130"/>
      <c r="AR920" s="130"/>
      <c r="AS920" s="130"/>
      <c r="AT920" s="130"/>
      <c r="AU920" s="130"/>
      <c r="AV920" s="130"/>
      <c r="AW920" s="130"/>
      <c r="AX920" s="129"/>
      <c r="AY920" s="129"/>
      <c r="AZ920" s="129"/>
      <c r="BA920" s="129"/>
      <c r="BB920" s="129"/>
      <c r="BC920" s="129"/>
      <c r="BD920" s="129"/>
      <c r="BE920" s="129"/>
      <c r="BF920" s="129"/>
      <c r="BG920" s="145"/>
    </row>
    <row r="921" ht="15.75" customHeight="1">
      <c r="A921" s="141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44"/>
      <c r="AO921" s="144"/>
      <c r="AP921" s="130"/>
      <c r="AQ921" s="130"/>
      <c r="AR921" s="130"/>
      <c r="AS921" s="130"/>
      <c r="AT921" s="130"/>
      <c r="AU921" s="130"/>
      <c r="AV921" s="130"/>
      <c r="AW921" s="130"/>
      <c r="AX921" s="129"/>
      <c r="AY921" s="129"/>
      <c r="AZ921" s="129"/>
      <c r="BA921" s="129"/>
      <c r="BB921" s="129"/>
      <c r="BC921" s="129"/>
      <c r="BD921" s="129"/>
      <c r="BE921" s="129"/>
      <c r="BF921" s="129"/>
      <c r="BG921" s="145"/>
    </row>
    <row r="922" ht="15.75" customHeight="1">
      <c r="A922" s="141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44"/>
      <c r="AO922" s="144"/>
      <c r="AP922" s="130"/>
      <c r="AQ922" s="130"/>
      <c r="AR922" s="130"/>
      <c r="AS922" s="130"/>
      <c r="AT922" s="130"/>
      <c r="AU922" s="130"/>
      <c r="AV922" s="130"/>
      <c r="AW922" s="130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45"/>
    </row>
    <row r="923" ht="15.75" customHeight="1">
      <c r="A923" s="141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44"/>
      <c r="AO923" s="144"/>
      <c r="AP923" s="130"/>
      <c r="AQ923" s="130"/>
      <c r="AR923" s="130"/>
      <c r="AS923" s="130"/>
      <c r="AT923" s="130"/>
      <c r="AU923" s="130"/>
      <c r="AV923" s="130"/>
      <c r="AW923" s="130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45"/>
    </row>
    <row r="924" ht="15.75" customHeight="1">
      <c r="A924" s="141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44"/>
      <c r="AO924" s="144"/>
      <c r="AP924" s="130"/>
      <c r="AQ924" s="130"/>
      <c r="AR924" s="130"/>
      <c r="AS924" s="130"/>
      <c r="AT924" s="130"/>
      <c r="AU924" s="130"/>
      <c r="AV924" s="130"/>
      <c r="AW924" s="130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45"/>
    </row>
    <row r="925" ht="15.75" customHeight="1">
      <c r="A925" s="141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44"/>
      <c r="AO925" s="144"/>
      <c r="AP925" s="130"/>
      <c r="AQ925" s="130"/>
      <c r="AR925" s="130"/>
      <c r="AS925" s="130"/>
      <c r="AT925" s="130"/>
      <c r="AU925" s="130"/>
      <c r="AV925" s="130"/>
      <c r="AW925" s="130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45"/>
    </row>
    <row r="926" ht="15.75" customHeight="1">
      <c r="A926" s="141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44"/>
      <c r="AO926" s="144"/>
      <c r="AP926" s="130"/>
      <c r="AQ926" s="130"/>
      <c r="AR926" s="130"/>
      <c r="AS926" s="130"/>
      <c r="AT926" s="130"/>
      <c r="AU926" s="130"/>
      <c r="AV926" s="130"/>
      <c r="AW926" s="130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45"/>
    </row>
    <row r="927" ht="15.75" customHeight="1">
      <c r="A927" s="141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44"/>
      <c r="AO927" s="144"/>
      <c r="AP927" s="130"/>
      <c r="AQ927" s="130"/>
      <c r="AR927" s="130"/>
      <c r="AS927" s="130"/>
      <c r="AT927" s="130"/>
      <c r="AU927" s="130"/>
      <c r="AV927" s="130"/>
      <c r="AW927" s="130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45"/>
    </row>
    <row r="928" ht="15.75" customHeight="1">
      <c r="A928" s="141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44"/>
      <c r="AO928" s="144"/>
      <c r="AP928" s="130"/>
      <c r="AQ928" s="130"/>
      <c r="AR928" s="130"/>
      <c r="AS928" s="130"/>
      <c r="AT928" s="130"/>
      <c r="AU928" s="130"/>
      <c r="AV928" s="130"/>
      <c r="AW928" s="130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45"/>
    </row>
    <row r="929" ht="15.75" customHeight="1">
      <c r="A929" s="141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44"/>
      <c r="AO929" s="144"/>
      <c r="AP929" s="130"/>
      <c r="AQ929" s="130"/>
      <c r="AR929" s="130"/>
      <c r="AS929" s="130"/>
      <c r="AT929" s="130"/>
      <c r="AU929" s="130"/>
      <c r="AV929" s="130"/>
      <c r="AW929" s="130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45"/>
    </row>
    <row r="930" ht="15.75" customHeight="1">
      <c r="A930" s="141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44"/>
      <c r="AO930" s="144"/>
      <c r="AP930" s="130"/>
      <c r="AQ930" s="130"/>
      <c r="AR930" s="130"/>
      <c r="AS930" s="130"/>
      <c r="AT930" s="130"/>
      <c r="AU930" s="130"/>
      <c r="AV930" s="130"/>
      <c r="AW930" s="130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45"/>
    </row>
    <row r="931" ht="15.75" customHeight="1">
      <c r="A931" s="141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44"/>
      <c r="AO931" s="144"/>
      <c r="AP931" s="130"/>
      <c r="AQ931" s="130"/>
      <c r="AR931" s="130"/>
      <c r="AS931" s="130"/>
      <c r="AT931" s="130"/>
      <c r="AU931" s="130"/>
      <c r="AV931" s="130"/>
      <c r="AW931" s="130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45"/>
    </row>
    <row r="932" ht="15.75" customHeight="1">
      <c r="A932" s="141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44"/>
      <c r="AO932" s="144"/>
      <c r="AP932" s="130"/>
      <c r="AQ932" s="130"/>
      <c r="AR932" s="130"/>
      <c r="AS932" s="130"/>
      <c r="AT932" s="130"/>
      <c r="AU932" s="130"/>
      <c r="AV932" s="130"/>
      <c r="AW932" s="130"/>
      <c r="AX932" s="129"/>
      <c r="AY932" s="129"/>
      <c r="AZ932" s="129"/>
      <c r="BA932" s="129"/>
      <c r="BB932" s="129"/>
      <c r="BC932" s="129"/>
      <c r="BD932" s="129"/>
      <c r="BE932" s="129"/>
      <c r="BF932" s="129"/>
      <c r="BG932" s="145"/>
    </row>
    <row r="933" ht="15.75" customHeight="1">
      <c r="A933" s="141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44"/>
      <c r="AO933" s="144"/>
      <c r="AP933" s="130"/>
      <c r="AQ933" s="130"/>
      <c r="AR933" s="130"/>
      <c r="AS933" s="130"/>
      <c r="AT933" s="130"/>
      <c r="AU933" s="130"/>
      <c r="AV933" s="130"/>
      <c r="AW933" s="130"/>
      <c r="AX933" s="129"/>
      <c r="AY933" s="129"/>
      <c r="AZ933" s="129"/>
      <c r="BA933" s="129"/>
      <c r="BB933" s="129"/>
      <c r="BC933" s="129"/>
      <c r="BD933" s="129"/>
      <c r="BE933" s="129"/>
      <c r="BF933" s="129"/>
      <c r="BG933" s="145"/>
    </row>
    <row r="934" ht="15.75" customHeight="1">
      <c r="A934" s="141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44"/>
      <c r="AO934" s="144"/>
      <c r="AP934" s="130"/>
      <c r="AQ934" s="130"/>
      <c r="AR934" s="130"/>
      <c r="AS934" s="130"/>
      <c r="AT934" s="130"/>
      <c r="AU934" s="130"/>
      <c r="AV934" s="130"/>
      <c r="AW934" s="130"/>
      <c r="AX934" s="129"/>
      <c r="AY934" s="129"/>
      <c r="AZ934" s="129"/>
      <c r="BA934" s="129"/>
      <c r="BB934" s="129"/>
      <c r="BC934" s="129"/>
      <c r="BD934" s="129"/>
      <c r="BE934" s="129"/>
      <c r="BF934" s="129"/>
      <c r="BG934" s="145"/>
    </row>
    <row r="935" ht="15.75" customHeight="1">
      <c r="A935" s="141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44"/>
      <c r="AO935" s="144"/>
      <c r="AP935" s="130"/>
      <c r="AQ935" s="130"/>
      <c r="AR935" s="130"/>
      <c r="AS935" s="130"/>
      <c r="AT935" s="130"/>
      <c r="AU935" s="130"/>
      <c r="AV935" s="130"/>
      <c r="AW935" s="130"/>
      <c r="AX935" s="129"/>
      <c r="AY935" s="129"/>
      <c r="AZ935" s="129"/>
      <c r="BA935" s="129"/>
      <c r="BB935" s="129"/>
      <c r="BC935" s="129"/>
      <c r="BD935" s="129"/>
      <c r="BE935" s="129"/>
      <c r="BF935" s="129"/>
      <c r="BG935" s="145"/>
    </row>
    <row r="936" ht="15.75" customHeight="1">
      <c r="A936" s="141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44"/>
      <c r="AO936" s="144"/>
      <c r="AP936" s="130"/>
      <c r="AQ936" s="130"/>
      <c r="AR936" s="130"/>
      <c r="AS936" s="130"/>
      <c r="AT936" s="130"/>
      <c r="AU936" s="130"/>
      <c r="AV936" s="130"/>
      <c r="AW936" s="130"/>
      <c r="AX936" s="129"/>
      <c r="AY936" s="129"/>
      <c r="AZ936" s="129"/>
      <c r="BA936" s="129"/>
      <c r="BB936" s="129"/>
      <c r="BC936" s="129"/>
      <c r="BD936" s="129"/>
      <c r="BE936" s="129"/>
      <c r="BF936" s="129"/>
      <c r="BG936" s="145"/>
    </row>
    <row r="937" ht="15.75" customHeight="1">
      <c r="A937" s="141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44"/>
      <c r="AO937" s="144"/>
      <c r="AP937" s="130"/>
      <c r="AQ937" s="130"/>
      <c r="AR937" s="130"/>
      <c r="AS937" s="130"/>
      <c r="AT937" s="130"/>
      <c r="AU937" s="130"/>
      <c r="AV937" s="130"/>
      <c r="AW937" s="130"/>
      <c r="AX937" s="129"/>
      <c r="AY937" s="129"/>
      <c r="AZ937" s="129"/>
      <c r="BA937" s="129"/>
      <c r="BB937" s="129"/>
      <c r="BC937" s="129"/>
      <c r="BD937" s="129"/>
      <c r="BE937" s="129"/>
      <c r="BF937" s="129"/>
      <c r="BG937" s="145"/>
    </row>
    <row r="938" ht="15.75" customHeight="1">
      <c r="A938" s="141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44"/>
      <c r="AO938" s="144"/>
      <c r="AP938" s="130"/>
      <c r="AQ938" s="130"/>
      <c r="AR938" s="130"/>
      <c r="AS938" s="130"/>
      <c r="AT938" s="130"/>
      <c r="AU938" s="130"/>
      <c r="AV938" s="130"/>
      <c r="AW938" s="130"/>
      <c r="AX938" s="129"/>
      <c r="AY938" s="129"/>
      <c r="AZ938" s="129"/>
      <c r="BA938" s="129"/>
      <c r="BB938" s="129"/>
      <c r="BC938" s="129"/>
      <c r="BD938" s="129"/>
      <c r="BE938" s="129"/>
      <c r="BF938" s="129"/>
      <c r="BG938" s="145"/>
    </row>
    <row r="939" ht="15.75" customHeight="1">
      <c r="A939" s="141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44"/>
      <c r="AO939" s="144"/>
      <c r="AP939" s="130"/>
      <c r="AQ939" s="130"/>
      <c r="AR939" s="130"/>
      <c r="AS939" s="130"/>
      <c r="AT939" s="130"/>
      <c r="AU939" s="130"/>
      <c r="AV939" s="130"/>
      <c r="AW939" s="130"/>
      <c r="AX939" s="129"/>
      <c r="AY939" s="129"/>
      <c r="AZ939" s="129"/>
      <c r="BA939" s="129"/>
      <c r="BB939" s="129"/>
      <c r="BC939" s="129"/>
      <c r="BD939" s="129"/>
      <c r="BE939" s="129"/>
      <c r="BF939" s="129"/>
      <c r="BG939" s="145"/>
    </row>
    <row r="940" ht="15.75" customHeight="1">
      <c r="A940" s="141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44"/>
      <c r="AO940" s="144"/>
      <c r="AP940" s="130"/>
      <c r="AQ940" s="130"/>
      <c r="AR940" s="130"/>
      <c r="AS940" s="130"/>
      <c r="AT940" s="130"/>
      <c r="AU940" s="130"/>
      <c r="AV940" s="130"/>
      <c r="AW940" s="130"/>
      <c r="AX940" s="129"/>
      <c r="AY940" s="129"/>
      <c r="AZ940" s="129"/>
      <c r="BA940" s="129"/>
      <c r="BB940" s="129"/>
      <c r="BC940" s="129"/>
      <c r="BD940" s="129"/>
      <c r="BE940" s="129"/>
      <c r="BF940" s="129"/>
      <c r="BG940" s="145"/>
    </row>
    <row r="941" ht="15.75" customHeight="1">
      <c r="A941" s="141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44"/>
      <c r="AO941" s="144"/>
      <c r="AP941" s="130"/>
      <c r="AQ941" s="130"/>
      <c r="AR941" s="130"/>
      <c r="AS941" s="130"/>
      <c r="AT941" s="130"/>
      <c r="AU941" s="130"/>
      <c r="AV941" s="130"/>
      <c r="AW941" s="130"/>
      <c r="AX941" s="129"/>
      <c r="AY941" s="129"/>
      <c r="AZ941" s="129"/>
      <c r="BA941" s="129"/>
      <c r="BB941" s="129"/>
      <c r="BC941" s="129"/>
      <c r="BD941" s="129"/>
      <c r="BE941" s="129"/>
      <c r="BF941" s="129"/>
      <c r="BG941" s="145"/>
    </row>
    <row r="942" ht="15.75" customHeight="1">
      <c r="A942" s="141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44"/>
      <c r="AO942" s="144"/>
      <c r="AP942" s="130"/>
      <c r="AQ942" s="130"/>
      <c r="AR942" s="130"/>
      <c r="AS942" s="130"/>
      <c r="AT942" s="130"/>
      <c r="AU942" s="130"/>
      <c r="AV942" s="130"/>
      <c r="AW942" s="130"/>
      <c r="AX942" s="129"/>
      <c r="AY942" s="129"/>
      <c r="AZ942" s="129"/>
      <c r="BA942" s="129"/>
      <c r="BB942" s="129"/>
      <c r="BC942" s="129"/>
      <c r="BD942" s="129"/>
      <c r="BE942" s="129"/>
      <c r="BF942" s="129"/>
      <c r="BG942" s="145"/>
    </row>
    <row r="943" ht="15.75" customHeight="1">
      <c r="A943" s="141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44"/>
      <c r="AO943" s="144"/>
      <c r="AP943" s="130"/>
      <c r="AQ943" s="130"/>
      <c r="AR943" s="130"/>
      <c r="AS943" s="130"/>
      <c r="AT943" s="130"/>
      <c r="AU943" s="130"/>
      <c r="AV943" s="130"/>
      <c r="AW943" s="130"/>
      <c r="AX943" s="129"/>
      <c r="AY943" s="129"/>
      <c r="AZ943" s="129"/>
      <c r="BA943" s="129"/>
      <c r="BB943" s="129"/>
      <c r="BC943" s="129"/>
      <c r="BD943" s="129"/>
      <c r="BE943" s="129"/>
      <c r="BF943" s="129"/>
      <c r="BG943" s="145"/>
    </row>
    <row r="944" ht="15.75" customHeight="1">
      <c r="A944" s="141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44"/>
      <c r="AO944" s="144"/>
      <c r="AP944" s="130"/>
      <c r="AQ944" s="130"/>
      <c r="AR944" s="130"/>
      <c r="AS944" s="130"/>
      <c r="AT944" s="130"/>
      <c r="AU944" s="130"/>
      <c r="AV944" s="130"/>
      <c r="AW944" s="130"/>
      <c r="AX944" s="129"/>
      <c r="AY944" s="129"/>
      <c r="AZ944" s="129"/>
      <c r="BA944" s="129"/>
      <c r="BB944" s="129"/>
      <c r="BC944" s="129"/>
      <c r="BD944" s="129"/>
      <c r="BE944" s="129"/>
      <c r="BF944" s="129"/>
      <c r="BG944" s="145"/>
    </row>
    <row r="945" ht="15.75" customHeight="1">
      <c r="A945" s="141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44"/>
      <c r="AO945" s="144"/>
      <c r="AP945" s="130"/>
      <c r="AQ945" s="130"/>
      <c r="AR945" s="130"/>
      <c r="AS945" s="130"/>
      <c r="AT945" s="130"/>
      <c r="AU945" s="130"/>
      <c r="AV945" s="130"/>
      <c r="AW945" s="130"/>
      <c r="AX945" s="129"/>
      <c r="AY945" s="129"/>
      <c r="AZ945" s="129"/>
      <c r="BA945" s="129"/>
      <c r="BB945" s="129"/>
      <c r="BC945" s="129"/>
      <c r="BD945" s="129"/>
      <c r="BE945" s="129"/>
      <c r="BF945" s="129"/>
      <c r="BG945" s="145"/>
    </row>
    <row r="946" ht="15.75" customHeight="1">
      <c r="A946" s="141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44"/>
      <c r="AO946" s="144"/>
      <c r="AP946" s="130"/>
      <c r="AQ946" s="130"/>
      <c r="AR946" s="130"/>
      <c r="AS946" s="130"/>
      <c r="AT946" s="130"/>
      <c r="AU946" s="130"/>
      <c r="AV946" s="130"/>
      <c r="AW946" s="130"/>
      <c r="AX946" s="129"/>
      <c r="AY946" s="129"/>
      <c r="AZ946" s="129"/>
      <c r="BA946" s="129"/>
      <c r="BB946" s="129"/>
      <c r="BC946" s="129"/>
      <c r="BD946" s="129"/>
      <c r="BE946" s="129"/>
      <c r="BF946" s="129"/>
      <c r="BG946" s="145"/>
    </row>
    <row r="947" ht="15.75" customHeight="1">
      <c r="A947" s="141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44"/>
      <c r="AO947" s="144"/>
      <c r="AP947" s="130"/>
      <c r="AQ947" s="130"/>
      <c r="AR947" s="130"/>
      <c r="AS947" s="130"/>
      <c r="AT947" s="130"/>
      <c r="AU947" s="130"/>
      <c r="AV947" s="130"/>
      <c r="AW947" s="130"/>
      <c r="AX947" s="129"/>
      <c r="AY947" s="129"/>
      <c r="AZ947" s="129"/>
      <c r="BA947" s="129"/>
      <c r="BB947" s="129"/>
      <c r="BC947" s="129"/>
      <c r="BD947" s="129"/>
      <c r="BE947" s="129"/>
      <c r="BF947" s="129"/>
      <c r="BG947" s="145"/>
    </row>
    <row r="948" ht="15.75" customHeight="1">
      <c r="A948" s="141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44"/>
      <c r="AO948" s="144"/>
      <c r="AP948" s="130"/>
      <c r="AQ948" s="130"/>
      <c r="AR948" s="130"/>
      <c r="AS948" s="130"/>
      <c r="AT948" s="130"/>
      <c r="AU948" s="130"/>
      <c r="AV948" s="130"/>
      <c r="AW948" s="130"/>
      <c r="AX948" s="129"/>
      <c r="AY948" s="129"/>
      <c r="AZ948" s="129"/>
      <c r="BA948" s="129"/>
      <c r="BB948" s="129"/>
      <c r="BC948" s="129"/>
      <c r="BD948" s="129"/>
      <c r="BE948" s="129"/>
      <c r="BF948" s="129"/>
      <c r="BG948" s="145"/>
    </row>
    <row r="949" ht="15.75" customHeight="1">
      <c r="A949" s="141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44"/>
      <c r="AO949" s="144"/>
      <c r="AP949" s="130"/>
      <c r="AQ949" s="130"/>
      <c r="AR949" s="130"/>
      <c r="AS949" s="130"/>
      <c r="AT949" s="130"/>
      <c r="AU949" s="130"/>
      <c r="AV949" s="130"/>
      <c r="AW949" s="130"/>
      <c r="AX949" s="129"/>
      <c r="AY949" s="129"/>
      <c r="AZ949" s="129"/>
      <c r="BA949" s="129"/>
      <c r="BB949" s="129"/>
      <c r="BC949" s="129"/>
      <c r="BD949" s="129"/>
      <c r="BE949" s="129"/>
      <c r="BF949" s="129"/>
      <c r="BG949" s="145"/>
    </row>
    <row r="950" ht="15.75" customHeight="1">
      <c r="A950" s="141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44"/>
      <c r="AO950" s="144"/>
      <c r="AP950" s="130"/>
      <c r="AQ950" s="130"/>
      <c r="AR950" s="130"/>
      <c r="AS950" s="130"/>
      <c r="AT950" s="130"/>
      <c r="AU950" s="130"/>
      <c r="AV950" s="130"/>
      <c r="AW950" s="130"/>
      <c r="AX950" s="129"/>
      <c r="AY950" s="129"/>
      <c r="AZ950" s="129"/>
      <c r="BA950" s="129"/>
      <c r="BB950" s="129"/>
      <c r="BC950" s="129"/>
      <c r="BD950" s="129"/>
      <c r="BE950" s="129"/>
      <c r="BF950" s="129"/>
      <c r="BG950" s="145"/>
    </row>
    <row r="951" ht="15.75" customHeight="1">
      <c r="A951" s="141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44"/>
      <c r="AO951" s="144"/>
      <c r="AP951" s="130"/>
      <c r="AQ951" s="130"/>
      <c r="AR951" s="130"/>
      <c r="AS951" s="130"/>
      <c r="AT951" s="130"/>
      <c r="AU951" s="130"/>
      <c r="AV951" s="130"/>
      <c r="AW951" s="130"/>
      <c r="AX951" s="129"/>
      <c r="AY951" s="129"/>
      <c r="AZ951" s="129"/>
      <c r="BA951" s="129"/>
      <c r="BB951" s="129"/>
      <c r="BC951" s="129"/>
      <c r="BD951" s="129"/>
      <c r="BE951" s="129"/>
      <c r="BF951" s="129"/>
      <c r="BG951" s="145"/>
    </row>
    <row r="952" ht="15.75" customHeight="1">
      <c r="A952" s="141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44"/>
      <c r="AO952" s="144"/>
      <c r="AP952" s="130"/>
      <c r="AQ952" s="130"/>
      <c r="AR952" s="130"/>
      <c r="AS952" s="130"/>
      <c r="AT952" s="130"/>
      <c r="AU952" s="130"/>
      <c r="AV952" s="130"/>
      <c r="AW952" s="130"/>
      <c r="AX952" s="129"/>
      <c r="AY952" s="129"/>
      <c r="AZ952" s="129"/>
      <c r="BA952" s="129"/>
      <c r="BB952" s="129"/>
      <c r="BC952" s="129"/>
      <c r="BD952" s="129"/>
      <c r="BE952" s="129"/>
      <c r="BF952" s="129"/>
      <c r="BG952" s="145"/>
    </row>
    <row r="953" ht="15.75" customHeight="1">
      <c r="A953" s="141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44"/>
      <c r="AO953" s="144"/>
      <c r="AP953" s="130"/>
      <c r="AQ953" s="130"/>
      <c r="AR953" s="130"/>
      <c r="AS953" s="130"/>
      <c r="AT953" s="130"/>
      <c r="AU953" s="130"/>
      <c r="AV953" s="130"/>
      <c r="AW953" s="130"/>
      <c r="AX953" s="129"/>
      <c r="AY953" s="129"/>
      <c r="AZ953" s="129"/>
      <c r="BA953" s="129"/>
      <c r="BB953" s="129"/>
      <c r="BC953" s="129"/>
      <c r="BD953" s="129"/>
      <c r="BE953" s="129"/>
      <c r="BF953" s="129"/>
      <c r="BG953" s="145"/>
    </row>
    <row r="954" ht="15.75" customHeight="1">
      <c r="A954" s="141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44"/>
      <c r="AO954" s="144"/>
      <c r="AP954" s="130"/>
      <c r="AQ954" s="130"/>
      <c r="AR954" s="130"/>
      <c r="AS954" s="130"/>
      <c r="AT954" s="130"/>
      <c r="AU954" s="130"/>
      <c r="AV954" s="130"/>
      <c r="AW954" s="130"/>
      <c r="AX954" s="129"/>
      <c r="AY954" s="129"/>
      <c r="AZ954" s="129"/>
      <c r="BA954" s="129"/>
      <c r="BB954" s="129"/>
      <c r="BC954" s="129"/>
      <c r="BD954" s="129"/>
      <c r="BE954" s="129"/>
      <c r="BF954" s="129"/>
      <c r="BG954" s="145"/>
    </row>
    <row r="955" ht="15.75" customHeight="1">
      <c r="A955" s="141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44"/>
      <c r="AO955" s="144"/>
      <c r="AP955" s="130"/>
      <c r="AQ955" s="130"/>
      <c r="AR955" s="130"/>
      <c r="AS955" s="130"/>
      <c r="AT955" s="130"/>
      <c r="AU955" s="130"/>
      <c r="AV955" s="130"/>
      <c r="AW955" s="130"/>
      <c r="AX955" s="129"/>
      <c r="AY955" s="129"/>
      <c r="AZ955" s="129"/>
      <c r="BA955" s="129"/>
      <c r="BB955" s="129"/>
      <c r="BC955" s="129"/>
      <c r="BD955" s="129"/>
      <c r="BE955" s="129"/>
      <c r="BF955" s="129"/>
      <c r="BG955" s="145"/>
    </row>
    <row r="956" ht="15.75" customHeight="1">
      <c r="A956" s="141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44"/>
      <c r="AO956" s="144"/>
      <c r="AP956" s="130"/>
      <c r="AQ956" s="130"/>
      <c r="AR956" s="130"/>
      <c r="AS956" s="130"/>
      <c r="AT956" s="130"/>
      <c r="AU956" s="130"/>
      <c r="AV956" s="130"/>
      <c r="AW956" s="130"/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45"/>
    </row>
    <row r="957" ht="15.75" customHeight="1">
      <c r="A957" s="141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44"/>
      <c r="AO957" s="144"/>
      <c r="AP957" s="130"/>
      <c r="AQ957" s="130"/>
      <c r="AR957" s="130"/>
      <c r="AS957" s="130"/>
      <c r="AT957" s="130"/>
      <c r="AU957" s="130"/>
      <c r="AV957" s="130"/>
      <c r="AW957" s="130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45"/>
    </row>
    <row r="958" ht="15.75" customHeight="1">
      <c r="A958" s="141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44"/>
      <c r="AO958" s="144"/>
      <c r="AP958" s="130"/>
      <c r="AQ958" s="130"/>
      <c r="AR958" s="130"/>
      <c r="AS958" s="130"/>
      <c r="AT958" s="130"/>
      <c r="AU958" s="130"/>
      <c r="AV958" s="130"/>
      <c r="AW958" s="130"/>
      <c r="AX958" s="129"/>
      <c r="AY958" s="129"/>
      <c r="AZ958" s="129"/>
      <c r="BA958" s="129"/>
      <c r="BB958" s="129"/>
      <c r="BC958" s="129"/>
      <c r="BD958" s="129"/>
      <c r="BE958" s="129"/>
      <c r="BF958" s="129"/>
      <c r="BG958" s="145"/>
    </row>
    <row r="959" ht="15.75" customHeight="1">
      <c r="A959" s="141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44"/>
      <c r="AO959" s="144"/>
      <c r="AP959" s="130"/>
      <c r="AQ959" s="130"/>
      <c r="AR959" s="130"/>
      <c r="AS959" s="130"/>
      <c r="AT959" s="130"/>
      <c r="AU959" s="130"/>
      <c r="AV959" s="130"/>
      <c r="AW959" s="130"/>
      <c r="AX959" s="129"/>
      <c r="AY959" s="129"/>
      <c r="AZ959" s="129"/>
      <c r="BA959" s="129"/>
      <c r="BB959" s="129"/>
      <c r="BC959" s="129"/>
      <c r="BD959" s="129"/>
      <c r="BE959" s="129"/>
      <c r="BF959" s="129"/>
      <c r="BG959" s="145"/>
    </row>
    <row r="960" ht="15.75" customHeight="1">
      <c r="A960" s="141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44"/>
      <c r="AO960" s="144"/>
      <c r="AP960" s="130"/>
      <c r="AQ960" s="130"/>
      <c r="AR960" s="130"/>
      <c r="AS960" s="130"/>
      <c r="AT960" s="130"/>
      <c r="AU960" s="130"/>
      <c r="AV960" s="130"/>
      <c r="AW960" s="130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45"/>
    </row>
    <row r="961" ht="15.75" customHeight="1">
      <c r="A961" s="141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44"/>
      <c r="AO961" s="144"/>
      <c r="AP961" s="130"/>
      <c r="AQ961" s="130"/>
      <c r="AR961" s="130"/>
      <c r="AS961" s="130"/>
      <c r="AT961" s="130"/>
      <c r="AU961" s="130"/>
      <c r="AV961" s="130"/>
      <c r="AW961" s="130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45"/>
    </row>
    <row r="962" ht="15.75" customHeight="1">
      <c r="A962" s="141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44"/>
      <c r="AO962" s="144"/>
      <c r="AP962" s="130"/>
      <c r="AQ962" s="130"/>
      <c r="AR962" s="130"/>
      <c r="AS962" s="130"/>
      <c r="AT962" s="130"/>
      <c r="AU962" s="130"/>
      <c r="AV962" s="130"/>
      <c r="AW962" s="130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45"/>
    </row>
    <row r="963" ht="15.75" customHeight="1">
      <c r="A963" s="141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44"/>
      <c r="AO963" s="144"/>
      <c r="AP963" s="130"/>
      <c r="AQ963" s="130"/>
      <c r="AR963" s="130"/>
      <c r="AS963" s="130"/>
      <c r="AT963" s="130"/>
      <c r="AU963" s="130"/>
      <c r="AV963" s="130"/>
      <c r="AW963" s="130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45"/>
    </row>
    <row r="964" ht="15.75" customHeight="1">
      <c r="A964" s="141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44"/>
      <c r="AO964" s="144"/>
      <c r="AP964" s="130"/>
      <c r="AQ964" s="130"/>
      <c r="AR964" s="130"/>
      <c r="AS964" s="130"/>
      <c r="AT964" s="130"/>
      <c r="AU964" s="130"/>
      <c r="AV964" s="130"/>
      <c r="AW964" s="130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45"/>
    </row>
    <row r="965" ht="15.75" customHeight="1">
      <c r="A965" s="141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44"/>
      <c r="AO965" s="144"/>
      <c r="AP965" s="130"/>
      <c r="AQ965" s="130"/>
      <c r="AR965" s="130"/>
      <c r="AS965" s="130"/>
      <c r="AT965" s="130"/>
      <c r="AU965" s="130"/>
      <c r="AV965" s="130"/>
      <c r="AW965" s="130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45"/>
    </row>
    <row r="966" ht="15.75" customHeight="1">
      <c r="A966" s="141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44"/>
      <c r="AO966" s="144"/>
      <c r="AP966" s="130"/>
      <c r="AQ966" s="130"/>
      <c r="AR966" s="130"/>
      <c r="AS966" s="130"/>
      <c r="AT966" s="130"/>
      <c r="AU966" s="130"/>
      <c r="AV966" s="130"/>
      <c r="AW966" s="130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45"/>
    </row>
    <row r="967" ht="15.75" customHeight="1">
      <c r="A967" s="141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44"/>
      <c r="AO967" s="144"/>
      <c r="AP967" s="130"/>
      <c r="AQ967" s="130"/>
      <c r="AR967" s="130"/>
      <c r="AS967" s="130"/>
      <c r="AT967" s="130"/>
      <c r="AU967" s="130"/>
      <c r="AV967" s="130"/>
      <c r="AW967" s="130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45"/>
    </row>
    <row r="968" ht="15.75" customHeight="1">
      <c r="A968" s="141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44"/>
      <c r="AO968" s="144"/>
      <c r="AP968" s="130"/>
      <c r="AQ968" s="130"/>
      <c r="AR968" s="130"/>
      <c r="AS968" s="130"/>
      <c r="AT968" s="130"/>
      <c r="AU968" s="130"/>
      <c r="AV968" s="130"/>
      <c r="AW968" s="130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45"/>
    </row>
    <row r="969" ht="15.75" customHeight="1">
      <c r="A969" s="141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44"/>
      <c r="AO969" s="144"/>
      <c r="AP969" s="130"/>
      <c r="AQ969" s="130"/>
      <c r="AR969" s="130"/>
      <c r="AS969" s="130"/>
      <c r="AT969" s="130"/>
      <c r="AU969" s="130"/>
      <c r="AV969" s="130"/>
      <c r="AW969" s="130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45"/>
    </row>
    <row r="970" ht="15.75" customHeight="1">
      <c r="A970" s="141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44"/>
      <c r="AO970" s="144"/>
      <c r="AP970" s="130"/>
      <c r="AQ970" s="130"/>
      <c r="AR970" s="130"/>
      <c r="AS970" s="130"/>
      <c r="AT970" s="130"/>
      <c r="AU970" s="130"/>
      <c r="AV970" s="130"/>
      <c r="AW970" s="130"/>
      <c r="AX970" s="129"/>
      <c r="AY970" s="129"/>
      <c r="AZ970" s="129"/>
      <c r="BA970" s="129"/>
      <c r="BB970" s="129"/>
      <c r="BC970" s="129"/>
      <c r="BD970" s="129"/>
      <c r="BE970" s="129"/>
      <c r="BF970" s="129"/>
      <c r="BG970" s="145"/>
    </row>
    <row r="971" ht="15.75" customHeight="1">
      <c r="A971" s="141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44"/>
      <c r="AO971" s="144"/>
      <c r="AP971" s="130"/>
      <c r="AQ971" s="130"/>
      <c r="AR971" s="130"/>
      <c r="AS971" s="130"/>
      <c r="AT971" s="130"/>
      <c r="AU971" s="130"/>
      <c r="AV971" s="130"/>
      <c r="AW971" s="130"/>
      <c r="AX971" s="129"/>
      <c r="AY971" s="129"/>
      <c r="AZ971" s="129"/>
      <c r="BA971" s="129"/>
      <c r="BB971" s="129"/>
      <c r="BC971" s="129"/>
      <c r="BD971" s="129"/>
      <c r="BE971" s="129"/>
      <c r="BF971" s="129"/>
      <c r="BG971" s="145"/>
    </row>
    <row r="972" ht="15.75" customHeight="1">
      <c r="A972" s="141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44"/>
      <c r="AO972" s="144"/>
      <c r="AP972" s="130"/>
      <c r="AQ972" s="130"/>
      <c r="AR972" s="130"/>
      <c r="AS972" s="130"/>
      <c r="AT972" s="130"/>
      <c r="AU972" s="130"/>
      <c r="AV972" s="130"/>
      <c r="AW972" s="130"/>
      <c r="AX972" s="129"/>
      <c r="AY972" s="129"/>
      <c r="AZ972" s="129"/>
      <c r="BA972" s="129"/>
      <c r="BB972" s="129"/>
      <c r="BC972" s="129"/>
      <c r="BD972" s="129"/>
      <c r="BE972" s="129"/>
      <c r="BF972" s="129"/>
      <c r="BG972" s="145"/>
    </row>
    <row r="973" ht="15.75" customHeight="1">
      <c r="A973" s="141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44"/>
      <c r="AO973" s="144"/>
      <c r="AP973" s="130"/>
      <c r="AQ973" s="130"/>
      <c r="AR973" s="130"/>
      <c r="AS973" s="130"/>
      <c r="AT973" s="130"/>
      <c r="AU973" s="130"/>
      <c r="AV973" s="130"/>
      <c r="AW973" s="130"/>
      <c r="AX973" s="129"/>
      <c r="AY973" s="129"/>
      <c r="AZ973" s="129"/>
      <c r="BA973" s="129"/>
      <c r="BB973" s="129"/>
      <c r="BC973" s="129"/>
      <c r="BD973" s="129"/>
      <c r="BE973" s="129"/>
      <c r="BF973" s="129"/>
      <c r="BG973" s="145"/>
    </row>
    <row r="974" ht="15.75" customHeight="1">
      <c r="A974" s="141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44"/>
      <c r="AO974" s="144"/>
      <c r="AP974" s="130"/>
      <c r="AQ974" s="130"/>
      <c r="AR974" s="130"/>
      <c r="AS974" s="130"/>
      <c r="AT974" s="130"/>
      <c r="AU974" s="130"/>
      <c r="AV974" s="130"/>
      <c r="AW974" s="130"/>
      <c r="AX974" s="129"/>
      <c r="AY974" s="129"/>
      <c r="AZ974" s="129"/>
      <c r="BA974" s="129"/>
      <c r="BB974" s="129"/>
      <c r="BC974" s="129"/>
      <c r="BD974" s="129"/>
      <c r="BE974" s="129"/>
      <c r="BF974" s="129"/>
      <c r="BG974" s="145"/>
    </row>
    <row r="975" ht="15.75" customHeight="1">
      <c r="A975" s="141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44"/>
      <c r="AO975" s="144"/>
      <c r="AP975" s="130"/>
      <c r="AQ975" s="130"/>
      <c r="AR975" s="130"/>
      <c r="AS975" s="130"/>
      <c r="AT975" s="130"/>
      <c r="AU975" s="130"/>
      <c r="AV975" s="130"/>
      <c r="AW975" s="130"/>
      <c r="AX975" s="129"/>
      <c r="AY975" s="129"/>
      <c r="AZ975" s="129"/>
      <c r="BA975" s="129"/>
      <c r="BB975" s="129"/>
      <c r="BC975" s="129"/>
      <c r="BD975" s="129"/>
      <c r="BE975" s="129"/>
      <c r="BF975" s="129"/>
      <c r="BG975" s="145"/>
    </row>
    <row r="976" ht="15.75" customHeight="1">
      <c r="A976" s="141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44"/>
      <c r="AO976" s="144"/>
      <c r="AP976" s="130"/>
      <c r="AQ976" s="130"/>
      <c r="AR976" s="130"/>
      <c r="AS976" s="130"/>
      <c r="AT976" s="130"/>
      <c r="AU976" s="130"/>
      <c r="AV976" s="130"/>
      <c r="AW976" s="130"/>
      <c r="AX976" s="129"/>
      <c r="AY976" s="129"/>
      <c r="AZ976" s="129"/>
      <c r="BA976" s="129"/>
      <c r="BB976" s="129"/>
      <c r="BC976" s="129"/>
      <c r="BD976" s="129"/>
      <c r="BE976" s="129"/>
      <c r="BF976" s="129"/>
      <c r="BG976" s="145"/>
    </row>
    <row r="977" ht="15.75" customHeight="1">
      <c r="A977" s="141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44"/>
      <c r="AO977" s="144"/>
      <c r="AP977" s="130"/>
      <c r="AQ977" s="130"/>
      <c r="AR977" s="130"/>
      <c r="AS977" s="130"/>
      <c r="AT977" s="130"/>
      <c r="AU977" s="130"/>
      <c r="AV977" s="130"/>
      <c r="AW977" s="130"/>
      <c r="AX977" s="129"/>
      <c r="AY977" s="129"/>
      <c r="AZ977" s="129"/>
      <c r="BA977" s="129"/>
      <c r="BB977" s="129"/>
      <c r="BC977" s="129"/>
      <c r="BD977" s="129"/>
      <c r="BE977" s="129"/>
      <c r="BF977" s="129"/>
      <c r="BG977" s="145"/>
    </row>
    <row r="978" ht="15.75" customHeight="1">
      <c r="A978" s="141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44"/>
      <c r="AO978" s="144"/>
      <c r="AP978" s="130"/>
      <c r="AQ978" s="130"/>
      <c r="AR978" s="130"/>
      <c r="AS978" s="130"/>
      <c r="AT978" s="130"/>
      <c r="AU978" s="130"/>
      <c r="AV978" s="130"/>
      <c r="AW978" s="130"/>
      <c r="AX978" s="129"/>
      <c r="AY978" s="129"/>
      <c r="AZ978" s="129"/>
      <c r="BA978" s="129"/>
      <c r="BB978" s="129"/>
      <c r="BC978" s="129"/>
      <c r="BD978" s="129"/>
      <c r="BE978" s="129"/>
      <c r="BF978" s="129"/>
      <c r="BG978" s="145"/>
    </row>
    <row r="979" ht="15.75" customHeight="1">
      <c r="A979" s="141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44"/>
      <c r="AO979" s="144"/>
      <c r="AP979" s="130"/>
      <c r="AQ979" s="130"/>
      <c r="AR979" s="130"/>
      <c r="AS979" s="130"/>
      <c r="AT979" s="130"/>
      <c r="AU979" s="130"/>
      <c r="AV979" s="130"/>
      <c r="AW979" s="130"/>
      <c r="AX979" s="129"/>
      <c r="AY979" s="129"/>
      <c r="AZ979" s="129"/>
      <c r="BA979" s="129"/>
      <c r="BB979" s="129"/>
      <c r="BC979" s="129"/>
      <c r="BD979" s="129"/>
      <c r="BE979" s="129"/>
      <c r="BF979" s="129"/>
      <c r="BG979" s="145"/>
    </row>
    <row r="980" ht="15.75" customHeight="1">
      <c r="A980" s="141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44"/>
      <c r="AO980" s="144"/>
      <c r="AP980" s="130"/>
      <c r="AQ980" s="130"/>
      <c r="AR980" s="130"/>
      <c r="AS980" s="130"/>
      <c r="AT980" s="130"/>
      <c r="AU980" s="130"/>
      <c r="AV980" s="130"/>
      <c r="AW980" s="130"/>
      <c r="AX980" s="129"/>
      <c r="AY980" s="129"/>
      <c r="AZ980" s="129"/>
      <c r="BA980" s="129"/>
      <c r="BB980" s="129"/>
      <c r="BC980" s="129"/>
      <c r="BD980" s="129"/>
      <c r="BE980" s="129"/>
      <c r="BF980" s="129"/>
      <c r="BG980" s="145"/>
    </row>
    <row r="981" ht="15.75" customHeight="1">
      <c r="A981" s="141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44"/>
      <c r="AO981" s="144"/>
      <c r="AP981" s="130"/>
      <c r="AQ981" s="130"/>
      <c r="AR981" s="130"/>
      <c r="AS981" s="130"/>
      <c r="AT981" s="130"/>
      <c r="AU981" s="130"/>
      <c r="AV981" s="130"/>
      <c r="AW981" s="130"/>
      <c r="AX981" s="129"/>
      <c r="AY981" s="129"/>
      <c r="AZ981" s="129"/>
      <c r="BA981" s="129"/>
      <c r="BB981" s="129"/>
      <c r="BC981" s="129"/>
      <c r="BD981" s="129"/>
      <c r="BE981" s="129"/>
      <c r="BF981" s="129"/>
      <c r="BG981" s="145"/>
    </row>
    <row r="982" ht="15.75" customHeight="1">
      <c r="A982" s="141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44"/>
      <c r="AO982" s="144"/>
      <c r="AP982" s="130"/>
      <c r="AQ982" s="130"/>
      <c r="AR982" s="130"/>
      <c r="AS982" s="130"/>
      <c r="AT982" s="130"/>
      <c r="AU982" s="130"/>
      <c r="AV982" s="130"/>
      <c r="AW982" s="130"/>
      <c r="AX982" s="129"/>
      <c r="AY982" s="129"/>
      <c r="AZ982" s="129"/>
      <c r="BA982" s="129"/>
      <c r="BB982" s="129"/>
      <c r="BC982" s="129"/>
      <c r="BD982" s="129"/>
      <c r="BE982" s="129"/>
      <c r="BF982" s="129"/>
      <c r="BG982" s="145"/>
    </row>
    <row r="983" ht="15.75" customHeight="1">
      <c r="A983" s="141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44"/>
      <c r="AO983" s="144"/>
      <c r="AP983" s="130"/>
      <c r="AQ983" s="130"/>
      <c r="AR983" s="130"/>
      <c r="AS983" s="130"/>
      <c r="AT983" s="130"/>
      <c r="AU983" s="130"/>
      <c r="AV983" s="130"/>
      <c r="AW983" s="130"/>
      <c r="AX983" s="129"/>
      <c r="AY983" s="129"/>
      <c r="AZ983" s="129"/>
      <c r="BA983" s="129"/>
      <c r="BB983" s="129"/>
      <c r="BC983" s="129"/>
      <c r="BD983" s="129"/>
      <c r="BE983" s="129"/>
      <c r="BF983" s="129"/>
      <c r="BG983" s="145"/>
    </row>
    <row r="984" ht="15.75" customHeight="1">
      <c r="A984" s="141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44"/>
      <c r="AO984" s="144"/>
      <c r="AP984" s="130"/>
      <c r="AQ984" s="130"/>
      <c r="AR984" s="130"/>
      <c r="AS984" s="130"/>
      <c r="AT984" s="130"/>
      <c r="AU984" s="130"/>
      <c r="AV984" s="130"/>
      <c r="AW984" s="130"/>
      <c r="AX984" s="129"/>
      <c r="AY984" s="129"/>
      <c r="AZ984" s="129"/>
      <c r="BA984" s="129"/>
      <c r="BB984" s="129"/>
      <c r="BC984" s="129"/>
      <c r="BD984" s="129"/>
      <c r="BE984" s="129"/>
      <c r="BF984" s="129"/>
      <c r="BG984" s="145"/>
    </row>
    <row r="985" ht="15.75" customHeight="1">
      <c r="A985" s="141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44"/>
      <c r="AO985" s="144"/>
      <c r="AP985" s="130"/>
      <c r="AQ985" s="130"/>
      <c r="AR985" s="130"/>
      <c r="AS985" s="130"/>
      <c r="AT985" s="130"/>
      <c r="AU985" s="130"/>
      <c r="AV985" s="130"/>
      <c r="AW985" s="130"/>
      <c r="AX985" s="129"/>
      <c r="AY985" s="129"/>
      <c r="AZ985" s="129"/>
      <c r="BA985" s="129"/>
      <c r="BB985" s="129"/>
      <c r="BC985" s="129"/>
      <c r="BD985" s="129"/>
      <c r="BE985" s="129"/>
      <c r="BF985" s="129"/>
      <c r="BG985" s="145"/>
    </row>
    <row r="986" ht="15.75" customHeight="1">
      <c r="A986" s="141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44"/>
      <c r="AO986" s="144"/>
      <c r="AP986" s="130"/>
      <c r="AQ986" s="130"/>
      <c r="AR986" s="130"/>
      <c r="AS986" s="130"/>
      <c r="AT986" s="130"/>
      <c r="AU986" s="130"/>
      <c r="AV986" s="130"/>
      <c r="AW986" s="130"/>
      <c r="AX986" s="129"/>
      <c r="AY986" s="129"/>
      <c r="AZ986" s="129"/>
      <c r="BA986" s="129"/>
      <c r="BB986" s="129"/>
      <c r="BC986" s="129"/>
      <c r="BD986" s="129"/>
      <c r="BE986" s="129"/>
      <c r="BF986" s="129"/>
      <c r="BG986" s="145"/>
    </row>
    <row r="987" ht="15.75" customHeight="1">
      <c r="A987" s="141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44"/>
      <c r="AO987" s="144"/>
      <c r="AP987" s="130"/>
      <c r="AQ987" s="130"/>
      <c r="AR987" s="130"/>
      <c r="AS987" s="130"/>
      <c r="AT987" s="130"/>
      <c r="AU987" s="130"/>
      <c r="AV987" s="130"/>
      <c r="AW987" s="130"/>
      <c r="AX987" s="129"/>
      <c r="AY987" s="129"/>
      <c r="AZ987" s="129"/>
      <c r="BA987" s="129"/>
      <c r="BB987" s="129"/>
      <c r="BC987" s="129"/>
      <c r="BD987" s="129"/>
      <c r="BE987" s="129"/>
      <c r="BF987" s="129"/>
      <c r="BG987" s="145"/>
    </row>
    <row r="988" ht="15.75" customHeight="1">
      <c r="A988" s="141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44"/>
      <c r="AO988" s="144"/>
      <c r="AP988" s="130"/>
      <c r="AQ988" s="130"/>
      <c r="AR988" s="130"/>
      <c r="AS988" s="130"/>
      <c r="AT988" s="130"/>
      <c r="AU988" s="130"/>
      <c r="AV988" s="130"/>
      <c r="AW988" s="130"/>
      <c r="AX988" s="129"/>
      <c r="AY988" s="129"/>
      <c r="AZ988" s="129"/>
      <c r="BA988" s="129"/>
      <c r="BB988" s="129"/>
      <c r="BC988" s="129"/>
      <c r="BD988" s="129"/>
      <c r="BE988" s="129"/>
      <c r="BF988" s="129"/>
      <c r="BG988" s="145"/>
    </row>
    <row r="989" ht="15.75" customHeight="1">
      <c r="A989" s="141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44"/>
      <c r="AO989" s="144"/>
      <c r="AP989" s="130"/>
      <c r="AQ989" s="130"/>
      <c r="AR989" s="130"/>
      <c r="AS989" s="130"/>
      <c r="AT989" s="130"/>
      <c r="AU989" s="130"/>
      <c r="AV989" s="130"/>
      <c r="AW989" s="130"/>
      <c r="AX989" s="129"/>
      <c r="AY989" s="129"/>
      <c r="AZ989" s="129"/>
      <c r="BA989" s="129"/>
      <c r="BB989" s="129"/>
      <c r="BC989" s="129"/>
      <c r="BD989" s="129"/>
      <c r="BE989" s="129"/>
      <c r="BF989" s="129"/>
      <c r="BG989" s="145"/>
    </row>
    <row r="990" ht="15.75" customHeight="1">
      <c r="A990" s="141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44"/>
      <c r="AO990" s="144"/>
      <c r="AP990" s="130"/>
      <c r="AQ990" s="130"/>
      <c r="AR990" s="130"/>
      <c r="AS990" s="130"/>
      <c r="AT990" s="130"/>
      <c r="AU990" s="130"/>
      <c r="AV990" s="130"/>
      <c r="AW990" s="130"/>
      <c r="AX990" s="129"/>
      <c r="AY990" s="129"/>
      <c r="AZ990" s="129"/>
      <c r="BA990" s="129"/>
      <c r="BB990" s="129"/>
      <c r="BC990" s="129"/>
      <c r="BD990" s="129"/>
      <c r="BE990" s="129"/>
      <c r="BF990" s="129"/>
      <c r="BG990" s="145"/>
    </row>
    <row r="991" ht="15.75" customHeight="1">
      <c r="A991" s="141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44"/>
      <c r="AO991" s="144"/>
      <c r="AP991" s="130"/>
      <c r="AQ991" s="130"/>
      <c r="AR991" s="130"/>
      <c r="AS991" s="130"/>
      <c r="AT991" s="130"/>
      <c r="AU991" s="130"/>
      <c r="AV991" s="130"/>
      <c r="AW991" s="130"/>
      <c r="AX991" s="129"/>
      <c r="AY991" s="129"/>
      <c r="AZ991" s="129"/>
      <c r="BA991" s="129"/>
      <c r="BB991" s="129"/>
      <c r="BC991" s="129"/>
      <c r="BD991" s="129"/>
      <c r="BE991" s="129"/>
      <c r="BF991" s="129"/>
      <c r="BG991" s="145"/>
    </row>
    <row r="992" ht="15.75" customHeight="1">
      <c r="A992" s="141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44"/>
      <c r="AO992" s="144"/>
      <c r="AP992" s="130"/>
      <c r="AQ992" s="130"/>
      <c r="AR992" s="130"/>
      <c r="AS992" s="130"/>
      <c r="AT992" s="130"/>
      <c r="AU992" s="130"/>
      <c r="AV992" s="130"/>
      <c r="AW992" s="130"/>
      <c r="AX992" s="129"/>
      <c r="AY992" s="129"/>
      <c r="AZ992" s="129"/>
      <c r="BA992" s="129"/>
      <c r="BB992" s="129"/>
      <c r="BC992" s="129"/>
      <c r="BD992" s="129"/>
      <c r="BE992" s="129"/>
      <c r="BF992" s="129"/>
      <c r="BG992" s="145"/>
    </row>
    <row r="993" ht="15.75" customHeight="1">
      <c r="A993" s="141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44"/>
      <c r="AO993" s="144"/>
      <c r="AP993" s="130"/>
      <c r="AQ993" s="130"/>
      <c r="AR993" s="130"/>
      <c r="AS993" s="130"/>
      <c r="AT993" s="130"/>
      <c r="AU993" s="130"/>
      <c r="AV993" s="130"/>
      <c r="AW993" s="130"/>
      <c r="AX993" s="129"/>
      <c r="AY993" s="129"/>
      <c r="AZ993" s="129"/>
      <c r="BA993" s="129"/>
      <c r="BB993" s="129"/>
      <c r="BC993" s="129"/>
      <c r="BD993" s="129"/>
      <c r="BE993" s="129"/>
      <c r="BF993" s="129"/>
      <c r="BG993" s="145"/>
    </row>
    <row r="994" ht="15.75" customHeight="1">
      <c r="A994" s="141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44"/>
      <c r="AO994" s="144"/>
      <c r="AP994" s="130"/>
      <c r="AQ994" s="130"/>
      <c r="AR994" s="130"/>
      <c r="AS994" s="130"/>
      <c r="AT994" s="130"/>
      <c r="AU994" s="130"/>
      <c r="AV994" s="130"/>
      <c r="AW994" s="130"/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45"/>
    </row>
    <row r="995" ht="15.75" customHeight="1">
      <c r="A995" s="141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44"/>
      <c r="AO995" s="144"/>
      <c r="AP995" s="130"/>
      <c r="AQ995" s="130"/>
      <c r="AR995" s="130"/>
      <c r="AS995" s="130"/>
      <c r="AT995" s="130"/>
      <c r="AU995" s="130"/>
      <c r="AV995" s="130"/>
      <c r="AW995" s="130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45"/>
    </row>
    <row r="996" ht="15.75" customHeight="1">
      <c r="A996" s="141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44"/>
      <c r="AO996" s="144"/>
      <c r="AP996" s="130"/>
      <c r="AQ996" s="130"/>
      <c r="AR996" s="130"/>
      <c r="AS996" s="130"/>
      <c r="AT996" s="130"/>
      <c r="AU996" s="130"/>
      <c r="AV996" s="130"/>
      <c r="AW996" s="130"/>
      <c r="AX996" s="129"/>
      <c r="AY996" s="129"/>
      <c r="AZ996" s="129"/>
      <c r="BA996" s="129"/>
      <c r="BB996" s="129"/>
      <c r="BC996" s="129"/>
      <c r="BD996" s="129"/>
      <c r="BE996" s="129"/>
      <c r="BF996" s="129"/>
      <c r="BG996" s="145"/>
    </row>
    <row r="997" ht="15.75" customHeight="1">
      <c r="A997" s="141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44"/>
      <c r="AO997" s="144"/>
      <c r="AP997" s="130"/>
      <c r="AQ997" s="130"/>
      <c r="AR997" s="130"/>
      <c r="AS997" s="130"/>
      <c r="AT997" s="130"/>
      <c r="AU997" s="130"/>
      <c r="AV997" s="130"/>
      <c r="AW997" s="130"/>
      <c r="AX997" s="129"/>
      <c r="AY997" s="129"/>
      <c r="AZ997" s="129"/>
      <c r="BA997" s="129"/>
      <c r="BB997" s="129"/>
      <c r="BC997" s="129"/>
      <c r="BD997" s="129"/>
      <c r="BE997" s="129"/>
      <c r="BF997" s="129"/>
      <c r="BG997" s="145"/>
    </row>
    <row r="998" ht="15.75" customHeight="1">
      <c r="A998" s="141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44"/>
      <c r="AO998" s="144"/>
      <c r="AP998" s="130"/>
      <c r="AQ998" s="130"/>
      <c r="AR998" s="130"/>
      <c r="AS998" s="130"/>
      <c r="AT998" s="130"/>
      <c r="AU998" s="130"/>
      <c r="AV998" s="130"/>
      <c r="AW998" s="130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45"/>
    </row>
    <row r="999" ht="15.75" customHeight="1">
      <c r="A999" s="141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44"/>
      <c r="AO999" s="144"/>
      <c r="AP999" s="130"/>
      <c r="AQ999" s="130"/>
      <c r="AR999" s="130"/>
      <c r="AS999" s="130"/>
      <c r="AT999" s="130"/>
      <c r="AU999" s="130"/>
      <c r="AV999" s="130"/>
      <c r="AW999" s="130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45"/>
    </row>
    <row r="1000" ht="15.75" customHeight="1">
      <c r="A1000" s="141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44"/>
      <c r="AO1000" s="144"/>
      <c r="AP1000" s="130"/>
      <c r="AQ1000" s="130"/>
      <c r="AR1000" s="130"/>
      <c r="AS1000" s="130"/>
      <c r="AT1000" s="130"/>
      <c r="AU1000" s="130"/>
      <c r="AV1000" s="130"/>
      <c r="AW1000" s="130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45"/>
    </row>
    <row r="1001" ht="15.75" customHeight="1">
      <c r="A1001" s="141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44"/>
      <c r="AO1001" s="144"/>
      <c r="AP1001" s="130"/>
      <c r="AQ1001" s="130"/>
      <c r="AR1001" s="130"/>
      <c r="AS1001" s="130"/>
      <c r="AT1001" s="130"/>
      <c r="AU1001" s="130"/>
      <c r="AV1001" s="130"/>
      <c r="AW1001" s="130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45"/>
    </row>
  </sheetData>
  <mergeCells count="8743"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T213:U213"/>
    <mergeCell ref="V213:W213"/>
    <mergeCell ref="X213:Y213"/>
    <mergeCell ref="Z213:AA213"/>
    <mergeCell ref="AB213:AC213"/>
    <mergeCell ref="AD213:AE213"/>
    <mergeCell ref="AF213:AG213"/>
    <mergeCell ref="AV213:AW213"/>
    <mergeCell ref="AX213:AY213"/>
    <mergeCell ref="AZ213:BA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L214:AM214"/>
    <mergeCell ref="AN214:AO214"/>
    <mergeCell ref="AP214:AQ214"/>
    <mergeCell ref="AR214:AS214"/>
    <mergeCell ref="AT214:AU214"/>
    <mergeCell ref="AV214:AW214"/>
    <mergeCell ref="AX214:AY214"/>
    <mergeCell ref="AZ214:BA214"/>
    <mergeCell ref="AH213:AI213"/>
    <mergeCell ref="AJ213:AK213"/>
    <mergeCell ref="AL213:AM213"/>
    <mergeCell ref="AN213:AO213"/>
    <mergeCell ref="AP213:AQ213"/>
    <mergeCell ref="AR213:AS213"/>
    <mergeCell ref="AT213:AU213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T215:U215"/>
    <mergeCell ref="V215:W215"/>
    <mergeCell ref="X215:Y215"/>
    <mergeCell ref="Z215:AA215"/>
    <mergeCell ref="AB215:AC215"/>
    <mergeCell ref="AD215:AE215"/>
    <mergeCell ref="AF215:AG215"/>
    <mergeCell ref="AV215:AW215"/>
    <mergeCell ref="AX215:AY215"/>
    <mergeCell ref="AZ215:BA215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L216:AM216"/>
    <mergeCell ref="AN216:AO216"/>
    <mergeCell ref="AP216:AQ216"/>
    <mergeCell ref="AR216:AS216"/>
    <mergeCell ref="AT216:AU216"/>
    <mergeCell ref="AV216:AW216"/>
    <mergeCell ref="AX216:AY216"/>
    <mergeCell ref="AZ216:BA216"/>
    <mergeCell ref="AH215:AI215"/>
    <mergeCell ref="AJ215:AK215"/>
    <mergeCell ref="AL215:AM215"/>
    <mergeCell ref="AN215:AO215"/>
    <mergeCell ref="AP215:AQ215"/>
    <mergeCell ref="AR215:AS215"/>
    <mergeCell ref="AT215:AU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T217:U217"/>
    <mergeCell ref="V217:W217"/>
    <mergeCell ref="X217:Y217"/>
    <mergeCell ref="Z217:AA217"/>
    <mergeCell ref="AB217:AC217"/>
    <mergeCell ref="AD217:AE217"/>
    <mergeCell ref="AF217:AG217"/>
    <mergeCell ref="AV217:AW217"/>
    <mergeCell ref="AX217:AY217"/>
    <mergeCell ref="AZ217:BA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L218:AM218"/>
    <mergeCell ref="AN218:AO218"/>
    <mergeCell ref="AP218:AQ218"/>
    <mergeCell ref="AR218:AS218"/>
    <mergeCell ref="AT218:AU218"/>
    <mergeCell ref="AV218:AW218"/>
    <mergeCell ref="AX218:AY218"/>
    <mergeCell ref="AZ218:BA218"/>
    <mergeCell ref="AH217:AI217"/>
    <mergeCell ref="AJ217:AK217"/>
    <mergeCell ref="AL217:AM217"/>
    <mergeCell ref="AN217:AO217"/>
    <mergeCell ref="AP217:AQ217"/>
    <mergeCell ref="AR217:AS217"/>
    <mergeCell ref="AT217:AU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T219:U219"/>
    <mergeCell ref="V219:W219"/>
    <mergeCell ref="X219:Y219"/>
    <mergeCell ref="Z219:AA219"/>
    <mergeCell ref="AB219:AC219"/>
    <mergeCell ref="AD219:AE219"/>
    <mergeCell ref="AF219:AG219"/>
    <mergeCell ref="AV219:AW219"/>
    <mergeCell ref="AX219:AY219"/>
    <mergeCell ref="AZ219:BA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L220:AM220"/>
    <mergeCell ref="AN220:AO220"/>
    <mergeCell ref="AP220:AQ220"/>
    <mergeCell ref="AR220:AS220"/>
    <mergeCell ref="AT220:AU220"/>
    <mergeCell ref="AV220:AW220"/>
    <mergeCell ref="AX220:AY220"/>
    <mergeCell ref="AZ220:BA220"/>
    <mergeCell ref="AH219:AI219"/>
    <mergeCell ref="AJ219:AK219"/>
    <mergeCell ref="AL219:AM219"/>
    <mergeCell ref="AN219:AO219"/>
    <mergeCell ref="AP219:AQ219"/>
    <mergeCell ref="AR219:AS219"/>
    <mergeCell ref="AT219:AU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T221:U221"/>
    <mergeCell ref="V221:W221"/>
    <mergeCell ref="X221:Y221"/>
    <mergeCell ref="Z221:AA221"/>
    <mergeCell ref="AB221:AC221"/>
    <mergeCell ref="AD221:AE221"/>
    <mergeCell ref="AF221:AG221"/>
    <mergeCell ref="AV221:AW221"/>
    <mergeCell ref="AX221:AY221"/>
    <mergeCell ref="AZ221:BA221"/>
    <mergeCell ref="F221:G221"/>
    <mergeCell ref="H221:I221"/>
    <mergeCell ref="J221:K221"/>
    <mergeCell ref="L221:M221"/>
    <mergeCell ref="N221:O221"/>
    <mergeCell ref="P221:Q221"/>
    <mergeCell ref="R221:S221"/>
    <mergeCell ref="F222:G222"/>
    <mergeCell ref="H222:I222"/>
    <mergeCell ref="J222:K222"/>
    <mergeCell ref="L222:M222"/>
    <mergeCell ref="N222:O222"/>
    <mergeCell ref="P222:Q222"/>
    <mergeCell ref="R222:S222"/>
    <mergeCell ref="AL222:AM222"/>
    <mergeCell ref="AN222:AO222"/>
    <mergeCell ref="AP222:AQ222"/>
    <mergeCell ref="AR222:AS222"/>
    <mergeCell ref="AT222:AU222"/>
    <mergeCell ref="AV222:AW222"/>
    <mergeCell ref="AX222:AY222"/>
    <mergeCell ref="AZ222:BA222"/>
    <mergeCell ref="AH221:AI221"/>
    <mergeCell ref="AJ221:AK221"/>
    <mergeCell ref="AL221:AM221"/>
    <mergeCell ref="AN221:AO221"/>
    <mergeCell ref="AP221:AQ221"/>
    <mergeCell ref="AR221:AS221"/>
    <mergeCell ref="AT221:AU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T223:U223"/>
    <mergeCell ref="V223:W223"/>
    <mergeCell ref="X223:Y223"/>
    <mergeCell ref="Z223:AA223"/>
    <mergeCell ref="AB223:AC223"/>
    <mergeCell ref="AD223:AE223"/>
    <mergeCell ref="AF223:AG223"/>
    <mergeCell ref="AV223:AW223"/>
    <mergeCell ref="AX223:AY223"/>
    <mergeCell ref="AZ223:BA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X224:AY224"/>
    <mergeCell ref="AZ224:BA224"/>
    <mergeCell ref="AH223:AI223"/>
    <mergeCell ref="AJ223:AK223"/>
    <mergeCell ref="AL223:AM223"/>
    <mergeCell ref="AN223:AO223"/>
    <mergeCell ref="AP223:AQ223"/>
    <mergeCell ref="AR223:AS223"/>
    <mergeCell ref="AT223:AU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T225:U225"/>
    <mergeCell ref="V225:W225"/>
    <mergeCell ref="X225:Y225"/>
    <mergeCell ref="Z225:AA225"/>
    <mergeCell ref="AB225:AC225"/>
    <mergeCell ref="AD225:AE225"/>
    <mergeCell ref="AF225:AG225"/>
    <mergeCell ref="AV225:AW225"/>
    <mergeCell ref="AX225:AY225"/>
    <mergeCell ref="AZ225:BA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L226:AM226"/>
    <mergeCell ref="AN226:AO226"/>
    <mergeCell ref="AP226:AQ226"/>
    <mergeCell ref="AR226:AS226"/>
    <mergeCell ref="AT226:AU226"/>
    <mergeCell ref="AV226:AW226"/>
    <mergeCell ref="AX226:AY226"/>
    <mergeCell ref="AZ226:BA226"/>
    <mergeCell ref="AH225:AI225"/>
    <mergeCell ref="AJ225:AK225"/>
    <mergeCell ref="AL225:AM225"/>
    <mergeCell ref="AN225:AO225"/>
    <mergeCell ref="AP225:AQ225"/>
    <mergeCell ref="AR225:AS225"/>
    <mergeCell ref="AT225:AU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T227:U227"/>
    <mergeCell ref="V227:W227"/>
    <mergeCell ref="X227:Y227"/>
    <mergeCell ref="Z227:AA227"/>
    <mergeCell ref="AB227:AC227"/>
    <mergeCell ref="AD227:AE227"/>
    <mergeCell ref="AF227:AG227"/>
    <mergeCell ref="AV227:AW227"/>
    <mergeCell ref="AX227:AY227"/>
    <mergeCell ref="AZ227:BA227"/>
    <mergeCell ref="F227:G227"/>
    <mergeCell ref="H227:I227"/>
    <mergeCell ref="J227:K227"/>
    <mergeCell ref="L227:M227"/>
    <mergeCell ref="N227:O227"/>
    <mergeCell ref="P227:Q227"/>
    <mergeCell ref="R227:S227"/>
    <mergeCell ref="F228:G228"/>
    <mergeCell ref="H228:I228"/>
    <mergeCell ref="J228:K228"/>
    <mergeCell ref="L228:M228"/>
    <mergeCell ref="N228:O228"/>
    <mergeCell ref="P228:Q228"/>
    <mergeCell ref="R228:S228"/>
    <mergeCell ref="AL228:AM228"/>
    <mergeCell ref="AN228:AO228"/>
    <mergeCell ref="AP228:AQ228"/>
    <mergeCell ref="AR228:AS228"/>
    <mergeCell ref="AT228:AU228"/>
    <mergeCell ref="AV228:AW228"/>
    <mergeCell ref="AX228:AY228"/>
    <mergeCell ref="AZ228:BA228"/>
    <mergeCell ref="AH227:AI227"/>
    <mergeCell ref="AJ227:AK227"/>
    <mergeCell ref="AL227:AM227"/>
    <mergeCell ref="AN227:AO227"/>
    <mergeCell ref="AP227:AQ227"/>
    <mergeCell ref="AR227:AS227"/>
    <mergeCell ref="AT227:AU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T229:U229"/>
    <mergeCell ref="V229:W229"/>
    <mergeCell ref="X229:Y229"/>
    <mergeCell ref="Z229:AA229"/>
    <mergeCell ref="AB229:AC229"/>
    <mergeCell ref="AD229:AE229"/>
    <mergeCell ref="AF229:AG229"/>
    <mergeCell ref="AV229:AW229"/>
    <mergeCell ref="AX229:AY229"/>
    <mergeCell ref="AZ229:BA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L230:AM230"/>
    <mergeCell ref="AN230:AO230"/>
    <mergeCell ref="AP230:AQ230"/>
    <mergeCell ref="AR230:AS230"/>
    <mergeCell ref="AT230:AU230"/>
    <mergeCell ref="AV230:AW230"/>
    <mergeCell ref="AX230:AY230"/>
    <mergeCell ref="AZ230:BA230"/>
    <mergeCell ref="AH229:AI229"/>
    <mergeCell ref="AJ229:AK229"/>
    <mergeCell ref="AL229:AM229"/>
    <mergeCell ref="AN229:AO229"/>
    <mergeCell ref="AP229:AQ229"/>
    <mergeCell ref="AR229:AS229"/>
    <mergeCell ref="AT229:AU229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T231:U231"/>
    <mergeCell ref="V231:W231"/>
    <mergeCell ref="X231:Y231"/>
    <mergeCell ref="Z231:AA231"/>
    <mergeCell ref="AB231:AC231"/>
    <mergeCell ref="AD231:AE231"/>
    <mergeCell ref="AF231:AG231"/>
    <mergeCell ref="AV231:AW231"/>
    <mergeCell ref="AX231:AY231"/>
    <mergeCell ref="AZ231:BA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L232:AM232"/>
    <mergeCell ref="AN232:AO232"/>
    <mergeCell ref="AP232:AQ232"/>
    <mergeCell ref="AR232:AS232"/>
    <mergeCell ref="AT232:AU232"/>
    <mergeCell ref="AV232:AW232"/>
    <mergeCell ref="AX232:AY232"/>
    <mergeCell ref="AZ232:BA232"/>
    <mergeCell ref="AH231:AI231"/>
    <mergeCell ref="AJ231:AK231"/>
    <mergeCell ref="AL231:AM231"/>
    <mergeCell ref="AN231:AO231"/>
    <mergeCell ref="AP231:AQ231"/>
    <mergeCell ref="AR231:AS231"/>
    <mergeCell ref="AT231:AU231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T233:U233"/>
    <mergeCell ref="V233:W233"/>
    <mergeCell ref="X233:Y233"/>
    <mergeCell ref="Z233:AA233"/>
    <mergeCell ref="AB233:AC233"/>
    <mergeCell ref="AD233:AE233"/>
    <mergeCell ref="AF233:AG233"/>
    <mergeCell ref="AV233:AW233"/>
    <mergeCell ref="AX233:AY233"/>
    <mergeCell ref="AZ233:BA233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L234:AM234"/>
    <mergeCell ref="AN234:AO234"/>
    <mergeCell ref="AP234:AQ234"/>
    <mergeCell ref="AR234:AS234"/>
    <mergeCell ref="AT234:AU234"/>
    <mergeCell ref="AV234:AW234"/>
    <mergeCell ref="AX234:AY234"/>
    <mergeCell ref="AZ234:BA234"/>
    <mergeCell ref="AH233:AI233"/>
    <mergeCell ref="AJ233:AK233"/>
    <mergeCell ref="AL233:AM233"/>
    <mergeCell ref="AN233:AO233"/>
    <mergeCell ref="AP233:AQ233"/>
    <mergeCell ref="AR233:AS233"/>
    <mergeCell ref="AT233:AU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T235:U235"/>
    <mergeCell ref="V235:W235"/>
    <mergeCell ref="X235:Y235"/>
    <mergeCell ref="Z235:AA235"/>
    <mergeCell ref="AB235:AC235"/>
    <mergeCell ref="AD235:AE235"/>
    <mergeCell ref="AF235:AG235"/>
    <mergeCell ref="AV235:AW235"/>
    <mergeCell ref="AX235:AY235"/>
    <mergeCell ref="AZ235:BA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L236:AM236"/>
    <mergeCell ref="AN236:AO236"/>
    <mergeCell ref="AP236:AQ236"/>
    <mergeCell ref="AR236:AS236"/>
    <mergeCell ref="AT236:AU236"/>
    <mergeCell ref="AV236:AW236"/>
    <mergeCell ref="AX236:AY236"/>
    <mergeCell ref="AZ236:BA236"/>
    <mergeCell ref="AH235:AI235"/>
    <mergeCell ref="AJ235:AK235"/>
    <mergeCell ref="AL235:AM235"/>
    <mergeCell ref="AN235:AO235"/>
    <mergeCell ref="AP235:AQ235"/>
    <mergeCell ref="AR235:AS235"/>
    <mergeCell ref="AT235:AU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T237:U237"/>
    <mergeCell ref="V237:W237"/>
    <mergeCell ref="X237:Y237"/>
    <mergeCell ref="Z237:AA237"/>
    <mergeCell ref="AB237:AC237"/>
    <mergeCell ref="AD237:AE237"/>
    <mergeCell ref="AF237:AG237"/>
    <mergeCell ref="AV237:AW237"/>
    <mergeCell ref="AX237:AY237"/>
    <mergeCell ref="AZ237:BA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L238:AM238"/>
    <mergeCell ref="AN238:AO238"/>
    <mergeCell ref="AP238:AQ238"/>
    <mergeCell ref="AR238:AS238"/>
    <mergeCell ref="AT238:AU238"/>
    <mergeCell ref="AV238:AW238"/>
    <mergeCell ref="AX238:AY238"/>
    <mergeCell ref="AZ238:BA238"/>
    <mergeCell ref="AH237:AI237"/>
    <mergeCell ref="AJ237:AK237"/>
    <mergeCell ref="AL237:AM237"/>
    <mergeCell ref="AN237:AO237"/>
    <mergeCell ref="AP237:AQ237"/>
    <mergeCell ref="AR237:AS237"/>
    <mergeCell ref="AT237:AU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T239:U239"/>
    <mergeCell ref="V239:W239"/>
    <mergeCell ref="X239:Y239"/>
    <mergeCell ref="Z239:AA239"/>
    <mergeCell ref="AB239:AC239"/>
    <mergeCell ref="AD239:AE239"/>
    <mergeCell ref="AF239:AG239"/>
    <mergeCell ref="AV239:AW239"/>
    <mergeCell ref="AX239:AY239"/>
    <mergeCell ref="AZ239:BA239"/>
    <mergeCell ref="F239:G239"/>
    <mergeCell ref="H239:I239"/>
    <mergeCell ref="J239:K239"/>
    <mergeCell ref="L239:M239"/>
    <mergeCell ref="N239:O239"/>
    <mergeCell ref="P239:Q239"/>
    <mergeCell ref="R239:S239"/>
    <mergeCell ref="F240:G240"/>
    <mergeCell ref="H240:I240"/>
    <mergeCell ref="J240:K240"/>
    <mergeCell ref="L240:M240"/>
    <mergeCell ref="N240:O240"/>
    <mergeCell ref="P240:Q240"/>
    <mergeCell ref="R240:S240"/>
    <mergeCell ref="AL240:AM240"/>
    <mergeCell ref="AN240:AO240"/>
    <mergeCell ref="AP240:AQ240"/>
    <mergeCell ref="AR240:AS240"/>
    <mergeCell ref="AT240:AU240"/>
    <mergeCell ref="AV240:AW240"/>
    <mergeCell ref="AX240:AY240"/>
    <mergeCell ref="AZ240:BA240"/>
    <mergeCell ref="AH239:AI239"/>
    <mergeCell ref="AJ239:AK239"/>
    <mergeCell ref="AL239:AM239"/>
    <mergeCell ref="AN239:AO239"/>
    <mergeCell ref="AP239:AQ239"/>
    <mergeCell ref="AR239:AS239"/>
    <mergeCell ref="AT239:AU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T241:U241"/>
    <mergeCell ref="V241:W241"/>
    <mergeCell ref="X241:Y241"/>
    <mergeCell ref="Z241:AA241"/>
    <mergeCell ref="AB241:AC241"/>
    <mergeCell ref="AD241:AE241"/>
    <mergeCell ref="AF241:AG241"/>
    <mergeCell ref="AV241:AW241"/>
    <mergeCell ref="AX241:AY241"/>
    <mergeCell ref="AZ241:BA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X242:AY242"/>
    <mergeCell ref="AZ242:BA242"/>
    <mergeCell ref="AH241:AI241"/>
    <mergeCell ref="AJ241:AK241"/>
    <mergeCell ref="AL241:AM241"/>
    <mergeCell ref="AN241:AO241"/>
    <mergeCell ref="AP241:AQ241"/>
    <mergeCell ref="AR241:AS241"/>
    <mergeCell ref="AT241:AU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T243:U243"/>
    <mergeCell ref="V243:W243"/>
    <mergeCell ref="X243:Y243"/>
    <mergeCell ref="Z243:AA243"/>
    <mergeCell ref="AB243:AC243"/>
    <mergeCell ref="AD243:AE243"/>
    <mergeCell ref="AF243:AG243"/>
    <mergeCell ref="AV243:AW243"/>
    <mergeCell ref="AX243:AY243"/>
    <mergeCell ref="AZ243:BA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L244:AM244"/>
    <mergeCell ref="AN244:AO244"/>
    <mergeCell ref="AP244:AQ244"/>
    <mergeCell ref="AR244:AS244"/>
    <mergeCell ref="AT244:AU244"/>
    <mergeCell ref="AV244:AW244"/>
    <mergeCell ref="AX244:AY244"/>
    <mergeCell ref="AZ244:BA244"/>
    <mergeCell ref="AH243:AI243"/>
    <mergeCell ref="AJ243:AK243"/>
    <mergeCell ref="AL243:AM243"/>
    <mergeCell ref="AN243:AO243"/>
    <mergeCell ref="AP243:AQ243"/>
    <mergeCell ref="AR243:AS243"/>
    <mergeCell ref="AT243:AU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T245:U245"/>
    <mergeCell ref="V245:W245"/>
    <mergeCell ref="X245:Y245"/>
    <mergeCell ref="Z245:AA245"/>
    <mergeCell ref="AB245:AC245"/>
    <mergeCell ref="AD245:AE245"/>
    <mergeCell ref="AF245:AG245"/>
    <mergeCell ref="AV245:AW245"/>
    <mergeCell ref="AX245:AY245"/>
    <mergeCell ref="AZ245:BA245"/>
    <mergeCell ref="F245:G245"/>
    <mergeCell ref="H245:I245"/>
    <mergeCell ref="J245:K245"/>
    <mergeCell ref="L245:M245"/>
    <mergeCell ref="N245:O245"/>
    <mergeCell ref="P245:Q245"/>
    <mergeCell ref="R245:S245"/>
    <mergeCell ref="F246:G246"/>
    <mergeCell ref="H246:I246"/>
    <mergeCell ref="J246:K246"/>
    <mergeCell ref="L246:M246"/>
    <mergeCell ref="N246:O246"/>
    <mergeCell ref="P246:Q246"/>
    <mergeCell ref="R246:S246"/>
    <mergeCell ref="AL246:AM246"/>
    <mergeCell ref="AN246:AO246"/>
    <mergeCell ref="AP246:AQ246"/>
    <mergeCell ref="AR246:AS246"/>
    <mergeCell ref="AT246:AU246"/>
    <mergeCell ref="AV246:AW246"/>
    <mergeCell ref="AX246:AY246"/>
    <mergeCell ref="AZ246:BA246"/>
    <mergeCell ref="AH245:AI245"/>
    <mergeCell ref="AJ245:AK245"/>
    <mergeCell ref="AL245:AM245"/>
    <mergeCell ref="AN245:AO245"/>
    <mergeCell ref="AP245:AQ245"/>
    <mergeCell ref="AR245:AS245"/>
    <mergeCell ref="AT245:AU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T247:U247"/>
    <mergeCell ref="V247:W247"/>
    <mergeCell ref="X247:Y247"/>
    <mergeCell ref="Z247:AA247"/>
    <mergeCell ref="AB247:AC247"/>
    <mergeCell ref="AD247:AE247"/>
    <mergeCell ref="AF247:AG247"/>
    <mergeCell ref="AV247:AW247"/>
    <mergeCell ref="AX247:AY247"/>
    <mergeCell ref="AZ247:BA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L248:AM248"/>
    <mergeCell ref="AN248:AO248"/>
    <mergeCell ref="AP248:AQ248"/>
    <mergeCell ref="AR248:AS248"/>
    <mergeCell ref="AT248:AU248"/>
    <mergeCell ref="AV248:AW248"/>
    <mergeCell ref="AX248:AY248"/>
    <mergeCell ref="AZ248:BA248"/>
    <mergeCell ref="AH247:AI247"/>
    <mergeCell ref="AJ247:AK247"/>
    <mergeCell ref="AL247:AM247"/>
    <mergeCell ref="AN247:AO247"/>
    <mergeCell ref="AP247:AQ247"/>
    <mergeCell ref="AR247:AS247"/>
    <mergeCell ref="AT247:AU247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T249:U249"/>
    <mergeCell ref="V249:W249"/>
    <mergeCell ref="X249:Y249"/>
    <mergeCell ref="Z249:AA249"/>
    <mergeCell ref="AB249:AC249"/>
    <mergeCell ref="AD249:AE249"/>
    <mergeCell ref="AF249:AG249"/>
    <mergeCell ref="AV249:AW249"/>
    <mergeCell ref="AX249:AY249"/>
    <mergeCell ref="AZ249:BA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L250:AM250"/>
    <mergeCell ref="AN250:AO250"/>
    <mergeCell ref="AP250:AQ250"/>
    <mergeCell ref="AR250:AS250"/>
    <mergeCell ref="AT250:AU250"/>
    <mergeCell ref="AV250:AW250"/>
    <mergeCell ref="AX250:AY250"/>
    <mergeCell ref="AZ250:BA250"/>
    <mergeCell ref="AH249:AI249"/>
    <mergeCell ref="AJ249:AK249"/>
    <mergeCell ref="AL249:AM249"/>
    <mergeCell ref="AN249:AO249"/>
    <mergeCell ref="AP249:AQ249"/>
    <mergeCell ref="AR249:AS249"/>
    <mergeCell ref="AT249:AU249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T251:U251"/>
    <mergeCell ref="V251:W251"/>
    <mergeCell ref="X251:Y251"/>
    <mergeCell ref="Z251:AA251"/>
    <mergeCell ref="AB251:AC251"/>
    <mergeCell ref="AD251:AE251"/>
    <mergeCell ref="AF251:AG251"/>
    <mergeCell ref="AV251:AW251"/>
    <mergeCell ref="AX251:AY251"/>
    <mergeCell ref="AZ251:BA251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L252:AM252"/>
    <mergeCell ref="AN252:AO252"/>
    <mergeCell ref="AP252:AQ252"/>
    <mergeCell ref="AR252:AS252"/>
    <mergeCell ref="AT252:AU252"/>
    <mergeCell ref="AV252:AW252"/>
    <mergeCell ref="AX252:AY252"/>
    <mergeCell ref="AZ252:BA252"/>
    <mergeCell ref="AH251:AI251"/>
    <mergeCell ref="AJ251:AK251"/>
    <mergeCell ref="AL251:AM251"/>
    <mergeCell ref="AN251:AO251"/>
    <mergeCell ref="AP251:AQ251"/>
    <mergeCell ref="AR251:AS251"/>
    <mergeCell ref="AT251:AU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T253:U253"/>
    <mergeCell ref="V253:W253"/>
    <mergeCell ref="X253:Y253"/>
    <mergeCell ref="Z253:AA253"/>
    <mergeCell ref="AB253:AC253"/>
    <mergeCell ref="AD253:AE253"/>
    <mergeCell ref="AF253:AG253"/>
    <mergeCell ref="AV253:AW253"/>
    <mergeCell ref="AX253:AY253"/>
    <mergeCell ref="AZ253:BA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L254:AM254"/>
    <mergeCell ref="AN254:AO254"/>
    <mergeCell ref="AP254:AQ254"/>
    <mergeCell ref="AR254:AS254"/>
    <mergeCell ref="AT254:AU254"/>
    <mergeCell ref="AV254:AW254"/>
    <mergeCell ref="AX254:AY254"/>
    <mergeCell ref="AZ254:BA254"/>
    <mergeCell ref="AH253:AI253"/>
    <mergeCell ref="AJ253:AK253"/>
    <mergeCell ref="AL253:AM253"/>
    <mergeCell ref="AN253:AO253"/>
    <mergeCell ref="AP253:AQ253"/>
    <mergeCell ref="AR253:AS253"/>
    <mergeCell ref="AT253:AU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T255:U255"/>
    <mergeCell ref="V255:W255"/>
    <mergeCell ref="X255:Y255"/>
    <mergeCell ref="Z255:AA255"/>
    <mergeCell ref="AB255:AC255"/>
    <mergeCell ref="AD255:AE255"/>
    <mergeCell ref="AF255:AG255"/>
    <mergeCell ref="AV255:AW255"/>
    <mergeCell ref="AX255:AY255"/>
    <mergeCell ref="AZ255:BA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L256:AM256"/>
    <mergeCell ref="AN256:AO256"/>
    <mergeCell ref="AP256:AQ256"/>
    <mergeCell ref="AR256:AS256"/>
    <mergeCell ref="AT256:AU256"/>
    <mergeCell ref="AV256:AW256"/>
    <mergeCell ref="AX256:AY256"/>
    <mergeCell ref="AZ256:BA256"/>
    <mergeCell ref="AH255:AI255"/>
    <mergeCell ref="AJ255:AK255"/>
    <mergeCell ref="AL255:AM255"/>
    <mergeCell ref="AN255:AO255"/>
    <mergeCell ref="AP255:AQ255"/>
    <mergeCell ref="AR255:AS255"/>
    <mergeCell ref="AT255:AU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T257:U257"/>
    <mergeCell ref="V257:W257"/>
    <mergeCell ref="X257:Y257"/>
    <mergeCell ref="Z257:AA257"/>
    <mergeCell ref="AB257:AC257"/>
    <mergeCell ref="AD257:AE257"/>
    <mergeCell ref="AF257:AG257"/>
    <mergeCell ref="AV257:AW257"/>
    <mergeCell ref="AX257:AY257"/>
    <mergeCell ref="AZ257:BA257"/>
    <mergeCell ref="F257:G257"/>
    <mergeCell ref="H257:I257"/>
    <mergeCell ref="J257:K257"/>
    <mergeCell ref="L257:M257"/>
    <mergeCell ref="N257:O257"/>
    <mergeCell ref="P257:Q257"/>
    <mergeCell ref="R257:S257"/>
    <mergeCell ref="F258:G258"/>
    <mergeCell ref="H258:I258"/>
    <mergeCell ref="J258:K258"/>
    <mergeCell ref="L258:M258"/>
    <mergeCell ref="N258:O258"/>
    <mergeCell ref="P258:Q258"/>
    <mergeCell ref="R258:S258"/>
    <mergeCell ref="AL258:AM258"/>
    <mergeCell ref="AN258:AO258"/>
    <mergeCell ref="AP258:AQ258"/>
    <mergeCell ref="AR258:AS258"/>
    <mergeCell ref="AT258:AU258"/>
    <mergeCell ref="AV258:AW258"/>
    <mergeCell ref="AX258:AY258"/>
    <mergeCell ref="AZ258:BA258"/>
    <mergeCell ref="AH257:AI257"/>
    <mergeCell ref="AJ257:AK257"/>
    <mergeCell ref="AL257:AM257"/>
    <mergeCell ref="AN257:AO257"/>
    <mergeCell ref="AP257:AQ257"/>
    <mergeCell ref="AR257:AS257"/>
    <mergeCell ref="AT257:AU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T259:U259"/>
    <mergeCell ref="V259:W259"/>
    <mergeCell ref="X259:Y259"/>
    <mergeCell ref="Z259:AA259"/>
    <mergeCell ref="AB259:AC259"/>
    <mergeCell ref="AD259:AE259"/>
    <mergeCell ref="AF259:AG259"/>
    <mergeCell ref="AV259:AW259"/>
    <mergeCell ref="AX259:AY259"/>
    <mergeCell ref="AZ259:BA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X260:AY260"/>
    <mergeCell ref="AZ260:BA260"/>
    <mergeCell ref="AH259:AI259"/>
    <mergeCell ref="AJ259:AK259"/>
    <mergeCell ref="AL259:AM259"/>
    <mergeCell ref="AN259:AO259"/>
    <mergeCell ref="AP259:AQ259"/>
    <mergeCell ref="AR259:AS259"/>
    <mergeCell ref="AT259:AU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T261:U261"/>
    <mergeCell ref="V261:W261"/>
    <mergeCell ref="X261:Y261"/>
    <mergeCell ref="Z261:AA261"/>
    <mergeCell ref="AB261:AC261"/>
    <mergeCell ref="AD261:AE261"/>
    <mergeCell ref="AF261:AG261"/>
    <mergeCell ref="AV261:AW261"/>
    <mergeCell ref="AX261:AY261"/>
    <mergeCell ref="AZ261:BA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L262:AM262"/>
    <mergeCell ref="AN262:AO262"/>
    <mergeCell ref="AP262:AQ262"/>
    <mergeCell ref="AR262:AS262"/>
    <mergeCell ref="AT262:AU262"/>
    <mergeCell ref="AV262:AW262"/>
    <mergeCell ref="AX262:AY262"/>
    <mergeCell ref="AZ262:BA262"/>
    <mergeCell ref="AH261:AI261"/>
    <mergeCell ref="AJ261:AK261"/>
    <mergeCell ref="AL261:AM261"/>
    <mergeCell ref="AN261:AO261"/>
    <mergeCell ref="AP261:AQ261"/>
    <mergeCell ref="AR261:AS261"/>
    <mergeCell ref="AT261:AU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T263:U263"/>
    <mergeCell ref="V263:W263"/>
    <mergeCell ref="X263:Y263"/>
    <mergeCell ref="Z263:AA263"/>
    <mergeCell ref="AB263:AC263"/>
    <mergeCell ref="AD263:AE263"/>
    <mergeCell ref="AF263:AG263"/>
    <mergeCell ref="AV263:AW263"/>
    <mergeCell ref="AX263:AY263"/>
    <mergeCell ref="AZ263:BA263"/>
    <mergeCell ref="F263:G263"/>
    <mergeCell ref="H263:I263"/>
    <mergeCell ref="J263:K263"/>
    <mergeCell ref="L263:M263"/>
    <mergeCell ref="N263:O263"/>
    <mergeCell ref="P263:Q263"/>
    <mergeCell ref="R263:S263"/>
    <mergeCell ref="F264:G264"/>
    <mergeCell ref="H264:I264"/>
    <mergeCell ref="J264:K264"/>
    <mergeCell ref="L264:M264"/>
    <mergeCell ref="N264:O264"/>
    <mergeCell ref="P264:Q264"/>
    <mergeCell ref="R264:S264"/>
    <mergeCell ref="AL264:AM264"/>
    <mergeCell ref="AN264:AO264"/>
    <mergeCell ref="AP264:AQ264"/>
    <mergeCell ref="AR264:AS264"/>
    <mergeCell ref="AT264:AU264"/>
    <mergeCell ref="AV264:AW264"/>
    <mergeCell ref="AX264:AY264"/>
    <mergeCell ref="AZ264:BA264"/>
    <mergeCell ref="AH263:AI263"/>
    <mergeCell ref="AJ263:AK263"/>
    <mergeCell ref="AL263:AM263"/>
    <mergeCell ref="AN263:AO263"/>
    <mergeCell ref="AP263:AQ263"/>
    <mergeCell ref="AR263:AS263"/>
    <mergeCell ref="AT263:AU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T265:U265"/>
    <mergeCell ref="V265:W265"/>
    <mergeCell ref="X265:Y265"/>
    <mergeCell ref="Z265:AA265"/>
    <mergeCell ref="AB265:AC265"/>
    <mergeCell ref="AD265:AE265"/>
    <mergeCell ref="AF265:AG265"/>
    <mergeCell ref="AV265:AW265"/>
    <mergeCell ref="AX265:AY265"/>
    <mergeCell ref="AZ265:BA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L266:AM266"/>
    <mergeCell ref="AN266:AO266"/>
    <mergeCell ref="AP266:AQ266"/>
    <mergeCell ref="AR266:AS266"/>
    <mergeCell ref="AT266:AU266"/>
    <mergeCell ref="AV266:AW266"/>
    <mergeCell ref="AX266:AY266"/>
    <mergeCell ref="AZ266:BA266"/>
    <mergeCell ref="AH265:AI265"/>
    <mergeCell ref="AJ265:AK265"/>
    <mergeCell ref="AL265:AM265"/>
    <mergeCell ref="AN265:AO265"/>
    <mergeCell ref="AP265:AQ265"/>
    <mergeCell ref="AR265:AS265"/>
    <mergeCell ref="AT265:AU265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T267:U267"/>
    <mergeCell ref="V267:W267"/>
    <mergeCell ref="X267:Y267"/>
    <mergeCell ref="Z267:AA267"/>
    <mergeCell ref="AB267:AC267"/>
    <mergeCell ref="AD267:AE267"/>
    <mergeCell ref="AF267:AG267"/>
    <mergeCell ref="AV267:AW267"/>
    <mergeCell ref="AX267:AY267"/>
    <mergeCell ref="AZ267:BA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L268:AM268"/>
    <mergeCell ref="AN268:AO268"/>
    <mergeCell ref="AP268:AQ268"/>
    <mergeCell ref="AR268:AS268"/>
    <mergeCell ref="AT268:AU268"/>
    <mergeCell ref="AV268:AW268"/>
    <mergeCell ref="AX268:AY268"/>
    <mergeCell ref="AZ268:BA268"/>
    <mergeCell ref="AH267:AI267"/>
    <mergeCell ref="AJ267:AK267"/>
    <mergeCell ref="AL267:AM267"/>
    <mergeCell ref="AN267:AO267"/>
    <mergeCell ref="AP267:AQ267"/>
    <mergeCell ref="AR267:AS267"/>
    <mergeCell ref="AT267:AU267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T269:U269"/>
    <mergeCell ref="V269:W269"/>
    <mergeCell ref="X269:Y269"/>
    <mergeCell ref="Z269:AA269"/>
    <mergeCell ref="AB269:AC269"/>
    <mergeCell ref="AD269:AE269"/>
    <mergeCell ref="AF269:AG269"/>
    <mergeCell ref="AV269:AW269"/>
    <mergeCell ref="AX269:AY269"/>
    <mergeCell ref="AZ269:BA269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L270:AM270"/>
    <mergeCell ref="AN270:AO270"/>
    <mergeCell ref="AP270:AQ270"/>
    <mergeCell ref="AR270:AS270"/>
    <mergeCell ref="AT270:AU270"/>
    <mergeCell ref="AV270:AW270"/>
    <mergeCell ref="AX270:AY270"/>
    <mergeCell ref="AZ270:BA270"/>
    <mergeCell ref="AH269:AI269"/>
    <mergeCell ref="AJ269:AK269"/>
    <mergeCell ref="AL269:AM269"/>
    <mergeCell ref="AN269:AO269"/>
    <mergeCell ref="AP269:AQ269"/>
    <mergeCell ref="AR269:AS269"/>
    <mergeCell ref="AT269:AU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T271:U271"/>
    <mergeCell ref="V271:W271"/>
    <mergeCell ref="X271:Y271"/>
    <mergeCell ref="Z271:AA271"/>
    <mergeCell ref="AB271:AC271"/>
    <mergeCell ref="AD271:AE271"/>
    <mergeCell ref="AF271:AG271"/>
    <mergeCell ref="AV271:AW271"/>
    <mergeCell ref="AX271:AY271"/>
    <mergeCell ref="AZ271:BA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L272:AM272"/>
    <mergeCell ref="AN272:AO272"/>
    <mergeCell ref="AP272:AQ272"/>
    <mergeCell ref="AR272:AS272"/>
    <mergeCell ref="AT272:AU272"/>
    <mergeCell ref="AV272:AW272"/>
    <mergeCell ref="AX272:AY272"/>
    <mergeCell ref="AZ272:BA272"/>
    <mergeCell ref="AH271:AI271"/>
    <mergeCell ref="AJ271:AK271"/>
    <mergeCell ref="AL271:AM271"/>
    <mergeCell ref="AN271:AO271"/>
    <mergeCell ref="AP271:AQ271"/>
    <mergeCell ref="AR271:AS271"/>
    <mergeCell ref="AT271:AU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T273:U273"/>
    <mergeCell ref="V273:W273"/>
    <mergeCell ref="X273:Y273"/>
    <mergeCell ref="Z273:AA273"/>
    <mergeCell ref="AB273:AC273"/>
    <mergeCell ref="AD273:AE273"/>
    <mergeCell ref="AF273:AG273"/>
    <mergeCell ref="AV273:AW273"/>
    <mergeCell ref="AX273:AY273"/>
    <mergeCell ref="AZ273:BA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L274:AM274"/>
    <mergeCell ref="AN274:AO274"/>
    <mergeCell ref="AP274:AQ274"/>
    <mergeCell ref="AR274:AS274"/>
    <mergeCell ref="AT274:AU274"/>
    <mergeCell ref="AV274:AW274"/>
    <mergeCell ref="AX274:AY274"/>
    <mergeCell ref="AZ274:BA274"/>
    <mergeCell ref="AH273:AI273"/>
    <mergeCell ref="AJ273:AK273"/>
    <mergeCell ref="AL273:AM273"/>
    <mergeCell ref="AN273:AO273"/>
    <mergeCell ref="AP273:AQ273"/>
    <mergeCell ref="AR273:AS273"/>
    <mergeCell ref="AT273:AU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T275:U275"/>
    <mergeCell ref="V275:W275"/>
    <mergeCell ref="X275:Y275"/>
    <mergeCell ref="Z275:AA275"/>
    <mergeCell ref="AB275:AC275"/>
    <mergeCell ref="AD275:AE275"/>
    <mergeCell ref="AF275:AG275"/>
    <mergeCell ref="AV275:AW275"/>
    <mergeCell ref="AX275:AY275"/>
    <mergeCell ref="AZ275:BA275"/>
    <mergeCell ref="F275:G275"/>
    <mergeCell ref="H275:I275"/>
    <mergeCell ref="J275:K275"/>
    <mergeCell ref="L275:M275"/>
    <mergeCell ref="N275:O275"/>
    <mergeCell ref="P275:Q275"/>
    <mergeCell ref="R275:S275"/>
    <mergeCell ref="F276:G276"/>
    <mergeCell ref="H276:I276"/>
    <mergeCell ref="J276:K276"/>
    <mergeCell ref="L276:M276"/>
    <mergeCell ref="N276:O276"/>
    <mergeCell ref="P276:Q276"/>
    <mergeCell ref="R276:S276"/>
    <mergeCell ref="AL276:AM276"/>
    <mergeCell ref="AN276:AO276"/>
    <mergeCell ref="AP276:AQ276"/>
    <mergeCell ref="AR276:AS276"/>
    <mergeCell ref="AT276:AU276"/>
    <mergeCell ref="AV276:AW276"/>
    <mergeCell ref="AX276:AY276"/>
    <mergeCell ref="AZ276:BA276"/>
    <mergeCell ref="AH275:AI275"/>
    <mergeCell ref="AJ275:AK275"/>
    <mergeCell ref="AL275:AM275"/>
    <mergeCell ref="AN275:AO275"/>
    <mergeCell ref="AP275:AQ275"/>
    <mergeCell ref="AR275:AS275"/>
    <mergeCell ref="AT275:AU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T277:U277"/>
    <mergeCell ref="V277:W277"/>
    <mergeCell ref="X277:Y277"/>
    <mergeCell ref="Z277:AA277"/>
    <mergeCell ref="AB277:AC277"/>
    <mergeCell ref="AD277:AE277"/>
    <mergeCell ref="AF277:AG277"/>
    <mergeCell ref="AV277:AW277"/>
    <mergeCell ref="AX277:AY277"/>
    <mergeCell ref="AZ277:BA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X278:AY278"/>
    <mergeCell ref="AZ278:BA278"/>
    <mergeCell ref="AH277:AI277"/>
    <mergeCell ref="AJ277:AK277"/>
    <mergeCell ref="AL277:AM277"/>
    <mergeCell ref="AN277:AO277"/>
    <mergeCell ref="AP277:AQ277"/>
    <mergeCell ref="AR277:AS277"/>
    <mergeCell ref="AT277:AU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T279:U279"/>
    <mergeCell ref="V279:W279"/>
    <mergeCell ref="X279:Y279"/>
    <mergeCell ref="Z279:AA279"/>
    <mergeCell ref="AB279:AC279"/>
    <mergeCell ref="AD279:AE279"/>
    <mergeCell ref="AF279:AG279"/>
    <mergeCell ref="AV279:AW279"/>
    <mergeCell ref="AX279:AY279"/>
    <mergeCell ref="AZ279:BA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L280:AM280"/>
    <mergeCell ref="AN280:AO280"/>
    <mergeCell ref="AP280:AQ280"/>
    <mergeCell ref="AR280:AS280"/>
    <mergeCell ref="AT280:AU280"/>
    <mergeCell ref="AV280:AW280"/>
    <mergeCell ref="AX280:AY280"/>
    <mergeCell ref="AZ280:BA280"/>
    <mergeCell ref="AH279:AI279"/>
    <mergeCell ref="AJ279:AK279"/>
    <mergeCell ref="AL279:AM279"/>
    <mergeCell ref="AN279:AO279"/>
    <mergeCell ref="AP279:AQ279"/>
    <mergeCell ref="AR279:AS279"/>
    <mergeCell ref="AT279:AU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T281:U281"/>
    <mergeCell ref="V281:W281"/>
    <mergeCell ref="X281:Y281"/>
    <mergeCell ref="Z281:AA281"/>
    <mergeCell ref="AB281:AC281"/>
    <mergeCell ref="AD281:AE281"/>
    <mergeCell ref="AF281:AG281"/>
    <mergeCell ref="AV281:AW281"/>
    <mergeCell ref="AX281:AY281"/>
    <mergeCell ref="AZ281:BA281"/>
    <mergeCell ref="F281:G281"/>
    <mergeCell ref="H281:I281"/>
    <mergeCell ref="J281:K281"/>
    <mergeCell ref="L281:M281"/>
    <mergeCell ref="N281:O281"/>
    <mergeCell ref="P281:Q281"/>
    <mergeCell ref="R281:S281"/>
    <mergeCell ref="F282:G282"/>
    <mergeCell ref="H282:I282"/>
    <mergeCell ref="J282:K282"/>
    <mergeCell ref="L282:M282"/>
    <mergeCell ref="N282:O282"/>
    <mergeCell ref="P282:Q282"/>
    <mergeCell ref="R282:S282"/>
    <mergeCell ref="AL282:AM282"/>
    <mergeCell ref="AN282:AO282"/>
    <mergeCell ref="AP282:AQ282"/>
    <mergeCell ref="AR282:AS282"/>
    <mergeCell ref="AT282:AU282"/>
    <mergeCell ref="AV282:AW282"/>
    <mergeCell ref="AX282:AY282"/>
    <mergeCell ref="AZ282:BA282"/>
    <mergeCell ref="AH281:AI281"/>
    <mergeCell ref="AJ281:AK281"/>
    <mergeCell ref="AL281:AM281"/>
    <mergeCell ref="AN281:AO281"/>
    <mergeCell ref="AP281:AQ281"/>
    <mergeCell ref="AR281:AS281"/>
    <mergeCell ref="AT281:AU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T283:U283"/>
    <mergeCell ref="V283:W283"/>
    <mergeCell ref="X283:Y283"/>
    <mergeCell ref="Z283:AA283"/>
    <mergeCell ref="AB283:AC283"/>
    <mergeCell ref="AD283:AE283"/>
    <mergeCell ref="AF283:AG283"/>
    <mergeCell ref="AV283:AW283"/>
    <mergeCell ref="AX283:AY283"/>
    <mergeCell ref="AZ283:BA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L284:AM284"/>
    <mergeCell ref="AN284:AO284"/>
    <mergeCell ref="AP284:AQ284"/>
    <mergeCell ref="AR284:AS284"/>
    <mergeCell ref="AT284:AU284"/>
    <mergeCell ref="AV284:AW284"/>
    <mergeCell ref="AX284:AY284"/>
    <mergeCell ref="AZ284:BA284"/>
    <mergeCell ref="AH283:AI283"/>
    <mergeCell ref="AJ283:AK283"/>
    <mergeCell ref="AL283:AM283"/>
    <mergeCell ref="AN283:AO283"/>
    <mergeCell ref="AP283:AQ283"/>
    <mergeCell ref="AR283:AS283"/>
    <mergeCell ref="AT283:AU283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T285:U285"/>
    <mergeCell ref="V285:W285"/>
    <mergeCell ref="X285:Y285"/>
    <mergeCell ref="Z285:AA285"/>
    <mergeCell ref="AB285:AC285"/>
    <mergeCell ref="AD285:AE285"/>
    <mergeCell ref="AF285:AG285"/>
    <mergeCell ref="AV285:AW285"/>
    <mergeCell ref="AX285:AY285"/>
    <mergeCell ref="AZ285:BA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L286:AM286"/>
    <mergeCell ref="AN286:AO286"/>
    <mergeCell ref="AP286:AQ286"/>
    <mergeCell ref="AR286:AS286"/>
    <mergeCell ref="AT286:AU286"/>
    <mergeCell ref="AV286:AW286"/>
    <mergeCell ref="AX286:AY286"/>
    <mergeCell ref="AZ286:BA286"/>
    <mergeCell ref="AH285:AI285"/>
    <mergeCell ref="AJ285:AK285"/>
    <mergeCell ref="AL285:AM285"/>
    <mergeCell ref="AN285:AO285"/>
    <mergeCell ref="AP285:AQ285"/>
    <mergeCell ref="AR285:AS285"/>
    <mergeCell ref="AT285:AU285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T287:U287"/>
    <mergeCell ref="V287:W287"/>
    <mergeCell ref="X287:Y287"/>
    <mergeCell ref="Z287:AA287"/>
    <mergeCell ref="AB287:AC287"/>
    <mergeCell ref="AD287:AE287"/>
    <mergeCell ref="AF287:AG287"/>
    <mergeCell ref="AV287:AW287"/>
    <mergeCell ref="AX287:AY287"/>
    <mergeCell ref="AZ287:BA287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L288:AM288"/>
    <mergeCell ref="AN288:AO288"/>
    <mergeCell ref="AP288:AQ288"/>
    <mergeCell ref="AR288:AS288"/>
    <mergeCell ref="AT288:AU288"/>
    <mergeCell ref="AV288:AW288"/>
    <mergeCell ref="AX288:AY288"/>
    <mergeCell ref="AZ288:BA288"/>
    <mergeCell ref="AH287:AI287"/>
    <mergeCell ref="AJ287:AK287"/>
    <mergeCell ref="AL287:AM287"/>
    <mergeCell ref="AN287:AO287"/>
    <mergeCell ref="AP287:AQ287"/>
    <mergeCell ref="AR287:AS287"/>
    <mergeCell ref="AT287:AU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T289:U289"/>
    <mergeCell ref="V289:W289"/>
    <mergeCell ref="X289:Y289"/>
    <mergeCell ref="Z289:AA289"/>
    <mergeCell ref="AB289:AC289"/>
    <mergeCell ref="AD289:AE289"/>
    <mergeCell ref="AF289:AG289"/>
    <mergeCell ref="AV289:AW289"/>
    <mergeCell ref="AX289:AY289"/>
    <mergeCell ref="AZ289:BA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L290:AM290"/>
    <mergeCell ref="AN290:AO290"/>
    <mergeCell ref="AP290:AQ290"/>
    <mergeCell ref="AR290:AS290"/>
    <mergeCell ref="AT290:AU290"/>
    <mergeCell ref="AV290:AW290"/>
    <mergeCell ref="AX290:AY290"/>
    <mergeCell ref="AZ290:BA290"/>
    <mergeCell ref="AH289:AI289"/>
    <mergeCell ref="AJ289:AK289"/>
    <mergeCell ref="AL289:AM289"/>
    <mergeCell ref="AN289:AO289"/>
    <mergeCell ref="AP289:AQ289"/>
    <mergeCell ref="AR289:AS289"/>
    <mergeCell ref="AT289:AU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T291:U291"/>
    <mergeCell ref="V291:W291"/>
    <mergeCell ref="X291:Y291"/>
    <mergeCell ref="Z291:AA291"/>
    <mergeCell ref="AB291:AC291"/>
    <mergeCell ref="AD291:AE291"/>
    <mergeCell ref="AF291:AG291"/>
    <mergeCell ref="AV291:AW291"/>
    <mergeCell ref="AX291:AY291"/>
    <mergeCell ref="AZ291:BA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L292:AM292"/>
    <mergeCell ref="AN292:AO292"/>
    <mergeCell ref="AP292:AQ292"/>
    <mergeCell ref="AR292:AS292"/>
    <mergeCell ref="AT292:AU292"/>
    <mergeCell ref="AV292:AW292"/>
    <mergeCell ref="AX292:AY292"/>
    <mergeCell ref="AZ292:BA292"/>
    <mergeCell ref="AH291:AI291"/>
    <mergeCell ref="AJ291:AK291"/>
    <mergeCell ref="AL291:AM291"/>
    <mergeCell ref="AN291:AO291"/>
    <mergeCell ref="AP291:AQ291"/>
    <mergeCell ref="AR291:AS291"/>
    <mergeCell ref="AT291:AU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T293:U293"/>
    <mergeCell ref="V293:W293"/>
    <mergeCell ref="X293:Y293"/>
    <mergeCell ref="Z293:AA293"/>
    <mergeCell ref="AB293:AC293"/>
    <mergeCell ref="AD293:AE293"/>
    <mergeCell ref="AF293:AG293"/>
    <mergeCell ref="AV293:AW293"/>
    <mergeCell ref="AX293:AY293"/>
    <mergeCell ref="AZ293:BA293"/>
    <mergeCell ref="F293:G293"/>
    <mergeCell ref="H293:I293"/>
    <mergeCell ref="J293:K293"/>
    <mergeCell ref="L293:M293"/>
    <mergeCell ref="N293:O293"/>
    <mergeCell ref="P293:Q293"/>
    <mergeCell ref="R293:S293"/>
    <mergeCell ref="F294:G294"/>
    <mergeCell ref="H294:I294"/>
    <mergeCell ref="J294:K294"/>
    <mergeCell ref="L294:M294"/>
    <mergeCell ref="N294:O294"/>
    <mergeCell ref="P294:Q294"/>
    <mergeCell ref="R294:S294"/>
    <mergeCell ref="AL294:AM294"/>
    <mergeCell ref="AN294:AO294"/>
    <mergeCell ref="AP294:AQ294"/>
    <mergeCell ref="AR294:AS294"/>
    <mergeCell ref="AT294:AU294"/>
    <mergeCell ref="AV294:AW294"/>
    <mergeCell ref="AX294:AY294"/>
    <mergeCell ref="AZ294:BA294"/>
    <mergeCell ref="AH293:AI293"/>
    <mergeCell ref="AJ293:AK293"/>
    <mergeCell ref="AL293:AM293"/>
    <mergeCell ref="AN293:AO293"/>
    <mergeCell ref="AP293:AQ293"/>
    <mergeCell ref="AR293:AS293"/>
    <mergeCell ref="AT293:AU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T295:U295"/>
    <mergeCell ref="V295:W295"/>
    <mergeCell ref="X295:Y295"/>
    <mergeCell ref="Z295:AA295"/>
    <mergeCell ref="AB295:AC295"/>
    <mergeCell ref="AD295:AE295"/>
    <mergeCell ref="AF295:AG295"/>
    <mergeCell ref="AV295:AW295"/>
    <mergeCell ref="AX295:AY295"/>
    <mergeCell ref="AZ295:BA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X296:AY296"/>
    <mergeCell ref="AZ296:BA296"/>
    <mergeCell ref="AH295:AI295"/>
    <mergeCell ref="AJ295:AK295"/>
    <mergeCell ref="AL295:AM295"/>
    <mergeCell ref="AN295:AO295"/>
    <mergeCell ref="AP295:AQ295"/>
    <mergeCell ref="AR295:AS295"/>
    <mergeCell ref="AT295:AU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T297:U297"/>
    <mergeCell ref="V297:W297"/>
    <mergeCell ref="X297:Y297"/>
    <mergeCell ref="Z297:AA297"/>
    <mergeCell ref="AB297:AC297"/>
    <mergeCell ref="AD297:AE297"/>
    <mergeCell ref="AF297:AG297"/>
    <mergeCell ref="AV297:AW297"/>
    <mergeCell ref="AX297:AY297"/>
    <mergeCell ref="AZ297:BA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L298:AM298"/>
    <mergeCell ref="AN298:AO298"/>
    <mergeCell ref="AP298:AQ298"/>
    <mergeCell ref="AR298:AS298"/>
    <mergeCell ref="AT298:AU298"/>
    <mergeCell ref="AV298:AW298"/>
    <mergeCell ref="AX298:AY298"/>
    <mergeCell ref="AZ298:BA298"/>
    <mergeCell ref="AH297:AI297"/>
    <mergeCell ref="AJ297:AK297"/>
    <mergeCell ref="AL297:AM297"/>
    <mergeCell ref="AN297:AO297"/>
    <mergeCell ref="AP297:AQ297"/>
    <mergeCell ref="AR297:AS297"/>
    <mergeCell ref="AT297:AU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T299:U299"/>
    <mergeCell ref="V299:W299"/>
    <mergeCell ref="X299:Y299"/>
    <mergeCell ref="Z299:AA299"/>
    <mergeCell ref="AB299:AC299"/>
    <mergeCell ref="AD299:AE299"/>
    <mergeCell ref="AF299:AG299"/>
    <mergeCell ref="AV299:AW299"/>
    <mergeCell ref="AX299:AY299"/>
    <mergeCell ref="AZ299:BA299"/>
    <mergeCell ref="F299:G299"/>
    <mergeCell ref="H299:I299"/>
    <mergeCell ref="J299:K299"/>
    <mergeCell ref="L299:M299"/>
    <mergeCell ref="N299:O299"/>
    <mergeCell ref="P299:Q299"/>
    <mergeCell ref="R299:S299"/>
    <mergeCell ref="F300:G300"/>
    <mergeCell ref="H300:I300"/>
    <mergeCell ref="J300:K300"/>
    <mergeCell ref="L300:M300"/>
    <mergeCell ref="N300:O300"/>
    <mergeCell ref="P300:Q300"/>
    <mergeCell ref="R300:S300"/>
    <mergeCell ref="AL300:AM300"/>
    <mergeCell ref="AN300:AO300"/>
    <mergeCell ref="AP300:AQ300"/>
    <mergeCell ref="AR300:AS300"/>
    <mergeCell ref="AT300:AU300"/>
    <mergeCell ref="AV300:AW300"/>
    <mergeCell ref="AX300:AY300"/>
    <mergeCell ref="AZ300:BA300"/>
    <mergeCell ref="AH299:AI299"/>
    <mergeCell ref="AJ299:AK299"/>
    <mergeCell ref="AL299:AM299"/>
    <mergeCell ref="AN299:AO299"/>
    <mergeCell ref="AP299:AQ299"/>
    <mergeCell ref="AR299:AS299"/>
    <mergeCell ref="AT299:AU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T301:U301"/>
    <mergeCell ref="V301:W301"/>
    <mergeCell ref="X301:Y301"/>
    <mergeCell ref="Z301:AA301"/>
    <mergeCell ref="AB301:AC301"/>
    <mergeCell ref="AD301:AE301"/>
    <mergeCell ref="AF301:AG301"/>
    <mergeCell ref="AV301:AW301"/>
    <mergeCell ref="AX301:AY301"/>
    <mergeCell ref="AZ301:BA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L302:AM302"/>
    <mergeCell ref="AN302:AO302"/>
    <mergeCell ref="AP302:AQ302"/>
    <mergeCell ref="AR302:AS302"/>
    <mergeCell ref="AT302:AU302"/>
    <mergeCell ref="AV302:AW302"/>
    <mergeCell ref="AX302:AY302"/>
    <mergeCell ref="AZ302:BA302"/>
    <mergeCell ref="AH301:AI301"/>
    <mergeCell ref="AJ301:AK301"/>
    <mergeCell ref="AL301:AM301"/>
    <mergeCell ref="AN301:AO301"/>
    <mergeCell ref="AP301:AQ301"/>
    <mergeCell ref="AR301:AS301"/>
    <mergeCell ref="AT301:AU301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T303:U303"/>
    <mergeCell ref="V303:W303"/>
    <mergeCell ref="X303:Y303"/>
    <mergeCell ref="Z303:AA303"/>
    <mergeCell ref="AB303:AC303"/>
    <mergeCell ref="AD303:AE303"/>
    <mergeCell ref="AF303:AG303"/>
    <mergeCell ref="AV303:AW303"/>
    <mergeCell ref="AX303:AY303"/>
    <mergeCell ref="AZ303:BA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L304:AM304"/>
    <mergeCell ref="AN304:AO304"/>
    <mergeCell ref="AP304:AQ304"/>
    <mergeCell ref="AR304:AS304"/>
    <mergeCell ref="AT304:AU304"/>
    <mergeCell ref="AV304:AW304"/>
    <mergeCell ref="AX304:AY304"/>
    <mergeCell ref="AZ304:BA304"/>
    <mergeCell ref="AH303:AI303"/>
    <mergeCell ref="AJ303:AK303"/>
    <mergeCell ref="AL303:AM303"/>
    <mergeCell ref="AN303:AO303"/>
    <mergeCell ref="AP303:AQ303"/>
    <mergeCell ref="AR303:AS303"/>
    <mergeCell ref="AT303:AU303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T305:U305"/>
    <mergeCell ref="V305:W305"/>
    <mergeCell ref="X305:Y305"/>
    <mergeCell ref="Z305:AA305"/>
    <mergeCell ref="AB305:AC305"/>
    <mergeCell ref="AD305:AE305"/>
    <mergeCell ref="AF305:AG305"/>
    <mergeCell ref="AV305:AW305"/>
    <mergeCell ref="AX305:AY305"/>
    <mergeCell ref="AZ305:BA305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L306:AM306"/>
    <mergeCell ref="AN306:AO306"/>
    <mergeCell ref="AP306:AQ306"/>
    <mergeCell ref="AR306:AS306"/>
    <mergeCell ref="AT306:AU306"/>
    <mergeCell ref="AV306:AW306"/>
    <mergeCell ref="AX306:AY306"/>
    <mergeCell ref="AZ306:BA306"/>
    <mergeCell ref="AH305:AI305"/>
    <mergeCell ref="AJ305:AK305"/>
    <mergeCell ref="AL305:AM305"/>
    <mergeCell ref="AN305:AO305"/>
    <mergeCell ref="AP305:AQ305"/>
    <mergeCell ref="AR305:AS305"/>
    <mergeCell ref="AT305:AU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T307:U307"/>
    <mergeCell ref="V307:W307"/>
    <mergeCell ref="X307:Y307"/>
    <mergeCell ref="Z307:AA307"/>
    <mergeCell ref="AB307:AC307"/>
    <mergeCell ref="AD307:AE307"/>
    <mergeCell ref="AF307:AG307"/>
    <mergeCell ref="AV307:AW307"/>
    <mergeCell ref="AX307:AY307"/>
    <mergeCell ref="AZ307:BA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L308:AM308"/>
    <mergeCell ref="AN308:AO308"/>
    <mergeCell ref="AP308:AQ308"/>
    <mergeCell ref="AR308:AS308"/>
    <mergeCell ref="AT308:AU308"/>
    <mergeCell ref="AV308:AW308"/>
    <mergeCell ref="AX308:AY308"/>
    <mergeCell ref="AZ308:BA308"/>
    <mergeCell ref="AH307:AI307"/>
    <mergeCell ref="AJ307:AK307"/>
    <mergeCell ref="AL307:AM307"/>
    <mergeCell ref="AN307:AO307"/>
    <mergeCell ref="AP307:AQ307"/>
    <mergeCell ref="AR307:AS307"/>
    <mergeCell ref="AT307:AU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T309:U309"/>
    <mergeCell ref="V309:W309"/>
    <mergeCell ref="X309:Y309"/>
    <mergeCell ref="Z309:AA309"/>
    <mergeCell ref="AB309:AC309"/>
    <mergeCell ref="AD309:AE309"/>
    <mergeCell ref="AF309:AG309"/>
    <mergeCell ref="AV309:AW309"/>
    <mergeCell ref="AX309:AY309"/>
    <mergeCell ref="AZ309:BA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L310:AM310"/>
    <mergeCell ref="AN310:AO310"/>
    <mergeCell ref="AP310:AQ310"/>
    <mergeCell ref="AR310:AS310"/>
    <mergeCell ref="AT310:AU310"/>
    <mergeCell ref="AV310:AW310"/>
    <mergeCell ref="AX310:AY310"/>
    <mergeCell ref="AZ310:BA310"/>
    <mergeCell ref="AH309:AI309"/>
    <mergeCell ref="AJ309:AK309"/>
    <mergeCell ref="AL309:AM309"/>
    <mergeCell ref="AN309:AO309"/>
    <mergeCell ref="AP309:AQ309"/>
    <mergeCell ref="AR309:AS309"/>
    <mergeCell ref="AT309:AU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T311:U311"/>
    <mergeCell ref="V311:W311"/>
    <mergeCell ref="X311:Y311"/>
    <mergeCell ref="Z311:AA311"/>
    <mergeCell ref="AB311:AC311"/>
    <mergeCell ref="AD311:AE311"/>
    <mergeCell ref="AF311:AG311"/>
    <mergeCell ref="AV311:AW311"/>
    <mergeCell ref="AX311:AY311"/>
    <mergeCell ref="AZ311:BA311"/>
    <mergeCell ref="F311:G311"/>
    <mergeCell ref="H311:I311"/>
    <mergeCell ref="J311:K311"/>
    <mergeCell ref="L311:M311"/>
    <mergeCell ref="N311:O311"/>
    <mergeCell ref="P311:Q311"/>
    <mergeCell ref="R311:S311"/>
    <mergeCell ref="F312:G312"/>
    <mergeCell ref="H312:I312"/>
    <mergeCell ref="J312:K312"/>
    <mergeCell ref="L312:M312"/>
    <mergeCell ref="N312:O312"/>
    <mergeCell ref="P312:Q312"/>
    <mergeCell ref="R312:S312"/>
    <mergeCell ref="AL312:AM312"/>
    <mergeCell ref="AN312:AO312"/>
    <mergeCell ref="AP312:AQ312"/>
    <mergeCell ref="AR312:AS312"/>
    <mergeCell ref="AT312:AU312"/>
    <mergeCell ref="AV312:AW312"/>
    <mergeCell ref="AX312:AY312"/>
    <mergeCell ref="AZ312:BA312"/>
    <mergeCell ref="AH311:AI311"/>
    <mergeCell ref="AJ311:AK311"/>
    <mergeCell ref="AL311:AM311"/>
    <mergeCell ref="AN311:AO311"/>
    <mergeCell ref="AP311:AQ311"/>
    <mergeCell ref="AR311:AS311"/>
    <mergeCell ref="AT311:AU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T313:U313"/>
    <mergeCell ref="V313:W313"/>
    <mergeCell ref="X313:Y313"/>
    <mergeCell ref="Z313:AA313"/>
    <mergeCell ref="AB313:AC313"/>
    <mergeCell ref="AD313:AE313"/>
    <mergeCell ref="AF313:AG313"/>
    <mergeCell ref="AV313:AW313"/>
    <mergeCell ref="AX313:AY313"/>
    <mergeCell ref="AZ313:BA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X314:AY314"/>
    <mergeCell ref="AZ314:BA314"/>
    <mergeCell ref="AH313:AI313"/>
    <mergeCell ref="AJ313:AK313"/>
    <mergeCell ref="AL313:AM313"/>
    <mergeCell ref="AN313:AO313"/>
    <mergeCell ref="AP313:AQ313"/>
    <mergeCell ref="AR313:AS313"/>
    <mergeCell ref="AT313:AU313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T315:U315"/>
    <mergeCell ref="V315:W315"/>
    <mergeCell ref="X315:Y315"/>
    <mergeCell ref="Z315:AA315"/>
    <mergeCell ref="AB315:AC315"/>
    <mergeCell ref="AD315:AE315"/>
    <mergeCell ref="AF315:AG315"/>
    <mergeCell ref="AV315:AW315"/>
    <mergeCell ref="AX315:AY315"/>
    <mergeCell ref="AZ315:BA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L316:AM316"/>
    <mergeCell ref="AN316:AO316"/>
    <mergeCell ref="AP316:AQ316"/>
    <mergeCell ref="AR316:AS316"/>
    <mergeCell ref="AT316:AU316"/>
    <mergeCell ref="AV316:AW316"/>
    <mergeCell ref="AX316:AY316"/>
    <mergeCell ref="AZ316:BA316"/>
    <mergeCell ref="AH315:AI315"/>
    <mergeCell ref="AJ315:AK315"/>
    <mergeCell ref="AL315:AM315"/>
    <mergeCell ref="AN315:AO315"/>
    <mergeCell ref="AP315:AQ315"/>
    <mergeCell ref="AR315:AS315"/>
    <mergeCell ref="AT315:AU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T317:U317"/>
    <mergeCell ref="V317:W317"/>
    <mergeCell ref="X317:Y317"/>
    <mergeCell ref="Z317:AA317"/>
    <mergeCell ref="AB317:AC317"/>
    <mergeCell ref="AD317:AE317"/>
    <mergeCell ref="AF317:AG317"/>
    <mergeCell ref="AV317:AW317"/>
    <mergeCell ref="AX317:AY317"/>
    <mergeCell ref="AZ317:BA317"/>
    <mergeCell ref="F317:G317"/>
    <mergeCell ref="H317:I317"/>
    <mergeCell ref="J317:K317"/>
    <mergeCell ref="L317:M317"/>
    <mergeCell ref="N317:O317"/>
    <mergeCell ref="P317:Q317"/>
    <mergeCell ref="R317:S317"/>
    <mergeCell ref="F318:G318"/>
    <mergeCell ref="H318:I318"/>
    <mergeCell ref="J318:K318"/>
    <mergeCell ref="L318:M318"/>
    <mergeCell ref="N318:O318"/>
    <mergeCell ref="P318:Q318"/>
    <mergeCell ref="R318:S318"/>
    <mergeCell ref="AL318:AM318"/>
    <mergeCell ref="AN318:AO318"/>
    <mergeCell ref="AP318:AQ318"/>
    <mergeCell ref="AR318:AS318"/>
    <mergeCell ref="AT318:AU318"/>
    <mergeCell ref="AV318:AW318"/>
    <mergeCell ref="AX318:AY318"/>
    <mergeCell ref="AZ318:BA318"/>
    <mergeCell ref="AH317:AI317"/>
    <mergeCell ref="AJ317:AK317"/>
    <mergeCell ref="AL317:AM317"/>
    <mergeCell ref="AN317:AO317"/>
    <mergeCell ref="AP317:AQ317"/>
    <mergeCell ref="AR317:AS317"/>
    <mergeCell ref="AT317:AU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T319:U319"/>
    <mergeCell ref="V319:W319"/>
    <mergeCell ref="X319:Y319"/>
    <mergeCell ref="Z319:AA319"/>
    <mergeCell ref="AB319:AC319"/>
    <mergeCell ref="AD319:AE319"/>
    <mergeCell ref="AF319:AG319"/>
    <mergeCell ref="AV319:AW319"/>
    <mergeCell ref="AX319:AY319"/>
    <mergeCell ref="AZ319:BA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L320:AM320"/>
    <mergeCell ref="AN320:AO320"/>
    <mergeCell ref="AP320:AQ320"/>
    <mergeCell ref="AR320:AS320"/>
    <mergeCell ref="AT320:AU320"/>
    <mergeCell ref="AV320:AW320"/>
    <mergeCell ref="AX320:AY320"/>
    <mergeCell ref="AZ320:BA320"/>
    <mergeCell ref="AH319:AI319"/>
    <mergeCell ref="AJ319:AK319"/>
    <mergeCell ref="AL319:AM319"/>
    <mergeCell ref="AN319:AO319"/>
    <mergeCell ref="AP319:AQ319"/>
    <mergeCell ref="AR319:AS319"/>
    <mergeCell ref="AT319:AU319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T321:U321"/>
    <mergeCell ref="V321:W321"/>
    <mergeCell ref="X321:Y321"/>
    <mergeCell ref="Z321:AA321"/>
    <mergeCell ref="AB321:AC321"/>
    <mergeCell ref="AD321:AE321"/>
    <mergeCell ref="AF321:AG321"/>
    <mergeCell ref="AV321:AW321"/>
    <mergeCell ref="AX321:AY321"/>
    <mergeCell ref="AZ321:BA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L322:AM322"/>
    <mergeCell ref="AN322:AO322"/>
    <mergeCell ref="AP322:AQ322"/>
    <mergeCell ref="AR322:AS322"/>
    <mergeCell ref="AT322:AU322"/>
    <mergeCell ref="AV322:AW322"/>
    <mergeCell ref="AX322:AY322"/>
    <mergeCell ref="AZ322:BA322"/>
    <mergeCell ref="AH321:AI321"/>
    <mergeCell ref="AJ321:AK321"/>
    <mergeCell ref="AL321:AM321"/>
    <mergeCell ref="AN321:AO321"/>
    <mergeCell ref="AP321:AQ321"/>
    <mergeCell ref="AR321:AS321"/>
    <mergeCell ref="AT321:AU321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T323:U323"/>
    <mergeCell ref="V323:W323"/>
    <mergeCell ref="X323:Y323"/>
    <mergeCell ref="Z323:AA323"/>
    <mergeCell ref="AB323:AC323"/>
    <mergeCell ref="AD323:AE323"/>
    <mergeCell ref="AF323:AG323"/>
    <mergeCell ref="AV323:AW323"/>
    <mergeCell ref="AX323:AY323"/>
    <mergeCell ref="AZ323:BA323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L324:AM324"/>
    <mergeCell ref="AN324:AO324"/>
    <mergeCell ref="AP324:AQ324"/>
    <mergeCell ref="AR324:AS324"/>
    <mergeCell ref="AT324:AU324"/>
    <mergeCell ref="AV324:AW324"/>
    <mergeCell ref="AX324:AY324"/>
    <mergeCell ref="AZ324:BA324"/>
    <mergeCell ref="AH323:AI323"/>
    <mergeCell ref="AJ323:AK323"/>
    <mergeCell ref="AL323:AM323"/>
    <mergeCell ref="AN323:AO323"/>
    <mergeCell ref="AP323:AQ323"/>
    <mergeCell ref="AR323:AS323"/>
    <mergeCell ref="AT323:AU323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T353:U353"/>
    <mergeCell ref="V353:W353"/>
    <mergeCell ref="X353:Y353"/>
    <mergeCell ref="Z353:AA353"/>
    <mergeCell ref="AB353:AC353"/>
    <mergeCell ref="AD353:AE353"/>
    <mergeCell ref="AF353:AG353"/>
    <mergeCell ref="AV353:AW353"/>
    <mergeCell ref="AX353:AY353"/>
    <mergeCell ref="AZ353:BA353"/>
    <mergeCell ref="F353:G353"/>
    <mergeCell ref="H353:I353"/>
    <mergeCell ref="J353:K353"/>
    <mergeCell ref="L353:M353"/>
    <mergeCell ref="N353:O353"/>
    <mergeCell ref="P353:Q353"/>
    <mergeCell ref="R353:S353"/>
    <mergeCell ref="F354:G354"/>
    <mergeCell ref="H354:I354"/>
    <mergeCell ref="J354:K354"/>
    <mergeCell ref="L354:M354"/>
    <mergeCell ref="N354:O354"/>
    <mergeCell ref="P354:Q354"/>
    <mergeCell ref="R354:S354"/>
    <mergeCell ref="AL354:AM354"/>
    <mergeCell ref="AN354:AO354"/>
    <mergeCell ref="AP354:AQ354"/>
    <mergeCell ref="AR354:AS354"/>
    <mergeCell ref="AT354:AU354"/>
    <mergeCell ref="AV354:AW354"/>
    <mergeCell ref="AX354:AY354"/>
    <mergeCell ref="AZ354:BA354"/>
    <mergeCell ref="AH353:AI353"/>
    <mergeCell ref="AJ353:AK353"/>
    <mergeCell ref="AL353:AM353"/>
    <mergeCell ref="AN353:AO353"/>
    <mergeCell ref="AP353:AQ353"/>
    <mergeCell ref="AR353:AS353"/>
    <mergeCell ref="AT353:AU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T355:U355"/>
    <mergeCell ref="V355:W355"/>
    <mergeCell ref="X355:Y355"/>
    <mergeCell ref="Z355:AA355"/>
    <mergeCell ref="AB355:AC355"/>
    <mergeCell ref="AD355:AE355"/>
    <mergeCell ref="AF355:AG355"/>
    <mergeCell ref="AV355:AW355"/>
    <mergeCell ref="AX355:AY355"/>
    <mergeCell ref="AZ355:BA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L356:AM356"/>
    <mergeCell ref="AN356:AO356"/>
    <mergeCell ref="AP356:AQ356"/>
    <mergeCell ref="AR356:AS356"/>
    <mergeCell ref="AT356:AU356"/>
    <mergeCell ref="AV356:AW356"/>
    <mergeCell ref="AX356:AY356"/>
    <mergeCell ref="AZ356:BA356"/>
    <mergeCell ref="AH355:AI355"/>
    <mergeCell ref="AJ355:AK355"/>
    <mergeCell ref="AL355:AM355"/>
    <mergeCell ref="AN355:AO355"/>
    <mergeCell ref="AP355:AQ355"/>
    <mergeCell ref="AR355:AS355"/>
    <mergeCell ref="AT355:AU355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T357:U357"/>
    <mergeCell ref="V357:W357"/>
    <mergeCell ref="X357:Y357"/>
    <mergeCell ref="Z357:AA357"/>
    <mergeCell ref="AB357:AC357"/>
    <mergeCell ref="AD357:AE357"/>
    <mergeCell ref="AF357:AG357"/>
    <mergeCell ref="AV357:AW357"/>
    <mergeCell ref="AX357:AY357"/>
    <mergeCell ref="AZ357:BA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L358:AM358"/>
    <mergeCell ref="AN358:AO358"/>
    <mergeCell ref="AP358:AQ358"/>
    <mergeCell ref="AR358:AS358"/>
    <mergeCell ref="AT358:AU358"/>
    <mergeCell ref="AV358:AW358"/>
    <mergeCell ref="AX358:AY358"/>
    <mergeCell ref="AZ358:BA358"/>
    <mergeCell ref="AH357:AI357"/>
    <mergeCell ref="AJ357:AK357"/>
    <mergeCell ref="AL357:AM357"/>
    <mergeCell ref="AN357:AO357"/>
    <mergeCell ref="AP357:AQ357"/>
    <mergeCell ref="AR357:AS357"/>
    <mergeCell ref="AT357:AU357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T359:U359"/>
    <mergeCell ref="V359:W359"/>
    <mergeCell ref="X359:Y359"/>
    <mergeCell ref="Z359:AA359"/>
    <mergeCell ref="AB359:AC359"/>
    <mergeCell ref="AD359:AE359"/>
    <mergeCell ref="AF359:AG359"/>
    <mergeCell ref="AV359:AW359"/>
    <mergeCell ref="AX359:AY359"/>
    <mergeCell ref="AZ359:BA359"/>
    <mergeCell ref="F359:G359"/>
    <mergeCell ref="H359:I359"/>
    <mergeCell ref="J359:K359"/>
    <mergeCell ref="L359:M359"/>
    <mergeCell ref="N359:O359"/>
    <mergeCell ref="P359:Q359"/>
    <mergeCell ref="R359:S359"/>
    <mergeCell ref="F360:G360"/>
    <mergeCell ref="H360:I360"/>
    <mergeCell ref="J360:K360"/>
    <mergeCell ref="L360:M360"/>
    <mergeCell ref="N360:O360"/>
    <mergeCell ref="P360:Q360"/>
    <mergeCell ref="R360:S360"/>
    <mergeCell ref="AL360:AM360"/>
    <mergeCell ref="AN360:AO360"/>
    <mergeCell ref="AP360:AQ360"/>
    <mergeCell ref="AR360:AS360"/>
    <mergeCell ref="AT360:AU360"/>
    <mergeCell ref="AV360:AW360"/>
    <mergeCell ref="AX360:AY360"/>
    <mergeCell ref="AZ360:BA360"/>
    <mergeCell ref="AH359:AI359"/>
    <mergeCell ref="AJ359:AK359"/>
    <mergeCell ref="AL359:AM359"/>
    <mergeCell ref="AN359:AO359"/>
    <mergeCell ref="AP359:AQ359"/>
    <mergeCell ref="AR359:AS359"/>
    <mergeCell ref="AT359:AU359"/>
    <mergeCell ref="AH360:AI360"/>
    <mergeCell ref="AJ360:AK360"/>
    <mergeCell ref="T360:U360"/>
    <mergeCell ref="V360:W360"/>
    <mergeCell ref="X360:Y360"/>
    <mergeCell ref="Z360:AA360"/>
    <mergeCell ref="AB360:AC360"/>
    <mergeCell ref="AD360:AE360"/>
    <mergeCell ref="AF360:AG360"/>
    <mergeCell ref="T361:U361"/>
    <mergeCell ref="V361:W361"/>
    <mergeCell ref="X361:Y361"/>
    <mergeCell ref="Z361:AA361"/>
    <mergeCell ref="AB361:AC361"/>
    <mergeCell ref="AD361:AE361"/>
    <mergeCell ref="AF361:AG361"/>
    <mergeCell ref="AV361:AW361"/>
    <mergeCell ref="AX361:AY361"/>
    <mergeCell ref="AZ361:BA361"/>
    <mergeCell ref="F361:G361"/>
    <mergeCell ref="H361:I361"/>
    <mergeCell ref="J361:K361"/>
    <mergeCell ref="L361:M361"/>
    <mergeCell ref="N361:O361"/>
    <mergeCell ref="P361:Q361"/>
    <mergeCell ref="R361:S361"/>
    <mergeCell ref="F362:G362"/>
    <mergeCell ref="H362:I362"/>
    <mergeCell ref="J362:K362"/>
    <mergeCell ref="L362:M362"/>
    <mergeCell ref="N362:O362"/>
    <mergeCell ref="P362:Q362"/>
    <mergeCell ref="R362:S362"/>
    <mergeCell ref="AL362:AM362"/>
    <mergeCell ref="AN362:AO362"/>
    <mergeCell ref="AP362:AQ362"/>
    <mergeCell ref="AR362:AS362"/>
    <mergeCell ref="AT362:AU362"/>
    <mergeCell ref="AV362:AW362"/>
    <mergeCell ref="AX362:AY362"/>
    <mergeCell ref="AZ362:BA362"/>
    <mergeCell ref="AH361:AI361"/>
    <mergeCell ref="AJ361:AK361"/>
    <mergeCell ref="AL361:AM361"/>
    <mergeCell ref="AN361:AO361"/>
    <mergeCell ref="AP361:AQ361"/>
    <mergeCell ref="AR361:AS361"/>
    <mergeCell ref="AT361:AU361"/>
    <mergeCell ref="AH362:AI362"/>
    <mergeCell ref="AJ362:AK362"/>
    <mergeCell ref="T362:U362"/>
    <mergeCell ref="V362:W362"/>
    <mergeCell ref="X362:Y362"/>
    <mergeCell ref="Z362:AA362"/>
    <mergeCell ref="AB362:AC362"/>
    <mergeCell ref="AD362:AE362"/>
    <mergeCell ref="AF362:AG362"/>
    <mergeCell ref="T363:U363"/>
    <mergeCell ref="V363:W363"/>
    <mergeCell ref="X363:Y363"/>
    <mergeCell ref="Z363:AA363"/>
    <mergeCell ref="AB363:AC363"/>
    <mergeCell ref="AD363:AE363"/>
    <mergeCell ref="AF363:AG363"/>
    <mergeCell ref="AV363:AW363"/>
    <mergeCell ref="AX363:AY363"/>
    <mergeCell ref="AZ363:BA363"/>
    <mergeCell ref="F363:G363"/>
    <mergeCell ref="H363:I363"/>
    <mergeCell ref="J363:K363"/>
    <mergeCell ref="L363:M363"/>
    <mergeCell ref="N363:O363"/>
    <mergeCell ref="P363:Q363"/>
    <mergeCell ref="R363:S363"/>
    <mergeCell ref="F364:G364"/>
    <mergeCell ref="H364:I364"/>
    <mergeCell ref="J364:K364"/>
    <mergeCell ref="L364:M364"/>
    <mergeCell ref="N364:O364"/>
    <mergeCell ref="P364:Q364"/>
    <mergeCell ref="R364:S364"/>
    <mergeCell ref="AL364:AM364"/>
    <mergeCell ref="AN364:AO364"/>
    <mergeCell ref="AP364:AQ364"/>
    <mergeCell ref="AR364:AS364"/>
    <mergeCell ref="AT364:AU364"/>
    <mergeCell ref="AV364:AW364"/>
    <mergeCell ref="AX364:AY364"/>
    <mergeCell ref="AZ364:BA364"/>
    <mergeCell ref="AH363:AI363"/>
    <mergeCell ref="AJ363:AK363"/>
    <mergeCell ref="AL363:AM363"/>
    <mergeCell ref="AN363:AO363"/>
    <mergeCell ref="AP363:AQ363"/>
    <mergeCell ref="AR363:AS363"/>
    <mergeCell ref="AT363:AU363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T12:U12"/>
    <mergeCell ref="V12:W12"/>
    <mergeCell ref="X12:Y12"/>
    <mergeCell ref="Z12:AA12"/>
    <mergeCell ref="AB12:AC12"/>
    <mergeCell ref="AD12:AE12"/>
    <mergeCell ref="AF12:AG12"/>
    <mergeCell ref="AV12:AW12"/>
    <mergeCell ref="AX12:AY12"/>
    <mergeCell ref="AZ12:BA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AH12:AI12"/>
    <mergeCell ref="AJ12:AK12"/>
    <mergeCell ref="AL12:AM12"/>
    <mergeCell ref="AN12:AO12"/>
    <mergeCell ref="AP12:AQ12"/>
    <mergeCell ref="AR12:AS12"/>
    <mergeCell ref="AT12:AU12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N15:AO15"/>
    <mergeCell ref="AP15:AQ15"/>
    <mergeCell ref="AR15:AS15"/>
    <mergeCell ref="AT15:AU15"/>
    <mergeCell ref="AV15:AW15"/>
    <mergeCell ref="AX15:AY15"/>
    <mergeCell ref="AZ15:BA15"/>
    <mergeCell ref="AL15:AM15"/>
    <mergeCell ref="AL16:AM16"/>
    <mergeCell ref="AN16:AO16"/>
    <mergeCell ref="AP16:AQ16"/>
    <mergeCell ref="AR16:AS16"/>
    <mergeCell ref="AT16:AU16"/>
    <mergeCell ref="AV16:AW16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T14:U14"/>
    <mergeCell ref="V14:W14"/>
    <mergeCell ref="X14:Y14"/>
    <mergeCell ref="Z14:AA14"/>
    <mergeCell ref="AB14:AC14"/>
    <mergeCell ref="AD14:AE14"/>
    <mergeCell ref="AF14:AG14"/>
    <mergeCell ref="AV14:AW14"/>
    <mergeCell ref="AX14:AY14"/>
    <mergeCell ref="AZ14:BA14"/>
    <mergeCell ref="AH14:AI14"/>
    <mergeCell ref="AJ14:AK14"/>
    <mergeCell ref="AL14:AM14"/>
    <mergeCell ref="AN14:AO14"/>
    <mergeCell ref="AP14:AQ14"/>
    <mergeCell ref="AR14:AS14"/>
    <mergeCell ref="AT14:AU14"/>
    <mergeCell ref="F16:G16"/>
    <mergeCell ref="H16:I16"/>
    <mergeCell ref="J16:K16"/>
    <mergeCell ref="L16:M16"/>
    <mergeCell ref="N16:O16"/>
    <mergeCell ref="P16:Q16"/>
    <mergeCell ref="R16:S16"/>
    <mergeCell ref="AX16:AY16"/>
    <mergeCell ref="AZ16:BA16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X17:Y17"/>
    <mergeCell ref="Z17:AA17"/>
    <mergeCell ref="AB17:AC17"/>
    <mergeCell ref="AD17:AE17"/>
    <mergeCell ref="AF17:AG17"/>
    <mergeCell ref="AV17:AW17"/>
    <mergeCell ref="AX17:AY17"/>
    <mergeCell ref="AZ17:BA17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AH17:AI17"/>
    <mergeCell ref="AJ17:AK17"/>
    <mergeCell ref="AL17:AM17"/>
    <mergeCell ref="AN17:AO17"/>
    <mergeCell ref="AP17:AQ17"/>
    <mergeCell ref="AR17:AS17"/>
    <mergeCell ref="AT17:AU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19:U19"/>
    <mergeCell ref="V19:W19"/>
    <mergeCell ref="X19:Y19"/>
    <mergeCell ref="Z19:AA19"/>
    <mergeCell ref="AB19:AC19"/>
    <mergeCell ref="AD19:AE19"/>
    <mergeCell ref="AF19:AG19"/>
    <mergeCell ref="AV19:AW19"/>
    <mergeCell ref="AX19:AY19"/>
    <mergeCell ref="AZ19:BA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AH19:AI19"/>
    <mergeCell ref="AJ19:AK19"/>
    <mergeCell ref="AL19:AM19"/>
    <mergeCell ref="AN19:AO19"/>
    <mergeCell ref="AP19:AQ19"/>
    <mergeCell ref="AR19:AS19"/>
    <mergeCell ref="AT19:AU19"/>
    <mergeCell ref="AH366:AI366"/>
    <mergeCell ref="AJ366:AK366"/>
    <mergeCell ref="T366:U366"/>
    <mergeCell ref="V366:W366"/>
    <mergeCell ref="X366:Y366"/>
    <mergeCell ref="Z366:AA366"/>
    <mergeCell ref="AB366:AC366"/>
    <mergeCell ref="AD366:AE366"/>
    <mergeCell ref="AF366:AG366"/>
    <mergeCell ref="AH364:AI364"/>
    <mergeCell ref="AJ364:AK364"/>
    <mergeCell ref="T364:U364"/>
    <mergeCell ref="V364:W364"/>
    <mergeCell ref="X364:Y364"/>
    <mergeCell ref="Z364:AA364"/>
    <mergeCell ref="AB364:AC364"/>
    <mergeCell ref="AD364:AE364"/>
    <mergeCell ref="AF364:AG364"/>
    <mergeCell ref="T365:U365"/>
    <mergeCell ref="V365:W365"/>
    <mergeCell ref="X365:Y365"/>
    <mergeCell ref="Z365:AA365"/>
    <mergeCell ref="AB365:AC365"/>
    <mergeCell ref="AD365:AE365"/>
    <mergeCell ref="AF365:AG365"/>
    <mergeCell ref="AV365:AW365"/>
    <mergeCell ref="AX365:AY365"/>
    <mergeCell ref="AZ365:BA365"/>
    <mergeCell ref="F365:G365"/>
    <mergeCell ref="H365:I365"/>
    <mergeCell ref="J365:K365"/>
    <mergeCell ref="L365:M365"/>
    <mergeCell ref="N365:O365"/>
    <mergeCell ref="P365:Q365"/>
    <mergeCell ref="R365:S365"/>
    <mergeCell ref="F366:G366"/>
    <mergeCell ref="H366:I366"/>
    <mergeCell ref="J366:K366"/>
    <mergeCell ref="L366:M366"/>
    <mergeCell ref="N366:O366"/>
    <mergeCell ref="P366:Q366"/>
    <mergeCell ref="R366:S366"/>
    <mergeCell ref="AL366:AM366"/>
    <mergeCell ref="AN366:AO366"/>
    <mergeCell ref="AP366:AQ366"/>
    <mergeCell ref="AR366:AS366"/>
    <mergeCell ref="AT366:AU366"/>
    <mergeCell ref="AV366:AW366"/>
    <mergeCell ref="AX366:AY366"/>
    <mergeCell ref="AZ366:BA366"/>
    <mergeCell ref="AH365:AI365"/>
    <mergeCell ref="AJ365:AK365"/>
    <mergeCell ref="AL365:AM365"/>
    <mergeCell ref="AN365:AO365"/>
    <mergeCell ref="AP365:AQ365"/>
    <mergeCell ref="AR365:AS365"/>
    <mergeCell ref="AT365:AU365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T325:U325"/>
    <mergeCell ref="V325:W325"/>
    <mergeCell ref="X325:Y325"/>
    <mergeCell ref="Z325:AA325"/>
    <mergeCell ref="AB325:AC325"/>
    <mergeCell ref="AD325:AE325"/>
    <mergeCell ref="AF325:AG325"/>
    <mergeCell ref="AV325:AW325"/>
    <mergeCell ref="AX325:AY325"/>
    <mergeCell ref="AZ325:BA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L326:AM326"/>
    <mergeCell ref="AN326:AO326"/>
    <mergeCell ref="AP326:AQ326"/>
    <mergeCell ref="AR326:AS326"/>
    <mergeCell ref="AT326:AU326"/>
    <mergeCell ref="AV326:AW326"/>
    <mergeCell ref="AX326:AY326"/>
    <mergeCell ref="AZ326:BA326"/>
    <mergeCell ref="AH325:AI325"/>
    <mergeCell ref="AJ325:AK325"/>
    <mergeCell ref="AL325:AM325"/>
    <mergeCell ref="AN325:AO325"/>
    <mergeCell ref="AP325:AQ325"/>
    <mergeCell ref="AR325:AS325"/>
    <mergeCell ref="AT325:AU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T327:U327"/>
    <mergeCell ref="V327:W327"/>
    <mergeCell ref="X327:Y327"/>
    <mergeCell ref="Z327:AA327"/>
    <mergeCell ref="AB327:AC327"/>
    <mergeCell ref="AD327:AE327"/>
    <mergeCell ref="AF327:AG327"/>
    <mergeCell ref="AV327:AW327"/>
    <mergeCell ref="AX327:AY327"/>
    <mergeCell ref="AZ327:BA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L328:AM328"/>
    <mergeCell ref="AN328:AO328"/>
    <mergeCell ref="AP328:AQ328"/>
    <mergeCell ref="AR328:AS328"/>
    <mergeCell ref="AT328:AU328"/>
    <mergeCell ref="AV328:AW328"/>
    <mergeCell ref="AX328:AY328"/>
    <mergeCell ref="AZ328:BA328"/>
    <mergeCell ref="AH327:AI327"/>
    <mergeCell ref="AJ327:AK327"/>
    <mergeCell ref="AL327:AM327"/>
    <mergeCell ref="AN327:AO327"/>
    <mergeCell ref="AP327:AQ327"/>
    <mergeCell ref="AR327:AS327"/>
    <mergeCell ref="AT327:AU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T329:U329"/>
    <mergeCell ref="V329:W329"/>
    <mergeCell ref="X329:Y329"/>
    <mergeCell ref="Z329:AA329"/>
    <mergeCell ref="AB329:AC329"/>
    <mergeCell ref="AD329:AE329"/>
    <mergeCell ref="AF329:AG329"/>
    <mergeCell ref="AV329:AW329"/>
    <mergeCell ref="AX329:AY329"/>
    <mergeCell ref="AZ329:BA329"/>
    <mergeCell ref="F329:G329"/>
    <mergeCell ref="H329:I329"/>
    <mergeCell ref="J329:K329"/>
    <mergeCell ref="L329:M329"/>
    <mergeCell ref="N329:O329"/>
    <mergeCell ref="P329:Q329"/>
    <mergeCell ref="R329:S329"/>
    <mergeCell ref="F330:G330"/>
    <mergeCell ref="H330:I330"/>
    <mergeCell ref="J330:K330"/>
    <mergeCell ref="L330:M330"/>
    <mergeCell ref="N330:O330"/>
    <mergeCell ref="P330:Q330"/>
    <mergeCell ref="R330:S330"/>
    <mergeCell ref="AL330:AM330"/>
    <mergeCell ref="AN330:AO330"/>
    <mergeCell ref="AP330:AQ330"/>
    <mergeCell ref="AR330:AS330"/>
    <mergeCell ref="AT330:AU330"/>
    <mergeCell ref="AV330:AW330"/>
    <mergeCell ref="AX330:AY330"/>
    <mergeCell ref="AZ330:BA330"/>
    <mergeCell ref="AH329:AI329"/>
    <mergeCell ref="AJ329:AK329"/>
    <mergeCell ref="AL329:AM329"/>
    <mergeCell ref="AN329:AO329"/>
    <mergeCell ref="AP329:AQ329"/>
    <mergeCell ref="AR329:AS329"/>
    <mergeCell ref="AT329:AU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T331:U331"/>
    <mergeCell ref="V331:W331"/>
    <mergeCell ref="X331:Y331"/>
    <mergeCell ref="Z331:AA331"/>
    <mergeCell ref="AB331:AC331"/>
    <mergeCell ref="AD331:AE331"/>
    <mergeCell ref="AF331:AG331"/>
    <mergeCell ref="AV331:AW331"/>
    <mergeCell ref="AX331:AY331"/>
    <mergeCell ref="AZ331:BA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X332:AY332"/>
    <mergeCell ref="AZ332:BA332"/>
    <mergeCell ref="AH331:AI331"/>
    <mergeCell ref="AJ331:AK331"/>
    <mergeCell ref="AL331:AM331"/>
    <mergeCell ref="AN331:AO331"/>
    <mergeCell ref="AP331:AQ331"/>
    <mergeCell ref="AR331:AS331"/>
    <mergeCell ref="AT331:AU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T333:U333"/>
    <mergeCell ref="V333:W333"/>
    <mergeCell ref="X333:Y333"/>
    <mergeCell ref="Z333:AA333"/>
    <mergeCell ref="AB333:AC333"/>
    <mergeCell ref="AD333:AE333"/>
    <mergeCell ref="AF333:AG333"/>
    <mergeCell ref="AV333:AW333"/>
    <mergeCell ref="AX333:AY333"/>
    <mergeCell ref="AZ333:BA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L334:AM334"/>
    <mergeCell ref="AN334:AO334"/>
    <mergeCell ref="AP334:AQ334"/>
    <mergeCell ref="AR334:AS334"/>
    <mergeCell ref="AT334:AU334"/>
    <mergeCell ref="AV334:AW334"/>
    <mergeCell ref="AX334:AY334"/>
    <mergeCell ref="AZ334:BA334"/>
    <mergeCell ref="AH333:AI333"/>
    <mergeCell ref="AJ333:AK333"/>
    <mergeCell ref="AL333:AM333"/>
    <mergeCell ref="AN333:AO333"/>
    <mergeCell ref="AP333:AQ333"/>
    <mergeCell ref="AR333:AS333"/>
    <mergeCell ref="AT333:AU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T335:U335"/>
    <mergeCell ref="V335:W335"/>
    <mergeCell ref="X335:Y335"/>
    <mergeCell ref="Z335:AA335"/>
    <mergeCell ref="AB335:AC335"/>
    <mergeCell ref="AD335:AE335"/>
    <mergeCell ref="AF335:AG335"/>
    <mergeCell ref="AV335:AW335"/>
    <mergeCell ref="AX335:AY335"/>
    <mergeCell ref="AZ335:BA335"/>
    <mergeCell ref="F335:G335"/>
    <mergeCell ref="H335:I335"/>
    <mergeCell ref="J335:K335"/>
    <mergeCell ref="L335:M335"/>
    <mergeCell ref="N335:O335"/>
    <mergeCell ref="P335:Q335"/>
    <mergeCell ref="R335:S335"/>
    <mergeCell ref="F336:G336"/>
    <mergeCell ref="H336:I336"/>
    <mergeCell ref="J336:K336"/>
    <mergeCell ref="L336:M336"/>
    <mergeCell ref="N336:O336"/>
    <mergeCell ref="P336:Q336"/>
    <mergeCell ref="R336:S336"/>
    <mergeCell ref="AL336:AM336"/>
    <mergeCell ref="AN336:AO336"/>
    <mergeCell ref="AP336:AQ336"/>
    <mergeCell ref="AR336:AS336"/>
    <mergeCell ref="AT336:AU336"/>
    <mergeCell ref="AV336:AW336"/>
    <mergeCell ref="AX336:AY336"/>
    <mergeCell ref="AZ336:BA336"/>
    <mergeCell ref="AH335:AI335"/>
    <mergeCell ref="AJ335:AK335"/>
    <mergeCell ref="AL335:AM335"/>
    <mergeCell ref="AN335:AO335"/>
    <mergeCell ref="AP335:AQ335"/>
    <mergeCell ref="AR335:AS335"/>
    <mergeCell ref="AT335:AU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T337:U337"/>
    <mergeCell ref="V337:W337"/>
    <mergeCell ref="X337:Y337"/>
    <mergeCell ref="Z337:AA337"/>
    <mergeCell ref="AB337:AC337"/>
    <mergeCell ref="AD337:AE337"/>
    <mergeCell ref="AF337:AG337"/>
    <mergeCell ref="AV337:AW337"/>
    <mergeCell ref="AX337:AY337"/>
    <mergeCell ref="AZ337:BA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L338:AM338"/>
    <mergeCell ref="AN338:AO338"/>
    <mergeCell ref="AP338:AQ338"/>
    <mergeCell ref="AR338:AS338"/>
    <mergeCell ref="AT338:AU338"/>
    <mergeCell ref="AV338:AW338"/>
    <mergeCell ref="AX338:AY338"/>
    <mergeCell ref="AZ338:BA338"/>
    <mergeCell ref="AH337:AI337"/>
    <mergeCell ref="AJ337:AK337"/>
    <mergeCell ref="AL337:AM337"/>
    <mergeCell ref="AN337:AO337"/>
    <mergeCell ref="AP337:AQ337"/>
    <mergeCell ref="AR337:AS337"/>
    <mergeCell ref="AT337:AU337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T339:U339"/>
    <mergeCell ref="V339:W339"/>
    <mergeCell ref="X339:Y339"/>
    <mergeCell ref="Z339:AA339"/>
    <mergeCell ref="AB339:AC339"/>
    <mergeCell ref="AD339:AE339"/>
    <mergeCell ref="AF339:AG339"/>
    <mergeCell ref="AV339:AW339"/>
    <mergeCell ref="AX339:AY339"/>
    <mergeCell ref="AZ339:BA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L340:AM340"/>
    <mergeCell ref="AN340:AO340"/>
    <mergeCell ref="AP340:AQ340"/>
    <mergeCell ref="AR340:AS340"/>
    <mergeCell ref="AT340:AU340"/>
    <mergeCell ref="AV340:AW340"/>
    <mergeCell ref="AX340:AY340"/>
    <mergeCell ref="AZ340:BA340"/>
    <mergeCell ref="AH339:AI339"/>
    <mergeCell ref="AJ339:AK339"/>
    <mergeCell ref="AL339:AM339"/>
    <mergeCell ref="AN339:AO339"/>
    <mergeCell ref="AP339:AQ339"/>
    <mergeCell ref="AR339:AS339"/>
    <mergeCell ref="AT339:AU339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T341:U341"/>
    <mergeCell ref="V341:W341"/>
    <mergeCell ref="X341:Y341"/>
    <mergeCell ref="Z341:AA341"/>
    <mergeCell ref="AB341:AC341"/>
    <mergeCell ref="AD341:AE341"/>
    <mergeCell ref="AF341:AG341"/>
    <mergeCell ref="AV341:AW341"/>
    <mergeCell ref="AX341:AY341"/>
    <mergeCell ref="AZ341:BA341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L342:AM342"/>
    <mergeCell ref="AN342:AO342"/>
    <mergeCell ref="AP342:AQ342"/>
    <mergeCell ref="AR342:AS342"/>
    <mergeCell ref="AT342:AU342"/>
    <mergeCell ref="AV342:AW342"/>
    <mergeCell ref="AX342:AY342"/>
    <mergeCell ref="AZ342:BA342"/>
    <mergeCell ref="AH341:AI341"/>
    <mergeCell ref="AJ341:AK341"/>
    <mergeCell ref="AL341:AM341"/>
    <mergeCell ref="AN341:AO341"/>
    <mergeCell ref="AP341:AQ341"/>
    <mergeCell ref="AR341:AS341"/>
    <mergeCell ref="AT341:AU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T343:U343"/>
    <mergeCell ref="V343:W343"/>
    <mergeCell ref="X343:Y343"/>
    <mergeCell ref="Z343:AA343"/>
    <mergeCell ref="AB343:AC343"/>
    <mergeCell ref="AD343:AE343"/>
    <mergeCell ref="AF343:AG343"/>
    <mergeCell ref="AV343:AW343"/>
    <mergeCell ref="AX343:AY343"/>
    <mergeCell ref="AZ343:BA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L344:AM344"/>
    <mergeCell ref="AN344:AO344"/>
    <mergeCell ref="AP344:AQ344"/>
    <mergeCell ref="AR344:AS344"/>
    <mergeCell ref="AT344:AU344"/>
    <mergeCell ref="AV344:AW344"/>
    <mergeCell ref="AX344:AY344"/>
    <mergeCell ref="AZ344:BA344"/>
    <mergeCell ref="AH343:AI343"/>
    <mergeCell ref="AJ343:AK343"/>
    <mergeCell ref="AL343:AM343"/>
    <mergeCell ref="AN343:AO343"/>
    <mergeCell ref="AP343:AQ343"/>
    <mergeCell ref="AR343:AS343"/>
    <mergeCell ref="AT343:AU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T345:U345"/>
    <mergeCell ref="V345:W345"/>
    <mergeCell ref="X345:Y345"/>
    <mergeCell ref="Z345:AA345"/>
    <mergeCell ref="AB345:AC345"/>
    <mergeCell ref="AD345:AE345"/>
    <mergeCell ref="AF345:AG345"/>
    <mergeCell ref="AV345:AW345"/>
    <mergeCell ref="AX345:AY345"/>
    <mergeCell ref="AZ345:BA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L346:AM346"/>
    <mergeCell ref="AN346:AO346"/>
    <mergeCell ref="AP346:AQ346"/>
    <mergeCell ref="AR346:AS346"/>
    <mergeCell ref="AT346:AU346"/>
    <mergeCell ref="AV346:AW346"/>
    <mergeCell ref="AX346:AY346"/>
    <mergeCell ref="AZ346:BA346"/>
    <mergeCell ref="AH345:AI345"/>
    <mergeCell ref="AJ345:AK345"/>
    <mergeCell ref="AL345:AM345"/>
    <mergeCell ref="AN345:AO345"/>
    <mergeCell ref="AP345:AQ345"/>
    <mergeCell ref="AR345:AS345"/>
    <mergeCell ref="AT345:AU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T347:U347"/>
    <mergeCell ref="V347:W347"/>
    <mergeCell ref="X347:Y347"/>
    <mergeCell ref="Z347:AA347"/>
    <mergeCell ref="AB347:AC347"/>
    <mergeCell ref="AD347:AE347"/>
    <mergeCell ref="AF347:AG347"/>
    <mergeCell ref="AV347:AW347"/>
    <mergeCell ref="AX347:AY347"/>
    <mergeCell ref="AZ347:BA347"/>
    <mergeCell ref="F347:G347"/>
    <mergeCell ref="H347:I347"/>
    <mergeCell ref="J347:K347"/>
    <mergeCell ref="L347:M347"/>
    <mergeCell ref="N347:O347"/>
    <mergeCell ref="P347:Q347"/>
    <mergeCell ref="R347:S347"/>
    <mergeCell ref="F348:G348"/>
    <mergeCell ref="H348:I348"/>
    <mergeCell ref="J348:K348"/>
    <mergeCell ref="L348:M348"/>
    <mergeCell ref="N348:O348"/>
    <mergeCell ref="P348:Q348"/>
    <mergeCell ref="R348:S348"/>
    <mergeCell ref="AL348:AM348"/>
    <mergeCell ref="AN348:AO348"/>
    <mergeCell ref="AP348:AQ348"/>
    <mergeCell ref="AR348:AS348"/>
    <mergeCell ref="AT348:AU348"/>
    <mergeCell ref="AV348:AW348"/>
    <mergeCell ref="AX348:AY348"/>
    <mergeCell ref="AZ348:BA348"/>
    <mergeCell ref="AH347:AI347"/>
    <mergeCell ref="AJ347:AK347"/>
    <mergeCell ref="AL347:AM347"/>
    <mergeCell ref="AN347:AO347"/>
    <mergeCell ref="AP347:AQ347"/>
    <mergeCell ref="AR347:AS347"/>
    <mergeCell ref="AT347:AU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T349:U349"/>
    <mergeCell ref="V349:W349"/>
    <mergeCell ref="X349:Y349"/>
    <mergeCell ref="Z349:AA349"/>
    <mergeCell ref="AB349:AC349"/>
    <mergeCell ref="AD349:AE349"/>
    <mergeCell ref="AF349:AG349"/>
    <mergeCell ref="AV349:AW349"/>
    <mergeCell ref="AX349:AY349"/>
    <mergeCell ref="AZ349:BA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X350:AY350"/>
    <mergeCell ref="AZ350:BA350"/>
    <mergeCell ref="AH349:AI349"/>
    <mergeCell ref="AJ349:AK349"/>
    <mergeCell ref="AL349:AM349"/>
    <mergeCell ref="AN349:AO349"/>
    <mergeCell ref="AP349:AQ349"/>
    <mergeCell ref="AR349:AS349"/>
    <mergeCell ref="AT349:AU349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T351:U351"/>
    <mergeCell ref="V351:W351"/>
    <mergeCell ref="X351:Y351"/>
    <mergeCell ref="Z351:AA351"/>
    <mergeCell ref="AB351:AC351"/>
    <mergeCell ref="AD351:AE351"/>
    <mergeCell ref="AF351:AG351"/>
    <mergeCell ref="AV351:AW351"/>
    <mergeCell ref="AX351:AY351"/>
    <mergeCell ref="AZ351:BA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L352:AM352"/>
    <mergeCell ref="AN352:AO352"/>
    <mergeCell ref="AP352:AQ352"/>
    <mergeCell ref="AR352:AS352"/>
    <mergeCell ref="AT352:AU352"/>
    <mergeCell ref="AV352:AW352"/>
    <mergeCell ref="AX352:AY352"/>
    <mergeCell ref="AZ352:BA352"/>
    <mergeCell ref="AH351:AI351"/>
    <mergeCell ref="AJ351:AK351"/>
    <mergeCell ref="AL351:AM351"/>
    <mergeCell ref="AN351:AO351"/>
    <mergeCell ref="AP351:AQ351"/>
    <mergeCell ref="AR351:AS351"/>
    <mergeCell ref="AT351:AU351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F1:Q1"/>
    <mergeCell ref="R1:S1"/>
    <mergeCell ref="T1:AE1"/>
    <mergeCell ref="AF1:AK1"/>
    <mergeCell ref="AL1:AM1"/>
    <mergeCell ref="AN1:BA1"/>
    <mergeCell ref="BB1:BF1"/>
    <mergeCell ref="R3:S3"/>
    <mergeCell ref="T3:U3"/>
    <mergeCell ref="V3:W3"/>
    <mergeCell ref="X3:Y3"/>
    <mergeCell ref="Z3:AA3"/>
    <mergeCell ref="AB3:AC3"/>
    <mergeCell ref="AD3:AE3"/>
    <mergeCell ref="AT3:AU3"/>
    <mergeCell ref="AV3:AW3"/>
    <mergeCell ref="AX3:AY3"/>
    <mergeCell ref="AZ3:BA3"/>
    <mergeCell ref="AZ4:BA4"/>
    <mergeCell ref="AF3:AG3"/>
    <mergeCell ref="AH3:AI3"/>
    <mergeCell ref="AJ3:AK3"/>
    <mergeCell ref="AL3:AM3"/>
    <mergeCell ref="AN3:AO3"/>
    <mergeCell ref="AP3:AQ3"/>
    <mergeCell ref="AR3:AS3"/>
    <mergeCell ref="A1:E1"/>
    <mergeCell ref="F3:G3"/>
    <mergeCell ref="H3:I3"/>
    <mergeCell ref="J3:K3"/>
    <mergeCell ref="L3:M3"/>
    <mergeCell ref="N3:O3"/>
    <mergeCell ref="P3:Q3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T5:U5"/>
    <mergeCell ref="V5:W5"/>
    <mergeCell ref="X5:Y5"/>
    <mergeCell ref="Z5:AA5"/>
    <mergeCell ref="AB5:AC5"/>
    <mergeCell ref="AD5:AE5"/>
    <mergeCell ref="AF5:AG5"/>
    <mergeCell ref="AV5:AW5"/>
    <mergeCell ref="AX5:AY5"/>
    <mergeCell ref="AZ5:BA5"/>
    <mergeCell ref="AH5:AI5"/>
    <mergeCell ref="AJ5:AK5"/>
    <mergeCell ref="AL5:AM5"/>
    <mergeCell ref="AN5:AO5"/>
    <mergeCell ref="AP5:AQ5"/>
    <mergeCell ref="AR5:AS5"/>
    <mergeCell ref="AT5:AU5"/>
    <mergeCell ref="F5:G5"/>
    <mergeCell ref="H5:I5"/>
    <mergeCell ref="J5:K5"/>
    <mergeCell ref="L5:M5"/>
    <mergeCell ref="N5:O5"/>
    <mergeCell ref="P5:Q5"/>
    <mergeCell ref="R5:S5"/>
    <mergeCell ref="AV6:AW6"/>
    <mergeCell ref="AX6:AY6"/>
    <mergeCell ref="AZ6:BA6"/>
    <mergeCell ref="F7:G7"/>
    <mergeCell ref="H7:I7"/>
    <mergeCell ref="J7:K7"/>
    <mergeCell ref="L7:M7"/>
    <mergeCell ref="N7:O7"/>
    <mergeCell ref="P7:Q7"/>
    <mergeCell ref="R7:S7"/>
    <mergeCell ref="AL7:AM7"/>
    <mergeCell ref="AN7:AO7"/>
    <mergeCell ref="AP7:AQ7"/>
    <mergeCell ref="AR7:AS7"/>
    <mergeCell ref="AT7:AU7"/>
    <mergeCell ref="AV7:AW7"/>
    <mergeCell ref="AX7:AY7"/>
    <mergeCell ref="AZ7:BA7"/>
    <mergeCell ref="AH6:AI6"/>
    <mergeCell ref="AJ6:AK6"/>
    <mergeCell ref="AL6:AM6"/>
    <mergeCell ref="AN6:AO6"/>
    <mergeCell ref="AP6:AQ6"/>
    <mergeCell ref="AR6:AS6"/>
    <mergeCell ref="AT6:AU6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T8:U8"/>
    <mergeCell ref="V8:W8"/>
    <mergeCell ref="X8:Y8"/>
    <mergeCell ref="Z8:AA8"/>
    <mergeCell ref="AB8:AC8"/>
    <mergeCell ref="AD8:AE8"/>
    <mergeCell ref="AF8:AG8"/>
    <mergeCell ref="AV8:AW8"/>
    <mergeCell ref="AX8:AY8"/>
    <mergeCell ref="AZ8:BA8"/>
    <mergeCell ref="F8:G8"/>
    <mergeCell ref="H8:I8"/>
    <mergeCell ref="J8:K8"/>
    <mergeCell ref="L8:M8"/>
    <mergeCell ref="N8:O8"/>
    <mergeCell ref="P8:Q8"/>
    <mergeCell ref="R8:S8"/>
    <mergeCell ref="F9:G9"/>
    <mergeCell ref="H9:I9"/>
    <mergeCell ref="J9:K9"/>
    <mergeCell ref="L9:M9"/>
    <mergeCell ref="N9:O9"/>
    <mergeCell ref="P9:Q9"/>
    <mergeCell ref="R9:S9"/>
    <mergeCell ref="AL9:AM9"/>
    <mergeCell ref="AN9:AO9"/>
    <mergeCell ref="AP9:AQ9"/>
    <mergeCell ref="AR9:AS9"/>
    <mergeCell ref="AT9:AU9"/>
    <mergeCell ref="AV9:AW9"/>
    <mergeCell ref="AX9:AY9"/>
    <mergeCell ref="AZ9:BA9"/>
    <mergeCell ref="AH8:AI8"/>
    <mergeCell ref="AJ8:AK8"/>
    <mergeCell ref="AL8:AM8"/>
    <mergeCell ref="AN8:AO8"/>
    <mergeCell ref="AP8:AQ8"/>
    <mergeCell ref="AR8:AS8"/>
    <mergeCell ref="AT8:AU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0:U10"/>
    <mergeCell ref="V10:W10"/>
    <mergeCell ref="X10:Y10"/>
    <mergeCell ref="Z10:AA10"/>
    <mergeCell ref="AB10:AC10"/>
    <mergeCell ref="AD10:AE10"/>
    <mergeCell ref="AF10:AG10"/>
    <mergeCell ref="AV10:AW10"/>
    <mergeCell ref="AX10:AY10"/>
    <mergeCell ref="AZ10:BA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H10:AI10"/>
    <mergeCell ref="AJ10:AK10"/>
    <mergeCell ref="AL10:AM10"/>
    <mergeCell ref="AN10:AO10"/>
    <mergeCell ref="AP10:AQ10"/>
    <mergeCell ref="AR10:AS10"/>
    <mergeCell ref="AT10:AU10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T21:U21"/>
    <mergeCell ref="V21:W21"/>
    <mergeCell ref="X21:Y21"/>
    <mergeCell ref="Z21:AA21"/>
    <mergeCell ref="AB21:AC21"/>
    <mergeCell ref="AD21:AE21"/>
    <mergeCell ref="AF21:AG21"/>
    <mergeCell ref="AV21:AW21"/>
    <mergeCell ref="AX21:AY21"/>
    <mergeCell ref="AZ21:BA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H21:AI21"/>
    <mergeCell ref="AJ21:AK21"/>
    <mergeCell ref="AL21:AM21"/>
    <mergeCell ref="AN21:AO21"/>
    <mergeCell ref="AP21:AQ21"/>
    <mergeCell ref="AR21:AS21"/>
    <mergeCell ref="AT21:AU21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T23:U23"/>
    <mergeCell ref="V23:W23"/>
    <mergeCell ref="X23:Y23"/>
    <mergeCell ref="Z23:AA23"/>
    <mergeCell ref="AB23:AC23"/>
    <mergeCell ref="AD23:AE23"/>
    <mergeCell ref="AF23:AG23"/>
    <mergeCell ref="AV23:AW23"/>
    <mergeCell ref="AX23:AY23"/>
    <mergeCell ref="AZ23:BA23"/>
    <mergeCell ref="F23:G23"/>
    <mergeCell ref="H23:I23"/>
    <mergeCell ref="J23:K23"/>
    <mergeCell ref="L23:M23"/>
    <mergeCell ref="N23:O23"/>
    <mergeCell ref="P23:Q23"/>
    <mergeCell ref="R23:S23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AH23:AI23"/>
    <mergeCell ref="AJ23:AK23"/>
    <mergeCell ref="AL23:AM23"/>
    <mergeCell ref="AN23:AO23"/>
    <mergeCell ref="AP23:AQ23"/>
    <mergeCell ref="AR23:AS23"/>
    <mergeCell ref="AT23:AU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T25:U25"/>
    <mergeCell ref="V25:W25"/>
    <mergeCell ref="X25:Y25"/>
    <mergeCell ref="Z25:AA25"/>
    <mergeCell ref="AB25:AC25"/>
    <mergeCell ref="AD25:AE25"/>
    <mergeCell ref="AF25:AG25"/>
    <mergeCell ref="AV25:AW25"/>
    <mergeCell ref="AX25:AY25"/>
    <mergeCell ref="AZ25:BA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AH25:AI25"/>
    <mergeCell ref="AJ25:AK25"/>
    <mergeCell ref="AL25:AM25"/>
    <mergeCell ref="AN25:AO25"/>
    <mergeCell ref="AP25:AQ25"/>
    <mergeCell ref="AR25:AS25"/>
    <mergeCell ref="AT25:AU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T27:U27"/>
    <mergeCell ref="V27:W27"/>
    <mergeCell ref="X27:Y27"/>
    <mergeCell ref="Z27:AA27"/>
    <mergeCell ref="AB27:AC27"/>
    <mergeCell ref="AD27:AE27"/>
    <mergeCell ref="AF27:AG27"/>
    <mergeCell ref="AV27:AW27"/>
    <mergeCell ref="AX27:AY27"/>
    <mergeCell ref="AZ27:BA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AH27:AI27"/>
    <mergeCell ref="AJ27:AK27"/>
    <mergeCell ref="AL27:AM27"/>
    <mergeCell ref="AN27:AO27"/>
    <mergeCell ref="AP27:AQ27"/>
    <mergeCell ref="AR27:AS27"/>
    <mergeCell ref="AT27:AU27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T29:U29"/>
    <mergeCell ref="V29:W29"/>
    <mergeCell ref="X29:Y29"/>
    <mergeCell ref="Z29:AA29"/>
    <mergeCell ref="AB29:AC29"/>
    <mergeCell ref="AD29:AE29"/>
    <mergeCell ref="AF29:AG29"/>
    <mergeCell ref="AV29:AW29"/>
    <mergeCell ref="AX29:AY29"/>
    <mergeCell ref="AZ29:BA29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AH29:AI29"/>
    <mergeCell ref="AJ29:AK29"/>
    <mergeCell ref="AL29:AM29"/>
    <mergeCell ref="AN29:AO29"/>
    <mergeCell ref="AP29:AQ29"/>
    <mergeCell ref="AR29:AS29"/>
    <mergeCell ref="AT29:AU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T31:U31"/>
    <mergeCell ref="V31:W31"/>
    <mergeCell ref="X31:Y31"/>
    <mergeCell ref="Z31:AA31"/>
    <mergeCell ref="AB31:AC31"/>
    <mergeCell ref="AD31:AE31"/>
    <mergeCell ref="AF31:AG31"/>
    <mergeCell ref="AV31:AW31"/>
    <mergeCell ref="AX31:AY31"/>
    <mergeCell ref="AZ31:BA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AH31:AI31"/>
    <mergeCell ref="AJ31:AK31"/>
    <mergeCell ref="AL31:AM31"/>
    <mergeCell ref="AN31:AO31"/>
    <mergeCell ref="AP31:AQ31"/>
    <mergeCell ref="AR31:AS31"/>
    <mergeCell ref="AT31:AU31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T33:U33"/>
    <mergeCell ref="V33:W33"/>
    <mergeCell ref="X33:Y33"/>
    <mergeCell ref="Z33:AA33"/>
    <mergeCell ref="AB33:AC33"/>
    <mergeCell ref="AD33:AE33"/>
    <mergeCell ref="AF33:AG33"/>
    <mergeCell ref="AV33:AW33"/>
    <mergeCell ref="AX33:AY33"/>
    <mergeCell ref="AZ33:BA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AH33:AI33"/>
    <mergeCell ref="AJ33:AK33"/>
    <mergeCell ref="AL33:AM33"/>
    <mergeCell ref="AN33:AO33"/>
    <mergeCell ref="AP33:AQ33"/>
    <mergeCell ref="AR33:AS33"/>
    <mergeCell ref="AT33:AU33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T35:U35"/>
    <mergeCell ref="V35:W35"/>
    <mergeCell ref="X35:Y35"/>
    <mergeCell ref="Z35:AA35"/>
    <mergeCell ref="AB35:AC35"/>
    <mergeCell ref="AD35:AE35"/>
    <mergeCell ref="AF35:AG35"/>
    <mergeCell ref="AV35:AW35"/>
    <mergeCell ref="AX35:AY35"/>
    <mergeCell ref="AZ35:BA35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AH35:AI35"/>
    <mergeCell ref="AJ35:AK35"/>
    <mergeCell ref="AL35:AM35"/>
    <mergeCell ref="AN35:AO35"/>
    <mergeCell ref="AP35:AQ35"/>
    <mergeCell ref="AR35:AS35"/>
    <mergeCell ref="AT35:AU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T37:U37"/>
    <mergeCell ref="V37:W37"/>
    <mergeCell ref="X37:Y37"/>
    <mergeCell ref="Z37:AA37"/>
    <mergeCell ref="AB37:AC37"/>
    <mergeCell ref="AD37:AE37"/>
    <mergeCell ref="AF37:AG37"/>
    <mergeCell ref="AV37:AW37"/>
    <mergeCell ref="AX37:AY37"/>
    <mergeCell ref="AZ37:BA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AH37:AI37"/>
    <mergeCell ref="AJ37:AK37"/>
    <mergeCell ref="AL37:AM37"/>
    <mergeCell ref="AN37:AO37"/>
    <mergeCell ref="AP37:AQ37"/>
    <mergeCell ref="AR37:AS37"/>
    <mergeCell ref="AT37:AU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T39:U39"/>
    <mergeCell ref="V39:W39"/>
    <mergeCell ref="X39:Y39"/>
    <mergeCell ref="Z39:AA39"/>
    <mergeCell ref="AB39:AC39"/>
    <mergeCell ref="AD39:AE39"/>
    <mergeCell ref="AF39:AG39"/>
    <mergeCell ref="AV39:AW39"/>
    <mergeCell ref="AX39:AY39"/>
    <mergeCell ref="AZ39:BA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AH39:AI39"/>
    <mergeCell ref="AJ39:AK39"/>
    <mergeCell ref="AL39:AM39"/>
    <mergeCell ref="AN39:AO39"/>
    <mergeCell ref="AP39:AQ39"/>
    <mergeCell ref="AR39:AS39"/>
    <mergeCell ref="AT39:AU39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T41:U41"/>
    <mergeCell ref="V41:W41"/>
    <mergeCell ref="X41:Y41"/>
    <mergeCell ref="Z41:AA41"/>
    <mergeCell ref="AB41:AC41"/>
    <mergeCell ref="AD41:AE41"/>
    <mergeCell ref="AF41:AG41"/>
    <mergeCell ref="AV41:AW41"/>
    <mergeCell ref="AX41:AY41"/>
    <mergeCell ref="AZ41:BA41"/>
    <mergeCell ref="F41:G41"/>
    <mergeCell ref="H41:I41"/>
    <mergeCell ref="J41:K41"/>
    <mergeCell ref="L41:M41"/>
    <mergeCell ref="N41:O41"/>
    <mergeCell ref="P41:Q41"/>
    <mergeCell ref="R41:S41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AH41:AI41"/>
    <mergeCell ref="AJ41:AK41"/>
    <mergeCell ref="AL41:AM41"/>
    <mergeCell ref="AN41:AO41"/>
    <mergeCell ref="AP41:AQ41"/>
    <mergeCell ref="AR41:AS41"/>
    <mergeCell ref="AT41:AU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T43:U43"/>
    <mergeCell ref="V43:W43"/>
    <mergeCell ref="X43:Y43"/>
    <mergeCell ref="Z43:AA43"/>
    <mergeCell ref="AB43:AC43"/>
    <mergeCell ref="AD43:AE43"/>
    <mergeCell ref="AF43:AG43"/>
    <mergeCell ref="AV43:AW43"/>
    <mergeCell ref="AX43:AY43"/>
    <mergeCell ref="AZ43:BA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AH43:AI43"/>
    <mergeCell ref="AJ43:AK43"/>
    <mergeCell ref="AL43:AM43"/>
    <mergeCell ref="AN43:AO43"/>
    <mergeCell ref="AP43:AQ43"/>
    <mergeCell ref="AR43:AS43"/>
    <mergeCell ref="AT43:AU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T45:U45"/>
    <mergeCell ref="V45:W45"/>
    <mergeCell ref="X45:Y45"/>
    <mergeCell ref="Z45:AA45"/>
    <mergeCell ref="AB45:AC45"/>
    <mergeCell ref="AD45:AE45"/>
    <mergeCell ref="AF45:AG45"/>
    <mergeCell ref="AV45:AW45"/>
    <mergeCell ref="AX45:AY45"/>
    <mergeCell ref="AZ45:BA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AH45:AI45"/>
    <mergeCell ref="AJ45:AK45"/>
    <mergeCell ref="AL45:AM45"/>
    <mergeCell ref="AN45:AO45"/>
    <mergeCell ref="AP45:AQ45"/>
    <mergeCell ref="AR45:AS45"/>
    <mergeCell ref="AT45:AU45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T47:U47"/>
    <mergeCell ref="V47:W47"/>
    <mergeCell ref="X47:Y47"/>
    <mergeCell ref="Z47:AA47"/>
    <mergeCell ref="AB47:AC47"/>
    <mergeCell ref="AD47:AE47"/>
    <mergeCell ref="AF47:AG47"/>
    <mergeCell ref="AV47:AW47"/>
    <mergeCell ref="AX47:AY47"/>
    <mergeCell ref="AZ47:BA47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AH47:AI47"/>
    <mergeCell ref="AJ47:AK47"/>
    <mergeCell ref="AL47:AM47"/>
    <mergeCell ref="AN47:AO47"/>
    <mergeCell ref="AP47:AQ47"/>
    <mergeCell ref="AR47:AS47"/>
    <mergeCell ref="AT47:AU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T49:U49"/>
    <mergeCell ref="V49:W49"/>
    <mergeCell ref="X49:Y49"/>
    <mergeCell ref="Z49:AA49"/>
    <mergeCell ref="AB49:AC49"/>
    <mergeCell ref="AD49:AE49"/>
    <mergeCell ref="AF49:AG49"/>
    <mergeCell ref="AV49:AW49"/>
    <mergeCell ref="AX49:AY49"/>
    <mergeCell ref="AZ49:BA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AH49:AI49"/>
    <mergeCell ref="AJ49:AK49"/>
    <mergeCell ref="AL49:AM49"/>
    <mergeCell ref="AN49:AO49"/>
    <mergeCell ref="AP49:AQ49"/>
    <mergeCell ref="AR49:AS49"/>
    <mergeCell ref="AT49:AU49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T51:U51"/>
    <mergeCell ref="V51:W51"/>
    <mergeCell ref="X51:Y51"/>
    <mergeCell ref="Z51:AA51"/>
    <mergeCell ref="AB51:AC51"/>
    <mergeCell ref="AD51:AE51"/>
    <mergeCell ref="AF51:AG51"/>
    <mergeCell ref="AV51:AW51"/>
    <mergeCell ref="AX51:AY51"/>
    <mergeCell ref="AZ51:BA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AH51:AI51"/>
    <mergeCell ref="AJ51:AK51"/>
    <mergeCell ref="AL51:AM51"/>
    <mergeCell ref="AN51:AO51"/>
    <mergeCell ref="AP51:AQ51"/>
    <mergeCell ref="AR51:AS51"/>
    <mergeCell ref="AT51:AU51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T53:U53"/>
    <mergeCell ref="V53:W53"/>
    <mergeCell ref="X53:Y53"/>
    <mergeCell ref="Z53:AA53"/>
    <mergeCell ref="AB53:AC53"/>
    <mergeCell ref="AD53:AE53"/>
    <mergeCell ref="AF53:AG53"/>
    <mergeCell ref="AV53:AW53"/>
    <mergeCell ref="AX53:AY53"/>
    <mergeCell ref="AZ53:BA53"/>
    <mergeCell ref="F53:G53"/>
    <mergeCell ref="H53:I53"/>
    <mergeCell ref="J53:K53"/>
    <mergeCell ref="L53:M53"/>
    <mergeCell ref="N53:O53"/>
    <mergeCell ref="P53:Q53"/>
    <mergeCell ref="R53:S53"/>
    <mergeCell ref="F54:G54"/>
    <mergeCell ref="H54:I54"/>
    <mergeCell ref="J54:K54"/>
    <mergeCell ref="L54:M54"/>
    <mergeCell ref="N54:O54"/>
    <mergeCell ref="P54:Q54"/>
    <mergeCell ref="R54:S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AH53:AI53"/>
    <mergeCell ref="AJ53:AK53"/>
    <mergeCell ref="AL53:AM53"/>
    <mergeCell ref="AN53:AO53"/>
    <mergeCell ref="AP53:AQ53"/>
    <mergeCell ref="AR53:AS53"/>
    <mergeCell ref="AT53:AU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T55:U55"/>
    <mergeCell ref="V55:W55"/>
    <mergeCell ref="X55:Y55"/>
    <mergeCell ref="Z55:AA55"/>
    <mergeCell ref="AB55:AC55"/>
    <mergeCell ref="AD55:AE55"/>
    <mergeCell ref="AF55:AG55"/>
    <mergeCell ref="AV55:AW55"/>
    <mergeCell ref="AX55:AY55"/>
    <mergeCell ref="AZ55:BA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AH55:AI55"/>
    <mergeCell ref="AJ55:AK55"/>
    <mergeCell ref="AL55:AM55"/>
    <mergeCell ref="AN55:AO55"/>
    <mergeCell ref="AP55:AQ55"/>
    <mergeCell ref="AR55:AS55"/>
    <mergeCell ref="AT55:AU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T57:U57"/>
    <mergeCell ref="V57:W57"/>
    <mergeCell ref="X57:Y57"/>
    <mergeCell ref="Z57:AA57"/>
    <mergeCell ref="AB57:AC57"/>
    <mergeCell ref="AD57:AE57"/>
    <mergeCell ref="AF57:AG57"/>
    <mergeCell ref="AV57:AW57"/>
    <mergeCell ref="AX57:AY57"/>
    <mergeCell ref="AZ57:BA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AH57:AI57"/>
    <mergeCell ref="AJ57:AK57"/>
    <mergeCell ref="AL57:AM57"/>
    <mergeCell ref="AN57:AO57"/>
    <mergeCell ref="AP57:AQ57"/>
    <mergeCell ref="AR57:AS57"/>
    <mergeCell ref="AT57:AU57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T59:U59"/>
    <mergeCell ref="V59:W59"/>
    <mergeCell ref="X59:Y59"/>
    <mergeCell ref="Z59:AA59"/>
    <mergeCell ref="AB59:AC59"/>
    <mergeCell ref="AD59:AE59"/>
    <mergeCell ref="AF59:AG59"/>
    <mergeCell ref="AV59:AW59"/>
    <mergeCell ref="AX59:AY59"/>
    <mergeCell ref="AZ59:BA59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L60:AM60"/>
    <mergeCell ref="AN60:AO60"/>
    <mergeCell ref="AP60:AQ60"/>
    <mergeCell ref="AR60:AS60"/>
    <mergeCell ref="AT60:AU60"/>
    <mergeCell ref="AV60:AW60"/>
    <mergeCell ref="AX60:AY60"/>
    <mergeCell ref="AZ60:BA60"/>
    <mergeCell ref="AH59:AI59"/>
    <mergeCell ref="AJ59:AK59"/>
    <mergeCell ref="AL59:AM59"/>
    <mergeCell ref="AN59:AO59"/>
    <mergeCell ref="AP59:AQ59"/>
    <mergeCell ref="AR59:AS59"/>
    <mergeCell ref="AT59:AU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T61:U61"/>
    <mergeCell ref="V61:W61"/>
    <mergeCell ref="X61:Y61"/>
    <mergeCell ref="Z61:AA61"/>
    <mergeCell ref="AB61:AC61"/>
    <mergeCell ref="AD61:AE61"/>
    <mergeCell ref="AF61:AG61"/>
    <mergeCell ref="AV61:AW61"/>
    <mergeCell ref="AX61:AY61"/>
    <mergeCell ref="AZ61:BA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AH61:AI61"/>
    <mergeCell ref="AJ61:AK61"/>
    <mergeCell ref="AL61:AM61"/>
    <mergeCell ref="AN61:AO61"/>
    <mergeCell ref="AP61:AQ61"/>
    <mergeCell ref="AR61:AS61"/>
    <mergeCell ref="AT61:AU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T63:U63"/>
    <mergeCell ref="V63:W63"/>
    <mergeCell ref="X63:Y63"/>
    <mergeCell ref="Z63:AA63"/>
    <mergeCell ref="AB63:AC63"/>
    <mergeCell ref="AD63:AE63"/>
    <mergeCell ref="AF63:AG63"/>
    <mergeCell ref="AV63:AW63"/>
    <mergeCell ref="AX63:AY63"/>
    <mergeCell ref="AZ63:BA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AH63:AI63"/>
    <mergeCell ref="AJ63:AK63"/>
    <mergeCell ref="AL63:AM63"/>
    <mergeCell ref="AN63:AO63"/>
    <mergeCell ref="AP63:AQ63"/>
    <mergeCell ref="AR63:AS63"/>
    <mergeCell ref="AT63:AU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5:U65"/>
    <mergeCell ref="V65:W65"/>
    <mergeCell ref="X65:Y65"/>
    <mergeCell ref="Z65:AA65"/>
    <mergeCell ref="AB65:AC65"/>
    <mergeCell ref="AD65:AE65"/>
    <mergeCell ref="AF65:AG65"/>
    <mergeCell ref="AV65:AW65"/>
    <mergeCell ref="AX65:AY65"/>
    <mergeCell ref="AZ65:BA65"/>
    <mergeCell ref="F65:G65"/>
    <mergeCell ref="H65:I65"/>
    <mergeCell ref="J65:K65"/>
    <mergeCell ref="L65:M65"/>
    <mergeCell ref="N65:O65"/>
    <mergeCell ref="P65:Q65"/>
    <mergeCell ref="R65:S65"/>
    <mergeCell ref="F66:G66"/>
    <mergeCell ref="H66:I66"/>
    <mergeCell ref="J66:K66"/>
    <mergeCell ref="L66:M66"/>
    <mergeCell ref="N66:O66"/>
    <mergeCell ref="P66:Q66"/>
    <mergeCell ref="R66:S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AH65:AI65"/>
    <mergeCell ref="AJ65:AK65"/>
    <mergeCell ref="AL65:AM65"/>
    <mergeCell ref="AN65:AO65"/>
    <mergeCell ref="AP65:AQ65"/>
    <mergeCell ref="AR65:AS65"/>
    <mergeCell ref="AT65:AU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T67:U67"/>
    <mergeCell ref="V67:W67"/>
    <mergeCell ref="X67:Y67"/>
    <mergeCell ref="Z67:AA67"/>
    <mergeCell ref="AB67:AC67"/>
    <mergeCell ref="AD67:AE67"/>
    <mergeCell ref="AF67:AG67"/>
    <mergeCell ref="AV67:AW67"/>
    <mergeCell ref="AX67:AY67"/>
    <mergeCell ref="AZ67:BA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AH67:AI67"/>
    <mergeCell ref="AJ67:AK67"/>
    <mergeCell ref="AL67:AM67"/>
    <mergeCell ref="AN67:AO67"/>
    <mergeCell ref="AP67:AQ67"/>
    <mergeCell ref="AR67:AS67"/>
    <mergeCell ref="AT67:AU67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T69:U69"/>
    <mergeCell ref="V69:W69"/>
    <mergeCell ref="X69:Y69"/>
    <mergeCell ref="Z69:AA69"/>
    <mergeCell ref="AB69:AC69"/>
    <mergeCell ref="AD69:AE69"/>
    <mergeCell ref="AF69:AG69"/>
    <mergeCell ref="AV69:AW69"/>
    <mergeCell ref="AX69:AY69"/>
    <mergeCell ref="AZ69:BA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L70:AM70"/>
    <mergeCell ref="AN70:AO70"/>
    <mergeCell ref="AP70:AQ70"/>
    <mergeCell ref="AR70:AS70"/>
    <mergeCell ref="AT70:AU70"/>
    <mergeCell ref="AV70:AW70"/>
    <mergeCell ref="AX70:AY70"/>
    <mergeCell ref="AZ70:BA70"/>
    <mergeCell ref="AH69:AI69"/>
    <mergeCell ref="AJ69:AK69"/>
    <mergeCell ref="AL69:AM69"/>
    <mergeCell ref="AN69:AO69"/>
    <mergeCell ref="AP69:AQ69"/>
    <mergeCell ref="AR69:AS69"/>
    <mergeCell ref="AT69:AU69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T71:U71"/>
    <mergeCell ref="V71:W71"/>
    <mergeCell ref="X71:Y71"/>
    <mergeCell ref="Z71:AA71"/>
    <mergeCell ref="AB71:AC71"/>
    <mergeCell ref="AD71:AE71"/>
    <mergeCell ref="AF71:AG71"/>
    <mergeCell ref="AV71:AW71"/>
    <mergeCell ref="AX71:AY71"/>
    <mergeCell ref="AZ71:BA71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AH71:AI71"/>
    <mergeCell ref="AJ71:AK71"/>
    <mergeCell ref="AL71:AM71"/>
    <mergeCell ref="AN71:AO71"/>
    <mergeCell ref="AP71:AQ71"/>
    <mergeCell ref="AR71:AS71"/>
    <mergeCell ref="AT71:AU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T73:U73"/>
    <mergeCell ref="V73:W73"/>
    <mergeCell ref="X73:Y73"/>
    <mergeCell ref="Z73:AA73"/>
    <mergeCell ref="AB73:AC73"/>
    <mergeCell ref="AD73:AE73"/>
    <mergeCell ref="AF73:AG73"/>
    <mergeCell ref="AV73:AW73"/>
    <mergeCell ref="AX73:AY73"/>
    <mergeCell ref="AZ73:BA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AH73:AI73"/>
    <mergeCell ref="AJ73:AK73"/>
    <mergeCell ref="AL73:AM73"/>
    <mergeCell ref="AN73:AO73"/>
    <mergeCell ref="AP73:AQ73"/>
    <mergeCell ref="AR73:AS73"/>
    <mergeCell ref="AT73:AU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T75:U75"/>
    <mergeCell ref="V75:W75"/>
    <mergeCell ref="X75:Y75"/>
    <mergeCell ref="Z75:AA75"/>
    <mergeCell ref="AB75:AC75"/>
    <mergeCell ref="AD75:AE75"/>
    <mergeCell ref="AF75:AG75"/>
    <mergeCell ref="AV75:AW75"/>
    <mergeCell ref="AX75:AY75"/>
    <mergeCell ref="AZ75:BA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L76:AM76"/>
    <mergeCell ref="AN76:AO76"/>
    <mergeCell ref="AP76:AQ76"/>
    <mergeCell ref="AR76:AS76"/>
    <mergeCell ref="AT76:AU76"/>
    <mergeCell ref="AV76:AW76"/>
    <mergeCell ref="AX76:AY76"/>
    <mergeCell ref="AZ76:BA76"/>
    <mergeCell ref="AH75:AI75"/>
    <mergeCell ref="AJ75:AK75"/>
    <mergeCell ref="AL75:AM75"/>
    <mergeCell ref="AN75:AO75"/>
    <mergeCell ref="AP75:AQ75"/>
    <mergeCell ref="AR75:AS75"/>
    <mergeCell ref="AT75:AU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T77:U77"/>
    <mergeCell ref="V77:W77"/>
    <mergeCell ref="X77:Y77"/>
    <mergeCell ref="Z77:AA77"/>
    <mergeCell ref="AB77:AC77"/>
    <mergeCell ref="AD77:AE77"/>
    <mergeCell ref="AF77:AG77"/>
    <mergeCell ref="AV77:AW77"/>
    <mergeCell ref="AX77:AY77"/>
    <mergeCell ref="AZ77:BA77"/>
    <mergeCell ref="F77:G77"/>
    <mergeCell ref="H77:I77"/>
    <mergeCell ref="J77:K77"/>
    <mergeCell ref="L77:M77"/>
    <mergeCell ref="N77:O77"/>
    <mergeCell ref="P77:Q77"/>
    <mergeCell ref="R77:S77"/>
    <mergeCell ref="F78:G78"/>
    <mergeCell ref="H78:I78"/>
    <mergeCell ref="J78:K78"/>
    <mergeCell ref="L78:M78"/>
    <mergeCell ref="N78:O78"/>
    <mergeCell ref="P78:Q78"/>
    <mergeCell ref="R78:S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AH77:AI77"/>
    <mergeCell ref="AJ77:AK77"/>
    <mergeCell ref="AL77:AM77"/>
    <mergeCell ref="AN77:AO77"/>
    <mergeCell ref="AP77:AQ77"/>
    <mergeCell ref="AR77:AS77"/>
    <mergeCell ref="AT77:AU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T79:U79"/>
    <mergeCell ref="V79:W79"/>
    <mergeCell ref="X79:Y79"/>
    <mergeCell ref="Z79:AA79"/>
    <mergeCell ref="AB79:AC79"/>
    <mergeCell ref="AD79:AE79"/>
    <mergeCell ref="AF79:AG79"/>
    <mergeCell ref="AV79:AW79"/>
    <mergeCell ref="AX79:AY79"/>
    <mergeCell ref="AZ79:BA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X80:AY80"/>
    <mergeCell ref="AZ80:BA80"/>
    <mergeCell ref="AH79:AI79"/>
    <mergeCell ref="AJ79:AK79"/>
    <mergeCell ref="AL79:AM79"/>
    <mergeCell ref="AN79:AO79"/>
    <mergeCell ref="AP79:AQ79"/>
    <mergeCell ref="AR79:AS79"/>
    <mergeCell ref="AT79:AU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T81:U81"/>
    <mergeCell ref="V81:W81"/>
    <mergeCell ref="X81:Y81"/>
    <mergeCell ref="Z81:AA81"/>
    <mergeCell ref="AB81:AC81"/>
    <mergeCell ref="AD81:AE81"/>
    <mergeCell ref="AF81:AG81"/>
    <mergeCell ref="AV81:AW81"/>
    <mergeCell ref="AX81:AY81"/>
    <mergeCell ref="AZ81:BA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L82:AM82"/>
    <mergeCell ref="AN82:AO82"/>
    <mergeCell ref="AP82:AQ82"/>
    <mergeCell ref="AR82:AS82"/>
    <mergeCell ref="AT82:AU82"/>
    <mergeCell ref="AV82:AW82"/>
    <mergeCell ref="AX82:AY82"/>
    <mergeCell ref="AZ82:BA82"/>
    <mergeCell ref="AH81:AI81"/>
    <mergeCell ref="AJ81:AK81"/>
    <mergeCell ref="AL81:AM81"/>
    <mergeCell ref="AN81:AO81"/>
    <mergeCell ref="AP81:AQ81"/>
    <mergeCell ref="AR81:AS81"/>
    <mergeCell ref="AT81:AU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T83:U83"/>
    <mergeCell ref="V83:W83"/>
    <mergeCell ref="X83:Y83"/>
    <mergeCell ref="Z83:AA83"/>
    <mergeCell ref="AB83:AC83"/>
    <mergeCell ref="AD83:AE83"/>
    <mergeCell ref="AF83:AG83"/>
    <mergeCell ref="AV83:AW83"/>
    <mergeCell ref="AX83:AY83"/>
    <mergeCell ref="AZ83:BA83"/>
    <mergeCell ref="F83:G83"/>
    <mergeCell ref="H83:I83"/>
    <mergeCell ref="J83:K83"/>
    <mergeCell ref="L83:M83"/>
    <mergeCell ref="N83:O83"/>
    <mergeCell ref="P83:Q83"/>
    <mergeCell ref="R83:S83"/>
    <mergeCell ref="F84:G84"/>
    <mergeCell ref="H84:I84"/>
    <mergeCell ref="J84:K84"/>
    <mergeCell ref="L84:M84"/>
    <mergeCell ref="N84:O84"/>
    <mergeCell ref="P84:Q84"/>
    <mergeCell ref="R84:S84"/>
    <mergeCell ref="AL84:AM84"/>
    <mergeCell ref="AN84:AO84"/>
    <mergeCell ref="AP84:AQ84"/>
    <mergeCell ref="AR84:AS84"/>
    <mergeCell ref="AT84:AU84"/>
    <mergeCell ref="AV84:AW84"/>
    <mergeCell ref="AX84:AY84"/>
    <mergeCell ref="AZ84:BA84"/>
    <mergeCell ref="AH83:AI83"/>
    <mergeCell ref="AJ83:AK83"/>
    <mergeCell ref="AL83:AM83"/>
    <mergeCell ref="AN83:AO83"/>
    <mergeCell ref="AP83:AQ83"/>
    <mergeCell ref="AR83:AS83"/>
    <mergeCell ref="AT83:AU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T85:U85"/>
    <mergeCell ref="V85:W85"/>
    <mergeCell ref="X85:Y85"/>
    <mergeCell ref="Z85:AA85"/>
    <mergeCell ref="AB85:AC85"/>
    <mergeCell ref="AD85:AE85"/>
    <mergeCell ref="AF85:AG85"/>
    <mergeCell ref="AV85:AW85"/>
    <mergeCell ref="AX85:AY85"/>
    <mergeCell ref="AZ85:BA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L86:AM86"/>
    <mergeCell ref="AN86:AO86"/>
    <mergeCell ref="AP86:AQ86"/>
    <mergeCell ref="AR86:AS86"/>
    <mergeCell ref="AT86:AU86"/>
    <mergeCell ref="AV86:AW86"/>
    <mergeCell ref="AX86:AY86"/>
    <mergeCell ref="AZ86:BA86"/>
    <mergeCell ref="AH85:AI85"/>
    <mergeCell ref="AJ85:AK85"/>
    <mergeCell ref="AL85:AM85"/>
    <mergeCell ref="AN85:AO85"/>
    <mergeCell ref="AP85:AQ85"/>
    <mergeCell ref="AR85:AS85"/>
    <mergeCell ref="AT85:AU85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T87:U87"/>
    <mergeCell ref="V87:W87"/>
    <mergeCell ref="X87:Y87"/>
    <mergeCell ref="Z87:AA87"/>
    <mergeCell ref="AB87:AC87"/>
    <mergeCell ref="AD87:AE87"/>
    <mergeCell ref="AF87:AG87"/>
    <mergeCell ref="AV87:AW87"/>
    <mergeCell ref="AX87:AY87"/>
    <mergeCell ref="AZ87:BA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L88:AM88"/>
    <mergeCell ref="AN88:AO88"/>
    <mergeCell ref="AP88:AQ88"/>
    <mergeCell ref="AR88:AS88"/>
    <mergeCell ref="AT88:AU88"/>
    <mergeCell ref="AV88:AW88"/>
    <mergeCell ref="AX88:AY88"/>
    <mergeCell ref="AZ88:BA88"/>
    <mergeCell ref="AH87:AI87"/>
    <mergeCell ref="AJ87:AK87"/>
    <mergeCell ref="AL87:AM87"/>
    <mergeCell ref="AN87:AO87"/>
    <mergeCell ref="AP87:AQ87"/>
    <mergeCell ref="AR87:AS87"/>
    <mergeCell ref="AT87:AU87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T89:U89"/>
    <mergeCell ref="V89:W89"/>
    <mergeCell ref="X89:Y89"/>
    <mergeCell ref="Z89:AA89"/>
    <mergeCell ref="AB89:AC89"/>
    <mergeCell ref="AD89:AE89"/>
    <mergeCell ref="AF89:AG89"/>
    <mergeCell ref="AV89:AW89"/>
    <mergeCell ref="AX89:AY89"/>
    <mergeCell ref="AZ89:BA89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L90:AM90"/>
    <mergeCell ref="AN90:AO90"/>
    <mergeCell ref="AP90:AQ90"/>
    <mergeCell ref="AR90:AS90"/>
    <mergeCell ref="AT90:AU90"/>
    <mergeCell ref="AV90:AW90"/>
    <mergeCell ref="AX90:AY90"/>
    <mergeCell ref="AZ90:BA90"/>
    <mergeCell ref="AH89:AI89"/>
    <mergeCell ref="AJ89:AK89"/>
    <mergeCell ref="AL89:AM89"/>
    <mergeCell ref="AN89:AO89"/>
    <mergeCell ref="AP89:AQ89"/>
    <mergeCell ref="AR89:AS89"/>
    <mergeCell ref="AT89:AU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T91:U91"/>
    <mergeCell ref="V91:W91"/>
    <mergeCell ref="X91:Y91"/>
    <mergeCell ref="Z91:AA91"/>
    <mergeCell ref="AB91:AC91"/>
    <mergeCell ref="AD91:AE91"/>
    <mergeCell ref="AF91:AG91"/>
    <mergeCell ref="AV91:AW91"/>
    <mergeCell ref="AX91:AY91"/>
    <mergeCell ref="AZ91:BA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L92:AM92"/>
    <mergeCell ref="AN92:AO92"/>
    <mergeCell ref="AP92:AQ92"/>
    <mergeCell ref="AR92:AS92"/>
    <mergeCell ref="AT92:AU92"/>
    <mergeCell ref="AV92:AW92"/>
    <mergeCell ref="AX92:AY92"/>
    <mergeCell ref="AZ92:BA92"/>
    <mergeCell ref="AH91:AI91"/>
    <mergeCell ref="AJ91:AK91"/>
    <mergeCell ref="AL91:AM91"/>
    <mergeCell ref="AN91:AO91"/>
    <mergeCell ref="AP91:AQ91"/>
    <mergeCell ref="AR91:AS91"/>
    <mergeCell ref="AT91:AU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T93:U93"/>
    <mergeCell ref="V93:W93"/>
    <mergeCell ref="X93:Y93"/>
    <mergeCell ref="Z93:AA93"/>
    <mergeCell ref="AB93:AC93"/>
    <mergeCell ref="AD93:AE93"/>
    <mergeCell ref="AF93:AG93"/>
    <mergeCell ref="AV93:AW93"/>
    <mergeCell ref="AX93:AY93"/>
    <mergeCell ref="AZ93:BA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L94:AM94"/>
    <mergeCell ref="AN94:AO94"/>
    <mergeCell ref="AP94:AQ94"/>
    <mergeCell ref="AR94:AS94"/>
    <mergeCell ref="AT94:AU94"/>
    <mergeCell ref="AV94:AW94"/>
    <mergeCell ref="AX94:AY94"/>
    <mergeCell ref="AZ94:BA94"/>
    <mergeCell ref="AH93:AI93"/>
    <mergeCell ref="AJ93:AK93"/>
    <mergeCell ref="AL93:AM93"/>
    <mergeCell ref="AN93:AO93"/>
    <mergeCell ref="AP93:AQ93"/>
    <mergeCell ref="AR93:AS93"/>
    <mergeCell ref="AT93:AU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T95:U95"/>
    <mergeCell ref="V95:W95"/>
    <mergeCell ref="X95:Y95"/>
    <mergeCell ref="Z95:AA95"/>
    <mergeCell ref="AB95:AC95"/>
    <mergeCell ref="AD95:AE95"/>
    <mergeCell ref="AF95:AG95"/>
    <mergeCell ref="AV95:AW95"/>
    <mergeCell ref="AX95:AY95"/>
    <mergeCell ref="AZ95:BA95"/>
    <mergeCell ref="F95:G95"/>
    <mergeCell ref="H95:I95"/>
    <mergeCell ref="J95:K95"/>
    <mergeCell ref="L95:M95"/>
    <mergeCell ref="N95:O95"/>
    <mergeCell ref="P95:Q95"/>
    <mergeCell ref="R95:S95"/>
    <mergeCell ref="F96:G96"/>
    <mergeCell ref="H96:I96"/>
    <mergeCell ref="J96:K96"/>
    <mergeCell ref="L96:M96"/>
    <mergeCell ref="N96:O96"/>
    <mergeCell ref="P96:Q96"/>
    <mergeCell ref="R96:S96"/>
    <mergeCell ref="AL96:AM96"/>
    <mergeCell ref="AN96:AO96"/>
    <mergeCell ref="AP96:AQ96"/>
    <mergeCell ref="AR96:AS96"/>
    <mergeCell ref="AT96:AU96"/>
    <mergeCell ref="AV96:AW96"/>
    <mergeCell ref="AX96:AY96"/>
    <mergeCell ref="AZ96:BA96"/>
    <mergeCell ref="AH95:AI95"/>
    <mergeCell ref="AJ95:AK95"/>
    <mergeCell ref="AL95:AM95"/>
    <mergeCell ref="AN95:AO95"/>
    <mergeCell ref="AP95:AQ95"/>
    <mergeCell ref="AR95:AS95"/>
    <mergeCell ref="AT95:AU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T97:U97"/>
    <mergeCell ref="V97:W97"/>
    <mergeCell ref="X97:Y97"/>
    <mergeCell ref="Z97:AA97"/>
    <mergeCell ref="AB97:AC97"/>
    <mergeCell ref="AD97:AE97"/>
    <mergeCell ref="AF97:AG97"/>
    <mergeCell ref="AV97:AW97"/>
    <mergeCell ref="AX97:AY97"/>
    <mergeCell ref="AZ97:BA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X98:AY98"/>
    <mergeCell ref="AZ98:BA98"/>
    <mergeCell ref="AH97:AI97"/>
    <mergeCell ref="AJ97:AK97"/>
    <mergeCell ref="AL97:AM97"/>
    <mergeCell ref="AN97:AO97"/>
    <mergeCell ref="AP97:AQ97"/>
    <mergeCell ref="AR97:AS97"/>
    <mergeCell ref="AT97:AU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T99:U99"/>
    <mergeCell ref="V99:W99"/>
    <mergeCell ref="X99:Y99"/>
    <mergeCell ref="Z99:AA99"/>
    <mergeCell ref="AB99:AC99"/>
    <mergeCell ref="AD99:AE99"/>
    <mergeCell ref="AF99:AG99"/>
    <mergeCell ref="AV99:AW99"/>
    <mergeCell ref="AX99:AY99"/>
    <mergeCell ref="AZ99:BA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L100:AM100"/>
    <mergeCell ref="AN100:AO100"/>
    <mergeCell ref="AP100:AQ100"/>
    <mergeCell ref="AR100:AS100"/>
    <mergeCell ref="AT100:AU100"/>
    <mergeCell ref="AV100:AW100"/>
    <mergeCell ref="AX100:AY100"/>
    <mergeCell ref="AZ100:BA100"/>
    <mergeCell ref="AH99:AI99"/>
    <mergeCell ref="AJ99:AK99"/>
    <mergeCell ref="AL99:AM99"/>
    <mergeCell ref="AN99:AO99"/>
    <mergeCell ref="AP99:AQ99"/>
    <mergeCell ref="AR99:AS99"/>
    <mergeCell ref="AT99:AU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T101:U101"/>
    <mergeCell ref="V101:W101"/>
    <mergeCell ref="X101:Y101"/>
    <mergeCell ref="Z101:AA101"/>
    <mergeCell ref="AB101:AC101"/>
    <mergeCell ref="AD101:AE101"/>
    <mergeCell ref="AF101:AG101"/>
    <mergeCell ref="AV101:AW101"/>
    <mergeCell ref="AX101:AY101"/>
    <mergeCell ref="AZ101:BA101"/>
    <mergeCell ref="F101:G101"/>
    <mergeCell ref="H101:I101"/>
    <mergeCell ref="J101:K101"/>
    <mergeCell ref="L101:M101"/>
    <mergeCell ref="N101:O101"/>
    <mergeCell ref="P101:Q101"/>
    <mergeCell ref="R101:S101"/>
    <mergeCell ref="F102:G102"/>
    <mergeCell ref="H102:I102"/>
    <mergeCell ref="J102:K102"/>
    <mergeCell ref="L102:M102"/>
    <mergeCell ref="N102:O102"/>
    <mergeCell ref="P102:Q102"/>
    <mergeCell ref="R102:S102"/>
    <mergeCell ref="AL102:AM102"/>
    <mergeCell ref="AN102:AO102"/>
    <mergeCell ref="AP102:AQ102"/>
    <mergeCell ref="AR102:AS102"/>
    <mergeCell ref="AT102:AU102"/>
    <mergeCell ref="AV102:AW102"/>
    <mergeCell ref="AX102:AY102"/>
    <mergeCell ref="AZ102:BA102"/>
    <mergeCell ref="AH101:AI101"/>
    <mergeCell ref="AJ101:AK101"/>
    <mergeCell ref="AL101:AM101"/>
    <mergeCell ref="AN101:AO101"/>
    <mergeCell ref="AP101:AQ101"/>
    <mergeCell ref="AR101:AS101"/>
    <mergeCell ref="AT101:AU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T103:U103"/>
    <mergeCell ref="V103:W103"/>
    <mergeCell ref="X103:Y103"/>
    <mergeCell ref="Z103:AA103"/>
    <mergeCell ref="AB103:AC103"/>
    <mergeCell ref="AD103:AE103"/>
    <mergeCell ref="AF103:AG103"/>
    <mergeCell ref="AV103:AW103"/>
    <mergeCell ref="AX103:AY103"/>
    <mergeCell ref="AZ103:BA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L104:AM104"/>
    <mergeCell ref="AN104:AO104"/>
    <mergeCell ref="AP104:AQ104"/>
    <mergeCell ref="AR104:AS104"/>
    <mergeCell ref="AT104:AU104"/>
    <mergeCell ref="AV104:AW104"/>
    <mergeCell ref="AX104:AY104"/>
    <mergeCell ref="AZ104:BA104"/>
    <mergeCell ref="AH103:AI103"/>
    <mergeCell ref="AJ103:AK103"/>
    <mergeCell ref="AL103:AM103"/>
    <mergeCell ref="AN103:AO103"/>
    <mergeCell ref="AP103:AQ103"/>
    <mergeCell ref="AR103:AS103"/>
    <mergeCell ref="AT103:AU103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T105:U105"/>
    <mergeCell ref="V105:W105"/>
    <mergeCell ref="X105:Y105"/>
    <mergeCell ref="Z105:AA105"/>
    <mergeCell ref="AB105:AC105"/>
    <mergeCell ref="AD105:AE105"/>
    <mergeCell ref="AF105:AG105"/>
    <mergeCell ref="AV105:AW105"/>
    <mergeCell ref="AX105:AY105"/>
    <mergeCell ref="AZ105:BA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L106:AM106"/>
    <mergeCell ref="AN106:AO106"/>
    <mergeCell ref="AP106:AQ106"/>
    <mergeCell ref="AR106:AS106"/>
    <mergeCell ref="AT106:AU106"/>
    <mergeCell ref="AV106:AW106"/>
    <mergeCell ref="AX106:AY106"/>
    <mergeCell ref="AZ106:BA106"/>
    <mergeCell ref="AH105:AI105"/>
    <mergeCell ref="AJ105:AK105"/>
    <mergeCell ref="AL105:AM105"/>
    <mergeCell ref="AN105:AO105"/>
    <mergeCell ref="AP105:AQ105"/>
    <mergeCell ref="AR105:AS105"/>
    <mergeCell ref="AT105:AU105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T107:U107"/>
    <mergeCell ref="V107:W107"/>
    <mergeCell ref="X107:Y107"/>
    <mergeCell ref="Z107:AA107"/>
    <mergeCell ref="AB107:AC107"/>
    <mergeCell ref="AD107:AE107"/>
    <mergeCell ref="AF107:AG107"/>
    <mergeCell ref="AV107:AW107"/>
    <mergeCell ref="AX107:AY107"/>
    <mergeCell ref="AZ107:BA107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L108:AM108"/>
    <mergeCell ref="AN108:AO108"/>
    <mergeCell ref="AP108:AQ108"/>
    <mergeCell ref="AR108:AS108"/>
    <mergeCell ref="AT108:AU108"/>
    <mergeCell ref="AV108:AW108"/>
    <mergeCell ref="AX108:AY108"/>
    <mergeCell ref="AZ108:BA108"/>
    <mergeCell ref="AH107:AI107"/>
    <mergeCell ref="AJ107:AK107"/>
    <mergeCell ref="AL107:AM107"/>
    <mergeCell ref="AN107:AO107"/>
    <mergeCell ref="AP107:AQ107"/>
    <mergeCell ref="AR107:AS107"/>
    <mergeCell ref="AT107:AU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T109:U109"/>
    <mergeCell ref="V109:W109"/>
    <mergeCell ref="X109:Y109"/>
    <mergeCell ref="Z109:AA109"/>
    <mergeCell ref="AB109:AC109"/>
    <mergeCell ref="AD109:AE109"/>
    <mergeCell ref="AF109:AG109"/>
    <mergeCell ref="AV109:AW109"/>
    <mergeCell ref="AX109:AY109"/>
    <mergeCell ref="AZ109:BA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L110:AM110"/>
    <mergeCell ref="AN110:AO110"/>
    <mergeCell ref="AP110:AQ110"/>
    <mergeCell ref="AR110:AS110"/>
    <mergeCell ref="AT110:AU110"/>
    <mergeCell ref="AV110:AW110"/>
    <mergeCell ref="AX110:AY110"/>
    <mergeCell ref="AZ110:BA110"/>
    <mergeCell ref="AH109:AI109"/>
    <mergeCell ref="AJ109:AK109"/>
    <mergeCell ref="AL109:AM109"/>
    <mergeCell ref="AN109:AO109"/>
    <mergeCell ref="AP109:AQ109"/>
    <mergeCell ref="AR109:AS109"/>
    <mergeCell ref="AT109:AU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T111:U111"/>
    <mergeCell ref="V111:W111"/>
    <mergeCell ref="X111:Y111"/>
    <mergeCell ref="Z111:AA111"/>
    <mergeCell ref="AB111:AC111"/>
    <mergeCell ref="AD111:AE111"/>
    <mergeCell ref="AF111:AG111"/>
    <mergeCell ref="AV111:AW111"/>
    <mergeCell ref="AX111:AY111"/>
    <mergeCell ref="AZ111:BA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L112:AM112"/>
    <mergeCell ref="AN112:AO112"/>
    <mergeCell ref="AP112:AQ112"/>
    <mergeCell ref="AR112:AS112"/>
    <mergeCell ref="AT112:AU112"/>
    <mergeCell ref="AV112:AW112"/>
    <mergeCell ref="AX112:AY112"/>
    <mergeCell ref="AZ112:BA112"/>
    <mergeCell ref="AH111:AI111"/>
    <mergeCell ref="AJ111:AK111"/>
    <mergeCell ref="AL111:AM111"/>
    <mergeCell ref="AN111:AO111"/>
    <mergeCell ref="AP111:AQ111"/>
    <mergeCell ref="AR111:AS111"/>
    <mergeCell ref="AT111:AU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T113:U113"/>
    <mergeCell ref="V113:W113"/>
    <mergeCell ref="X113:Y113"/>
    <mergeCell ref="Z113:AA113"/>
    <mergeCell ref="AB113:AC113"/>
    <mergeCell ref="AD113:AE113"/>
    <mergeCell ref="AF113:AG113"/>
    <mergeCell ref="AV113:AW113"/>
    <mergeCell ref="AX113:AY113"/>
    <mergeCell ref="AZ113:BA113"/>
    <mergeCell ref="F113:G113"/>
    <mergeCell ref="H113:I113"/>
    <mergeCell ref="J113:K113"/>
    <mergeCell ref="L113:M113"/>
    <mergeCell ref="N113:O113"/>
    <mergeCell ref="P113:Q113"/>
    <mergeCell ref="R113:S113"/>
    <mergeCell ref="F114:G114"/>
    <mergeCell ref="H114:I114"/>
    <mergeCell ref="J114:K114"/>
    <mergeCell ref="L114:M114"/>
    <mergeCell ref="N114:O114"/>
    <mergeCell ref="P114:Q114"/>
    <mergeCell ref="R114:S114"/>
    <mergeCell ref="AL114:AM114"/>
    <mergeCell ref="AN114:AO114"/>
    <mergeCell ref="AP114:AQ114"/>
    <mergeCell ref="AR114:AS114"/>
    <mergeCell ref="AT114:AU114"/>
    <mergeCell ref="AV114:AW114"/>
    <mergeCell ref="AX114:AY114"/>
    <mergeCell ref="AZ114:BA114"/>
    <mergeCell ref="AH113:AI113"/>
    <mergeCell ref="AJ113:AK113"/>
    <mergeCell ref="AL113:AM113"/>
    <mergeCell ref="AN113:AO113"/>
    <mergeCell ref="AP113:AQ113"/>
    <mergeCell ref="AR113:AS113"/>
    <mergeCell ref="AT113:AU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V115:W115"/>
    <mergeCell ref="X115:Y115"/>
    <mergeCell ref="Z115:AA115"/>
    <mergeCell ref="AB115:AC115"/>
    <mergeCell ref="AD115:AE115"/>
    <mergeCell ref="AF115:AG115"/>
    <mergeCell ref="AH115:AI115"/>
    <mergeCell ref="AX115:AY115"/>
    <mergeCell ref="AZ115:BA115"/>
    <mergeCell ref="H115:I115"/>
    <mergeCell ref="J115:K115"/>
    <mergeCell ref="L115:M115"/>
    <mergeCell ref="N115:O115"/>
    <mergeCell ref="P115:Q115"/>
    <mergeCell ref="R115:S115"/>
    <mergeCell ref="T115:U115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X116:AY116"/>
    <mergeCell ref="AZ116:BA116"/>
    <mergeCell ref="AJ115:AK115"/>
    <mergeCell ref="AL115:AM115"/>
    <mergeCell ref="AN115:AO115"/>
    <mergeCell ref="AP115:AQ115"/>
    <mergeCell ref="AR115:AS115"/>
    <mergeCell ref="AT115:AU115"/>
    <mergeCell ref="AV115:AW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T117:U117"/>
    <mergeCell ref="V117:W117"/>
    <mergeCell ref="X117:Y117"/>
    <mergeCell ref="Z117:AA117"/>
    <mergeCell ref="AB117:AC117"/>
    <mergeCell ref="AD117:AE117"/>
    <mergeCell ref="AF117:AG117"/>
    <mergeCell ref="AV117:AW117"/>
    <mergeCell ref="AX117:AY117"/>
    <mergeCell ref="AZ117:BA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L118:AM118"/>
    <mergeCell ref="AN118:AO118"/>
    <mergeCell ref="AP118:AQ118"/>
    <mergeCell ref="AR118:AS118"/>
    <mergeCell ref="AT118:AU118"/>
    <mergeCell ref="AV118:AW118"/>
    <mergeCell ref="AX118:AY118"/>
    <mergeCell ref="AZ118:BA118"/>
    <mergeCell ref="AH117:AI117"/>
    <mergeCell ref="AJ117:AK117"/>
    <mergeCell ref="AL117:AM117"/>
    <mergeCell ref="AN117:AO117"/>
    <mergeCell ref="AP117:AQ117"/>
    <mergeCell ref="AR117:AS117"/>
    <mergeCell ref="AT117:AU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T119:U119"/>
    <mergeCell ref="V119:W119"/>
    <mergeCell ref="X119:Y119"/>
    <mergeCell ref="Z119:AA119"/>
    <mergeCell ref="AB119:AC119"/>
    <mergeCell ref="AD119:AE119"/>
    <mergeCell ref="AF119:AG119"/>
    <mergeCell ref="AV119:AW119"/>
    <mergeCell ref="AX119:AY119"/>
    <mergeCell ref="AZ119:BA119"/>
    <mergeCell ref="F119:G119"/>
    <mergeCell ref="H119:I119"/>
    <mergeCell ref="J119:K119"/>
    <mergeCell ref="L119:M119"/>
    <mergeCell ref="N119:O119"/>
    <mergeCell ref="P119:Q119"/>
    <mergeCell ref="R119:S119"/>
    <mergeCell ref="F120:G120"/>
    <mergeCell ref="H120:I120"/>
    <mergeCell ref="J120:K120"/>
    <mergeCell ref="L120:M120"/>
    <mergeCell ref="N120:O120"/>
    <mergeCell ref="P120:Q120"/>
    <mergeCell ref="R120:S120"/>
    <mergeCell ref="AL120:AM120"/>
    <mergeCell ref="AN120:AO120"/>
    <mergeCell ref="AP120:AQ120"/>
    <mergeCell ref="AR120:AS120"/>
    <mergeCell ref="AT120:AU120"/>
    <mergeCell ref="AV120:AW120"/>
    <mergeCell ref="AX120:AY120"/>
    <mergeCell ref="AZ120:BA120"/>
    <mergeCell ref="AH119:AI119"/>
    <mergeCell ref="AJ119:AK119"/>
    <mergeCell ref="AL119:AM119"/>
    <mergeCell ref="AN119:AO119"/>
    <mergeCell ref="AP119:AQ119"/>
    <mergeCell ref="AR119:AS119"/>
    <mergeCell ref="AT119:AU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T121:U121"/>
    <mergeCell ref="V121:W121"/>
    <mergeCell ref="X121:Y121"/>
    <mergeCell ref="Z121:AA121"/>
    <mergeCell ref="AB121:AC121"/>
    <mergeCell ref="AD121:AE121"/>
    <mergeCell ref="AF121:AG121"/>
    <mergeCell ref="AV121:AW121"/>
    <mergeCell ref="AX121:AY121"/>
    <mergeCell ref="AZ121:BA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L122:AM122"/>
    <mergeCell ref="AN122:AO122"/>
    <mergeCell ref="AP122:AQ122"/>
    <mergeCell ref="AR122:AS122"/>
    <mergeCell ref="AT122:AU122"/>
    <mergeCell ref="AV122:AW122"/>
    <mergeCell ref="AX122:AY122"/>
    <mergeCell ref="AZ122:BA122"/>
    <mergeCell ref="AH121:AI121"/>
    <mergeCell ref="AJ121:AK121"/>
    <mergeCell ref="AL121:AM121"/>
    <mergeCell ref="AN121:AO121"/>
    <mergeCell ref="AP121:AQ121"/>
    <mergeCell ref="AR121:AS121"/>
    <mergeCell ref="AT121:AU121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T123:U123"/>
    <mergeCell ref="V123:W123"/>
    <mergeCell ref="X123:Y123"/>
    <mergeCell ref="Z123:AA123"/>
    <mergeCell ref="AB123:AC123"/>
    <mergeCell ref="AD123:AE123"/>
    <mergeCell ref="AF123:AG123"/>
    <mergeCell ref="AV123:AW123"/>
    <mergeCell ref="AX123:AY123"/>
    <mergeCell ref="AZ123:BA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L124:AM124"/>
    <mergeCell ref="AN124:AO124"/>
    <mergeCell ref="AP124:AQ124"/>
    <mergeCell ref="AR124:AS124"/>
    <mergeCell ref="AT124:AU124"/>
    <mergeCell ref="AV124:AW124"/>
    <mergeCell ref="AX124:AY124"/>
    <mergeCell ref="AZ124:BA124"/>
    <mergeCell ref="AH123:AI123"/>
    <mergeCell ref="AJ123:AK123"/>
    <mergeCell ref="AL123:AM123"/>
    <mergeCell ref="AN123:AO123"/>
    <mergeCell ref="AP123:AQ123"/>
    <mergeCell ref="AR123:AS123"/>
    <mergeCell ref="AT123:AU123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T125:U125"/>
    <mergeCell ref="V125:W125"/>
    <mergeCell ref="X125:Y125"/>
    <mergeCell ref="Z125:AA125"/>
    <mergeCell ref="AB125:AC125"/>
    <mergeCell ref="AD125:AE125"/>
    <mergeCell ref="AF125:AG125"/>
    <mergeCell ref="AV125:AW125"/>
    <mergeCell ref="AX125:AY125"/>
    <mergeCell ref="AZ125:BA125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L126:AM126"/>
    <mergeCell ref="AN126:AO126"/>
    <mergeCell ref="AP126:AQ126"/>
    <mergeCell ref="AR126:AS126"/>
    <mergeCell ref="AT126:AU126"/>
    <mergeCell ref="AV126:AW126"/>
    <mergeCell ref="AX126:AY126"/>
    <mergeCell ref="AZ126:BA126"/>
    <mergeCell ref="AH125:AI125"/>
    <mergeCell ref="AJ125:AK125"/>
    <mergeCell ref="AL125:AM125"/>
    <mergeCell ref="AN125:AO125"/>
    <mergeCell ref="AP125:AQ125"/>
    <mergeCell ref="AR125:AS125"/>
    <mergeCell ref="AT125:AU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T127:U127"/>
    <mergeCell ref="V127:W127"/>
    <mergeCell ref="X127:Y127"/>
    <mergeCell ref="Z127:AA127"/>
    <mergeCell ref="AB127:AC127"/>
    <mergeCell ref="AD127:AE127"/>
    <mergeCell ref="AF127:AG127"/>
    <mergeCell ref="AV127:AW127"/>
    <mergeCell ref="AX127:AY127"/>
    <mergeCell ref="AZ127:BA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L128:AM128"/>
    <mergeCell ref="AN128:AO128"/>
    <mergeCell ref="AP128:AQ128"/>
    <mergeCell ref="AR128:AS128"/>
    <mergeCell ref="AT128:AU128"/>
    <mergeCell ref="AV128:AW128"/>
    <mergeCell ref="AX128:AY128"/>
    <mergeCell ref="AZ128:BA128"/>
    <mergeCell ref="AH127:AI127"/>
    <mergeCell ref="AJ127:AK127"/>
    <mergeCell ref="AL127:AM127"/>
    <mergeCell ref="AN127:AO127"/>
    <mergeCell ref="AP127:AQ127"/>
    <mergeCell ref="AR127:AS127"/>
    <mergeCell ref="AT127:AU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T129:U129"/>
    <mergeCell ref="V129:W129"/>
    <mergeCell ref="X129:Y129"/>
    <mergeCell ref="Z129:AA129"/>
    <mergeCell ref="AB129:AC129"/>
    <mergeCell ref="AD129:AE129"/>
    <mergeCell ref="AF129:AG129"/>
    <mergeCell ref="AV129:AW129"/>
    <mergeCell ref="AX129:AY129"/>
    <mergeCell ref="AZ129:BA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L130:AM130"/>
    <mergeCell ref="AN130:AO130"/>
    <mergeCell ref="AP130:AQ130"/>
    <mergeCell ref="AR130:AS130"/>
    <mergeCell ref="AT130:AU130"/>
    <mergeCell ref="AV130:AW130"/>
    <mergeCell ref="AX130:AY130"/>
    <mergeCell ref="AZ130:BA130"/>
    <mergeCell ref="AH129:AI129"/>
    <mergeCell ref="AJ129:AK129"/>
    <mergeCell ref="AL129:AM129"/>
    <mergeCell ref="AN129:AO129"/>
    <mergeCell ref="AP129:AQ129"/>
    <mergeCell ref="AR129:AS129"/>
    <mergeCell ref="AT129:AU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T131:U131"/>
    <mergeCell ref="V131:W131"/>
    <mergeCell ref="X131:Y131"/>
    <mergeCell ref="Z131:AA131"/>
    <mergeCell ref="AB131:AC131"/>
    <mergeCell ref="AD131:AE131"/>
    <mergeCell ref="AF131:AG131"/>
    <mergeCell ref="AV131:AW131"/>
    <mergeCell ref="AX131:AY131"/>
    <mergeCell ref="AZ131:BA131"/>
    <mergeCell ref="F131:G131"/>
    <mergeCell ref="H131:I131"/>
    <mergeCell ref="J131:K131"/>
    <mergeCell ref="L131:M131"/>
    <mergeCell ref="N131:O131"/>
    <mergeCell ref="P131:Q131"/>
    <mergeCell ref="R131:S131"/>
    <mergeCell ref="F132:G132"/>
    <mergeCell ref="H132:I132"/>
    <mergeCell ref="J132:K132"/>
    <mergeCell ref="L132:M132"/>
    <mergeCell ref="N132:O132"/>
    <mergeCell ref="P132:Q132"/>
    <mergeCell ref="R132:S132"/>
    <mergeCell ref="AL132:AM132"/>
    <mergeCell ref="AN132:AO132"/>
    <mergeCell ref="AP132:AQ132"/>
    <mergeCell ref="AR132:AS132"/>
    <mergeCell ref="AT132:AU132"/>
    <mergeCell ref="AV132:AW132"/>
    <mergeCell ref="AX132:AY132"/>
    <mergeCell ref="AZ132:BA132"/>
    <mergeCell ref="AH131:AI131"/>
    <mergeCell ref="AJ131:AK131"/>
    <mergeCell ref="AL131:AM131"/>
    <mergeCell ref="AN131:AO131"/>
    <mergeCell ref="AP131:AQ131"/>
    <mergeCell ref="AR131:AS131"/>
    <mergeCell ref="AT131:AU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T133:U133"/>
    <mergeCell ref="V133:W133"/>
    <mergeCell ref="X133:Y133"/>
    <mergeCell ref="Z133:AA133"/>
    <mergeCell ref="AB133:AC133"/>
    <mergeCell ref="AD133:AE133"/>
    <mergeCell ref="AF133:AG133"/>
    <mergeCell ref="AV133:AW133"/>
    <mergeCell ref="AX133:AY133"/>
    <mergeCell ref="AZ133:BA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X134:AY134"/>
    <mergeCell ref="AZ134:BA134"/>
    <mergeCell ref="AH133:AI133"/>
    <mergeCell ref="AJ133:AK133"/>
    <mergeCell ref="AL133:AM133"/>
    <mergeCell ref="AN133:AO133"/>
    <mergeCell ref="AP133:AQ133"/>
    <mergeCell ref="AR133:AS133"/>
    <mergeCell ref="AT133:AU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T135:U135"/>
    <mergeCell ref="V135:W135"/>
    <mergeCell ref="X135:Y135"/>
    <mergeCell ref="Z135:AA135"/>
    <mergeCell ref="AB135:AC135"/>
    <mergeCell ref="AD135:AE135"/>
    <mergeCell ref="AF135:AG135"/>
    <mergeCell ref="AV135:AW135"/>
    <mergeCell ref="AX135:AY135"/>
    <mergeCell ref="AZ135:BA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L136:AM136"/>
    <mergeCell ref="AN136:AO136"/>
    <mergeCell ref="AP136:AQ136"/>
    <mergeCell ref="AR136:AS136"/>
    <mergeCell ref="AT136:AU136"/>
    <mergeCell ref="AV136:AW136"/>
    <mergeCell ref="AX136:AY136"/>
    <mergeCell ref="AZ136:BA136"/>
    <mergeCell ref="AH135:AI135"/>
    <mergeCell ref="AJ135:AK135"/>
    <mergeCell ref="AL135:AM135"/>
    <mergeCell ref="AN135:AO135"/>
    <mergeCell ref="AP135:AQ135"/>
    <mergeCell ref="AR135:AS135"/>
    <mergeCell ref="AT135:AU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T137:U137"/>
    <mergeCell ref="V137:W137"/>
    <mergeCell ref="X137:Y137"/>
    <mergeCell ref="Z137:AA137"/>
    <mergeCell ref="AB137:AC137"/>
    <mergeCell ref="AD137:AE137"/>
    <mergeCell ref="AF137:AG137"/>
    <mergeCell ref="AV137:AW137"/>
    <mergeCell ref="AX137:AY137"/>
    <mergeCell ref="AZ137:BA137"/>
    <mergeCell ref="F137:G137"/>
    <mergeCell ref="H137:I137"/>
    <mergeCell ref="J137:K137"/>
    <mergeCell ref="L137:M137"/>
    <mergeCell ref="N137:O137"/>
    <mergeCell ref="P137:Q137"/>
    <mergeCell ref="R137:S137"/>
    <mergeCell ref="F138:G138"/>
    <mergeCell ref="H138:I138"/>
    <mergeCell ref="J138:K138"/>
    <mergeCell ref="L138:M138"/>
    <mergeCell ref="N138:O138"/>
    <mergeCell ref="P138:Q138"/>
    <mergeCell ref="R138:S138"/>
    <mergeCell ref="AL138:AM138"/>
    <mergeCell ref="AN138:AO138"/>
    <mergeCell ref="AP138:AQ138"/>
    <mergeCell ref="AR138:AS138"/>
    <mergeCell ref="AT138:AU138"/>
    <mergeCell ref="AV138:AW138"/>
    <mergeCell ref="AX138:AY138"/>
    <mergeCell ref="AZ138:BA138"/>
    <mergeCell ref="AH137:AI137"/>
    <mergeCell ref="AJ137:AK137"/>
    <mergeCell ref="AL137:AM137"/>
    <mergeCell ref="AN137:AO137"/>
    <mergeCell ref="AP137:AQ137"/>
    <mergeCell ref="AR137:AS137"/>
    <mergeCell ref="AT137:AU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T139:U139"/>
    <mergeCell ref="V139:W139"/>
    <mergeCell ref="X139:Y139"/>
    <mergeCell ref="Z139:AA139"/>
    <mergeCell ref="AB139:AC139"/>
    <mergeCell ref="AD139:AE139"/>
    <mergeCell ref="AF139:AG139"/>
    <mergeCell ref="AV139:AW139"/>
    <mergeCell ref="AX139:AY139"/>
    <mergeCell ref="AZ139:BA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L140:AM140"/>
    <mergeCell ref="AN140:AO140"/>
    <mergeCell ref="AP140:AQ140"/>
    <mergeCell ref="AR140:AS140"/>
    <mergeCell ref="AT140:AU140"/>
    <mergeCell ref="AV140:AW140"/>
    <mergeCell ref="AX140:AY140"/>
    <mergeCell ref="AZ140:BA140"/>
    <mergeCell ref="AH139:AI139"/>
    <mergeCell ref="AJ139:AK139"/>
    <mergeCell ref="AL139:AM139"/>
    <mergeCell ref="AN139:AO139"/>
    <mergeCell ref="AP139:AQ139"/>
    <mergeCell ref="AR139:AS139"/>
    <mergeCell ref="AT139:AU139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T141:U141"/>
    <mergeCell ref="V141:W141"/>
    <mergeCell ref="X141:Y141"/>
    <mergeCell ref="Z141:AA141"/>
    <mergeCell ref="AB141:AC141"/>
    <mergeCell ref="AD141:AE141"/>
    <mergeCell ref="AF141:AG141"/>
    <mergeCell ref="AV141:AW141"/>
    <mergeCell ref="AX141:AY141"/>
    <mergeCell ref="AZ141:BA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L142:AM142"/>
    <mergeCell ref="AN142:AO142"/>
    <mergeCell ref="AP142:AQ142"/>
    <mergeCell ref="AR142:AS142"/>
    <mergeCell ref="AT142:AU142"/>
    <mergeCell ref="AV142:AW142"/>
    <mergeCell ref="AX142:AY142"/>
    <mergeCell ref="AZ142:BA142"/>
    <mergeCell ref="AH141:AI141"/>
    <mergeCell ref="AJ141:AK141"/>
    <mergeCell ref="AL141:AM141"/>
    <mergeCell ref="AN141:AO141"/>
    <mergeCell ref="AP141:AQ141"/>
    <mergeCell ref="AR141:AS141"/>
    <mergeCell ref="AT141:AU141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T143:U143"/>
    <mergeCell ref="V143:W143"/>
    <mergeCell ref="X143:Y143"/>
    <mergeCell ref="Z143:AA143"/>
    <mergeCell ref="AB143:AC143"/>
    <mergeCell ref="AD143:AE143"/>
    <mergeCell ref="AF143:AG143"/>
    <mergeCell ref="AV143:AW143"/>
    <mergeCell ref="AX143:AY143"/>
    <mergeCell ref="AZ143:BA143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L144:AM144"/>
    <mergeCell ref="AN144:AO144"/>
    <mergeCell ref="AP144:AQ144"/>
    <mergeCell ref="AR144:AS144"/>
    <mergeCell ref="AT144:AU144"/>
    <mergeCell ref="AV144:AW144"/>
    <mergeCell ref="AX144:AY144"/>
    <mergeCell ref="AZ144:BA144"/>
    <mergeCell ref="AH143:AI143"/>
    <mergeCell ref="AJ143:AK143"/>
    <mergeCell ref="AL143:AM143"/>
    <mergeCell ref="AN143:AO143"/>
    <mergeCell ref="AP143:AQ143"/>
    <mergeCell ref="AR143:AS143"/>
    <mergeCell ref="AT143:AU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T145:U145"/>
    <mergeCell ref="V145:W145"/>
    <mergeCell ref="X145:Y145"/>
    <mergeCell ref="Z145:AA145"/>
    <mergeCell ref="AB145:AC145"/>
    <mergeCell ref="AD145:AE145"/>
    <mergeCell ref="AF145:AG145"/>
    <mergeCell ref="AV145:AW145"/>
    <mergeCell ref="AX145:AY145"/>
    <mergeCell ref="AZ145:BA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L146:AM146"/>
    <mergeCell ref="AN146:AO146"/>
    <mergeCell ref="AP146:AQ146"/>
    <mergeCell ref="AR146:AS146"/>
    <mergeCell ref="AT146:AU146"/>
    <mergeCell ref="AV146:AW146"/>
    <mergeCell ref="AX146:AY146"/>
    <mergeCell ref="AZ146:BA146"/>
    <mergeCell ref="AH145:AI145"/>
    <mergeCell ref="AJ145:AK145"/>
    <mergeCell ref="AL145:AM145"/>
    <mergeCell ref="AN145:AO145"/>
    <mergeCell ref="AP145:AQ145"/>
    <mergeCell ref="AR145:AS145"/>
    <mergeCell ref="AT145:AU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T147:U147"/>
    <mergeCell ref="V147:W147"/>
    <mergeCell ref="X147:Y147"/>
    <mergeCell ref="Z147:AA147"/>
    <mergeCell ref="AB147:AC147"/>
    <mergeCell ref="AD147:AE147"/>
    <mergeCell ref="AF147:AG147"/>
    <mergeCell ref="AV147:AW147"/>
    <mergeCell ref="AX147:AY147"/>
    <mergeCell ref="AZ147:BA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L148:AM148"/>
    <mergeCell ref="AN148:AO148"/>
    <mergeCell ref="AP148:AQ148"/>
    <mergeCell ref="AR148:AS148"/>
    <mergeCell ref="AT148:AU148"/>
    <mergeCell ref="AV148:AW148"/>
    <mergeCell ref="AX148:AY148"/>
    <mergeCell ref="AZ148:BA148"/>
    <mergeCell ref="AH147:AI147"/>
    <mergeCell ref="AJ147:AK147"/>
    <mergeCell ref="AL147:AM147"/>
    <mergeCell ref="AN147:AO147"/>
    <mergeCell ref="AP147:AQ147"/>
    <mergeCell ref="AR147:AS147"/>
    <mergeCell ref="AT147:AU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T149:U149"/>
    <mergeCell ref="V149:W149"/>
    <mergeCell ref="X149:Y149"/>
    <mergeCell ref="Z149:AA149"/>
    <mergeCell ref="AB149:AC149"/>
    <mergeCell ref="AD149:AE149"/>
    <mergeCell ref="AF149:AG149"/>
    <mergeCell ref="AV149:AW149"/>
    <mergeCell ref="AX149:AY149"/>
    <mergeCell ref="AZ149:BA149"/>
    <mergeCell ref="F149:G149"/>
    <mergeCell ref="H149:I149"/>
    <mergeCell ref="J149:K149"/>
    <mergeCell ref="L149:M149"/>
    <mergeCell ref="N149:O149"/>
    <mergeCell ref="P149:Q149"/>
    <mergeCell ref="R149:S149"/>
    <mergeCell ref="F150:G150"/>
    <mergeCell ref="H150:I150"/>
    <mergeCell ref="J150:K150"/>
    <mergeCell ref="L150:M150"/>
    <mergeCell ref="N150:O150"/>
    <mergeCell ref="P150:Q150"/>
    <mergeCell ref="R150:S150"/>
    <mergeCell ref="AL150:AM150"/>
    <mergeCell ref="AN150:AO150"/>
    <mergeCell ref="AP150:AQ150"/>
    <mergeCell ref="AR150:AS150"/>
    <mergeCell ref="AT150:AU150"/>
    <mergeCell ref="AV150:AW150"/>
    <mergeCell ref="AX150:AY150"/>
    <mergeCell ref="AZ150:BA150"/>
    <mergeCell ref="AH149:AI149"/>
    <mergeCell ref="AJ149:AK149"/>
    <mergeCell ref="AL149:AM149"/>
    <mergeCell ref="AN149:AO149"/>
    <mergeCell ref="AP149:AQ149"/>
    <mergeCell ref="AR149:AS149"/>
    <mergeCell ref="AT149:AU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T151:U151"/>
    <mergeCell ref="V151:W151"/>
    <mergeCell ref="X151:Y151"/>
    <mergeCell ref="Z151:AA151"/>
    <mergeCell ref="AB151:AC151"/>
    <mergeCell ref="AD151:AE151"/>
    <mergeCell ref="AF151:AG151"/>
    <mergeCell ref="AV151:AW151"/>
    <mergeCell ref="AX151:AY151"/>
    <mergeCell ref="AZ151:BA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X152:AY152"/>
    <mergeCell ref="AZ152:BA152"/>
    <mergeCell ref="AH151:AI151"/>
    <mergeCell ref="AJ151:AK151"/>
    <mergeCell ref="AL151:AM151"/>
    <mergeCell ref="AN151:AO151"/>
    <mergeCell ref="AP151:AQ151"/>
    <mergeCell ref="AR151:AS151"/>
    <mergeCell ref="AT151:AU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T153:U153"/>
    <mergeCell ref="V153:W153"/>
    <mergeCell ref="X153:Y153"/>
    <mergeCell ref="Z153:AA153"/>
    <mergeCell ref="AB153:AC153"/>
    <mergeCell ref="AD153:AE153"/>
    <mergeCell ref="AF153:AG153"/>
    <mergeCell ref="AV153:AW153"/>
    <mergeCell ref="AX153:AY153"/>
    <mergeCell ref="AZ153:BA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L154:AM154"/>
    <mergeCell ref="AN154:AO154"/>
    <mergeCell ref="AP154:AQ154"/>
    <mergeCell ref="AR154:AS154"/>
    <mergeCell ref="AT154:AU154"/>
    <mergeCell ref="AV154:AW154"/>
    <mergeCell ref="AX154:AY154"/>
    <mergeCell ref="AZ154:BA154"/>
    <mergeCell ref="AH153:AI153"/>
    <mergeCell ref="AJ153:AK153"/>
    <mergeCell ref="AL153:AM153"/>
    <mergeCell ref="AN153:AO153"/>
    <mergeCell ref="AP153:AQ153"/>
    <mergeCell ref="AR153:AS153"/>
    <mergeCell ref="AT153:AU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T155:U155"/>
    <mergeCell ref="V155:W155"/>
    <mergeCell ref="X155:Y155"/>
    <mergeCell ref="Z155:AA155"/>
    <mergeCell ref="AB155:AC155"/>
    <mergeCell ref="AD155:AE155"/>
    <mergeCell ref="AF155:AG155"/>
    <mergeCell ref="AV155:AW155"/>
    <mergeCell ref="AX155:AY155"/>
    <mergeCell ref="AZ155:BA155"/>
    <mergeCell ref="F155:G155"/>
    <mergeCell ref="H155:I155"/>
    <mergeCell ref="J155:K155"/>
    <mergeCell ref="L155:M155"/>
    <mergeCell ref="N155:O155"/>
    <mergeCell ref="P155:Q155"/>
    <mergeCell ref="R155:S155"/>
    <mergeCell ref="F156:G156"/>
    <mergeCell ref="H156:I156"/>
    <mergeCell ref="J156:K156"/>
    <mergeCell ref="L156:M156"/>
    <mergeCell ref="N156:O156"/>
    <mergeCell ref="P156:Q156"/>
    <mergeCell ref="R156:S156"/>
    <mergeCell ref="AL156:AM156"/>
    <mergeCell ref="AN156:AO156"/>
    <mergeCell ref="AP156:AQ156"/>
    <mergeCell ref="AR156:AS156"/>
    <mergeCell ref="AT156:AU156"/>
    <mergeCell ref="AV156:AW156"/>
    <mergeCell ref="AX156:AY156"/>
    <mergeCell ref="AZ156:BA156"/>
    <mergeCell ref="AH155:AI155"/>
    <mergeCell ref="AJ155:AK155"/>
    <mergeCell ref="AL155:AM155"/>
    <mergeCell ref="AN155:AO155"/>
    <mergeCell ref="AP155:AQ155"/>
    <mergeCell ref="AR155:AS155"/>
    <mergeCell ref="AT155:AU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T157:U157"/>
    <mergeCell ref="V157:W157"/>
    <mergeCell ref="X157:Y157"/>
    <mergeCell ref="Z157:AA157"/>
    <mergeCell ref="AB157:AC157"/>
    <mergeCell ref="AD157:AE157"/>
    <mergeCell ref="AF157:AG157"/>
    <mergeCell ref="AV157:AW157"/>
    <mergeCell ref="AX157:AY157"/>
    <mergeCell ref="AZ157:BA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L158:AM158"/>
    <mergeCell ref="AN158:AO158"/>
    <mergeCell ref="AP158:AQ158"/>
    <mergeCell ref="AR158:AS158"/>
    <mergeCell ref="AT158:AU158"/>
    <mergeCell ref="AV158:AW158"/>
    <mergeCell ref="AX158:AY158"/>
    <mergeCell ref="AZ158:BA158"/>
    <mergeCell ref="AH157:AI157"/>
    <mergeCell ref="AJ157:AK157"/>
    <mergeCell ref="AL157:AM157"/>
    <mergeCell ref="AN157:AO157"/>
    <mergeCell ref="AP157:AQ157"/>
    <mergeCell ref="AR157:AS157"/>
    <mergeCell ref="AT157:AU157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T159:U159"/>
    <mergeCell ref="V159:W159"/>
    <mergeCell ref="X159:Y159"/>
    <mergeCell ref="Z159:AA159"/>
    <mergeCell ref="AB159:AC159"/>
    <mergeCell ref="AD159:AE159"/>
    <mergeCell ref="AF159:AG159"/>
    <mergeCell ref="AV159:AW159"/>
    <mergeCell ref="AX159:AY159"/>
    <mergeCell ref="AZ159:BA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L160:AM160"/>
    <mergeCell ref="AN160:AO160"/>
    <mergeCell ref="AP160:AQ160"/>
    <mergeCell ref="AR160:AS160"/>
    <mergeCell ref="AT160:AU160"/>
    <mergeCell ref="AV160:AW160"/>
    <mergeCell ref="AX160:AY160"/>
    <mergeCell ref="AZ160:BA160"/>
    <mergeCell ref="AH159:AI159"/>
    <mergeCell ref="AJ159:AK159"/>
    <mergeCell ref="AL159:AM159"/>
    <mergeCell ref="AN159:AO159"/>
    <mergeCell ref="AP159:AQ159"/>
    <mergeCell ref="AR159:AS159"/>
    <mergeCell ref="AT159:AU159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T161:U161"/>
    <mergeCell ref="V161:W161"/>
    <mergeCell ref="X161:Y161"/>
    <mergeCell ref="Z161:AA161"/>
    <mergeCell ref="AB161:AC161"/>
    <mergeCell ref="AD161:AE161"/>
    <mergeCell ref="AF161:AG161"/>
    <mergeCell ref="AV161:AW161"/>
    <mergeCell ref="AX161:AY161"/>
    <mergeCell ref="AZ161:BA161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L162:AM162"/>
    <mergeCell ref="AN162:AO162"/>
    <mergeCell ref="AP162:AQ162"/>
    <mergeCell ref="AR162:AS162"/>
    <mergeCell ref="AT162:AU162"/>
    <mergeCell ref="AV162:AW162"/>
    <mergeCell ref="AX162:AY162"/>
    <mergeCell ref="AZ162:BA162"/>
    <mergeCell ref="AH161:AI161"/>
    <mergeCell ref="AJ161:AK161"/>
    <mergeCell ref="AL161:AM161"/>
    <mergeCell ref="AN161:AO161"/>
    <mergeCell ref="AP161:AQ161"/>
    <mergeCell ref="AR161:AS161"/>
    <mergeCell ref="AT161:AU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T163:U163"/>
    <mergeCell ref="V163:W163"/>
    <mergeCell ref="X163:Y163"/>
    <mergeCell ref="Z163:AA163"/>
    <mergeCell ref="AB163:AC163"/>
    <mergeCell ref="AD163:AE163"/>
    <mergeCell ref="AF163:AG163"/>
    <mergeCell ref="AV163:AW163"/>
    <mergeCell ref="AX163:AY163"/>
    <mergeCell ref="AZ163:BA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L164:AM164"/>
    <mergeCell ref="AN164:AO164"/>
    <mergeCell ref="AP164:AQ164"/>
    <mergeCell ref="AR164:AS164"/>
    <mergeCell ref="AT164:AU164"/>
    <mergeCell ref="AV164:AW164"/>
    <mergeCell ref="AX164:AY164"/>
    <mergeCell ref="AZ164:BA164"/>
    <mergeCell ref="AH163:AI163"/>
    <mergeCell ref="AJ163:AK163"/>
    <mergeCell ref="AL163:AM163"/>
    <mergeCell ref="AN163:AO163"/>
    <mergeCell ref="AP163:AQ163"/>
    <mergeCell ref="AR163:AS163"/>
    <mergeCell ref="AT163:AU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T165:U165"/>
    <mergeCell ref="V165:W165"/>
    <mergeCell ref="X165:Y165"/>
    <mergeCell ref="Z165:AA165"/>
    <mergeCell ref="AB165:AC165"/>
    <mergeCell ref="AD165:AE165"/>
    <mergeCell ref="AF165:AG165"/>
    <mergeCell ref="AV165:AW165"/>
    <mergeCell ref="AX165:AY165"/>
    <mergeCell ref="AZ165:BA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L166:AM166"/>
    <mergeCell ref="AN166:AO166"/>
    <mergeCell ref="AP166:AQ166"/>
    <mergeCell ref="AR166:AS166"/>
    <mergeCell ref="AT166:AU166"/>
    <mergeCell ref="AV166:AW166"/>
    <mergeCell ref="AX166:AY166"/>
    <mergeCell ref="AZ166:BA166"/>
    <mergeCell ref="AH165:AI165"/>
    <mergeCell ref="AJ165:AK165"/>
    <mergeCell ref="AL165:AM165"/>
    <mergeCell ref="AN165:AO165"/>
    <mergeCell ref="AP165:AQ165"/>
    <mergeCell ref="AR165:AS165"/>
    <mergeCell ref="AT165:AU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T167:U167"/>
    <mergeCell ref="V167:W167"/>
    <mergeCell ref="X167:Y167"/>
    <mergeCell ref="Z167:AA167"/>
    <mergeCell ref="AB167:AC167"/>
    <mergeCell ref="AD167:AE167"/>
    <mergeCell ref="AF167:AG167"/>
    <mergeCell ref="AV167:AW167"/>
    <mergeCell ref="AX167:AY167"/>
    <mergeCell ref="AZ167:BA167"/>
    <mergeCell ref="F167:G167"/>
    <mergeCell ref="H167:I167"/>
    <mergeCell ref="J167:K167"/>
    <mergeCell ref="L167:M167"/>
    <mergeCell ref="N167:O167"/>
    <mergeCell ref="P167:Q167"/>
    <mergeCell ref="R167:S167"/>
    <mergeCell ref="F168:G168"/>
    <mergeCell ref="H168:I168"/>
    <mergeCell ref="J168:K168"/>
    <mergeCell ref="L168:M168"/>
    <mergeCell ref="N168:O168"/>
    <mergeCell ref="P168:Q168"/>
    <mergeCell ref="R168:S168"/>
    <mergeCell ref="AL168:AM168"/>
    <mergeCell ref="AN168:AO168"/>
    <mergeCell ref="AP168:AQ168"/>
    <mergeCell ref="AR168:AS168"/>
    <mergeCell ref="AT168:AU168"/>
    <mergeCell ref="AV168:AW168"/>
    <mergeCell ref="AX168:AY168"/>
    <mergeCell ref="AZ168:BA168"/>
    <mergeCell ref="AH167:AI167"/>
    <mergeCell ref="AJ167:AK167"/>
    <mergeCell ref="AL167:AM167"/>
    <mergeCell ref="AN167:AO167"/>
    <mergeCell ref="AP167:AQ167"/>
    <mergeCell ref="AR167:AS167"/>
    <mergeCell ref="AT167:AU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T169:U169"/>
    <mergeCell ref="V169:W169"/>
    <mergeCell ref="X169:Y169"/>
    <mergeCell ref="Z169:AA169"/>
    <mergeCell ref="AB169:AC169"/>
    <mergeCell ref="AD169:AE169"/>
    <mergeCell ref="AF169:AG169"/>
    <mergeCell ref="AV169:AW169"/>
    <mergeCell ref="AX169:AY169"/>
    <mergeCell ref="AZ169:BA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X170:AY170"/>
    <mergeCell ref="AZ170:BA170"/>
    <mergeCell ref="AH169:AI169"/>
    <mergeCell ref="AJ169:AK169"/>
    <mergeCell ref="AL169:AM169"/>
    <mergeCell ref="AN169:AO169"/>
    <mergeCell ref="AP169:AQ169"/>
    <mergeCell ref="AR169:AS169"/>
    <mergeCell ref="AT169:AU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T171:U171"/>
    <mergeCell ref="V171:W171"/>
    <mergeCell ref="X171:Y171"/>
    <mergeCell ref="Z171:AA171"/>
    <mergeCell ref="AB171:AC171"/>
    <mergeCell ref="AD171:AE171"/>
    <mergeCell ref="AF171:AG171"/>
    <mergeCell ref="AV171:AW171"/>
    <mergeCell ref="AX171:AY171"/>
    <mergeCell ref="AZ171:BA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L172:AM172"/>
    <mergeCell ref="AN172:AO172"/>
    <mergeCell ref="AP172:AQ172"/>
    <mergeCell ref="AR172:AS172"/>
    <mergeCell ref="AT172:AU172"/>
    <mergeCell ref="AV172:AW172"/>
    <mergeCell ref="AX172:AY172"/>
    <mergeCell ref="AZ172:BA172"/>
    <mergeCell ref="AH171:AI171"/>
    <mergeCell ref="AJ171:AK171"/>
    <mergeCell ref="AL171:AM171"/>
    <mergeCell ref="AN171:AO171"/>
    <mergeCell ref="AP171:AQ171"/>
    <mergeCell ref="AR171:AS171"/>
    <mergeCell ref="AT171:AU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T173:U173"/>
    <mergeCell ref="V173:W173"/>
    <mergeCell ref="X173:Y173"/>
    <mergeCell ref="Z173:AA173"/>
    <mergeCell ref="AB173:AC173"/>
    <mergeCell ref="AD173:AE173"/>
    <mergeCell ref="AF173:AG173"/>
    <mergeCell ref="AV173:AW173"/>
    <mergeCell ref="AX173:AY173"/>
    <mergeCell ref="AZ173:BA173"/>
    <mergeCell ref="F173:G173"/>
    <mergeCell ref="H173:I173"/>
    <mergeCell ref="J173:K173"/>
    <mergeCell ref="L173:M173"/>
    <mergeCell ref="N173:O173"/>
    <mergeCell ref="P173:Q173"/>
    <mergeCell ref="R173:S173"/>
    <mergeCell ref="F174:G174"/>
    <mergeCell ref="H174:I174"/>
    <mergeCell ref="J174:K174"/>
    <mergeCell ref="L174:M174"/>
    <mergeCell ref="N174:O174"/>
    <mergeCell ref="P174:Q174"/>
    <mergeCell ref="R174:S174"/>
    <mergeCell ref="AL174:AM174"/>
    <mergeCell ref="AN174:AO174"/>
    <mergeCell ref="AP174:AQ174"/>
    <mergeCell ref="AR174:AS174"/>
    <mergeCell ref="AT174:AU174"/>
    <mergeCell ref="AV174:AW174"/>
    <mergeCell ref="AX174:AY174"/>
    <mergeCell ref="AZ174:BA174"/>
    <mergeCell ref="AH173:AI173"/>
    <mergeCell ref="AJ173:AK173"/>
    <mergeCell ref="AL173:AM173"/>
    <mergeCell ref="AN173:AO173"/>
    <mergeCell ref="AP173:AQ173"/>
    <mergeCell ref="AR173:AS173"/>
    <mergeCell ref="AT173:AU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T175:U175"/>
    <mergeCell ref="V175:W175"/>
    <mergeCell ref="X175:Y175"/>
    <mergeCell ref="Z175:AA175"/>
    <mergeCell ref="AB175:AC175"/>
    <mergeCell ref="AD175:AE175"/>
    <mergeCell ref="AF175:AG175"/>
    <mergeCell ref="AV175:AW175"/>
    <mergeCell ref="AX175:AY175"/>
    <mergeCell ref="AZ175:BA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L176:AM176"/>
    <mergeCell ref="AN176:AO176"/>
    <mergeCell ref="AP176:AQ176"/>
    <mergeCell ref="AR176:AS176"/>
    <mergeCell ref="AT176:AU176"/>
    <mergeCell ref="AV176:AW176"/>
    <mergeCell ref="AX176:AY176"/>
    <mergeCell ref="AZ176:BA176"/>
    <mergeCell ref="AH175:AI175"/>
    <mergeCell ref="AJ175:AK175"/>
    <mergeCell ref="AL175:AM175"/>
    <mergeCell ref="AN175:AO175"/>
    <mergeCell ref="AP175:AQ175"/>
    <mergeCell ref="AR175:AS175"/>
    <mergeCell ref="AT175:AU175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T177:U177"/>
    <mergeCell ref="V177:W177"/>
    <mergeCell ref="X177:Y177"/>
    <mergeCell ref="Z177:AA177"/>
    <mergeCell ref="AB177:AC177"/>
    <mergeCell ref="AD177:AE177"/>
    <mergeCell ref="AF177:AG177"/>
    <mergeCell ref="AV177:AW177"/>
    <mergeCell ref="AX177:AY177"/>
    <mergeCell ref="AZ177:BA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L178:AM178"/>
    <mergeCell ref="AN178:AO178"/>
    <mergeCell ref="AP178:AQ178"/>
    <mergeCell ref="AR178:AS178"/>
    <mergeCell ref="AT178:AU178"/>
    <mergeCell ref="AV178:AW178"/>
    <mergeCell ref="AX178:AY178"/>
    <mergeCell ref="AZ178:BA178"/>
    <mergeCell ref="AH177:AI177"/>
    <mergeCell ref="AJ177:AK177"/>
    <mergeCell ref="AL177:AM177"/>
    <mergeCell ref="AN177:AO177"/>
    <mergeCell ref="AP177:AQ177"/>
    <mergeCell ref="AR177:AS177"/>
    <mergeCell ref="AT177:AU177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T179:U179"/>
    <mergeCell ref="V179:W179"/>
    <mergeCell ref="X179:Y179"/>
    <mergeCell ref="Z179:AA179"/>
    <mergeCell ref="AB179:AC179"/>
    <mergeCell ref="AD179:AE179"/>
    <mergeCell ref="AF179:AG179"/>
    <mergeCell ref="AV179:AW179"/>
    <mergeCell ref="AX179:AY179"/>
    <mergeCell ref="AZ179:BA179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L180:AM180"/>
    <mergeCell ref="AN180:AO180"/>
    <mergeCell ref="AP180:AQ180"/>
    <mergeCell ref="AR180:AS180"/>
    <mergeCell ref="AT180:AU180"/>
    <mergeCell ref="AV180:AW180"/>
    <mergeCell ref="AX180:AY180"/>
    <mergeCell ref="AZ180:BA180"/>
    <mergeCell ref="AH179:AI179"/>
    <mergeCell ref="AJ179:AK179"/>
    <mergeCell ref="AL179:AM179"/>
    <mergeCell ref="AN179:AO179"/>
    <mergeCell ref="AP179:AQ179"/>
    <mergeCell ref="AR179:AS179"/>
    <mergeCell ref="AT179:AU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T181:U181"/>
    <mergeCell ref="V181:W181"/>
    <mergeCell ref="X181:Y181"/>
    <mergeCell ref="Z181:AA181"/>
    <mergeCell ref="AB181:AC181"/>
    <mergeCell ref="AD181:AE181"/>
    <mergeCell ref="AF181:AG181"/>
    <mergeCell ref="AV181:AW181"/>
    <mergeCell ref="AX181:AY181"/>
    <mergeCell ref="AZ181:BA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L182:AM182"/>
    <mergeCell ref="AN182:AO182"/>
    <mergeCell ref="AP182:AQ182"/>
    <mergeCell ref="AR182:AS182"/>
    <mergeCell ref="AT182:AU182"/>
    <mergeCell ref="AV182:AW182"/>
    <mergeCell ref="AX182:AY182"/>
    <mergeCell ref="AZ182:BA182"/>
    <mergeCell ref="AH181:AI181"/>
    <mergeCell ref="AJ181:AK181"/>
    <mergeCell ref="AL181:AM181"/>
    <mergeCell ref="AN181:AO181"/>
    <mergeCell ref="AP181:AQ181"/>
    <mergeCell ref="AR181:AS181"/>
    <mergeCell ref="AT181:AU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T183:U183"/>
    <mergeCell ref="V183:W183"/>
    <mergeCell ref="X183:Y183"/>
    <mergeCell ref="Z183:AA183"/>
    <mergeCell ref="AB183:AC183"/>
    <mergeCell ref="AD183:AE183"/>
    <mergeCell ref="AF183:AG183"/>
    <mergeCell ref="AV183:AW183"/>
    <mergeCell ref="AX183:AY183"/>
    <mergeCell ref="AZ183:BA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L184:AM184"/>
    <mergeCell ref="AN184:AO184"/>
    <mergeCell ref="AP184:AQ184"/>
    <mergeCell ref="AR184:AS184"/>
    <mergeCell ref="AT184:AU184"/>
    <mergeCell ref="AV184:AW184"/>
    <mergeCell ref="AX184:AY184"/>
    <mergeCell ref="AZ184:BA184"/>
    <mergeCell ref="AH183:AI183"/>
    <mergeCell ref="AJ183:AK183"/>
    <mergeCell ref="AL183:AM183"/>
    <mergeCell ref="AN183:AO183"/>
    <mergeCell ref="AP183:AQ183"/>
    <mergeCell ref="AR183:AS183"/>
    <mergeCell ref="AT183:AU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T185:U185"/>
    <mergeCell ref="V185:W185"/>
    <mergeCell ref="X185:Y185"/>
    <mergeCell ref="Z185:AA185"/>
    <mergeCell ref="AB185:AC185"/>
    <mergeCell ref="AD185:AE185"/>
    <mergeCell ref="AF185:AG185"/>
    <mergeCell ref="AV185:AW185"/>
    <mergeCell ref="AX185:AY185"/>
    <mergeCell ref="AZ185:BA185"/>
    <mergeCell ref="F185:G185"/>
    <mergeCell ref="H185:I185"/>
    <mergeCell ref="J185:K185"/>
    <mergeCell ref="L185:M185"/>
    <mergeCell ref="N185:O185"/>
    <mergeCell ref="P185:Q185"/>
    <mergeCell ref="R185:S185"/>
    <mergeCell ref="F186:G186"/>
    <mergeCell ref="H186:I186"/>
    <mergeCell ref="J186:K186"/>
    <mergeCell ref="L186:M186"/>
    <mergeCell ref="N186:O186"/>
    <mergeCell ref="P186:Q186"/>
    <mergeCell ref="R186:S186"/>
    <mergeCell ref="AL186:AM186"/>
    <mergeCell ref="AN186:AO186"/>
    <mergeCell ref="AP186:AQ186"/>
    <mergeCell ref="AR186:AS186"/>
    <mergeCell ref="AT186:AU186"/>
    <mergeCell ref="AV186:AW186"/>
    <mergeCell ref="AX186:AY186"/>
    <mergeCell ref="AZ186:BA186"/>
    <mergeCell ref="AH185:AI185"/>
    <mergeCell ref="AJ185:AK185"/>
    <mergeCell ref="AL185:AM185"/>
    <mergeCell ref="AN185:AO185"/>
    <mergeCell ref="AP185:AQ185"/>
    <mergeCell ref="AR185:AS185"/>
    <mergeCell ref="AT185:AU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T187:U187"/>
    <mergeCell ref="V187:W187"/>
    <mergeCell ref="X187:Y187"/>
    <mergeCell ref="Z187:AA187"/>
    <mergeCell ref="AB187:AC187"/>
    <mergeCell ref="AD187:AE187"/>
    <mergeCell ref="AF187:AG187"/>
    <mergeCell ref="AV187:AW187"/>
    <mergeCell ref="AX187:AY187"/>
    <mergeCell ref="AZ187:BA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X188:AY188"/>
    <mergeCell ref="AZ188:BA188"/>
    <mergeCell ref="AH187:AI187"/>
    <mergeCell ref="AJ187:AK187"/>
    <mergeCell ref="AL187:AM187"/>
    <mergeCell ref="AN187:AO187"/>
    <mergeCell ref="AP187:AQ187"/>
    <mergeCell ref="AR187:AS187"/>
    <mergeCell ref="AT187:AU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T189:U189"/>
    <mergeCell ref="V189:W189"/>
    <mergeCell ref="X189:Y189"/>
    <mergeCell ref="Z189:AA189"/>
    <mergeCell ref="AB189:AC189"/>
    <mergeCell ref="AD189:AE189"/>
    <mergeCell ref="AF189:AG189"/>
    <mergeCell ref="AV189:AW189"/>
    <mergeCell ref="AX189:AY189"/>
    <mergeCell ref="AZ189:BA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L190:AM190"/>
    <mergeCell ref="AN190:AO190"/>
    <mergeCell ref="AP190:AQ190"/>
    <mergeCell ref="AR190:AS190"/>
    <mergeCell ref="AT190:AU190"/>
    <mergeCell ref="AV190:AW190"/>
    <mergeCell ref="AX190:AY190"/>
    <mergeCell ref="AZ190:BA190"/>
    <mergeCell ref="AH189:AI189"/>
    <mergeCell ref="AJ189:AK189"/>
    <mergeCell ref="AL189:AM189"/>
    <mergeCell ref="AN189:AO189"/>
    <mergeCell ref="AP189:AQ189"/>
    <mergeCell ref="AR189:AS189"/>
    <mergeCell ref="AT189:AU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T191:U191"/>
    <mergeCell ref="V191:W191"/>
    <mergeCell ref="X191:Y191"/>
    <mergeCell ref="Z191:AA191"/>
    <mergeCell ref="AB191:AC191"/>
    <mergeCell ref="AD191:AE191"/>
    <mergeCell ref="AF191:AG191"/>
    <mergeCell ref="AV191:AW191"/>
    <mergeCell ref="AX191:AY191"/>
    <mergeCell ref="AZ191:BA191"/>
    <mergeCell ref="F191:G191"/>
    <mergeCell ref="H191:I191"/>
    <mergeCell ref="J191:K191"/>
    <mergeCell ref="L191:M191"/>
    <mergeCell ref="N191:O191"/>
    <mergeCell ref="P191:Q191"/>
    <mergeCell ref="R191:S191"/>
    <mergeCell ref="F192:G192"/>
    <mergeCell ref="H192:I192"/>
    <mergeCell ref="J192:K192"/>
    <mergeCell ref="L192:M192"/>
    <mergeCell ref="N192:O192"/>
    <mergeCell ref="P192:Q192"/>
    <mergeCell ref="R192:S192"/>
    <mergeCell ref="AL192:AM192"/>
    <mergeCell ref="AN192:AO192"/>
    <mergeCell ref="AP192:AQ192"/>
    <mergeCell ref="AR192:AS192"/>
    <mergeCell ref="AT192:AU192"/>
    <mergeCell ref="AV192:AW192"/>
    <mergeCell ref="AX192:AY192"/>
    <mergeCell ref="AZ192:BA192"/>
    <mergeCell ref="AH191:AI191"/>
    <mergeCell ref="AJ191:AK191"/>
    <mergeCell ref="AL191:AM191"/>
    <mergeCell ref="AN191:AO191"/>
    <mergeCell ref="AP191:AQ191"/>
    <mergeCell ref="AR191:AS191"/>
    <mergeCell ref="AT191:AU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T193:U193"/>
    <mergeCell ref="V193:W193"/>
    <mergeCell ref="X193:Y193"/>
    <mergeCell ref="Z193:AA193"/>
    <mergeCell ref="AB193:AC193"/>
    <mergeCell ref="AD193:AE193"/>
    <mergeCell ref="AF193:AG193"/>
    <mergeCell ref="AV193:AW193"/>
    <mergeCell ref="AX193:AY193"/>
    <mergeCell ref="AZ193:BA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L194:AM194"/>
    <mergeCell ref="AN194:AO194"/>
    <mergeCell ref="AP194:AQ194"/>
    <mergeCell ref="AR194:AS194"/>
    <mergeCell ref="AT194:AU194"/>
    <mergeCell ref="AV194:AW194"/>
    <mergeCell ref="AX194:AY194"/>
    <mergeCell ref="AZ194:BA194"/>
    <mergeCell ref="AH193:AI193"/>
    <mergeCell ref="AJ193:AK193"/>
    <mergeCell ref="AL193:AM193"/>
    <mergeCell ref="AN193:AO193"/>
    <mergeCell ref="AP193:AQ193"/>
    <mergeCell ref="AR193:AS193"/>
    <mergeCell ref="AT193:AU193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T195:U195"/>
    <mergeCell ref="V195:W195"/>
    <mergeCell ref="X195:Y195"/>
    <mergeCell ref="Z195:AA195"/>
    <mergeCell ref="AB195:AC195"/>
    <mergeCell ref="AD195:AE195"/>
    <mergeCell ref="AF195:AG195"/>
    <mergeCell ref="AV195:AW195"/>
    <mergeCell ref="AX195:AY195"/>
    <mergeCell ref="AZ195:BA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L196:AM196"/>
    <mergeCell ref="AN196:AO196"/>
    <mergeCell ref="AP196:AQ196"/>
    <mergeCell ref="AR196:AS196"/>
    <mergeCell ref="AT196:AU196"/>
    <mergeCell ref="AV196:AW196"/>
    <mergeCell ref="AX196:AY196"/>
    <mergeCell ref="AZ196:BA196"/>
    <mergeCell ref="AH195:AI195"/>
    <mergeCell ref="AJ195:AK195"/>
    <mergeCell ref="AL195:AM195"/>
    <mergeCell ref="AN195:AO195"/>
    <mergeCell ref="AP195:AQ195"/>
    <mergeCell ref="AR195:AS195"/>
    <mergeCell ref="AT195:AU195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T197:U197"/>
    <mergeCell ref="V197:W197"/>
    <mergeCell ref="X197:Y197"/>
    <mergeCell ref="Z197:AA197"/>
    <mergeCell ref="AB197:AC197"/>
    <mergeCell ref="AD197:AE197"/>
    <mergeCell ref="AF197:AG197"/>
    <mergeCell ref="AV197:AW197"/>
    <mergeCell ref="AX197:AY197"/>
    <mergeCell ref="AZ197:BA197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L198:AM198"/>
    <mergeCell ref="AN198:AO198"/>
    <mergeCell ref="AP198:AQ198"/>
    <mergeCell ref="AR198:AS198"/>
    <mergeCell ref="AT198:AU198"/>
    <mergeCell ref="AV198:AW198"/>
    <mergeCell ref="AX198:AY198"/>
    <mergeCell ref="AZ198:BA198"/>
    <mergeCell ref="AH197:AI197"/>
    <mergeCell ref="AJ197:AK197"/>
    <mergeCell ref="AL197:AM197"/>
    <mergeCell ref="AN197:AO197"/>
    <mergeCell ref="AP197:AQ197"/>
    <mergeCell ref="AR197:AS197"/>
    <mergeCell ref="AT197:AU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T199:U199"/>
    <mergeCell ref="V199:W199"/>
    <mergeCell ref="X199:Y199"/>
    <mergeCell ref="Z199:AA199"/>
    <mergeCell ref="AB199:AC199"/>
    <mergeCell ref="AD199:AE199"/>
    <mergeCell ref="AF199:AG199"/>
    <mergeCell ref="AV199:AW199"/>
    <mergeCell ref="AX199:AY199"/>
    <mergeCell ref="AZ199:BA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L200:AM200"/>
    <mergeCell ref="AN200:AO200"/>
    <mergeCell ref="AP200:AQ200"/>
    <mergeCell ref="AR200:AS200"/>
    <mergeCell ref="AT200:AU200"/>
    <mergeCell ref="AV200:AW200"/>
    <mergeCell ref="AX200:AY200"/>
    <mergeCell ref="AZ200:BA200"/>
    <mergeCell ref="AH199:AI199"/>
    <mergeCell ref="AJ199:AK199"/>
    <mergeCell ref="AL199:AM199"/>
    <mergeCell ref="AN199:AO199"/>
    <mergeCell ref="AP199:AQ199"/>
    <mergeCell ref="AR199:AS199"/>
    <mergeCell ref="AT199:AU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T201:U201"/>
    <mergeCell ref="V201:W201"/>
    <mergeCell ref="X201:Y201"/>
    <mergeCell ref="Z201:AA201"/>
    <mergeCell ref="AB201:AC201"/>
    <mergeCell ref="AD201:AE201"/>
    <mergeCell ref="AF201:AG201"/>
    <mergeCell ref="AV201:AW201"/>
    <mergeCell ref="AX201:AY201"/>
    <mergeCell ref="AZ201:BA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L202:AM202"/>
    <mergeCell ref="AN202:AO202"/>
    <mergeCell ref="AP202:AQ202"/>
    <mergeCell ref="AR202:AS202"/>
    <mergeCell ref="AT202:AU202"/>
    <mergeCell ref="AV202:AW202"/>
    <mergeCell ref="AX202:AY202"/>
    <mergeCell ref="AZ202:BA202"/>
    <mergeCell ref="AH201:AI201"/>
    <mergeCell ref="AJ201:AK201"/>
    <mergeCell ref="AL201:AM201"/>
    <mergeCell ref="AN201:AO201"/>
    <mergeCell ref="AP201:AQ201"/>
    <mergeCell ref="AR201:AS201"/>
    <mergeCell ref="AT201:AU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T203:U203"/>
    <mergeCell ref="V203:W203"/>
    <mergeCell ref="X203:Y203"/>
    <mergeCell ref="Z203:AA203"/>
    <mergeCell ref="AB203:AC203"/>
    <mergeCell ref="AD203:AE203"/>
    <mergeCell ref="AF203:AG203"/>
    <mergeCell ref="AV203:AW203"/>
    <mergeCell ref="AX203:AY203"/>
    <mergeCell ref="AZ203:BA203"/>
    <mergeCell ref="F203:G203"/>
    <mergeCell ref="H203:I203"/>
    <mergeCell ref="J203:K203"/>
    <mergeCell ref="L203:M203"/>
    <mergeCell ref="N203:O203"/>
    <mergeCell ref="P203:Q203"/>
    <mergeCell ref="R203:S203"/>
    <mergeCell ref="F204:G204"/>
    <mergeCell ref="H204:I204"/>
    <mergeCell ref="J204:K204"/>
    <mergeCell ref="L204:M204"/>
    <mergeCell ref="N204:O204"/>
    <mergeCell ref="P204:Q204"/>
    <mergeCell ref="R204:S204"/>
    <mergeCell ref="AL204:AM204"/>
    <mergeCell ref="AN204:AO204"/>
    <mergeCell ref="AP204:AQ204"/>
    <mergeCell ref="AR204:AS204"/>
    <mergeCell ref="AT204:AU204"/>
    <mergeCell ref="AV204:AW204"/>
    <mergeCell ref="AX204:AY204"/>
    <mergeCell ref="AZ204:BA204"/>
    <mergeCell ref="AH203:AI203"/>
    <mergeCell ref="AJ203:AK203"/>
    <mergeCell ref="AL203:AM203"/>
    <mergeCell ref="AN203:AO203"/>
    <mergeCell ref="AP203:AQ203"/>
    <mergeCell ref="AR203:AS203"/>
    <mergeCell ref="AT203:AU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T205:U205"/>
    <mergeCell ref="V205:W205"/>
    <mergeCell ref="X205:Y205"/>
    <mergeCell ref="Z205:AA205"/>
    <mergeCell ref="AB205:AC205"/>
    <mergeCell ref="AD205:AE205"/>
    <mergeCell ref="AF205:AG205"/>
    <mergeCell ref="AV205:AW205"/>
    <mergeCell ref="AX205:AY205"/>
    <mergeCell ref="AZ205:BA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X206:AY206"/>
    <mergeCell ref="AZ206:BA206"/>
    <mergeCell ref="AH205:AI205"/>
    <mergeCell ref="AJ205:AK205"/>
    <mergeCell ref="AL205:AM205"/>
    <mergeCell ref="AN205:AO205"/>
    <mergeCell ref="AP205:AQ205"/>
    <mergeCell ref="AR205:AS205"/>
    <mergeCell ref="AT205:AU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T207:U207"/>
    <mergeCell ref="V207:W207"/>
    <mergeCell ref="X207:Y207"/>
    <mergeCell ref="Z207:AA207"/>
    <mergeCell ref="AB207:AC207"/>
    <mergeCell ref="AD207:AE207"/>
    <mergeCell ref="AF207:AG207"/>
    <mergeCell ref="AV207:AW207"/>
    <mergeCell ref="AX207:AY207"/>
    <mergeCell ref="AZ207:BA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L208:AM208"/>
    <mergeCell ref="AN208:AO208"/>
    <mergeCell ref="AP208:AQ208"/>
    <mergeCell ref="AR208:AS208"/>
    <mergeCell ref="AT208:AU208"/>
    <mergeCell ref="AV208:AW208"/>
    <mergeCell ref="AX208:AY208"/>
    <mergeCell ref="AZ208:BA208"/>
    <mergeCell ref="AH207:AI207"/>
    <mergeCell ref="AJ207:AK207"/>
    <mergeCell ref="AL207:AM207"/>
    <mergeCell ref="AN207:AO207"/>
    <mergeCell ref="AP207:AQ207"/>
    <mergeCell ref="AR207:AS207"/>
    <mergeCell ref="AT207:AU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T209:U209"/>
    <mergeCell ref="V209:W209"/>
    <mergeCell ref="X209:Y209"/>
    <mergeCell ref="Z209:AA209"/>
    <mergeCell ref="AB209:AC209"/>
    <mergeCell ref="AD209:AE209"/>
    <mergeCell ref="AF209:AG209"/>
    <mergeCell ref="AV209:AW209"/>
    <mergeCell ref="AX209:AY209"/>
    <mergeCell ref="AZ209:BA209"/>
    <mergeCell ref="F209:G209"/>
    <mergeCell ref="H209:I209"/>
    <mergeCell ref="J209:K209"/>
    <mergeCell ref="L209:M209"/>
    <mergeCell ref="N209:O209"/>
    <mergeCell ref="P209:Q209"/>
    <mergeCell ref="R209:S209"/>
    <mergeCell ref="F210:G210"/>
    <mergeCell ref="H210:I210"/>
    <mergeCell ref="J210:K210"/>
    <mergeCell ref="L210:M210"/>
    <mergeCell ref="N210:O210"/>
    <mergeCell ref="P210:Q210"/>
    <mergeCell ref="R210:S210"/>
    <mergeCell ref="AL210:AM210"/>
    <mergeCell ref="AN210:AO210"/>
    <mergeCell ref="AP210:AQ210"/>
    <mergeCell ref="AR210:AS210"/>
    <mergeCell ref="AT210:AU210"/>
    <mergeCell ref="AV210:AW210"/>
    <mergeCell ref="AX210:AY210"/>
    <mergeCell ref="AZ210:BA210"/>
    <mergeCell ref="AH209:AI209"/>
    <mergeCell ref="AJ209:AK209"/>
    <mergeCell ref="AL209:AM209"/>
    <mergeCell ref="AN209:AO209"/>
    <mergeCell ref="AP209:AQ209"/>
    <mergeCell ref="AR209:AS209"/>
    <mergeCell ref="AT209:AU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T211:U211"/>
    <mergeCell ref="V211:W211"/>
    <mergeCell ref="X211:Y211"/>
    <mergeCell ref="Z211:AA211"/>
    <mergeCell ref="AB211:AC211"/>
    <mergeCell ref="AD211:AE211"/>
    <mergeCell ref="AF211:AG211"/>
    <mergeCell ref="AV211:AW211"/>
    <mergeCell ref="AX211:AY211"/>
    <mergeCell ref="AZ211:BA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L212:AM212"/>
    <mergeCell ref="AN212:AO212"/>
    <mergeCell ref="AP212:AQ212"/>
    <mergeCell ref="AR212:AS212"/>
    <mergeCell ref="AT212:AU212"/>
    <mergeCell ref="AV212:AW212"/>
    <mergeCell ref="AX212:AY212"/>
    <mergeCell ref="AZ212:BA212"/>
    <mergeCell ref="AH211:AI211"/>
    <mergeCell ref="AJ211:AK211"/>
    <mergeCell ref="AL211:AM211"/>
    <mergeCell ref="AN211:AO211"/>
    <mergeCell ref="AP211:AQ211"/>
    <mergeCell ref="AR211:AS211"/>
    <mergeCell ref="AT211:AU211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49" width="3.67"/>
    <col customWidth="1" min="50" max="50" width="10.78"/>
    <col customWidth="1" min="51" max="51" width="9.0"/>
    <col customWidth="1" min="52" max="52" width="8.0"/>
    <col customWidth="1" min="53" max="53" width="11.44"/>
    <col customWidth="1" min="54" max="54" width="8.0"/>
  </cols>
  <sheetData>
    <row r="1" ht="15.75" customHeight="1">
      <c r="A1" s="18" t="s">
        <v>51</v>
      </c>
      <c r="B1" s="19"/>
      <c r="C1" s="19"/>
      <c r="D1" s="19"/>
      <c r="E1" s="20"/>
      <c r="F1" s="21" t="s">
        <v>15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22" t="s">
        <v>16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20"/>
      <c r="AD1" s="21" t="s">
        <v>17</v>
      </c>
      <c r="AE1" s="19"/>
      <c r="AF1" s="19"/>
      <c r="AG1" s="19"/>
      <c r="AH1" s="19"/>
      <c r="AI1" s="20"/>
      <c r="AJ1" s="22" t="s">
        <v>18</v>
      </c>
      <c r="AK1" s="20"/>
      <c r="AL1" s="77" t="s">
        <v>19</v>
      </c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24" t="s">
        <v>20</v>
      </c>
      <c r="AY1" s="25"/>
      <c r="AZ1" s="25"/>
      <c r="BA1" s="25"/>
      <c r="BB1" s="26"/>
    </row>
    <row r="2" ht="147.0" customHeight="1">
      <c r="A2" s="27" t="s">
        <v>21</v>
      </c>
      <c r="B2" s="28" t="s">
        <v>2</v>
      </c>
      <c r="C2" s="28" t="s">
        <v>22</v>
      </c>
      <c r="D2" s="28" t="s">
        <v>23</v>
      </c>
      <c r="E2" s="28" t="s">
        <v>24</v>
      </c>
      <c r="F2" s="29" t="s">
        <v>25</v>
      </c>
      <c r="G2" s="30">
        <v>22.25</v>
      </c>
      <c r="H2" s="29" t="s">
        <v>26</v>
      </c>
      <c r="I2" s="30">
        <v>22.25</v>
      </c>
      <c r="J2" s="29" t="s">
        <v>27</v>
      </c>
      <c r="K2" s="30">
        <v>22.25</v>
      </c>
      <c r="L2" s="31" t="s">
        <v>28</v>
      </c>
      <c r="M2" s="30">
        <v>22.25</v>
      </c>
      <c r="N2" s="31" t="s">
        <v>29</v>
      </c>
      <c r="O2" s="30">
        <v>22.25</v>
      </c>
      <c r="P2" s="31" t="s">
        <v>30</v>
      </c>
      <c r="Q2" s="30">
        <v>1.64</v>
      </c>
      <c r="R2" s="29" t="s">
        <v>25</v>
      </c>
      <c r="S2" s="30">
        <v>11.12</v>
      </c>
      <c r="T2" s="29" t="s">
        <v>26</v>
      </c>
      <c r="U2" s="30">
        <v>11.12</v>
      </c>
      <c r="V2" s="29" t="s">
        <v>27</v>
      </c>
      <c r="W2" s="30">
        <v>11.12</v>
      </c>
      <c r="X2" s="29" t="s">
        <v>31</v>
      </c>
      <c r="Y2" s="32">
        <v>0.0</v>
      </c>
      <c r="Z2" s="29" t="s">
        <v>31</v>
      </c>
      <c r="AA2" s="32">
        <v>0.0</v>
      </c>
      <c r="AB2" s="29" t="s">
        <v>31</v>
      </c>
      <c r="AC2" s="32">
        <v>0.0</v>
      </c>
      <c r="AD2" s="29" t="s">
        <v>25</v>
      </c>
      <c r="AE2" s="30">
        <v>15.89</v>
      </c>
      <c r="AF2" s="31" t="s">
        <v>32</v>
      </c>
      <c r="AG2" s="30">
        <v>15.89</v>
      </c>
      <c r="AH2" s="31" t="s">
        <v>33</v>
      </c>
      <c r="AI2" s="30">
        <v>15.89</v>
      </c>
      <c r="AJ2" s="31" t="s">
        <v>34</v>
      </c>
      <c r="AK2" s="30">
        <v>15.89</v>
      </c>
      <c r="AL2" s="33" t="s">
        <v>35</v>
      </c>
      <c r="AM2" s="34">
        <v>27404.0</v>
      </c>
      <c r="AN2" s="31" t="s">
        <v>36</v>
      </c>
      <c r="AO2" s="30">
        <v>15.0</v>
      </c>
      <c r="AP2" s="31" t="s">
        <v>37</v>
      </c>
      <c r="AQ2" s="30">
        <v>1.64</v>
      </c>
      <c r="AR2" s="31" t="s">
        <v>38</v>
      </c>
      <c r="AS2" s="30">
        <v>1.64</v>
      </c>
      <c r="AT2" s="31" t="s">
        <v>39</v>
      </c>
      <c r="AU2" s="30">
        <v>35.0</v>
      </c>
      <c r="AV2" s="31" t="s">
        <v>40</v>
      </c>
      <c r="AW2" s="30">
        <v>11.12</v>
      </c>
      <c r="AX2" s="35" t="s">
        <v>41</v>
      </c>
      <c r="AY2" s="35" t="s">
        <v>42</v>
      </c>
      <c r="AZ2" s="35" t="s">
        <v>43</v>
      </c>
      <c r="BA2" s="35" t="s">
        <v>44</v>
      </c>
      <c r="BB2" s="35" t="s">
        <v>45</v>
      </c>
    </row>
    <row r="3" ht="15.75" customHeight="1">
      <c r="A3" s="36" t="s">
        <v>46</v>
      </c>
      <c r="B3" s="37">
        <v>45656.0</v>
      </c>
      <c r="C3" s="38">
        <v>1.0</v>
      </c>
      <c r="D3" s="39" t="s">
        <v>47</v>
      </c>
      <c r="E3" s="40"/>
      <c r="F3" s="41"/>
      <c r="H3" s="42"/>
      <c r="J3" s="42"/>
      <c r="L3" s="42"/>
      <c r="N3" s="42"/>
      <c r="P3" s="42"/>
      <c r="Q3" s="43"/>
      <c r="R3" s="41"/>
      <c r="T3" s="42"/>
      <c r="V3" s="42"/>
      <c r="X3" s="42"/>
      <c r="Z3" s="42"/>
      <c r="AB3" s="42"/>
      <c r="AC3" s="43"/>
      <c r="AD3" s="42"/>
      <c r="AF3" s="42"/>
      <c r="AH3" s="42"/>
      <c r="AJ3" s="44"/>
      <c r="AK3" s="45"/>
      <c r="AL3" s="46"/>
      <c r="AM3" s="43"/>
      <c r="AN3" s="41"/>
      <c r="AO3" s="43"/>
      <c r="AP3" s="41"/>
      <c r="AQ3" s="43"/>
      <c r="AR3" s="41"/>
      <c r="AS3" s="43"/>
      <c r="AT3" s="42"/>
      <c r="AV3" s="42"/>
      <c r="AW3" s="43"/>
      <c r="AX3" s="47">
        <f t="shared" ref="AX3:AX359" si="1">(F3*G$2)+(H3*I$2)+(J3*K$2)+(L3*M$2)+(N3*O$2)+(P3*Q$2)+(R3*S$2)+(T3*U$2)+(V3*W$2)+(X3*Y$2)+(Z3*AA$2)+(AB3*AC$2)+(AN3*AO$2)+(AP3*AQ$2)+(AR3*AS$2)+(AT3*AU$2)+(AV3*AW$2)+(AD3*AE$2)+(AF3*AG$2)+(AH3*AI$2)+(AJ3*$AK$2)</f>
        <v>0</v>
      </c>
      <c r="AY3" s="38">
        <f t="shared" ref="AY3:AY359" si="2">sum(F3:AK3) + sum(AN3:AW3)</f>
        <v>0</v>
      </c>
      <c r="AZ3" s="38">
        <f t="shared" ref="AZ3:AZ359" si="3">0</f>
        <v>0</v>
      </c>
      <c r="BA3" s="38">
        <f t="shared" ref="BA3:BA359" si="4">AY3</f>
        <v>0</v>
      </c>
      <c r="BB3" s="49" t="str">
        <f t="shared" ref="BB3:BB359" si="5">iferror(AX3/BA3,"")</f>
        <v/>
      </c>
    </row>
    <row r="4" ht="15.75" customHeight="1">
      <c r="A4" s="50" t="s">
        <v>48</v>
      </c>
      <c r="B4" s="51">
        <f t="shared" ref="B4:B359" si="6">B3+1</f>
        <v>45657</v>
      </c>
      <c r="C4" s="52">
        <v>1.0</v>
      </c>
      <c r="D4" s="52" t="s">
        <v>47</v>
      </c>
      <c r="E4" s="79"/>
      <c r="F4" s="41"/>
      <c r="H4" s="42"/>
      <c r="J4" s="42"/>
      <c r="L4" s="42"/>
      <c r="N4" s="42"/>
      <c r="P4" s="42"/>
      <c r="Q4" s="43"/>
      <c r="R4" s="41"/>
      <c r="T4" s="42"/>
      <c r="V4" s="42"/>
      <c r="X4" s="42"/>
      <c r="Z4" s="42"/>
      <c r="AB4" s="42"/>
      <c r="AC4" s="43"/>
      <c r="AD4" s="42"/>
      <c r="AF4" s="42"/>
      <c r="AH4" s="42"/>
      <c r="AJ4" s="41"/>
      <c r="AK4" s="43"/>
      <c r="AL4" s="46"/>
      <c r="AM4" s="43"/>
      <c r="AN4" s="41"/>
      <c r="AO4" s="43"/>
      <c r="AP4" s="41"/>
      <c r="AQ4" s="43"/>
      <c r="AR4" s="41"/>
      <c r="AS4" s="43"/>
      <c r="AT4" s="42"/>
      <c r="AV4" s="42"/>
      <c r="AW4" s="43"/>
      <c r="AX4" s="54">
        <f t="shared" si="1"/>
        <v>0</v>
      </c>
      <c r="AY4" s="52">
        <f t="shared" si="2"/>
        <v>0</v>
      </c>
      <c r="AZ4" s="52">
        <f t="shared" si="3"/>
        <v>0</v>
      </c>
      <c r="BA4" s="52">
        <f t="shared" si="4"/>
        <v>0</v>
      </c>
      <c r="BB4" s="49" t="str">
        <f t="shared" si="5"/>
        <v/>
      </c>
    </row>
    <row r="5" ht="15.75" customHeight="1">
      <c r="A5" s="50" t="s">
        <v>49</v>
      </c>
      <c r="B5" s="51">
        <f t="shared" si="6"/>
        <v>45658</v>
      </c>
      <c r="C5" s="52">
        <v>1.0</v>
      </c>
      <c r="D5" s="52" t="s">
        <v>47</v>
      </c>
      <c r="E5" s="79"/>
      <c r="F5" s="41"/>
      <c r="H5" s="42"/>
      <c r="J5" s="42"/>
      <c r="L5" s="42"/>
      <c r="N5" s="42"/>
      <c r="P5" s="42"/>
      <c r="Q5" s="43"/>
      <c r="R5" s="41"/>
      <c r="T5" s="42"/>
      <c r="V5" s="42"/>
      <c r="X5" s="42"/>
      <c r="Z5" s="42"/>
      <c r="AB5" s="42"/>
      <c r="AC5" s="43"/>
      <c r="AD5" s="42"/>
      <c r="AF5" s="42"/>
      <c r="AH5" s="42"/>
      <c r="AJ5" s="41"/>
      <c r="AK5" s="43"/>
      <c r="AL5" s="46"/>
      <c r="AM5" s="43"/>
      <c r="AN5" s="41"/>
      <c r="AO5" s="43"/>
      <c r="AP5" s="41"/>
      <c r="AQ5" s="43"/>
      <c r="AR5" s="41"/>
      <c r="AS5" s="43"/>
      <c r="AT5" s="42"/>
      <c r="AV5" s="42"/>
      <c r="AW5" s="43"/>
      <c r="AX5" s="54">
        <f t="shared" si="1"/>
        <v>0</v>
      </c>
      <c r="AY5" s="52">
        <f t="shared" si="2"/>
        <v>0</v>
      </c>
      <c r="AZ5" s="52">
        <f t="shared" si="3"/>
        <v>0</v>
      </c>
      <c r="BA5" s="52">
        <f t="shared" si="4"/>
        <v>0</v>
      </c>
      <c r="BB5" s="49" t="str">
        <f t="shared" si="5"/>
        <v/>
      </c>
    </row>
    <row r="6" ht="15.75" customHeight="1">
      <c r="A6" s="50" t="s">
        <v>50</v>
      </c>
      <c r="B6" s="51">
        <f t="shared" si="6"/>
        <v>45659</v>
      </c>
      <c r="C6" s="52">
        <v>1.0</v>
      </c>
      <c r="D6" s="52" t="s">
        <v>47</v>
      </c>
      <c r="E6" s="79"/>
      <c r="F6" s="41"/>
      <c r="H6" s="42"/>
      <c r="J6" s="42"/>
      <c r="L6" s="42"/>
      <c r="N6" s="42"/>
      <c r="P6" s="42"/>
      <c r="Q6" s="43"/>
      <c r="R6" s="41"/>
      <c r="T6" s="42"/>
      <c r="V6" s="42"/>
      <c r="X6" s="42"/>
      <c r="Z6" s="42"/>
      <c r="AB6" s="42"/>
      <c r="AC6" s="43"/>
      <c r="AD6" s="42"/>
      <c r="AF6" s="42"/>
      <c r="AH6" s="42"/>
      <c r="AJ6" s="41"/>
      <c r="AK6" s="43"/>
      <c r="AL6" s="46"/>
      <c r="AM6" s="43"/>
      <c r="AN6" s="41"/>
      <c r="AO6" s="43"/>
      <c r="AP6" s="41"/>
      <c r="AQ6" s="43"/>
      <c r="AR6" s="41"/>
      <c r="AS6" s="43"/>
      <c r="AT6" s="42"/>
      <c r="AV6" s="42"/>
      <c r="AW6" s="43"/>
      <c r="AX6" s="54">
        <f t="shared" si="1"/>
        <v>0</v>
      </c>
      <c r="AY6" s="52">
        <f t="shared" si="2"/>
        <v>0</v>
      </c>
      <c r="AZ6" s="52">
        <f t="shared" si="3"/>
        <v>0</v>
      </c>
      <c r="BA6" s="52">
        <f t="shared" si="4"/>
        <v>0</v>
      </c>
      <c r="BB6" s="49" t="str">
        <f t="shared" si="5"/>
        <v/>
      </c>
    </row>
    <row r="7" ht="15.75" customHeight="1">
      <c r="A7" s="50" t="s">
        <v>53</v>
      </c>
      <c r="B7" s="51">
        <f t="shared" si="6"/>
        <v>45660</v>
      </c>
      <c r="C7" s="52">
        <v>1.0</v>
      </c>
      <c r="D7" s="52" t="s">
        <v>47</v>
      </c>
      <c r="E7" s="53"/>
      <c r="F7" s="41"/>
      <c r="H7" s="42"/>
      <c r="J7" s="42"/>
      <c r="L7" s="42"/>
      <c r="N7" s="42"/>
      <c r="P7" s="42"/>
      <c r="Q7" s="43"/>
      <c r="R7" s="41"/>
      <c r="T7" s="42"/>
      <c r="V7" s="42"/>
      <c r="X7" s="42"/>
      <c r="Z7" s="42"/>
      <c r="AB7" s="42"/>
      <c r="AC7" s="43"/>
      <c r="AD7" s="42"/>
      <c r="AF7" s="42"/>
      <c r="AH7" s="42"/>
      <c r="AJ7" s="41"/>
      <c r="AK7" s="43"/>
      <c r="AL7" s="46"/>
      <c r="AM7" s="43"/>
      <c r="AN7" s="41"/>
      <c r="AO7" s="43"/>
      <c r="AP7" s="41"/>
      <c r="AQ7" s="43"/>
      <c r="AR7" s="41"/>
      <c r="AS7" s="43"/>
      <c r="AT7" s="42"/>
      <c r="AV7" s="42"/>
      <c r="AW7" s="43"/>
      <c r="AX7" s="54">
        <f t="shared" si="1"/>
        <v>0</v>
      </c>
      <c r="AY7" s="52">
        <f t="shared" si="2"/>
        <v>0</v>
      </c>
      <c r="AZ7" s="52">
        <f t="shared" si="3"/>
        <v>0</v>
      </c>
      <c r="BA7" s="52">
        <f t="shared" si="4"/>
        <v>0</v>
      </c>
      <c r="BB7" s="49" t="str">
        <f t="shared" si="5"/>
        <v/>
      </c>
    </row>
    <row r="8" ht="15.75" customHeight="1">
      <c r="A8" s="50" t="s">
        <v>54</v>
      </c>
      <c r="B8" s="51">
        <f t="shared" si="6"/>
        <v>45661</v>
      </c>
      <c r="C8" s="52">
        <v>1.0</v>
      </c>
      <c r="D8" s="52" t="s">
        <v>47</v>
      </c>
      <c r="E8" s="53"/>
      <c r="F8" s="41"/>
      <c r="H8" s="42"/>
      <c r="J8" s="42"/>
      <c r="L8" s="42"/>
      <c r="N8" s="42"/>
      <c r="P8" s="42"/>
      <c r="Q8" s="43"/>
      <c r="R8" s="41"/>
      <c r="T8" s="42"/>
      <c r="V8" s="42"/>
      <c r="X8" s="42"/>
      <c r="Z8" s="42"/>
      <c r="AB8" s="42"/>
      <c r="AC8" s="43"/>
      <c r="AD8" s="42"/>
      <c r="AF8" s="42"/>
      <c r="AH8" s="42"/>
      <c r="AJ8" s="41"/>
      <c r="AK8" s="43"/>
      <c r="AL8" s="46"/>
      <c r="AM8" s="43"/>
      <c r="AN8" s="41"/>
      <c r="AO8" s="43"/>
      <c r="AP8" s="41"/>
      <c r="AQ8" s="43"/>
      <c r="AR8" s="41"/>
      <c r="AS8" s="43"/>
      <c r="AT8" s="42"/>
      <c r="AV8" s="42"/>
      <c r="AW8" s="43"/>
      <c r="AX8" s="54">
        <f t="shared" si="1"/>
        <v>0</v>
      </c>
      <c r="AY8" s="52">
        <f t="shared" si="2"/>
        <v>0</v>
      </c>
      <c r="AZ8" s="52">
        <f t="shared" si="3"/>
        <v>0</v>
      </c>
      <c r="BA8" s="52">
        <f t="shared" si="4"/>
        <v>0</v>
      </c>
      <c r="BB8" s="49" t="str">
        <f t="shared" si="5"/>
        <v/>
      </c>
    </row>
    <row r="9" ht="15.75" customHeight="1">
      <c r="A9" s="59" t="s">
        <v>61</v>
      </c>
      <c r="B9" s="61">
        <f t="shared" si="6"/>
        <v>45662</v>
      </c>
      <c r="C9" s="63">
        <v>1.0</v>
      </c>
      <c r="D9" s="63" t="s">
        <v>47</v>
      </c>
      <c r="E9" s="64"/>
      <c r="F9" s="65"/>
      <c r="G9" s="66"/>
      <c r="H9" s="67"/>
      <c r="I9" s="66"/>
      <c r="J9" s="67"/>
      <c r="K9" s="66"/>
      <c r="L9" s="67"/>
      <c r="M9" s="66"/>
      <c r="N9" s="67"/>
      <c r="O9" s="66"/>
      <c r="P9" s="67"/>
      <c r="Q9" s="68"/>
      <c r="R9" s="65"/>
      <c r="S9" s="66"/>
      <c r="T9" s="67"/>
      <c r="U9" s="66"/>
      <c r="V9" s="67"/>
      <c r="W9" s="66"/>
      <c r="X9" s="67"/>
      <c r="Y9" s="66"/>
      <c r="Z9" s="67"/>
      <c r="AA9" s="66"/>
      <c r="AB9" s="67"/>
      <c r="AC9" s="68"/>
      <c r="AD9" s="67"/>
      <c r="AE9" s="66"/>
      <c r="AF9" s="67"/>
      <c r="AG9" s="66"/>
      <c r="AH9" s="67"/>
      <c r="AI9" s="66"/>
      <c r="AJ9" s="65"/>
      <c r="AK9" s="68"/>
      <c r="AL9" s="71"/>
      <c r="AM9" s="68"/>
      <c r="AN9" s="65"/>
      <c r="AO9" s="68"/>
      <c r="AP9" s="65"/>
      <c r="AQ9" s="68"/>
      <c r="AR9" s="65"/>
      <c r="AS9" s="68"/>
      <c r="AT9" s="67"/>
      <c r="AU9" s="66"/>
      <c r="AV9" s="67"/>
      <c r="AW9" s="68"/>
      <c r="AX9" s="73">
        <f t="shared" si="1"/>
        <v>0</v>
      </c>
      <c r="AY9" s="63">
        <f t="shared" si="2"/>
        <v>0</v>
      </c>
      <c r="AZ9" s="63">
        <f t="shared" si="3"/>
        <v>0</v>
      </c>
      <c r="BA9" s="63">
        <f t="shared" si="4"/>
        <v>0</v>
      </c>
      <c r="BB9" s="74" t="str">
        <f t="shared" si="5"/>
        <v/>
      </c>
    </row>
    <row r="10" ht="15.75" customHeight="1">
      <c r="A10" s="36" t="s">
        <v>46</v>
      </c>
      <c r="B10" s="75">
        <f t="shared" si="6"/>
        <v>45663</v>
      </c>
      <c r="C10" s="38">
        <v>1.0</v>
      </c>
      <c r="D10" s="38" t="s">
        <v>65</v>
      </c>
      <c r="E10" s="40"/>
      <c r="F10" s="85"/>
      <c r="H10" s="86"/>
      <c r="J10" s="86"/>
      <c r="L10" s="86"/>
      <c r="N10" s="86"/>
      <c r="P10" s="86"/>
      <c r="Q10" s="43"/>
      <c r="R10" s="85">
        <v>65.0</v>
      </c>
      <c r="T10" s="86">
        <v>73.0</v>
      </c>
      <c r="V10" s="86"/>
      <c r="X10" s="86"/>
      <c r="Z10" s="86"/>
      <c r="AB10" s="86"/>
      <c r="AC10" s="43"/>
      <c r="AD10" s="86"/>
      <c r="AF10" s="86"/>
      <c r="AH10" s="86"/>
      <c r="AJ10" s="85"/>
      <c r="AK10" s="43"/>
      <c r="AL10" s="85"/>
      <c r="AM10" s="43"/>
      <c r="AN10" s="85"/>
      <c r="AO10" s="43"/>
      <c r="AP10" s="85"/>
      <c r="AQ10" s="43"/>
      <c r="AR10" s="85"/>
      <c r="AS10" s="43"/>
      <c r="AT10" s="86"/>
      <c r="AV10" s="86"/>
      <c r="AW10" s="43"/>
      <c r="AX10" s="47">
        <f t="shared" si="1"/>
        <v>1534.56</v>
      </c>
      <c r="AY10" s="38">
        <f t="shared" si="2"/>
        <v>138</v>
      </c>
      <c r="AZ10" s="38">
        <f t="shared" si="3"/>
        <v>0</v>
      </c>
      <c r="BA10" s="38">
        <f t="shared" si="4"/>
        <v>138</v>
      </c>
      <c r="BB10" s="76">
        <f t="shared" si="5"/>
        <v>11.12</v>
      </c>
    </row>
    <row r="11" ht="15.75" customHeight="1">
      <c r="A11" s="50" t="s">
        <v>48</v>
      </c>
      <c r="B11" s="51">
        <f t="shared" si="6"/>
        <v>45664</v>
      </c>
      <c r="C11" s="52">
        <v>1.0</v>
      </c>
      <c r="D11" s="52" t="s">
        <v>65</v>
      </c>
      <c r="E11" s="53"/>
      <c r="F11" s="85"/>
      <c r="H11" s="86"/>
      <c r="J11" s="86"/>
      <c r="L11" s="86"/>
      <c r="N11" s="86"/>
      <c r="P11" s="86"/>
      <c r="Q11" s="43"/>
      <c r="R11" s="85">
        <v>79.0</v>
      </c>
      <c r="T11" s="86">
        <v>89.0</v>
      </c>
      <c r="V11" s="86"/>
      <c r="X11" s="86"/>
      <c r="Z11" s="86"/>
      <c r="AB11" s="86"/>
      <c r="AC11" s="43"/>
      <c r="AD11" s="86"/>
      <c r="AF11" s="86"/>
      <c r="AH11" s="86"/>
      <c r="AJ11" s="85"/>
      <c r="AK11" s="43"/>
      <c r="AL11" s="85"/>
      <c r="AM11" s="43"/>
      <c r="AN11" s="85"/>
      <c r="AO11" s="43"/>
      <c r="AP11" s="85"/>
      <c r="AQ11" s="43"/>
      <c r="AR11" s="85"/>
      <c r="AS11" s="43"/>
      <c r="AT11" s="86"/>
      <c r="AV11" s="86"/>
      <c r="AW11" s="43"/>
      <c r="AX11" s="54">
        <f t="shared" si="1"/>
        <v>1868.16</v>
      </c>
      <c r="AY11" s="52">
        <f t="shared" si="2"/>
        <v>168</v>
      </c>
      <c r="AZ11" s="52">
        <f t="shared" si="3"/>
        <v>0</v>
      </c>
      <c r="BA11" s="52">
        <f t="shared" si="4"/>
        <v>168</v>
      </c>
      <c r="BB11" s="49">
        <f t="shared" si="5"/>
        <v>11.12</v>
      </c>
    </row>
    <row r="12" ht="15.75" customHeight="1">
      <c r="A12" s="50" t="s">
        <v>49</v>
      </c>
      <c r="B12" s="51">
        <f t="shared" si="6"/>
        <v>45665</v>
      </c>
      <c r="C12" s="52">
        <v>1.0</v>
      </c>
      <c r="D12" s="52" t="s">
        <v>65</v>
      </c>
      <c r="E12" s="53"/>
      <c r="F12" s="85"/>
      <c r="H12" s="86"/>
      <c r="J12" s="86"/>
      <c r="L12" s="86"/>
      <c r="N12" s="86"/>
      <c r="P12" s="86"/>
      <c r="Q12" s="43"/>
      <c r="R12" s="85">
        <v>83.0</v>
      </c>
      <c r="T12" s="86">
        <v>88.0</v>
      </c>
      <c r="V12" s="86"/>
      <c r="X12" s="86"/>
      <c r="Z12" s="86"/>
      <c r="AB12" s="86"/>
      <c r="AC12" s="43"/>
      <c r="AD12" s="86"/>
      <c r="AF12" s="86"/>
      <c r="AH12" s="86"/>
      <c r="AJ12" s="85"/>
      <c r="AK12" s="43"/>
      <c r="AL12" s="85"/>
      <c r="AM12" s="43"/>
      <c r="AN12" s="85"/>
      <c r="AO12" s="43"/>
      <c r="AP12" s="85"/>
      <c r="AQ12" s="43"/>
      <c r="AR12" s="85"/>
      <c r="AS12" s="43"/>
      <c r="AT12" s="86"/>
      <c r="AV12" s="86"/>
      <c r="AW12" s="43"/>
      <c r="AX12" s="54">
        <f t="shared" si="1"/>
        <v>1901.52</v>
      </c>
      <c r="AY12" s="52">
        <f t="shared" si="2"/>
        <v>171</v>
      </c>
      <c r="AZ12" s="52">
        <f t="shared" si="3"/>
        <v>0</v>
      </c>
      <c r="BA12" s="52">
        <f t="shared" si="4"/>
        <v>171</v>
      </c>
      <c r="BB12" s="49">
        <f t="shared" si="5"/>
        <v>11.12</v>
      </c>
    </row>
    <row r="13" ht="15.75" customHeight="1">
      <c r="A13" s="50" t="s">
        <v>50</v>
      </c>
      <c r="B13" s="51">
        <f t="shared" si="6"/>
        <v>45666</v>
      </c>
      <c r="C13" s="52">
        <v>1.0</v>
      </c>
      <c r="D13" s="52" t="s">
        <v>65</v>
      </c>
      <c r="E13" s="53"/>
      <c r="F13" s="85"/>
      <c r="H13" s="86"/>
      <c r="J13" s="86"/>
      <c r="L13" s="86"/>
      <c r="N13" s="86"/>
      <c r="P13" s="86"/>
      <c r="Q13" s="43"/>
      <c r="R13" s="85">
        <v>72.0</v>
      </c>
      <c r="T13" s="86">
        <v>96.0</v>
      </c>
      <c r="V13" s="86"/>
      <c r="X13" s="86"/>
      <c r="Z13" s="86"/>
      <c r="AB13" s="86"/>
      <c r="AC13" s="43"/>
      <c r="AD13" s="86"/>
      <c r="AF13" s="86"/>
      <c r="AH13" s="86"/>
      <c r="AJ13" s="85"/>
      <c r="AK13" s="43"/>
      <c r="AL13" s="85"/>
      <c r="AM13" s="43"/>
      <c r="AN13" s="85"/>
      <c r="AO13" s="43"/>
      <c r="AP13" s="85"/>
      <c r="AQ13" s="43"/>
      <c r="AR13" s="85"/>
      <c r="AS13" s="43"/>
      <c r="AT13" s="86"/>
      <c r="AV13" s="86"/>
      <c r="AW13" s="43"/>
      <c r="AX13" s="54">
        <f t="shared" si="1"/>
        <v>1868.16</v>
      </c>
      <c r="AY13" s="52">
        <f t="shared" si="2"/>
        <v>168</v>
      </c>
      <c r="AZ13" s="52">
        <f t="shared" si="3"/>
        <v>0</v>
      </c>
      <c r="BA13" s="52">
        <f t="shared" si="4"/>
        <v>168</v>
      </c>
      <c r="BB13" s="49">
        <f t="shared" si="5"/>
        <v>11.12</v>
      </c>
    </row>
    <row r="14" ht="15.75" customHeight="1">
      <c r="A14" s="50" t="s">
        <v>53</v>
      </c>
      <c r="B14" s="51">
        <f t="shared" si="6"/>
        <v>45667</v>
      </c>
      <c r="C14" s="52">
        <v>1.0</v>
      </c>
      <c r="D14" s="52" t="s">
        <v>65</v>
      </c>
      <c r="E14" s="53"/>
      <c r="F14" s="85"/>
      <c r="H14" s="86"/>
      <c r="J14" s="86"/>
      <c r="L14" s="86"/>
      <c r="N14" s="86"/>
      <c r="P14" s="86"/>
      <c r="Q14" s="43"/>
      <c r="R14" s="85">
        <v>87.0</v>
      </c>
      <c r="T14" s="86">
        <v>86.0</v>
      </c>
      <c r="V14" s="86"/>
      <c r="X14" s="86"/>
      <c r="Z14" s="86"/>
      <c r="AB14" s="86"/>
      <c r="AC14" s="43"/>
      <c r="AD14" s="86"/>
      <c r="AF14" s="86"/>
      <c r="AH14" s="86"/>
      <c r="AJ14" s="85"/>
      <c r="AK14" s="43"/>
      <c r="AL14" s="85"/>
      <c r="AM14" s="43"/>
      <c r="AN14" s="85"/>
      <c r="AO14" s="43"/>
      <c r="AP14" s="85"/>
      <c r="AQ14" s="43"/>
      <c r="AR14" s="85"/>
      <c r="AS14" s="43"/>
      <c r="AT14" s="86"/>
      <c r="AV14" s="86"/>
      <c r="AW14" s="43"/>
      <c r="AX14" s="54">
        <f t="shared" si="1"/>
        <v>1923.76</v>
      </c>
      <c r="AY14" s="52">
        <f t="shared" si="2"/>
        <v>173</v>
      </c>
      <c r="AZ14" s="52">
        <f t="shared" si="3"/>
        <v>0</v>
      </c>
      <c r="BA14" s="52">
        <f t="shared" si="4"/>
        <v>173</v>
      </c>
      <c r="BB14" s="49">
        <f t="shared" si="5"/>
        <v>11.12</v>
      </c>
    </row>
    <row r="15" ht="15.75" customHeight="1">
      <c r="A15" s="50" t="s">
        <v>54</v>
      </c>
      <c r="B15" s="51">
        <f t="shared" si="6"/>
        <v>45668</v>
      </c>
      <c r="C15" s="52">
        <v>1.0</v>
      </c>
      <c r="D15" s="52" t="s">
        <v>65</v>
      </c>
      <c r="E15" s="53"/>
      <c r="F15" s="85"/>
      <c r="H15" s="86"/>
      <c r="J15" s="86"/>
      <c r="L15" s="86"/>
      <c r="N15" s="86"/>
      <c r="P15" s="86"/>
      <c r="Q15" s="43"/>
      <c r="R15" s="85">
        <v>0.0</v>
      </c>
      <c r="T15" s="86">
        <v>0.0</v>
      </c>
      <c r="V15" s="86"/>
      <c r="X15" s="86"/>
      <c r="Z15" s="86"/>
      <c r="AB15" s="86"/>
      <c r="AC15" s="43"/>
      <c r="AD15" s="86"/>
      <c r="AF15" s="86"/>
      <c r="AH15" s="86"/>
      <c r="AJ15" s="85"/>
      <c r="AK15" s="43"/>
      <c r="AL15" s="85"/>
      <c r="AM15" s="43"/>
      <c r="AN15" s="85"/>
      <c r="AO15" s="43"/>
      <c r="AP15" s="85"/>
      <c r="AQ15" s="43"/>
      <c r="AR15" s="85"/>
      <c r="AS15" s="43"/>
      <c r="AT15" s="86"/>
      <c r="AV15" s="86"/>
      <c r="AW15" s="43"/>
      <c r="AX15" s="54">
        <f t="shared" si="1"/>
        <v>0</v>
      </c>
      <c r="AY15" s="52">
        <f t="shared" si="2"/>
        <v>0</v>
      </c>
      <c r="AZ15" s="52">
        <f t="shared" si="3"/>
        <v>0</v>
      </c>
      <c r="BA15" s="52">
        <f t="shared" si="4"/>
        <v>0</v>
      </c>
      <c r="BB15" s="49" t="str">
        <f t="shared" si="5"/>
        <v/>
      </c>
    </row>
    <row r="16" ht="15.75" customHeight="1">
      <c r="A16" s="59" t="s">
        <v>61</v>
      </c>
      <c r="B16" s="61">
        <f t="shared" si="6"/>
        <v>45669</v>
      </c>
      <c r="C16" s="63">
        <v>1.0</v>
      </c>
      <c r="D16" s="63" t="s">
        <v>65</v>
      </c>
      <c r="E16" s="64"/>
      <c r="F16" s="87"/>
      <c r="G16" s="66"/>
      <c r="H16" s="88"/>
      <c r="I16" s="66"/>
      <c r="J16" s="88"/>
      <c r="K16" s="66"/>
      <c r="L16" s="88"/>
      <c r="M16" s="66"/>
      <c r="N16" s="88"/>
      <c r="O16" s="66"/>
      <c r="P16" s="88"/>
      <c r="Q16" s="68"/>
      <c r="R16" s="87">
        <v>0.0</v>
      </c>
      <c r="S16" s="66"/>
      <c r="T16" s="88">
        <v>0.0</v>
      </c>
      <c r="U16" s="66"/>
      <c r="V16" s="88"/>
      <c r="W16" s="66"/>
      <c r="X16" s="88"/>
      <c r="Y16" s="66"/>
      <c r="Z16" s="88"/>
      <c r="AA16" s="66"/>
      <c r="AB16" s="88"/>
      <c r="AC16" s="68"/>
      <c r="AD16" s="88"/>
      <c r="AE16" s="66"/>
      <c r="AF16" s="88"/>
      <c r="AG16" s="66"/>
      <c r="AH16" s="88"/>
      <c r="AI16" s="66"/>
      <c r="AJ16" s="87"/>
      <c r="AK16" s="68"/>
      <c r="AL16" s="87"/>
      <c r="AM16" s="68"/>
      <c r="AN16" s="87"/>
      <c r="AO16" s="68"/>
      <c r="AP16" s="87"/>
      <c r="AQ16" s="68"/>
      <c r="AR16" s="87"/>
      <c r="AS16" s="68"/>
      <c r="AT16" s="88"/>
      <c r="AU16" s="66"/>
      <c r="AV16" s="88"/>
      <c r="AW16" s="68"/>
      <c r="AX16" s="73">
        <f t="shared" si="1"/>
        <v>0</v>
      </c>
      <c r="AY16" s="63">
        <f t="shared" si="2"/>
        <v>0</v>
      </c>
      <c r="AZ16" s="63">
        <f t="shared" si="3"/>
        <v>0</v>
      </c>
      <c r="BA16" s="63">
        <f t="shared" si="4"/>
        <v>0</v>
      </c>
      <c r="BB16" s="74" t="str">
        <f t="shared" si="5"/>
        <v/>
      </c>
    </row>
    <row r="17" ht="15.75" customHeight="1">
      <c r="A17" s="36" t="s">
        <v>46</v>
      </c>
      <c r="B17" s="75">
        <f t="shared" si="6"/>
        <v>45670</v>
      </c>
      <c r="C17" s="38">
        <v>1.0</v>
      </c>
      <c r="D17" s="38" t="s">
        <v>69</v>
      </c>
      <c r="E17" s="82"/>
      <c r="F17" s="85">
        <v>4.0</v>
      </c>
      <c r="H17" s="86">
        <v>9.0</v>
      </c>
      <c r="J17" s="86"/>
      <c r="L17" s="86"/>
      <c r="N17" s="86"/>
      <c r="P17" s="86"/>
      <c r="Q17" s="43"/>
      <c r="R17" s="85">
        <v>100.0</v>
      </c>
      <c r="T17" s="86">
        <v>91.0</v>
      </c>
      <c r="V17" s="86"/>
      <c r="X17" s="86"/>
      <c r="Z17" s="86"/>
      <c r="AB17" s="86"/>
      <c r="AC17" s="43"/>
      <c r="AD17" s="86"/>
      <c r="AF17" s="86"/>
      <c r="AH17" s="86"/>
      <c r="AJ17" s="85"/>
      <c r="AK17" s="43"/>
      <c r="AL17" s="85"/>
      <c r="AM17" s="43"/>
      <c r="AN17" s="85"/>
      <c r="AO17" s="43"/>
      <c r="AP17" s="85"/>
      <c r="AQ17" s="43"/>
      <c r="AR17" s="85"/>
      <c r="AS17" s="43"/>
      <c r="AT17" s="86"/>
      <c r="AV17" s="86"/>
      <c r="AW17" s="43"/>
      <c r="AX17" s="47">
        <f t="shared" si="1"/>
        <v>2413.17</v>
      </c>
      <c r="AY17" s="38">
        <f t="shared" si="2"/>
        <v>204</v>
      </c>
      <c r="AZ17" s="38">
        <f t="shared" si="3"/>
        <v>0</v>
      </c>
      <c r="BA17" s="38">
        <f t="shared" si="4"/>
        <v>204</v>
      </c>
      <c r="BB17" s="76">
        <f t="shared" si="5"/>
        <v>11.82926471</v>
      </c>
    </row>
    <row r="18" ht="15.75" customHeight="1">
      <c r="A18" s="50" t="s">
        <v>48</v>
      </c>
      <c r="B18" s="51">
        <f t="shared" si="6"/>
        <v>45671</v>
      </c>
      <c r="C18" s="52">
        <v>1.0</v>
      </c>
      <c r="D18" s="52" t="s">
        <v>69</v>
      </c>
      <c r="E18" s="53"/>
      <c r="F18" s="85">
        <v>6.0</v>
      </c>
      <c r="H18" s="86">
        <v>9.0</v>
      </c>
      <c r="J18" s="86"/>
      <c r="L18" s="86"/>
      <c r="N18" s="86"/>
      <c r="P18" s="86"/>
      <c r="Q18" s="43"/>
      <c r="R18" s="85">
        <v>93.0</v>
      </c>
      <c r="T18" s="86">
        <v>96.0</v>
      </c>
      <c r="V18" s="86"/>
      <c r="X18" s="86"/>
      <c r="Z18" s="86"/>
      <c r="AB18" s="86"/>
      <c r="AC18" s="43"/>
      <c r="AD18" s="86"/>
      <c r="AF18" s="86"/>
      <c r="AH18" s="86"/>
      <c r="AJ18" s="85"/>
      <c r="AK18" s="43"/>
      <c r="AL18" s="85"/>
      <c r="AM18" s="43"/>
      <c r="AN18" s="85"/>
      <c r="AO18" s="43"/>
      <c r="AP18" s="85"/>
      <c r="AQ18" s="43"/>
      <c r="AR18" s="85"/>
      <c r="AS18" s="43"/>
      <c r="AT18" s="86"/>
      <c r="AV18" s="86"/>
      <c r="AW18" s="43"/>
      <c r="AX18" s="54">
        <f t="shared" si="1"/>
        <v>2435.43</v>
      </c>
      <c r="AY18" s="52">
        <f t="shared" si="2"/>
        <v>204</v>
      </c>
      <c r="AZ18" s="52">
        <f t="shared" si="3"/>
        <v>0</v>
      </c>
      <c r="BA18" s="52">
        <f t="shared" si="4"/>
        <v>204</v>
      </c>
      <c r="BB18" s="49">
        <f t="shared" si="5"/>
        <v>11.93838235</v>
      </c>
    </row>
    <row r="19" ht="15.75" customHeight="1">
      <c r="A19" s="50" t="s">
        <v>49</v>
      </c>
      <c r="B19" s="51">
        <f t="shared" si="6"/>
        <v>45672</v>
      </c>
      <c r="C19" s="52">
        <v>1.0</v>
      </c>
      <c r="D19" s="52" t="s">
        <v>69</v>
      </c>
      <c r="E19" s="53"/>
      <c r="F19" s="85">
        <v>12.0</v>
      </c>
      <c r="H19" s="86">
        <v>12.0</v>
      </c>
      <c r="J19" s="86"/>
      <c r="L19" s="86"/>
      <c r="N19" s="86"/>
      <c r="P19" s="86"/>
      <c r="Q19" s="43"/>
      <c r="R19" s="85">
        <v>76.0</v>
      </c>
      <c r="T19" s="86">
        <v>103.0</v>
      </c>
      <c r="V19" s="86"/>
      <c r="X19" s="86"/>
      <c r="Z19" s="86"/>
      <c r="AB19" s="86"/>
      <c r="AC19" s="43"/>
      <c r="AD19" s="86"/>
      <c r="AF19" s="86"/>
      <c r="AH19" s="86"/>
      <c r="AJ19" s="85"/>
      <c r="AK19" s="43"/>
      <c r="AL19" s="85"/>
      <c r="AM19" s="43"/>
      <c r="AN19" s="85"/>
      <c r="AO19" s="43"/>
      <c r="AP19" s="85"/>
      <c r="AQ19" s="43"/>
      <c r="AR19" s="85"/>
      <c r="AS19" s="43"/>
      <c r="AT19" s="86"/>
      <c r="AV19" s="86"/>
      <c r="AW19" s="43"/>
      <c r="AX19" s="54">
        <f t="shared" si="1"/>
        <v>2524.48</v>
      </c>
      <c r="AY19" s="52">
        <f t="shared" si="2"/>
        <v>203</v>
      </c>
      <c r="AZ19" s="52">
        <f t="shared" si="3"/>
        <v>0</v>
      </c>
      <c r="BA19" s="52">
        <f t="shared" si="4"/>
        <v>203</v>
      </c>
      <c r="BB19" s="49">
        <f t="shared" si="5"/>
        <v>12.43586207</v>
      </c>
    </row>
    <row r="20" ht="15.75" customHeight="1">
      <c r="A20" s="50" t="s">
        <v>50</v>
      </c>
      <c r="B20" s="51">
        <f t="shared" si="6"/>
        <v>45673</v>
      </c>
      <c r="C20" s="52">
        <v>1.0</v>
      </c>
      <c r="D20" s="52" t="s">
        <v>69</v>
      </c>
      <c r="E20" s="53"/>
      <c r="F20" s="85">
        <v>10.0</v>
      </c>
      <c r="H20" s="86">
        <v>13.0</v>
      </c>
      <c r="J20" s="86"/>
      <c r="L20" s="86"/>
      <c r="N20" s="86"/>
      <c r="P20" s="86"/>
      <c r="Q20" s="43"/>
      <c r="R20" s="85">
        <v>93.0</v>
      </c>
      <c r="T20" s="86">
        <v>92.0</v>
      </c>
      <c r="V20" s="86"/>
      <c r="X20" s="86"/>
      <c r="Z20" s="86"/>
      <c r="AB20" s="86"/>
      <c r="AC20" s="43"/>
      <c r="AD20" s="86"/>
      <c r="AF20" s="86"/>
      <c r="AH20" s="86"/>
      <c r="AJ20" s="85"/>
      <c r="AK20" s="43"/>
      <c r="AL20" s="85"/>
      <c r="AM20" s="43"/>
      <c r="AN20" s="85"/>
      <c r="AO20" s="43"/>
      <c r="AP20" s="85"/>
      <c r="AQ20" s="43"/>
      <c r="AR20" s="85"/>
      <c r="AS20" s="43"/>
      <c r="AT20" s="86"/>
      <c r="AV20" s="86"/>
      <c r="AW20" s="43"/>
      <c r="AX20" s="54">
        <f t="shared" si="1"/>
        <v>2568.95</v>
      </c>
      <c r="AY20" s="52">
        <f t="shared" si="2"/>
        <v>208</v>
      </c>
      <c r="AZ20" s="52">
        <f t="shared" si="3"/>
        <v>0</v>
      </c>
      <c r="BA20" s="52">
        <f t="shared" si="4"/>
        <v>208</v>
      </c>
      <c r="BB20" s="49">
        <f t="shared" si="5"/>
        <v>12.35072115</v>
      </c>
    </row>
    <row r="21" ht="15.75" customHeight="1">
      <c r="A21" s="50" t="s">
        <v>53</v>
      </c>
      <c r="B21" s="51">
        <f t="shared" si="6"/>
        <v>45674</v>
      </c>
      <c r="C21" s="52">
        <v>1.0</v>
      </c>
      <c r="D21" s="52" t="s">
        <v>69</v>
      </c>
      <c r="E21" s="53"/>
      <c r="F21" s="85">
        <v>10.0</v>
      </c>
      <c r="H21" s="86">
        <v>13.0</v>
      </c>
      <c r="J21" s="86"/>
      <c r="L21" s="86"/>
      <c r="N21" s="86"/>
      <c r="P21" s="86"/>
      <c r="Q21" s="43"/>
      <c r="R21" s="85">
        <v>102.0</v>
      </c>
      <c r="T21" s="86">
        <v>106.0</v>
      </c>
      <c r="V21" s="86"/>
      <c r="X21" s="86"/>
      <c r="Z21" s="86"/>
      <c r="AB21" s="86"/>
      <c r="AC21" s="43"/>
      <c r="AD21" s="86"/>
      <c r="AF21" s="86"/>
      <c r="AH21" s="86"/>
      <c r="AJ21" s="85"/>
      <c r="AK21" s="43"/>
      <c r="AL21" s="85"/>
      <c r="AM21" s="43"/>
      <c r="AN21" s="85"/>
      <c r="AO21" s="43"/>
      <c r="AP21" s="85"/>
      <c r="AQ21" s="43"/>
      <c r="AR21" s="85"/>
      <c r="AS21" s="43"/>
      <c r="AT21" s="86"/>
      <c r="AV21" s="86"/>
      <c r="AW21" s="43"/>
      <c r="AX21" s="54">
        <f t="shared" si="1"/>
        <v>2824.71</v>
      </c>
      <c r="AY21" s="52">
        <f t="shared" si="2"/>
        <v>231</v>
      </c>
      <c r="AZ21" s="52">
        <f t="shared" si="3"/>
        <v>0</v>
      </c>
      <c r="BA21" s="52">
        <f t="shared" si="4"/>
        <v>231</v>
      </c>
      <c r="BB21" s="49">
        <f t="shared" si="5"/>
        <v>12.22818182</v>
      </c>
    </row>
    <row r="22" ht="15.75" customHeight="1">
      <c r="A22" s="50" t="s">
        <v>54</v>
      </c>
      <c r="B22" s="51">
        <f t="shared" si="6"/>
        <v>45675</v>
      </c>
      <c r="C22" s="52">
        <v>1.0</v>
      </c>
      <c r="D22" s="52" t="s">
        <v>69</v>
      </c>
      <c r="E22" s="53"/>
      <c r="F22" s="85"/>
      <c r="H22" s="86"/>
      <c r="J22" s="86"/>
      <c r="L22" s="86"/>
      <c r="N22" s="86"/>
      <c r="P22" s="86"/>
      <c r="Q22" s="43"/>
      <c r="R22" s="85"/>
      <c r="T22" s="86"/>
      <c r="V22" s="86"/>
      <c r="X22" s="86"/>
      <c r="Z22" s="86"/>
      <c r="AB22" s="86"/>
      <c r="AC22" s="43"/>
      <c r="AD22" s="86"/>
      <c r="AF22" s="86"/>
      <c r="AH22" s="86"/>
      <c r="AJ22" s="85"/>
      <c r="AK22" s="43"/>
      <c r="AL22" s="85"/>
      <c r="AM22" s="43"/>
      <c r="AN22" s="85"/>
      <c r="AO22" s="43"/>
      <c r="AP22" s="85"/>
      <c r="AQ22" s="43"/>
      <c r="AR22" s="85"/>
      <c r="AS22" s="43"/>
      <c r="AT22" s="86"/>
      <c r="AV22" s="86"/>
      <c r="AW22" s="43"/>
      <c r="AX22" s="54">
        <f t="shared" si="1"/>
        <v>0</v>
      </c>
      <c r="AY22" s="52">
        <f t="shared" si="2"/>
        <v>0</v>
      </c>
      <c r="AZ22" s="52">
        <f t="shared" si="3"/>
        <v>0</v>
      </c>
      <c r="BA22" s="52">
        <f t="shared" si="4"/>
        <v>0</v>
      </c>
      <c r="BB22" s="49" t="str">
        <f t="shared" si="5"/>
        <v/>
      </c>
    </row>
    <row r="23" ht="15.75" customHeight="1">
      <c r="A23" s="59" t="s">
        <v>61</v>
      </c>
      <c r="B23" s="61">
        <f t="shared" si="6"/>
        <v>45676</v>
      </c>
      <c r="C23" s="63">
        <v>1.0</v>
      </c>
      <c r="D23" s="63" t="s">
        <v>69</v>
      </c>
      <c r="E23" s="64"/>
      <c r="F23" s="87"/>
      <c r="G23" s="66"/>
      <c r="H23" s="88"/>
      <c r="I23" s="66"/>
      <c r="J23" s="88"/>
      <c r="K23" s="66"/>
      <c r="L23" s="88"/>
      <c r="M23" s="66"/>
      <c r="N23" s="88"/>
      <c r="O23" s="66"/>
      <c r="P23" s="88"/>
      <c r="Q23" s="68"/>
      <c r="R23" s="87"/>
      <c r="S23" s="66"/>
      <c r="T23" s="88"/>
      <c r="U23" s="66"/>
      <c r="V23" s="88"/>
      <c r="W23" s="66"/>
      <c r="X23" s="88"/>
      <c r="Y23" s="66"/>
      <c r="Z23" s="88"/>
      <c r="AA23" s="66"/>
      <c r="AB23" s="88"/>
      <c r="AC23" s="68"/>
      <c r="AD23" s="88"/>
      <c r="AE23" s="66"/>
      <c r="AF23" s="88"/>
      <c r="AG23" s="66"/>
      <c r="AH23" s="88"/>
      <c r="AI23" s="66"/>
      <c r="AJ23" s="87"/>
      <c r="AK23" s="68"/>
      <c r="AL23" s="87"/>
      <c r="AM23" s="68"/>
      <c r="AN23" s="87"/>
      <c r="AO23" s="68"/>
      <c r="AP23" s="87"/>
      <c r="AQ23" s="68"/>
      <c r="AR23" s="87"/>
      <c r="AS23" s="68"/>
      <c r="AT23" s="88"/>
      <c r="AU23" s="66"/>
      <c r="AV23" s="88"/>
      <c r="AW23" s="68"/>
      <c r="AX23" s="73">
        <f t="shared" si="1"/>
        <v>0</v>
      </c>
      <c r="AY23" s="63">
        <f t="shared" si="2"/>
        <v>0</v>
      </c>
      <c r="AZ23" s="63">
        <f t="shared" si="3"/>
        <v>0</v>
      </c>
      <c r="BA23" s="63">
        <f t="shared" si="4"/>
        <v>0</v>
      </c>
      <c r="BB23" s="74" t="str">
        <f t="shared" si="5"/>
        <v/>
      </c>
    </row>
    <row r="24" ht="15.75" customHeight="1">
      <c r="A24" s="36" t="s">
        <v>46</v>
      </c>
      <c r="B24" s="75">
        <f t="shared" si="6"/>
        <v>45677</v>
      </c>
      <c r="C24" s="38">
        <v>1.0</v>
      </c>
      <c r="D24" s="38" t="s">
        <v>72</v>
      </c>
      <c r="E24" s="82"/>
      <c r="F24" s="85">
        <v>7.0</v>
      </c>
      <c r="H24" s="86">
        <v>16.0</v>
      </c>
      <c r="J24" s="86"/>
      <c r="L24" s="86"/>
      <c r="N24" s="86"/>
      <c r="P24" s="86"/>
      <c r="Q24" s="43"/>
      <c r="R24" s="85">
        <v>135.0</v>
      </c>
      <c r="T24" s="86">
        <v>142.0</v>
      </c>
      <c r="V24" s="86"/>
      <c r="X24" s="86"/>
      <c r="Z24" s="86"/>
      <c r="AB24" s="86"/>
      <c r="AC24" s="43"/>
      <c r="AD24" s="86"/>
      <c r="AF24" s="86"/>
      <c r="AH24" s="86"/>
      <c r="AJ24" s="85"/>
      <c r="AK24" s="43"/>
      <c r="AL24" s="85"/>
      <c r="AM24" s="43"/>
      <c r="AN24" s="85"/>
      <c r="AO24" s="43"/>
      <c r="AP24" s="85"/>
      <c r="AQ24" s="43"/>
      <c r="AR24" s="85"/>
      <c r="AS24" s="43"/>
      <c r="AT24" s="86"/>
      <c r="AV24" s="86"/>
      <c r="AW24" s="43"/>
      <c r="AX24" s="47">
        <f t="shared" si="1"/>
        <v>3591.99</v>
      </c>
      <c r="AY24" s="38">
        <f t="shared" si="2"/>
        <v>300</v>
      </c>
      <c r="AZ24" s="38">
        <f t="shared" si="3"/>
        <v>0</v>
      </c>
      <c r="BA24" s="38">
        <f t="shared" si="4"/>
        <v>300</v>
      </c>
      <c r="BB24" s="76">
        <f t="shared" si="5"/>
        <v>11.9733</v>
      </c>
    </row>
    <row r="25" ht="15.75" customHeight="1">
      <c r="A25" s="50" t="s">
        <v>48</v>
      </c>
      <c r="B25" s="51">
        <f t="shared" si="6"/>
        <v>45678</v>
      </c>
      <c r="C25" s="52">
        <v>1.0</v>
      </c>
      <c r="D25" s="52" t="s">
        <v>72</v>
      </c>
      <c r="E25" s="53"/>
      <c r="F25" s="85">
        <v>21.0</v>
      </c>
      <c r="H25" s="86">
        <v>29.0</v>
      </c>
      <c r="J25" s="86"/>
      <c r="L25" s="86"/>
      <c r="N25" s="86"/>
      <c r="P25" s="86"/>
      <c r="Q25" s="43"/>
      <c r="R25" s="85">
        <v>143.0</v>
      </c>
      <c r="T25" s="86">
        <v>167.0</v>
      </c>
      <c r="V25" s="86"/>
      <c r="X25" s="86"/>
      <c r="Z25" s="86"/>
      <c r="AB25" s="86"/>
      <c r="AC25" s="43"/>
      <c r="AD25" s="86"/>
      <c r="AF25" s="86"/>
      <c r="AH25" s="86"/>
      <c r="AJ25" s="85"/>
      <c r="AK25" s="43"/>
      <c r="AL25" s="85"/>
      <c r="AM25" s="43"/>
      <c r="AN25" s="85"/>
      <c r="AO25" s="43"/>
      <c r="AP25" s="85"/>
      <c r="AQ25" s="43"/>
      <c r="AR25" s="85"/>
      <c r="AS25" s="43"/>
      <c r="AT25" s="86"/>
      <c r="AV25" s="86"/>
      <c r="AW25" s="43"/>
      <c r="AX25" s="54">
        <f t="shared" si="1"/>
        <v>4559.7</v>
      </c>
      <c r="AY25" s="52">
        <f t="shared" si="2"/>
        <v>360</v>
      </c>
      <c r="AZ25" s="52">
        <f t="shared" si="3"/>
        <v>0</v>
      </c>
      <c r="BA25" s="52">
        <f t="shared" si="4"/>
        <v>360</v>
      </c>
      <c r="BB25" s="49">
        <f t="shared" si="5"/>
        <v>12.66583333</v>
      </c>
    </row>
    <row r="26" ht="15.75" customHeight="1">
      <c r="A26" s="50" t="s">
        <v>49</v>
      </c>
      <c r="B26" s="51">
        <f t="shared" si="6"/>
        <v>45679</v>
      </c>
      <c r="C26" s="52">
        <v>1.0</v>
      </c>
      <c r="D26" s="52" t="s">
        <v>72</v>
      </c>
      <c r="E26" s="53"/>
      <c r="F26" s="85">
        <v>16.0</v>
      </c>
      <c r="H26" s="86">
        <v>19.0</v>
      </c>
      <c r="J26" s="86"/>
      <c r="L26" s="86"/>
      <c r="N26" s="86"/>
      <c r="P26" s="86"/>
      <c r="Q26" s="43"/>
      <c r="R26" s="85">
        <v>175.0</v>
      </c>
      <c r="T26" s="86">
        <v>207.0</v>
      </c>
      <c r="V26" s="86"/>
      <c r="X26" s="86"/>
      <c r="Z26" s="86"/>
      <c r="AB26" s="86"/>
      <c r="AC26" s="43"/>
      <c r="AD26" s="86"/>
      <c r="AF26" s="86"/>
      <c r="AH26" s="86"/>
      <c r="AJ26" s="85"/>
      <c r="AK26" s="43"/>
      <c r="AL26" s="85"/>
      <c r="AM26" s="43"/>
      <c r="AN26" s="85"/>
      <c r="AO26" s="43"/>
      <c r="AP26" s="85"/>
      <c r="AQ26" s="43"/>
      <c r="AR26" s="85"/>
      <c r="AS26" s="43"/>
      <c r="AT26" s="86"/>
      <c r="AV26" s="86"/>
      <c r="AW26" s="43"/>
      <c r="AX26" s="54">
        <f t="shared" si="1"/>
        <v>5026.59</v>
      </c>
      <c r="AY26" s="52">
        <f t="shared" si="2"/>
        <v>417</v>
      </c>
      <c r="AZ26" s="52">
        <f t="shared" si="3"/>
        <v>0</v>
      </c>
      <c r="BA26" s="52">
        <f t="shared" si="4"/>
        <v>417</v>
      </c>
      <c r="BB26" s="49">
        <f t="shared" si="5"/>
        <v>12.05417266</v>
      </c>
    </row>
    <row r="27" ht="15.75" customHeight="1">
      <c r="A27" s="50" t="s">
        <v>50</v>
      </c>
      <c r="B27" s="51">
        <f t="shared" si="6"/>
        <v>45680</v>
      </c>
      <c r="C27" s="52">
        <v>1.0</v>
      </c>
      <c r="D27" s="52" t="s">
        <v>72</v>
      </c>
      <c r="E27" s="53"/>
      <c r="F27" s="85">
        <v>20.0</v>
      </c>
      <c r="H27" s="86">
        <v>20.0</v>
      </c>
      <c r="J27" s="86"/>
      <c r="L27" s="86"/>
      <c r="N27" s="86"/>
      <c r="P27" s="86"/>
      <c r="Q27" s="43"/>
      <c r="R27" s="85">
        <v>148.0</v>
      </c>
      <c r="T27" s="86">
        <v>202.0</v>
      </c>
      <c r="V27" s="86"/>
      <c r="X27" s="86"/>
      <c r="Z27" s="86"/>
      <c r="AB27" s="86"/>
      <c r="AC27" s="43"/>
      <c r="AD27" s="86"/>
      <c r="AF27" s="86"/>
      <c r="AH27" s="86"/>
      <c r="AJ27" s="85"/>
      <c r="AK27" s="43"/>
      <c r="AL27" s="85"/>
      <c r="AM27" s="43"/>
      <c r="AN27" s="85"/>
      <c r="AO27" s="43"/>
      <c r="AP27" s="85"/>
      <c r="AQ27" s="43"/>
      <c r="AR27" s="85"/>
      <c r="AS27" s="43"/>
      <c r="AT27" s="86"/>
      <c r="AV27" s="86"/>
      <c r="AW27" s="43"/>
      <c r="AX27" s="54">
        <f t="shared" si="1"/>
        <v>4782</v>
      </c>
      <c r="AY27" s="52">
        <f t="shared" si="2"/>
        <v>390</v>
      </c>
      <c r="AZ27" s="52">
        <f t="shared" si="3"/>
        <v>0</v>
      </c>
      <c r="BA27" s="52">
        <f t="shared" si="4"/>
        <v>390</v>
      </c>
      <c r="BB27" s="49">
        <f t="shared" si="5"/>
        <v>12.26153846</v>
      </c>
    </row>
    <row r="28" ht="15.75" customHeight="1">
      <c r="A28" s="50" t="s">
        <v>53</v>
      </c>
      <c r="B28" s="51">
        <f t="shared" si="6"/>
        <v>45681</v>
      </c>
      <c r="C28" s="52">
        <v>1.0</v>
      </c>
      <c r="D28" s="52" t="s">
        <v>72</v>
      </c>
      <c r="E28" s="53"/>
      <c r="F28" s="85">
        <v>17.0</v>
      </c>
      <c r="H28" s="86">
        <v>21.0</v>
      </c>
      <c r="J28" s="86"/>
      <c r="L28" s="86"/>
      <c r="N28" s="86"/>
      <c r="P28" s="86"/>
      <c r="Q28" s="43"/>
      <c r="R28" s="85">
        <v>156.0</v>
      </c>
      <c r="T28" s="86">
        <v>164.0</v>
      </c>
      <c r="V28" s="86"/>
      <c r="X28" s="86"/>
      <c r="Z28" s="86"/>
      <c r="AB28" s="86"/>
      <c r="AC28" s="43"/>
      <c r="AD28" s="86"/>
      <c r="AF28" s="86"/>
      <c r="AH28" s="86"/>
      <c r="AJ28" s="85"/>
      <c r="AK28" s="43"/>
      <c r="AL28" s="85"/>
      <c r="AM28" s="43"/>
      <c r="AN28" s="85"/>
      <c r="AO28" s="43"/>
      <c r="AP28" s="85"/>
      <c r="AQ28" s="43"/>
      <c r="AR28" s="85"/>
      <c r="AS28" s="43"/>
      <c r="AT28" s="86"/>
      <c r="AV28" s="86"/>
      <c r="AW28" s="43"/>
      <c r="AX28" s="54">
        <f t="shared" si="1"/>
        <v>4403.9</v>
      </c>
      <c r="AY28" s="52">
        <f t="shared" si="2"/>
        <v>358</v>
      </c>
      <c r="AZ28" s="52">
        <f t="shared" si="3"/>
        <v>0</v>
      </c>
      <c r="BA28" s="52">
        <f t="shared" si="4"/>
        <v>358</v>
      </c>
      <c r="BB28" s="49">
        <f t="shared" si="5"/>
        <v>12.30139665</v>
      </c>
    </row>
    <row r="29" ht="15.75" customHeight="1">
      <c r="A29" s="50" t="s">
        <v>54</v>
      </c>
      <c r="B29" s="51">
        <f t="shared" si="6"/>
        <v>45682</v>
      </c>
      <c r="C29" s="52">
        <v>1.0</v>
      </c>
      <c r="D29" s="52" t="s">
        <v>72</v>
      </c>
      <c r="E29" s="53"/>
      <c r="F29" s="85"/>
      <c r="H29" s="86"/>
      <c r="J29" s="86"/>
      <c r="L29" s="86"/>
      <c r="N29" s="86"/>
      <c r="P29" s="86"/>
      <c r="Q29" s="43"/>
      <c r="R29" s="85"/>
      <c r="T29" s="86"/>
      <c r="V29" s="86"/>
      <c r="X29" s="86"/>
      <c r="Z29" s="86"/>
      <c r="AB29" s="86"/>
      <c r="AC29" s="43"/>
      <c r="AD29" s="86"/>
      <c r="AF29" s="86"/>
      <c r="AH29" s="86"/>
      <c r="AJ29" s="85"/>
      <c r="AK29" s="43"/>
      <c r="AL29" s="85"/>
      <c r="AM29" s="43"/>
      <c r="AN29" s="85"/>
      <c r="AO29" s="43"/>
      <c r="AP29" s="85"/>
      <c r="AQ29" s="43"/>
      <c r="AR29" s="85"/>
      <c r="AS29" s="43"/>
      <c r="AT29" s="86"/>
      <c r="AV29" s="86"/>
      <c r="AW29" s="43"/>
      <c r="AX29" s="54">
        <f t="shared" si="1"/>
        <v>0</v>
      </c>
      <c r="AY29" s="52">
        <f t="shared" si="2"/>
        <v>0</v>
      </c>
      <c r="AZ29" s="52">
        <f t="shared" si="3"/>
        <v>0</v>
      </c>
      <c r="BA29" s="52">
        <f t="shared" si="4"/>
        <v>0</v>
      </c>
      <c r="BB29" s="49" t="str">
        <f t="shared" si="5"/>
        <v/>
      </c>
    </row>
    <row r="30" ht="15.75" customHeight="1">
      <c r="A30" s="59" t="s">
        <v>61</v>
      </c>
      <c r="B30" s="61">
        <f t="shared" si="6"/>
        <v>45683</v>
      </c>
      <c r="C30" s="63">
        <v>1.0</v>
      </c>
      <c r="D30" s="63" t="s">
        <v>72</v>
      </c>
      <c r="E30" s="64"/>
      <c r="F30" s="87"/>
      <c r="G30" s="66"/>
      <c r="H30" s="88"/>
      <c r="I30" s="66"/>
      <c r="J30" s="88"/>
      <c r="K30" s="66"/>
      <c r="L30" s="88"/>
      <c r="M30" s="66"/>
      <c r="N30" s="88"/>
      <c r="O30" s="66"/>
      <c r="P30" s="88"/>
      <c r="Q30" s="68"/>
      <c r="R30" s="87"/>
      <c r="S30" s="66"/>
      <c r="T30" s="88"/>
      <c r="U30" s="66"/>
      <c r="V30" s="88"/>
      <c r="W30" s="66"/>
      <c r="X30" s="88"/>
      <c r="Y30" s="66"/>
      <c r="Z30" s="88"/>
      <c r="AA30" s="66"/>
      <c r="AB30" s="88"/>
      <c r="AC30" s="68"/>
      <c r="AD30" s="88"/>
      <c r="AE30" s="66"/>
      <c r="AF30" s="88"/>
      <c r="AG30" s="66"/>
      <c r="AH30" s="88"/>
      <c r="AI30" s="66"/>
      <c r="AJ30" s="87"/>
      <c r="AK30" s="68"/>
      <c r="AL30" s="87"/>
      <c r="AM30" s="68"/>
      <c r="AN30" s="87"/>
      <c r="AO30" s="68"/>
      <c r="AP30" s="87"/>
      <c r="AQ30" s="68"/>
      <c r="AR30" s="87"/>
      <c r="AS30" s="68"/>
      <c r="AT30" s="88"/>
      <c r="AU30" s="66"/>
      <c r="AV30" s="88"/>
      <c r="AW30" s="68"/>
      <c r="AX30" s="73">
        <f t="shared" si="1"/>
        <v>0</v>
      </c>
      <c r="AY30" s="63">
        <f t="shared" si="2"/>
        <v>0</v>
      </c>
      <c r="AZ30" s="63">
        <f t="shared" si="3"/>
        <v>0</v>
      </c>
      <c r="BA30" s="63">
        <f t="shared" si="4"/>
        <v>0</v>
      </c>
      <c r="BB30" s="74" t="str">
        <f t="shared" si="5"/>
        <v/>
      </c>
    </row>
    <row r="31" ht="15.75" customHeight="1">
      <c r="A31" s="36" t="s">
        <v>46</v>
      </c>
      <c r="B31" s="75">
        <f t="shared" si="6"/>
        <v>45684</v>
      </c>
      <c r="C31" s="48">
        <v>2.0</v>
      </c>
      <c r="D31" s="38" t="s">
        <v>47</v>
      </c>
      <c r="E31" s="82"/>
      <c r="F31" s="85"/>
      <c r="H31" s="86"/>
      <c r="J31" s="86"/>
      <c r="L31" s="86"/>
      <c r="N31" s="86"/>
      <c r="P31" s="86"/>
      <c r="Q31" s="43"/>
      <c r="R31" s="85">
        <v>144.0</v>
      </c>
      <c r="T31" s="86">
        <v>181.0</v>
      </c>
      <c r="V31" s="86"/>
      <c r="X31" s="86"/>
      <c r="Z31" s="86"/>
      <c r="AB31" s="86"/>
      <c r="AC31" s="43"/>
      <c r="AD31" s="86"/>
      <c r="AF31" s="86"/>
      <c r="AH31" s="86"/>
      <c r="AJ31" s="85"/>
      <c r="AK31" s="43"/>
      <c r="AL31" s="85"/>
      <c r="AM31" s="43"/>
      <c r="AN31" s="85"/>
      <c r="AO31" s="43"/>
      <c r="AP31" s="85"/>
      <c r="AQ31" s="43"/>
      <c r="AR31" s="85"/>
      <c r="AS31" s="43"/>
      <c r="AT31" s="86"/>
      <c r="AV31" s="86"/>
      <c r="AW31" s="43"/>
      <c r="AX31" s="47">
        <f t="shared" si="1"/>
        <v>3614</v>
      </c>
      <c r="AY31" s="38">
        <f t="shared" si="2"/>
        <v>325</v>
      </c>
      <c r="AZ31" s="38">
        <f t="shared" si="3"/>
        <v>0</v>
      </c>
      <c r="BA31" s="38">
        <f t="shared" si="4"/>
        <v>325</v>
      </c>
      <c r="BB31" s="76">
        <f t="shared" si="5"/>
        <v>11.12</v>
      </c>
    </row>
    <row r="32" ht="15.75" customHeight="1">
      <c r="A32" s="50" t="s">
        <v>48</v>
      </c>
      <c r="B32" s="51">
        <f t="shared" si="6"/>
        <v>45685</v>
      </c>
      <c r="C32" s="89">
        <v>2.0</v>
      </c>
      <c r="D32" s="52" t="s">
        <v>47</v>
      </c>
      <c r="E32" s="53"/>
      <c r="F32" s="85">
        <v>19.0</v>
      </c>
      <c r="H32" s="86">
        <v>19.0</v>
      </c>
      <c r="J32" s="86"/>
      <c r="L32" s="86"/>
      <c r="N32" s="86"/>
      <c r="P32" s="86"/>
      <c r="Q32" s="43"/>
      <c r="R32" s="85">
        <v>161.0</v>
      </c>
      <c r="T32" s="86">
        <v>167.0</v>
      </c>
      <c r="V32" s="86"/>
      <c r="X32" s="86"/>
      <c r="Z32" s="86"/>
      <c r="AB32" s="86"/>
      <c r="AC32" s="43"/>
      <c r="AD32" s="86"/>
      <c r="AF32" s="86"/>
      <c r="AH32" s="86"/>
      <c r="AJ32" s="85"/>
      <c r="AK32" s="43"/>
      <c r="AL32" s="85"/>
      <c r="AM32" s="43"/>
      <c r="AN32" s="85"/>
      <c r="AO32" s="43"/>
      <c r="AP32" s="85"/>
      <c r="AQ32" s="43"/>
      <c r="AR32" s="85"/>
      <c r="AS32" s="43"/>
      <c r="AT32" s="86"/>
      <c r="AV32" s="86"/>
      <c r="AW32" s="43"/>
      <c r="AX32" s="54">
        <f t="shared" si="1"/>
        <v>4492.86</v>
      </c>
      <c r="AY32" s="52">
        <f t="shared" si="2"/>
        <v>366</v>
      </c>
      <c r="AZ32" s="52">
        <f t="shared" si="3"/>
        <v>0</v>
      </c>
      <c r="BA32" s="52">
        <f t="shared" si="4"/>
        <v>366</v>
      </c>
      <c r="BB32" s="49">
        <f t="shared" si="5"/>
        <v>12.27557377</v>
      </c>
    </row>
    <row r="33" ht="15.75" customHeight="1">
      <c r="A33" s="50" t="s">
        <v>49</v>
      </c>
      <c r="B33" s="51">
        <f t="shared" si="6"/>
        <v>45686</v>
      </c>
      <c r="C33" s="89">
        <v>2.0</v>
      </c>
      <c r="D33" s="52" t="s">
        <v>47</v>
      </c>
      <c r="E33" s="53"/>
      <c r="F33" s="85">
        <v>14.0</v>
      </c>
      <c r="H33" s="86">
        <v>22.0</v>
      </c>
      <c r="J33" s="86"/>
      <c r="L33" s="86"/>
      <c r="N33" s="86"/>
      <c r="P33" s="86"/>
      <c r="Q33" s="43"/>
      <c r="R33" s="85">
        <v>129.0</v>
      </c>
      <c r="T33" s="86">
        <v>203.0</v>
      </c>
      <c r="V33" s="86"/>
      <c r="X33" s="86"/>
      <c r="Z33" s="86"/>
      <c r="AB33" s="86"/>
      <c r="AC33" s="43"/>
      <c r="AD33" s="86"/>
      <c r="AF33" s="86"/>
      <c r="AH33" s="86"/>
      <c r="AJ33" s="85"/>
      <c r="AK33" s="43"/>
      <c r="AL33" s="85"/>
      <c r="AM33" s="43"/>
      <c r="AN33" s="85"/>
      <c r="AO33" s="43"/>
      <c r="AP33" s="85"/>
      <c r="AQ33" s="43"/>
      <c r="AR33" s="85"/>
      <c r="AS33" s="43"/>
      <c r="AT33" s="86"/>
      <c r="AV33" s="86"/>
      <c r="AW33" s="43"/>
      <c r="AX33" s="54">
        <f t="shared" si="1"/>
        <v>4492.84</v>
      </c>
      <c r="AY33" s="52">
        <f t="shared" si="2"/>
        <v>368</v>
      </c>
      <c r="AZ33" s="52">
        <f t="shared" si="3"/>
        <v>0</v>
      </c>
      <c r="BA33" s="52">
        <f t="shared" si="4"/>
        <v>368</v>
      </c>
      <c r="BB33" s="49">
        <f t="shared" si="5"/>
        <v>12.20880435</v>
      </c>
    </row>
    <row r="34" ht="15.75" customHeight="1">
      <c r="A34" s="50" t="s">
        <v>50</v>
      </c>
      <c r="B34" s="51">
        <f t="shared" si="6"/>
        <v>45687</v>
      </c>
      <c r="C34" s="89">
        <v>2.0</v>
      </c>
      <c r="D34" s="52" t="s">
        <v>47</v>
      </c>
      <c r="E34" s="53"/>
      <c r="F34" s="85">
        <v>19.0</v>
      </c>
      <c r="H34" s="86">
        <v>30.0</v>
      </c>
      <c r="J34" s="86"/>
      <c r="L34" s="86"/>
      <c r="N34" s="86"/>
      <c r="P34" s="86"/>
      <c r="Q34" s="43"/>
      <c r="R34" s="85">
        <v>163.0</v>
      </c>
      <c r="T34" s="86">
        <v>166.0</v>
      </c>
      <c r="V34" s="86"/>
      <c r="X34" s="86"/>
      <c r="Z34" s="86"/>
      <c r="AB34" s="86"/>
      <c r="AC34" s="43"/>
      <c r="AD34" s="86"/>
      <c r="AF34" s="86"/>
      <c r="AH34" s="86"/>
      <c r="AJ34" s="85"/>
      <c r="AK34" s="43"/>
      <c r="AL34" s="85"/>
      <c r="AM34" s="43"/>
      <c r="AN34" s="85"/>
      <c r="AO34" s="43"/>
      <c r="AP34" s="85"/>
      <c r="AQ34" s="43"/>
      <c r="AR34" s="85"/>
      <c r="AS34" s="43"/>
      <c r="AT34" s="86"/>
      <c r="AV34" s="86"/>
      <c r="AW34" s="43"/>
      <c r="AX34" s="54">
        <f t="shared" si="1"/>
        <v>4748.73</v>
      </c>
      <c r="AY34" s="52">
        <f t="shared" si="2"/>
        <v>378</v>
      </c>
      <c r="AZ34" s="52">
        <f t="shared" si="3"/>
        <v>0</v>
      </c>
      <c r="BA34" s="52">
        <f t="shared" si="4"/>
        <v>378</v>
      </c>
      <c r="BB34" s="49">
        <f t="shared" si="5"/>
        <v>12.56277778</v>
      </c>
    </row>
    <row r="35" ht="15.75" customHeight="1">
      <c r="A35" s="50" t="s">
        <v>53</v>
      </c>
      <c r="B35" s="51">
        <f t="shared" si="6"/>
        <v>45688</v>
      </c>
      <c r="C35" s="89">
        <v>2.0</v>
      </c>
      <c r="D35" s="52" t="s">
        <v>47</v>
      </c>
      <c r="E35" s="53"/>
      <c r="F35" s="85">
        <v>27.0</v>
      </c>
      <c r="H35" s="86">
        <v>30.0</v>
      </c>
      <c r="J35" s="86"/>
      <c r="L35" s="86"/>
      <c r="N35" s="86"/>
      <c r="P35" s="86"/>
      <c r="Q35" s="43"/>
      <c r="R35" s="85">
        <v>162.0</v>
      </c>
      <c r="T35" s="86">
        <v>167.0</v>
      </c>
      <c r="V35" s="86"/>
      <c r="X35" s="86"/>
      <c r="Z35" s="86"/>
      <c r="AB35" s="86"/>
      <c r="AC35" s="43"/>
      <c r="AD35" s="86"/>
      <c r="AF35" s="86"/>
      <c r="AH35" s="86"/>
      <c r="AJ35" s="85"/>
      <c r="AK35" s="43"/>
      <c r="AL35" s="85"/>
      <c r="AM35" s="43"/>
      <c r="AN35" s="85"/>
      <c r="AO35" s="43"/>
      <c r="AP35" s="85"/>
      <c r="AQ35" s="43"/>
      <c r="AR35" s="85"/>
      <c r="AS35" s="43"/>
      <c r="AT35" s="86"/>
      <c r="AV35" s="86"/>
      <c r="AW35" s="43"/>
      <c r="AX35" s="54">
        <f t="shared" si="1"/>
        <v>4926.73</v>
      </c>
      <c r="AY35" s="52">
        <f t="shared" si="2"/>
        <v>386</v>
      </c>
      <c r="AZ35" s="52">
        <f t="shared" si="3"/>
        <v>0</v>
      </c>
      <c r="BA35" s="52">
        <f t="shared" si="4"/>
        <v>386</v>
      </c>
      <c r="BB35" s="49">
        <f t="shared" si="5"/>
        <v>12.76354922</v>
      </c>
    </row>
    <row r="36" ht="15.75" customHeight="1">
      <c r="A36" s="50" t="s">
        <v>54</v>
      </c>
      <c r="B36" s="51">
        <f t="shared" si="6"/>
        <v>45689</v>
      </c>
      <c r="C36" s="89">
        <v>2.0</v>
      </c>
      <c r="D36" s="52" t="s">
        <v>47</v>
      </c>
      <c r="E36" s="53"/>
      <c r="F36" s="85">
        <v>5.0</v>
      </c>
      <c r="H36" s="86">
        <v>5.0</v>
      </c>
      <c r="J36" s="86"/>
      <c r="L36" s="86"/>
      <c r="N36" s="86"/>
      <c r="P36" s="86"/>
      <c r="Q36" s="43"/>
      <c r="R36" s="85">
        <v>65.0</v>
      </c>
      <c r="T36" s="86">
        <v>63.0</v>
      </c>
      <c r="V36" s="86"/>
      <c r="X36" s="86"/>
      <c r="Z36" s="86"/>
      <c r="AB36" s="86"/>
      <c r="AC36" s="43"/>
      <c r="AD36" s="86"/>
      <c r="AF36" s="86"/>
      <c r="AH36" s="86"/>
      <c r="AJ36" s="85"/>
      <c r="AK36" s="43"/>
      <c r="AL36" s="85"/>
      <c r="AM36" s="43"/>
      <c r="AN36" s="85"/>
      <c r="AO36" s="43"/>
      <c r="AP36" s="85"/>
      <c r="AQ36" s="43"/>
      <c r="AR36" s="85"/>
      <c r="AS36" s="43"/>
      <c r="AT36" s="86"/>
      <c r="AV36" s="86"/>
      <c r="AW36" s="43"/>
      <c r="AX36" s="54">
        <f t="shared" si="1"/>
        <v>1645.86</v>
      </c>
      <c r="AY36" s="52">
        <f t="shared" si="2"/>
        <v>138</v>
      </c>
      <c r="AZ36" s="52">
        <f t="shared" si="3"/>
        <v>0</v>
      </c>
      <c r="BA36" s="52">
        <f t="shared" si="4"/>
        <v>138</v>
      </c>
      <c r="BB36" s="49">
        <f t="shared" si="5"/>
        <v>11.92652174</v>
      </c>
    </row>
    <row r="37" ht="15.75" customHeight="1">
      <c r="A37" s="59" t="s">
        <v>61</v>
      </c>
      <c r="B37" s="61">
        <f t="shared" si="6"/>
        <v>45690</v>
      </c>
      <c r="C37" s="90">
        <v>2.0</v>
      </c>
      <c r="D37" s="63" t="s">
        <v>47</v>
      </c>
      <c r="E37" s="64"/>
      <c r="F37" s="87"/>
      <c r="G37" s="66"/>
      <c r="H37" s="88"/>
      <c r="I37" s="66"/>
      <c r="J37" s="88"/>
      <c r="K37" s="66"/>
      <c r="L37" s="88"/>
      <c r="M37" s="66"/>
      <c r="N37" s="88"/>
      <c r="O37" s="66"/>
      <c r="P37" s="88"/>
      <c r="Q37" s="68"/>
      <c r="R37" s="87"/>
      <c r="S37" s="66"/>
      <c r="T37" s="88"/>
      <c r="U37" s="66"/>
      <c r="V37" s="88"/>
      <c r="W37" s="66"/>
      <c r="X37" s="88"/>
      <c r="Y37" s="66"/>
      <c r="Z37" s="88"/>
      <c r="AA37" s="66"/>
      <c r="AB37" s="88"/>
      <c r="AC37" s="68"/>
      <c r="AD37" s="88"/>
      <c r="AE37" s="66"/>
      <c r="AF37" s="88"/>
      <c r="AG37" s="66"/>
      <c r="AH37" s="88"/>
      <c r="AI37" s="66"/>
      <c r="AJ37" s="87"/>
      <c r="AK37" s="68"/>
      <c r="AL37" s="87"/>
      <c r="AM37" s="68"/>
      <c r="AN37" s="87"/>
      <c r="AO37" s="68"/>
      <c r="AP37" s="87"/>
      <c r="AQ37" s="68"/>
      <c r="AR37" s="87"/>
      <c r="AS37" s="68"/>
      <c r="AT37" s="88"/>
      <c r="AU37" s="66"/>
      <c r="AV37" s="88"/>
      <c r="AW37" s="68"/>
      <c r="AX37" s="73">
        <f t="shared" si="1"/>
        <v>0</v>
      </c>
      <c r="AY37" s="63">
        <f t="shared" si="2"/>
        <v>0</v>
      </c>
      <c r="AZ37" s="63">
        <f t="shared" si="3"/>
        <v>0</v>
      </c>
      <c r="BA37" s="63">
        <f t="shared" si="4"/>
        <v>0</v>
      </c>
      <c r="BB37" s="74" t="str">
        <f t="shared" si="5"/>
        <v/>
      </c>
    </row>
    <row r="38" ht="15.75" customHeight="1">
      <c r="A38" s="36" t="s">
        <v>46</v>
      </c>
      <c r="B38" s="75">
        <f t="shared" si="6"/>
        <v>45691</v>
      </c>
      <c r="C38" s="38">
        <v>2.0</v>
      </c>
      <c r="D38" s="38" t="s">
        <v>65</v>
      </c>
      <c r="E38" s="93"/>
      <c r="F38" s="85">
        <v>27.0</v>
      </c>
      <c r="H38" s="86">
        <v>35.0</v>
      </c>
      <c r="J38" s="86"/>
      <c r="L38" s="86"/>
      <c r="N38" s="86"/>
      <c r="P38" s="86"/>
      <c r="Q38" s="43"/>
      <c r="R38" s="85">
        <v>101.0</v>
      </c>
      <c r="T38" s="86">
        <v>165.0</v>
      </c>
      <c r="V38" s="86"/>
      <c r="X38" s="86"/>
      <c r="Z38" s="86"/>
      <c r="AB38" s="86"/>
      <c r="AC38" s="43"/>
      <c r="AD38" s="86"/>
      <c r="AF38" s="86"/>
      <c r="AH38" s="86"/>
      <c r="AJ38" s="85"/>
      <c r="AK38" s="43"/>
      <c r="AL38" s="85"/>
      <c r="AM38" s="43"/>
      <c r="AN38" s="85"/>
      <c r="AO38" s="43"/>
      <c r="AP38" s="85"/>
      <c r="AQ38" s="43"/>
      <c r="AR38" s="85"/>
      <c r="AS38" s="43"/>
      <c r="AT38" s="86"/>
      <c r="AV38" s="86"/>
      <c r="AW38" s="43"/>
      <c r="AX38" s="47">
        <f t="shared" si="1"/>
        <v>4337.42</v>
      </c>
      <c r="AY38" s="38">
        <f t="shared" si="2"/>
        <v>328</v>
      </c>
      <c r="AZ38" s="38">
        <f t="shared" si="3"/>
        <v>0</v>
      </c>
      <c r="BA38" s="38">
        <f t="shared" si="4"/>
        <v>328</v>
      </c>
      <c r="BB38" s="76">
        <f t="shared" si="5"/>
        <v>13.22384146</v>
      </c>
    </row>
    <row r="39" ht="15.75" customHeight="1">
      <c r="A39" s="50" t="s">
        <v>48</v>
      </c>
      <c r="B39" s="51">
        <f t="shared" si="6"/>
        <v>45692</v>
      </c>
      <c r="C39" s="52">
        <v>2.0</v>
      </c>
      <c r="D39" s="52" t="s">
        <v>65</v>
      </c>
      <c r="E39" s="92"/>
      <c r="F39" s="85">
        <v>31.0</v>
      </c>
      <c r="H39" s="86">
        <v>51.0</v>
      </c>
      <c r="J39" s="86"/>
      <c r="L39" s="86"/>
      <c r="N39" s="86"/>
      <c r="P39" s="86"/>
      <c r="Q39" s="43"/>
      <c r="R39" s="85">
        <v>174.0</v>
      </c>
      <c r="T39" s="86">
        <v>186.0</v>
      </c>
      <c r="V39" s="86"/>
      <c r="X39" s="86"/>
      <c r="Z39" s="86"/>
      <c r="AB39" s="86"/>
      <c r="AC39" s="43"/>
      <c r="AD39" s="86"/>
      <c r="AF39" s="86"/>
      <c r="AH39" s="86"/>
      <c r="AJ39" s="85"/>
      <c r="AK39" s="43"/>
      <c r="AL39" s="85"/>
      <c r="AM39" s="43"/>
      <c r="AN39" s="85"/>
      <c r="AO39" s="43"/>
      <c r="AP39" s="85"/>
      <c r="AQ39" s="43"/>
      <c r="AR39" s="85"/>
      <c r="AS39" s="43"/>
      <c r="AT39" s="86"/>
      <c r="AV39" s="86"/>
      <c r="AW39" s="43"/>
      <c r="AX39" s="54">
        <f t="shared" si="1"/>
        <v>5827.7</v>
      </c>
      <c r="AY39" s="52">
        <f t="shared" si="2"/>
        <v>442</v>
      </c>
      <c r="AZ39" s="52">
        <f t="shared" si="3"/>
        <v>0</v>
      </c>
      <c r="BA39" s="52">
        <f t="shared" si="4"/>
        <v>442</v>
      </c>
      <c r="BB39" s="49">
        <f t="shared" si="5"/>
        <v>13.18484163</v>
      </c>
    </row>
    <row r="40" ht="15.75" customHeight="1">
      <c r="A40" s="50" t="s">
        <v>49</v>
      </c>
      <c r="B40" s="51">
        <f t="shared" si="6"/>
        <v>45693</v>
      </c>
      <c r="C40" s="52">
        <v>2.0</v>
      </c>
      <c r="D40" s="52" t="s">
        <v>65</v>
      </c>
      <c r="E40" s="92"/>
      <c r="F40" s="85">
        <v>41.0</v>
      </c>
      <c r="H40" s="86">
        <v>60.0</v>
      </c>
      <c r="J40" s="86"/>
      <c r="L40" s="86"/>
      <c r="N40" s="86"/>
      <c r="P40" s="86"/>
      <c r="Q40" s="43"/>
      <c r="R40" s="85">
        <v>160.0</v>
      </c>
      <c r="T40" s="86">
        <v>185.0</v>
      </c>
      <c r="V40" s="86"/>
      <c r="X40" s="86"/>
      <c r="Z40" s="86"/>
      <c r="AB40" s="86"/>
      <c r="AC40" s="43"/>
      <c r="AD40" s="86"/>
      <c r="AF40" s="86"/>
      <c r="AH40" s="86"/>
      <c r="AJ40" s="85"/>
      <c r="AK40" s="43"/>
      <c r="AL40" s="85"/>
      <c r="AM40" s="43"/>
      <c r="AN40" s="85"/>
      <c r="AO40" s="43"/>
      <c r="AP40" s="85"/>
      <c r="AQ40" s="43"/>
      <c r="AR40" s="85"/>
      <c r="AS40" s="43"/>
      <c r="AT40" s="86"/>
      <c r="AV40" s="86"/>
      <c r="AW40" s="43"/>
      <c r="AX40" s="54">
        <f t="shared" si="1"/>
        <v>6083.65</v>
      </c>
      <c r="AY40" s="52">
        <f t="shared" si="2"/>
        <v>446</v>
      </c>
      <c r="AZ40" s="52">
        <f t="shared" si="3"/>
        <v>0</v>
      </c>
      <c r="BA40" s="52">
        <f t="shared" si="4"/>
        <v>446</v>
      </c>
      <c r="BB40" s="49">
        <f t="shared" si="5"/>
        <v>13.64047085</v>
      </c>
    </row>
    <row r="41" ht="15.75" customHeight="1">
      <c r="A41" s="50" t="s">
        <v>50</v>
      </c>
      <c r="B41" s="51">
        <f t="shared" si="6"/>
        <v>45694</v>
      </c>
      <c r="C41" s="52">
        <v>2.0</v>
      </c>
      <c r="D41" s="52" t="s">
        <v>65</v>
      </c>
      <c r="E41" s="53"/>
      <c r="F41" s="85">
        <v>50.0</v>
      </c>
      <c r="H41" s="86">
        <v>71.0</v>
      </c>
      <c r="J41" s="86"/>
      <c r="L41" s="86"/>
      <c r="N41" s="86"/>
      <c r="P41" s="86"/>
      <c r="Q41" s="43"/>
      <c r="R41" s="85">
        <v>157.0</v>
      </c>
      <c r="T41" s="86">
        <v>186.0</v>
      </c>
      <c r="V41" s="86"/>
      <c r="X41" s="86"/>
      <c r="Z41" s="86"/>
      <c r="AB41" s="86"/>
      <c r="AC41" s="43"/>
      <c r="AD41" s="86"/>
      <c r="AF41" s="86"/>
      <c r="AH41" s="86"/>
      <c r="AJ41" s="85"/>
      <c r="AK41" s="43"/>
      <c r="AL41" s="85"/>
      <c r="AM41" s="43"/>
      <c r="AN41" s="85"/>
      <c r="AO41" s="43"/>
      <c r="AP41" s="85"/>
      <c r="AQ41" s="43"/>
      <c r="AR41" s="85"/>
      <c r="AS41" s="43"/>
      <c r="AT41" s="86"/>
      <c r="AV41" s="86"/>
      <c r="AW41" s="43"/>
      <c r="AX41" s="54">
        <f t="shared" si="1"/>
        <v>6506.41</v>
      </c>
      <c r="AY41" s="52">
        <f t="shared" si="2"/>
        <v>464</v>
      </c>
      <c r="AZ41" s="52">
        <f t="shared" si="3"/>
        <v>0</v>
      </c>
      <c r="BA41" s="52">
        <f t="shared" si="4"/>
        <v>464</v>
      </c>
      <c r="BB41" s="49">
        <f t="shared" si="5"/>
        <v>14.02243534</v>
      </c>
    </row>
    <row r="42" ht="15.75" customHeight="1">
      <c r="A42" s="50" t="s">
        <v>53</v>
      </c>
      <c r="B42" s="51">
        <f t="shared" si="6"/>
        <v>45695</v>
      </c>
      <c r="C42" s="52">
        <v>2.0</v>
      </c>
      <c r="D42" s="52" t="s">
        <v>65</v>
      </c>
      <c r="E42" s="53"/>
      <c r="F42" s="85">
        <v>58.0</v>
      </c>
      <c r="H42" s="86">
        <v>77.0</v>
      </c>
      <c r="J42" s="86"/>
      <c r="L42" s="86"/>
      <c r="N42" s="86"/>
      <c r="P42" s="86"/>
      <c r="Q42" s="43"/>
      <c r="R42" s="85">
        <v>136.0</v>
      </c>
      <c r="T42" s="86">
        <v>170.0</v>
      </c>
      <c r="V42" s="86"/>
      <c r="X42" s="86"/>
      <c r="Z42" s="86"/>
      <c r="AB42" s="86"/>
      <c r="AC42" s="43"/>
      <c r="AD42" s="86"/>
      <c r="AF42" s="86"/>
      <c r="AH42" s="86"/>
      <c r="AJ42" s="85"/>
      <c r="AK42" s="43"/>
      <c r="AL42" s="85"/>
      <c r="AM42" s="43"/>
      <c r="AN42" s="85"/>
      <c r="AO42" s="43"/>
      <c r="AP42" s="85"/>
      <c r="AQ42" s="43"/>
      <c r="AR42" s="85"/>
      <c r="AS42" s="43"/>
      <c r="AT42" s="86"/>
      <c r="AV42" s="86"/>
      <c r="AW42" s="43"/>
      <c r="AX42" s="54">
        <f t="shared" si="1"/>
        <v>6406.47</v>
      </c>
      <c r="AY42" s="52">
        <f t="shared" si="2"/>
        <v>441</v>
      </c>
      <c r="AZ42" s="52">
        <f t="shared" si="3"/>
        <v>0</v>
      </c>
      <c r="BA42" s="52">
        <f t="shared" si="4"/>
        <v>441</v>
      </c>
      <c r="BB42" s="49">
        <f t="shared" si="5"/>
        <v>14.52714286</v>
      </c>
    </row>
    <row r="43" ht="15.75" customHeight="1">
      <c r="A43" s="50" t="s">
        <v>54</v>
      </c>
      <c r="B43" s="51">
        <f t="shared" si="6"/>
        <v>45696</v>
      </c>
      <c r="C43" s="52">
        <v>2.0</v>
      </c>
      <c r="D43" s="52" t="s">
        <v>65</v>
      </c>
      <c r="E43" s="53"/>
      <c r="F43" s="85">
        <v>35.0</v>
      </c>
      <c r="H43" s="86">
        <v>75.0</v>
      </c>
      <c r="J43" s="86"/>
      <c r="L43" s="86"/>
      <c r="N43" s="86"/>
      <c r="P43" s="86"/>
      <c r="Q43" s="43"/>
      <c r="R43" s="85">
        <v>125.0</v>
      </c>
      <c r="T43" s="86">
        <v>131.0</v>
      </c>
      <c r="V43" s="86"/>
      <c r="X43" s="86"/>
      <c r="Z43" s="86"/>
      <c r="AB43" s="86"/>
      <c r="AC43" s="43"/>
      <c r="AD43" s="86"/>
      <c r="AF43" s="86"/>
      <c r="AH43" s="86"/>
      <c r="AJ43" s="85"/>
      <c r="AK43" s="43"/>
      <c r="AL43" s="85"/>
      <c r="AM43" s="43"/>
      <c r="AN43" s="85"/>
      <c r="AO43" s="43"/>
      <c r="AP43" s="85"/>
      <c r="AQ43" s="43"/>
      <c r="AR43" s="85"/>
      <c r="AS43" s="43"/>
      <c r="AT43" s="86"/>
      <c r="AV43" s="86"/>
      <c r="AW43" s="43"/>
      <c r="AX43" s="54">
        <f t="shared" si="1"/>
        <v>5294.22</v>
      </c>
      <c r="AY43" s="52">
        <f t="shared" si="2"/>
        <v>366</v>
      </c>
      <c r="AZ43" s="52">
        <f t="shared" si="3"/>
        <v>0</v>
      </c>
      <c r="BA43" s="52">
        <f t="shared" si="4"/>
        <v>366</v>
      </c>
      <c r="BB43" s="49">
        <f t="shared" si="5"/>
        <v>14.46508197</v>
      </c>
    </row>
    <row r="44" ht="15.75" customHeight="1">
      <c r="A44" s="59" t="s">
        <v>61</v>
      </c>
      <c r="B44" s="61">
        <f t="shared" si="6"/>
        <v>45697</v>
      </c>
      <c r="C44" s="63">
        <v>2.0</v>
      </c>
      <c r="D44" s="63" t="s">
        <v>65</v>
      </c>
      <c r="E44" s="94"/>
      <c r="F44" s="87"/>
      <c r="G44" s="66"/>
      <c r="H44" s="88"/>
      <c r="I44" s="66"/>
      <c r="J44" s="88"/>
      <c r="K44" s="66"/>
      <c r="L44" s="88"/>
      <c r="M44" s="66"/>
      <c r="N44" s="88"/>
      <c r="O44" s="66"/>
      <c r="P44" s="88"/>
      <c r="Q44" s="68"/>
      <c r="R44" s="87"/>
      <c r="S44" s="66"/>
      <c r="T44" s="88"/>
      <c r="U44" s="66"/>
      <c r="V44" s="88"/>
      <c r="W44" s="66"/>
      <c r="X44" s="88"/>
      <c r="Y44" s="66"/>
      <c r="Z44" s="88"/>
      <c r="AA44" s="66"/>
      <c r="AB44" s="88"/>
      <c r="AC44" s="68"/>
      <c r="AD44" s="88"/>
      <c r="AE44" s="66"/>
      <c r="AF44" s="88"/>
      <c r="AG44" s="66"/>
      <c r="AH44" s="88"/>
      <c r="AI44" s="66"/>
      <c r="AJ44" s="87"/>
      <c r="AK44" s="68"/>
      <c r="AL44" s="87"/>
      <c r="AM44" s="68"/>
      <c r="AN44" s="87"/>
      <c r="AO44" s="68"/>
      <c r="AP44" s="87"/>
      <c r="AQ44" s="68"/>
      <c r="AR44" s="87"/>
      <c r="AS44" s="68"/>
      <c r="AT44" s="88"/>
      <c r="AU44" s="66"/>
      <c r="AV44" s="88"/>
      <c r="AW44" s="68"/>
      <c r="AX44" s="73">
        <f t="shared" si="1"/>
        <v>0</v>
      </c>
      <c r="AY44" s="63">
        <f t="shared" si="2"/>
        <v>0</v>
      </c>
      <c r="AZ44" s="63">
        <f t="shared" si="3"/>
        <v>0</v>
      </c>
      <c r="BA44" s="63">
        <f t="shared" si="4"/>
        <v>0</v>
      </c>
      <c r="BB44" s="74" t="str">
        <f t="shared" si="5"/>
        <v/>
      </c>
    </row>
    <row r="45" ht="15.75" customHeight="1">
      <c r="A45" s="36" t="s">
        <v>46</v>
      </c>
      <c r="B45" s="75">
        <f t="shared" si="6"/>
        <v>45698</v>
      </c>
      <c r="C45" s="38">
        <v>2.0</v>
      </c>
      <c r="D45" s="38" t="s">
        <v>69</v>
      </c>
      <c r="E45" s="82"/>
      <c r="F45" s="85">
        <v>50.0</v>
      </c>
      <c r="H45" s="86">
        <v>53.0</v>
      </c>
      <c r="J45" s="86"/>
      <c r="L45" s="86"/>
      <c r="N45" s="86"/>
      <c r="P45" s="86"/>
      <c r="Q45" s="43"/>
      <c r="R45" s="85">
        <v>153.0</v>
      </c>
      <c r="T45" s="86">
        <v>207.0</v>
      </c>
      <c r="V45" s="86"/>
      <c r="X45" s="86"/>
      <c r="Z45" s="86"/>
      <c r="AB45" s="86"/>
      <c r="AC45" s="43"/>
      <c r="AD45" s="86"/>
      <c r="AF45" s="86"/>
      <c r="AH45" s="86"/>
      <c r="AJ45" s="85"/>
      <c r="AK45" s="43"/>
      <c r="AL45" s="85"/>
      <c r="AM45" s="43"/>
      <c r="AN45" s="85"/>
      <c r="AO45" s="43"/>
      <c r="AP45" s="85"/>
      <c r="AQ45" s="43"/>
      <c r="AR45" s="85"/>
      <c r="AS45" s="43"/>
      <c r="AT45" s="86"/>
      <c r="AV45" s="86"/>
      <c r="AW45" s="43"/>
      <c r="AX45" s="47">
        <f t="shared" si="1"/>
        <v>6294.95</v>
      </c>
      <c r="AY45" s="38">
        <f t="shared" si="2"/>
        <v>463</v>
      </c>
      <c r="AZ45" s="38">
        <f t="shared" si="3"/>
        <v>0</v>
      </c>
      <c r="BA45" s="38">
        <f t="shared" si="4"/>
        <v>463</v>
      </c>
      <c r="BB45" s="76">
        <f t="shared" si="5"/>
        <v>13.59600432</v>
      </c>
    </row>
    <row r="46" ht="15.75" customHeight="1">
      <c r="A46" s="50" t="s">
        <v>48</v>
      </c>
      <c r="B46" s="51">
        <f t="shared" si="6"/>
        <v>45699</v>
      </c>
      <c r="C46" s="52">
        <v>2.0</v>
      </c>
      <c r="D46" s="52" t="s">
        <v>69</v>
      </c>
      <c r="E46" s="53"/>
      <c r="F46" s="85">
        <v>45.0</v>
      </c>
      <c r="H46" s="86">
        <v>85.0</v>
      </c>
      <c r="J46" s="86"/>
      <c r="L46" s="86"/>
      <c r="N46" s="86"/>
      <c r="P46" s="86"/>
      <c r="Q46" s="43"/>
      <c r="R46" s="85">
        <v>179.0</v>
      </c>
      <c r="T46" s="86">
        <v>246.0</v>
      </c>
      <c r="V46" s="86"/>
      <c r="X46" s="86"/>
      <c r="Z46" s="86"/>
      <c r="AB46" s="86"/>
      <c r="AC46" s="43"/>
      <c r="AD46" s="86"/>
      <c r="AF46" s="86"/>
      <c r="AH46" s="86"/>
      <c r="AJ46" s="85"/>
      <c r="AK46" s="43"/>
      <c r="AL46" s="85"/>
      <c r="AM46" s="43"/>
      <c r="AN46" s="85"/>
      <c r="AO46" s="43"/>
      <c r="AP46" s="85"/>
      <c r="AQ46" s="43"/>
      <c r="AR46" s="85"/>
      <c r="AS46" s="43"/>
      <c r="AT46" s="86"/>
      <c r="AV46" s="86"/>
      <c r="AW46" s="43"/>
      <c r="AX46" s="54">
        <f t="shared" si="1"/>
        <v>7618.5</v>
      </c>
      <c r="AY46" s="52">
        <f t="shared" si="2"/>
        <v>555</v>
      </c>
      <c r="AZ46" s="52">
        <f t="shared" si="3"/>
        <v>0</v>
      </c>
      <c r="BA46" s="52">
        <f t="shared" si="4"/>
        <v>555</v>
      </c>
      <c r="BB46" s="49">
        <f t="shared" si="5"/>
        <v>13.72702703</v>
      </c>
    </row>
    <row r="47" ht="15.75" customHeight="1">
      <c r="A47" s="50" t="s">
        <v>49</v>
      </c>
      <c r="B47" s="51">
        <f t="shared" si="6"/>
        <v>45700</v>
      </c>
      <c r="C47" s="52">
        <v>2.0</v>
      </c>
      <c r="D47" s="52" t="s">
        <v>69</v>
      </c>
      <c r="E47" s="92"/>
      <c r="F47" s="85">
        <v>37.0</v>
      </c>
      <c r="H47" s="86">
        <v>106.0</v>
      </c>
      <c r="J47" s="86"/>
      <c r="L47" s="86"/>
      <c r="N47" s="86"/>
      <c r="P47" s="86"/>
      <c r="Q47" s="43"/>
      <c r="R47" s="85">
        <v>180.0</v>
      </c>
      <c r="T47" s="86">
        <v>248.0</v>
      </c>
      <c r="V47" s="86"/>
      <c r="X47" s="86"/>
      <c r="Z47" s="86"/>
      <c r="AB47" s="86"/>
      <c r="AC47" s="43"/>
      <c r="AD47" s="86"/>
      <c r="AF47" s="86"/>
      <c r="AH47" s="86"/>
      <c r="AJ47" s="85"/>
      <c r="AK47" s="43"/>
      <c r="AL47" s="85"/>
      <c r="AM47" s="43"/>
      <c r="AN47" s="85"/>
      <c r="AO47" s="43"/>
      <c r="AP47" s="85"/>
      <c r="AQ47" s="43"/>
      <c r="AR47" s="85"/>
      <c r="AS47" s="43"/>
      <c r="AT47" s="86"/>
      <c r="AV47" s="86"/>
      <c r="AW47" s="43"/>
      <c r="AX47" s="54">
        <f t="shared" si="1"/>
        <v>7941.11</v>
      </c>
      <c r="AY47" s="52">
        <f t="shared" si="2"/>
        <v>571</v>
      </c>
      <c r="AZ47" s="52">
        <f t="shared" si="3"/>
        <v>0</v>
      </c>
      <c r="BA47" s="52">
        <f t="shared" si="4"/>
        <v>571</v>
      </c>
      <c r="BB47" s="49">
        <f t="shared" si="5"/>
        <v>13.90737303</v>
      </c>
    </row>
    <row r="48" ht="15.75" customHeight="1">
      <c r="A48" s="50" t="s">
        <v>50</v>
      </c>
      <c r="B48" s="51">
        <f t="shared" si="6"/>
        <v>45701</v>
      </c>
      <c r="C48" s="52">
        <v>2.0</v>
      </c>
      <c r="D48" s="52" t="s">
        <v>69</v>
      </c>
      <c r="E48" s="92"/>
      <c r="F48" s="85">
        <v>65.0</v>
      </c>
      <c r="H48" s="86">
        <v>125.0</v>
      </c>
      <c r="J48" s="86"/>
      <c r="L48" s="86"/>
      <c r="N48" s="86"/>
      <c r="P48" s="86"/>
      <c r="Q48" s="43"/>
      <c r="R48" s="85">
        <v>187.0</v>
      </c>
      <c r="T48" s="86">
        <v>192.0</v>
      </c>
      <c r="V48" s="86"/>
      <c r="X48" s="86"/>
      <c r="Z48" s="86"/>
      <c r="AB48" s="86"/>
      <c r="AC48" s="43"/>
      <c r="AD48" s="86"/>
      <c r="AF48" s="86"/>
      <c r="AH48" s="86"/>
      <c r="AJ48" s="85"/>
      <c r="AK48" s="43"/>
      <c r="AL48" s="85"/>
      <c r="AM48" s="43"/>
      <c r="AN48" s="85"/>
      <c r="AO48" s="43"/>
      <c r="AP48" s="85"/>
      <c r="AQ48" s="43"/>
      <c r="AR48" s="85"/>
      <c r="AS48" s="43"/>
      <c r="AT48" s="86"/>
      <c r="AV48" s="86"/>
      <c r="AW48" s="43"/>
      <c r="AX48" s="54">
        <f t="shared" si="1"/>
        <v>8441.98</v>
      </c>
      <c r="AY48" s="52">
        <f t="shared" si="2"/>
        <v>569</v>
      </c>
      <c r="AZ48" s="52">
        <f t="shared" si="3"/>
        <v>0</v>
      </c>
      <c r="BA48" s="52">
        <f t="shared" si="4"/>
        <v>569</v>
      </c>
      <c r="BB48" s="49">
        <f t="shared" si="5"/>
        <v>14.83652021</v>
      </c>
    </row>
    <row r="49" ht="15.75" customHeight="1">
      <c r="A49" s="50" t="s">
        <v>53</v>
      </c>
      <c r="B49" s="51">
        <f t="shared" si="6"/>
        <v>45702</v>
      </c>
      <c r="C49" s="52">
        <v>2.0</v>
      </c>
      <c r="D49" s="52" t="s">
        <v>69</v>
      </c>
      <c r="E49" s="92"/>
      <c r="F49" s="85">
        <v>108.0</v>
      </c>
      <c r="H49" s="86">
        <v>120.0</v>
      </c>
      <c r="J49" s="86"/>
      <c r="L49" s="86"/>
      <c r="N49" s="86"/>
      <c r="P49" s="86"/>
      <c r="Q49" s="43"/>
      <c r="R49" s="85">
        <v>188.0</v>
      </c>
      <c r="T49" s="86">
        <v>196.0</v>
      </c>
      <c r="V49" s="86"/>
      <c r="X49" s="86"/>
      <c r="Z49" s="86"/>
      <c r="AB49" s="86"/>
      <c r="AC49" s="43"/>
      <c r="AD49" s="86"/>
      <c r="AF49" s="86"/>
      <c r="AH49" s="86"/>
      <c r="AJ49" s="85"/>
      <c r="AK49" s="43"/>
      <c r="AL49" s="85"/>
      <c r="AM49" s="43"/>
      <c r="AN49" s="85"/>
      <c r="AO49" s="43"/>
      <c r="AP49" s="85"/>
      <c r="AQ49" s="43"/>
      <c r="AR49" s="85"/>
      <c r="AS49" s="43"/>
      <c r="AT49" s="86"/>
      <c r="AV49" s="86"/>
      <c r="AW49" s="43"/>
      <c r="AX49" s="54">
        <f t="shared" si="1"/>
        <v>9343.08</v>
      </c>
      <c r="AY49" s="52">
        <f t="shared" si="2"/>
        <v>612</v>
      </c>
      <c r="AZ49" s="52">
        <f t="shared" si="3"/>
        <v>0</v>
      </c>
      <c r="BA49" s="52">
        <f t="shared" si="4"/>
        <v>612</v>
      </c>
      <c r="BB49" s="49">
        <f t="shared" si="5"/>
        <v>15.26647059</v>
      </c>
    </row>
    <row r="50" ht="15.75" customHeight="1">
      <c r="A50" s="50" t="s">
        <v>54</v>
      </c>
      <c r="B50" s="51">
        <f t="shared" si="6"/>
        <v>45703</v>
      </c>
      <c r="C50" s="52">
        <v>2.0</v>
      </c>
      <c r="D50" s="52" t="s">
        <v>69</v>
      </c>
      <c r="E50" s="53"/>
      <c r="F50" s="85">
        <v>89.0</v>
      </c>
      <c r="H50" s="86">
        <v>99.0</v>
      </c>
      <c r="J50" s="86"/>
      <c r="L50" s="86"/>
      <c r="N50" s="86"/>
      <c r="P50" s="86"/>
      <c r="Q50" s="43"/>
      <c r="R50" s="85">
        <v>170.0</v>
      </c>
      <c r="T50" s="86">
        <v>169.0</v>
      </c>
      <c r="V50" s="86"/>
      <c r="X50" s="86"/>
      <c r="Z50" s="86"/>
      <c r="AB50" s="86"/>
      <c r="AC50" s="43"/>
      <c r="AD50" s="86"/>
      <c r="AF50" s="86"/>
      <c r="AH50" s="86"/>
      <c r="AJ50" s="85"/>
      <c r="AK50" s="43"/>
      <c r="AL50" s="85"/>
      <c r="AM50" s="43"/>
      <c r="AN50" s="85"/>
      <c r="AO50" s="43"/>
      <c r="AP50" s="85"/>
      <c r="AQ50" s="43"/>
      <c r="AR50" s="85"/>
      <c r="AS50" s="43"/>
      <c r="AT50" s="86"/>
      <c r="AV50" s="86"/>
      <c r="AW50" s="43"/>
      <c r="AX50" s="54">
        <f t="shared" si="1"/>
        <v>7952.68</v>
      </c>
      <c r="AY50" s="52">
        <f t="shared" si="2"/>
        <v>527</v>
      </c>
      <c r="AZ50" s="52">
        <f t="shared" si="3"/>
        <v>0</v>
      </c>
      <c r="BA50" s="52">
        <f t="shared" si="4"/>
        <v>527</v>
      </c>
      <c r="BB50" s="49">
        <f t="shared" si="5"/>
        <v>15.09047438</v>
      </c>
    </row>
    <row r="51" ht="15.75" customHeight="1">
      <c r="A51" s="59" t="s">
        <v>61</v>
      </c>
      <c r="B51" s="61">
        <f t="shared" si="6"/>
        <v>45704</v>
      </c>
      <c r="C51" s="63">
        <v>2.0</v>
      </c>
      <c r="D51" s="63" t="s">
        <v>69</v>
      </c>
      <c r="E51" s="64"/>
      <c r="F51" s="87"/>
      <c r="G51" s="66"/>
      <c r="H51" s="88"/>
      <c r="I51" s="66"/>
      <c r="J51" s="88"/>
      <c r="K51" s="66"/>
      <c r="L51" s="88"/>
      <c r="M51" s="66"/>
      <c r="N51" s="88"/>
      <c r="O51" s="66"/>
      <c r="P51" s="88"/>
      <c r="Q51" s="68"/>
      <c r="R51" s="87"/>
      <c r="S51" s="66"/>
      <c r="T51" s="88"/>
      <c r="U51" s="66"/>
      <c r="V51" s="88"/>
      <c r="W51" s="66"/>
      <c r="X51" s="88"/>
      <c r="Y51" s="66"/>
      <c r="Z51" s="88"/>
      <c r="AA51" s="66"/>
      <c r="AB51" s="88"/>
      <c r="AC51" s="68"/>
      <c r="AD51" s="88"/>
      <c r="AE51" s="66"/>
      <c r="AF51" s="88"/>
      <c r="AG51" s="66"/>
      <c r="AH51" s="88"/>
      <c r="AI51" s="66"/>
      <c r="AJ51" s="87"/>
      <c r="AK51" s="68"/>
      <c r="AL51" s="87"/>
      <c r="AM51" s="68"/>
      <c r="AN51" s="87"/>
      <c r="AO51" s="68"/>
      <c r="AP51" s="87"/>
      <c r="AQ51" s="68"/>
      <c r="AR51" s="87"/>
      <c r="AS51" s="68"/>
      <c r="AT51" s="88"/>
      <c r="AU51" s="66"/>
      <c r="AV51" s="88"/>
      <c r="AW51" s="68"/>
      <c r="AX51" s="73">
        <f t="shared" si="1"/>
        <v>0</v>
      </c>
      <c r="AY51" s="63">
        <f t="shared" si="2"/>
        <v>0</v>
      </c>
      <c r="AZ51" s="63">
        <f t="shared" si="3"/>
        <v>0</v>
      </c>
      <c r="BA51" s="63">
        <f t="shared" si="4"/>
        <v>0</v>
      </c>
      <c r="BB51" s="74" t="str">
        <f t="shared" si="5"/>
        <v/>
      </c>
    </row>
    <row r="52" ht="15.75" customHeight="1">
      <c r="A52" s="36" t="s">
        <v>46</v>
      </c>
      <c r="B52" s="75">
        <f t="shared" si="6"/>
        <v>45705</v>
      </c>
      <c r="C52" s="38">
        <v>2.0</v>
      </c>
      <c r="D52" s="38" t="s">
        <v>72</v>
      </c>
      <c r="E52" s="82"/>
      <c r="F52" s="85">
        <v>121.0</v>
      </c>
      <c r="H52" s="86">
        <v>150.0</v>
      </c>
      <c r="J52" s="86"/>
      <c r="L52" s="86"/>
      <c r="N52" s="86"/>
      <c r="P52" s="86"/>
      <c r="Q52" s="43"/>
      <c r="R52" s="85">
        <v>200.0</v>
      </c>
      <c r="T52" s="86">
        <v>206.0</v>
      </c>
      <c r="V52" s="86"/>
      <c r="X52" s="86"/>
      <c r="Z52" s="86"/>
      <c r="AB52" s="86"/>
      <c r="AC52" s="43"/>
      <c r="AD52" s="86"/>
      <c r="AF52" s="86"/>
      <c r="AH52" s="86"/>
      <c r="AJ52" s="85"/>
      <c r="AK52" s="43"/>
      <c r="AL52" s="85"/>
      <c r="AM52" s="43"/>
      <c r="AN52" s="85"/>
      <c r="AO52" s="43"/>
      <c r="AP52" s="85"/>
      <c r="AQ52" s="43"/>
      <c r="AR52" s="85"/>
      <c r="AS52" s="43"/>
      <c r="AT52" s="86"/>
      <c r="AV52" s="86"/>
      <c r="AW52" s="43"/>
      <c r="AX52" s="47">
        <f t="shared" si="1"/>
        <v>10544.47</v>
      </c>
      <c r="AY52" s="38">
        <f t="shared" si="2"/>
        <v>677</v>
      </c>
      <c r="AZ52" s="38">
        <f t="shared" si="3"/>
        <v>0</v>
      </c>
      <c r="BA52" s="38">
        <f t="shared" si="4"/>
        <v>677</v>
      </c>
      <c r="BB52" s="76">
        <f t="shared" si="5"/>
        <v>15.57528804</v>
      </c>
    </row>
    <row r="53" ht="15.75" customHeight="1">
      <c r="A53" s="50" t="s">
        <v>48</v>
      </c>
      <c r="B53" s="51">
        <f t="shared" si="6"/>
        <v>45706</v>
      </c>
      <c r="C53" s="52">
        <v>2.0</v>
      </c>
      <c r="D53" s="52" t="s">
        <v>72</v>
      </c>
      <c r="E53" s="92"/>
      <c r="F53" s="85">
        <v>81.0</v>
      </c>
      <c r="H53" s="86">
        <v>155.0</v>
      </c>
      <c r="J53" s="86"/>
      <c r="L53" s="86"/>
      <c r="N53" s="86"/>
      <c r="P53" s="86"/>
      <c r="Q53" s="43"/>
      <c r="R53" s="85">
        <v>203.0</v>
      </c>
      <c r="T53" s="86">
        <v>204.0</v>
      </c>
      <c r="V53" s="86"/>
      <c r="X53" s="86"/>
      <c r="Z53" s="86"/>
      <c r="AB53" s="86"/>
      <c r="AC53" s="43"/>
      <c r="AD53" s="86"/>
      <c r="AF53" s="86"/>
      <c r="AH53" s="86"/>
      <c r="AJ53" s="85"/>
      <c r="AK53" s="43"/>
      <c r="AL53" s="85"/>
      <c r="AM53" s="43"/>
      <c r="AN53" s="85"/>
      <c r="AO53" s="43"/>
      <c r="AP53" s="85"/>
      <c r="AQ53" s="43"/>
      <c r="AR53" s="85"/>
      <c r="AS53" s="43"/>
      <c r="AT53" s="86"/>
      <c r="AV53" s="86"/>
      <c r="AW53" s="43"/>
      <c r="AX53" s="54">
        <f t="shared" si="1"/>
        <v>9776.84</v>
      </c>
      <c r="AY53" s="52">
        <f t="shared" si="2"/>
        <v>643</v>
      </c>
      <c r="AZ53" s="52">
        <f t="shared" si="3"/>
        <v>0</v>
      </c>
      <c r="BA53" s="52">
        <f t="shared" si="4"/>
        <v>643</v>
      </c>
      <c r="BB53" s="49">
        <f t="shared" si="5"/>
        <v>15.20503888</v>
      </c>
    </row>
    <row r="54" ht="15.75" customHeight="1">
      <c r="A54" s="50" t="s">
        <v>49</v>
      </c>
      <c r="B54" s="51">
        <f t="shared" si="6"/>
        <v>45707</v>
      </c>
      <c r="C54" s="52">
        <v>2.0</v>
      </c>
      <c r="D54" s="52" t="s">
        <v>72</v>
      </c>
      <c r="E54" s="53"/>
      <c r="F54" s="85">
        <v>75.0</v>
      </c>
      <c r="H54" s="86">
        <v>125.0</v>
      </c>
      <c r="J54" s="86"/>
      <c r="L54" s="86"/>
      <c r="N54" s="86"/>
      <c r="P54" s="86"/>
      <c r="Q54" s="43"/>
      <c r="R54" s="85">
        <v>196.0</v>
      </c>
      <c r="T54" s="86">
        <v>222.0</v>
      </c>
      <c r="V54" s="86"/>
      <c r="X54" s="86"/>
      <c r="Z54" s="86"/>
      <c r="AB54" s="86"/>
      <c r="AC54" s="43"/>
      <c r="AD54" s="86"/>
      <c r="AF54" s="86"/>
      <c r="AH54" s="86"/>
      <c r="AJ54" s="85"/>
      <c r="AK54" s="43"/>
      <c r="AL54" s="85"/>
      <c r="AM54" s="43"/>
      <c r="AN54" s="85"/>
      <c r="AO54" s="43"/>
      <c r="AP54" s="85"/>
      <c r="AQ54" s="43"/>
      <c r="AR54" s="85"/>
      <c r="AS54" s="43"/>
      <c r="AT54" s="86"/>
      <c r="AV54" s="86"/>
      <c r="AW54" s="43"/>
      <c r="AX54" s="54">
        <f t="shared" si="1"/>
        <v>9098.16</v>
      </c>
      <c r="AY54" s="52">
        <f t="shared" si="2"/>
        <v>618</v>
      </c>
      <c r="AZ54" s="52">
        <f t="shared" si="3"/>
        <v>0</v>
      </c>
      <c r="BA54" s="52">
        <f t="shared" si="4"/>
        <v>618</v>
      </c>
      <c r="BB54" s="49">
        <f t="shared" si="5"/>
        <v>14.72194175</v>
      </c>
    </row>
    <row r="55" ht="15.75" customHeight="1">
      <c r="A55" s="50" t="s">
        <v>50</v>
      </c>
      <c r="B55" s="51">
        <f t="shared" si="6"/>
        <v>45708</v>
      </c>
      <c r="C55" s="52">
        <v>2.0</v>
      </c>
      <c r="D55" s="52" t="s">
        <v>72</v>
      </c>
      <c r="E55" s="53"/>
      <c r="F55" s="85">
        <v>75.0</v>
      </c>
      <c r="H55" s="86">
        <v>140.0</v>
      </c>
      <c r="J55" s="86"/>
      <c r="L55" s="86"/>
      <c r="N55" s="86"/>
      <c r="P55" s="86"/>
      <c r="Q55" s="43"/>
      <c r="R55" s="85">
        <v>199.0</v>
      </c>
      <c r="T55" s="86">
        <v>223.0</v>
      </c>
      <c r="V55" s="86"/>
      <c r="X55" s="86"/>
      <c r="Z55" s="86"/>
      <c r="AB55" s="86"/>
      <c r="AC55" s="43"/>
      <c r="AD55" s="86"/>
      <c r="AF55" s="86"/>
      <c r="AH55" s="86"/>
      <c r="AJ55" s="85"/>
      <c r="AK55" s="43"/>
      <c r="AL55" s="85"/>
      <c r="AM55" s="43"/>
      <c r="AN55" s="85"/>
      <c r="AO55" s="43"/>
      <c r="AP55" s="85"/>
      <c r="AQ55" s="43"/>
      <c r="AR55" s="85"/>
      <c r="AS55" s="43"/>
      <c r="AT55" s="86"/>
      <c r="AV55" s="86"/>
      <c r="AW55" s="43"/>
      <c r="AX55" s="54">
        <f t="shared" si="1"/>
        <v>9476.39</v>
      </c>
      <c r="AY55" s="52">
        <f t="shared" si="2"/>
        <v>637</v>
      </c>
      <c r="AZ55" s="52">
        <f t="shared" si="3"/>
        <v>0</v>
      </c>
      <c r="BA55" s="52">
        <f t="shared" si="4"/>
        <v>637</v>
      </c>
      <c r="BB55" s="49">
        <f t="shared" si="5"/>
        <v>14.87659341</v>
      </c>
    </row>
    <row r="56" ht="15.75" customHeight="1">
      <c r="A56" s="50" t="s">
        <v>53</v>
      </c>
      <c r="B56" s="51">
        <f t="shared" si="6"/>
        <v>45709</v>
      </c>
      <c r="C56" s="52">
        <v>2.0</v>
      </c>
      <c r="D56" s="52" t="s">
        <v>72</v>
      </c>
      <c r="E56" s="53"/>
      <c r="F56" s="85">
        <v>100.0</v>
      </c>
      <c r="H56" s="86">
        <v>160.0</v>
      </c>
      <c r="J56" s="86"/>
      <c r="L56" s="86"/>
      <c r="N56" s="86"/>
      <c r="P56" s="86"/>
      <c r="Q56" s="43"/>
      <c r="R56" s="85">
        <v>212.0</v>
      </c>
      <c r="T56" s="86">
        <v>217.0</v>
      </c>
      <c r="V56" s="86"/>
      <c r="X56" s="86"/>
      <c r="Z56" s="86"/>
      <c r="AB56" s="86"/>
      <c r="AC56" s="43"/>
      <c r="AD56" s="86"/>
      <c r="AF56" s="86"/>
      <c r="AH56" s="86"/>
      <c r="AJ56" s="85"/>
      <c r="AK56" s="43"/>
      <c r="AL56" s="85"/>
      <c r="AM56" s="43"/>
      <c r="AN56" s="85"/>
      <c r="AO56" s="43"/>
      <c r="AP56" s="85"/>
      <c r="AQ56" s="43"/>
      <c r="AR56" s="85"/>
      <c r="AS56" s="43"/>
      <c r="AT56" s="86"/>
      <c r="AV56" s="86"/>
      <c r="AW56" s="43"/>
      <c r="AX56" s="54">
        <f t="shared" si="1"/>
        <v>10555.48</v>
      </c>
      <c r="AY56" s="52">
        <f t="shared" si="2"/>
        <v>689</v>
      </c>
      <c r="AZ56" s="52">
        <f t="shared" si="3"/>
        <v>0</v>
      </c>
      <c r="BA56" s="52">
        <f t="shared" si="4"/>
        <v>689</v>
      </c>
      <c r="BB56" s="49">
        <f t="shared" si="5"/>
        <v>15.32</v>
      </c>
    </row>
    <row r="57" ht="15.75" customHeight="1">
      <c r="A57" s="50" t="s">
        <v>54</v>
      </c>
      <c r="B57" s="51">
        <f t="shared" si="6"/>
        <v>45710</v>
      </c>
      <c r="C57" s="52">
        <v>2.0</v>
      </c>
      <c r="D57" s="52" t="s">
        <v>72</v>
      </c>
      <c r="E57" s="92"/>
      <c r="F57" s="85">
        <v>87.0</v>
      </c>
      <c r="H57" s="86">
        <v>88.0</v>
      </c>
      <c r="J57" s="86"/>
      <c r="L57" s="86"/>
      <c r="N57" s="86"/>
      <c r="P57" s="86"/>
      <c r="Q57" s="43"/>
      <c r="R57" s="85">
        <v>180.0</v>
      </c>
      <c r="T57" s="86">
        <v>165.0</v>
      </c>
      <c r="V57" s="86"/>
      <c r="X57" s="86"/>
      <c r="Z57" s="86"/>
      <c r="AB57" s="86"/>
      <c r="AC57" s="43"/>
      <c r="AD57" s="86"/>
      <c r="AF57" s="86"/>
      <c r="AH57" s="86"/>
      <c r="AJ57" s="85"/>
      <c r="AK57" s="43"/>
      <c r="AL57" s="85"/>
      <c r="AM57" s="43"/>
      <c r="AN57" s="85"/>
      <c r="AO57" s="43"/>
      <c r="AP57" s="85"/>
      <c r="AQ57" s="43"/>
      <c r="AR57" s="85"/>
      <c r="AS57" s="43"/>
      <c r="AT57" s="86"/>
      <c r="AV57" s="86"/>
      <c r="AW57" s="43"/>
      <c r="AX57" s="54">
        <f t="shared" si="1"/>
        <v>7730.15</v>
      </c>
      <c r="AY57" s="52">
        <f t="shared" si="2"/>
        <v>520</v>
      </c>
      <c r="AZ57" s="52">
        <f t="shared" si="3"/>
        <v>0</v>
      </c>
      <c r="BA57" s="52">
        <f t="shared" si="4"/>
        <v>520</v>
      </c>
      <c r="BB57" s="49">
        <f t="shared" si="5"/>
        <v>14.86567308</v>
      </c>
    </row>
    <row r="58" ht="15.75" customHeight="1">
      <c r="A58" s="59" t="s">
        <v>61</v>
      </c>
      <c r="B58" s="61">
        <f t="shared" si="6"/>
        <v>45711</v>
      </c>
      <c r="C58" s="63">
        <v>2.0</v>
      </c>
      <c r="D58" s="63" t="s">
        <v>72</v>
      </c>
      <c r="E58" s="94"/>
      <c r="F58" s="87">
        <v>90.0</v>
      </c>
      <c r="G58" s="66"/>
      <c r="H58" s="88">
        <v>60.0</v>
      </c>
      <c r="I58" s="66"/>
      <c r="J58" s="88"/>
      <c r="K58" s="66"/>
      <c r="L58" s="88"/>
      <c r="M58" s="66"/>
      <c r="N58" s="88"/>
      <c r="O58" s="66"/>
      <c r="P58" s="88"/>
      <c r="Q58" s="68"/>
      <c r="R58" s="87">
        <v>0.0</v>
      </c>
      <c r="S58" s="66"/>
      <c r="T58" s="88">
        <v>0.0</v>
      </c>
      <c r="U58" s="66"/>
      <c r="V58" s="88"/>
      <c r="W58" s="66"/>
      <c r="X58" s="88"/>
      <c r="Y58" s="66"/>
      <c r="Z58" s="88"/>
      <c r="AA58" s="66"/>
      <c r="AB58" s="88"/>
      <c r="AC58" s="68"/>
      <c r="AD58" s="88"/>
      <c r="AE58" s="66"/>
      <c r="AF58" s="88"/>
      <c r="AG58" s="66"/>
      <c r="AH58" s="88"/>
      <c r="AI58" s="66"/>
      <c r="AJ58" s="87"/>
      <c r="AK58" s="68"/>
      <c r="AL58" s="87"/>
      <c r="AM58" s="68"/>
      <c r="AN58" s="87"/>
      <c r="AO58" s="68"/>
      <c r="AP58" s="87"/>
      <c r="AQ58" s="68"/>
      <c r="AR58" s="87"/>
      <c r="AS58" s="68"/>
      <c r="AT58" s="88"/>
      <c r="AU58" s="66"/>
      <c r="AV58" s="88"/>
      <c r="AW58" s="68"/>
      <c r="AX58" s="73">
        <f t="shared" si="1"/>
        <v>3337.5</v>
      </c>
      <c r="AY58" s="63">
        <f t="shared" si="2"/>
        <v>150</v>
      </c>
      <c r="AZ58" s="63">
        <f t="shared" si="3"/>
        <v>0</v>
      </c>
      <c r="BA58" s="63">
        <f t="shared" si="4"/>
        <v>150</v>
      </c>
      <c r="BB58" s="74">
        <f t="shared" si="5"/>
        <v>22.25</v>
      </c>
    </row>
    <row r="59" ht="15.75" customHeight="1">
      <c r="A59" s="36" t="s">
        <v>46</v>
      </c>
      <c r="B59" s="75">
        <f t="shared" si="6"/>
        <v>45712</v>
      </c>
      <c r="C59" s="38">
        <v>3.0</v>
      </c>
      <c r="D59" s="38" t="s">
        <v>47</v>
      </c>
      <c r="E59" s="82"/>
      <c r="F59" s="85">
        <v>140.0</v>
      </c>
      <c r="H59" s="86">
        <v>140.0</v>
      </c>
      <c r="J59" s="86"/>
      <c r="L59" s="86"/>
      <c r="N59" s="86"/>
      <c r="P59" s="86"/>
      <c r="Q59" s="43"/>
      <c r="R59" s="85">
        <v>182.0</v>
      </c>
      <c r="T59" s="86">
        <v>185.0</v>
      </c>
      <c r="V59" s="86"/>
      <c r="X59" s="86"/>
      <c r="Z59" s="86"/>
      <c r="AB59" s="86"/>
      <c r="AC59" s="43"/>
      <c r="AD59" s="86"/>
      <c r="AF59" s="86"/>
      <c r="AH59" s="86"/>
      <c r="AJ59" s="85"/>
      <c r="AK59" s="43"/>
      <c r="AL59" s="85"/>
      <c r="AM59" s="43"/>
      <c r="AN59" s="85"/>
      <c r="AO59" s="43"/>
      <c r="AP59" s="85"/>
      <c r="AQ59" s="43"/>
      <c r="AR59" s="85"/>
      <c r="AS59" s="43"/>
      <c r="AT59" s="86"/>
      <c r="AV59" s="86"/>
      <c r="AW59" s="43"/>
      <c r="AX59" s="47">
        <f t="shared" si="1"/>
        <v>10311.04</v>
      </c>
      <c r="AY59" s="38">
        <f t="shared" si="2"/>
        <v>647</v>
      </c>
      <c r="AZ59" s="38">
        <f t="shared" si="3"/>
        <v>0</v>
      </c>
      <c r="BA59" s="38">
        <f t="shared" si="4"/>
        <v>647</v>
      </c>
      <c r="BB59" s="76">
        <f t="shared" si="5"/>
        <v>15.93669243</v>
      </c>
    </row>
    <row r="60" ht="15.75" customHeight="1">
      <c r="A60" s="50" t="s">
        <v>48</v>
      </c>
      <c r="B60" s="51">
        <f t="shared" si="6"/>
        <v>45713</v>
      </c>
      <c r="C60" s="52">
        <v>3.0</v>
      </c>
      <c r="D60" s="52" t="s">
        <v>47</v>
      </c>
      <c r="E60" s="92"/>
      <c r="F60" s="85">
        <v>120.0</v>
      </c>
      <c r="H60" s="86">
        <v>105.0</v>
      </c>
      <c r="J60" s="86"/>
      <c r="L60" s="86"/>
      <c r="N60" s="86"/>
      <c r="P60" s="86"/>
      <c r="Q60" s="43"/>
      <c r="R60" s="85">
        <v>203.0</v>
      </c>
      <c r="T60" s="86">
        <v>224.0</v>
      </c>
      <c r="V60" s="86"/>
      <c r="X60" s="86"/>
      <c r="Z60" s="86"/>
      <c r="AB60" s="86"/>
      <c r="AC60" s="43"/>
      <c r="AD60" s="86"/>
      <c r="AF60" s="86"/>
      <c r="AH60" s="86"/>
      <c r="AJ60" s="85"/>
      <c r="AK60" s="43"/>
      <c r="AL60" s="85"/>
      <c r="AM60" s="43"/>
      <c r="AN60" s="85"/>
      <c r="AO60" s="43"/>
      <c r="AP60" s="85"/>
      <c r="AQ60" s="43"/>
      <c r="AR60" s="85"/>
      <c r="AS60" s="43"/>
      <c r="AT60" s="86"/>
      <c r="AV60" s="86"/>
      <c r="AW60" s="43"/>
      <c r="AX60" s="54">
        <f t="shared" si="1"/>
        <v>9754.49</v>
      </c>
      <c r="AY60" s="52">
        <f t="shared" si="2"/>
        <v>652</v>
      </c>
      <c r="AZ60" s="52">
        <f t="shared" si="3"/>
        <v>0</v>
      </c>
      <c r="BA60" s="52">
        <f t="shared" si="4"/>
        <v>652</v>
      </c>
      <c r="BB60" s="49">
        <f t="shared" si="5"/>
        <v>14.96087423</v>
      </c>
    </row>
    <row r="61" ht="15.75" customHeight="1">
      <c r="A61" s="50" t="s">
        <v>49</v>
      </c>
      <c r="B61" s="51">
        <f t="shared" si="6"/>
        <v>45714</v>
      </c>
      <c r="C61" s="52">
        <v>3.0</v>
      </c>
      <c r="D61" s="52" t="s">
        <v>47</v>
      </c>
      <c r="E61" s="53"/>
      <c r="F61" s="85">
        <v>112.0</v>
      </c>
      <c r="H61" s="86">
        <v>135.0</v>
      </c>
      <c r="J61" s="86"/>
      <c r="L61" s="86"/>
      <c r="N61" s="86"/>
      <c r="P61" s="86"/>
      <c r="Q61" s="43"/>
      <c r="R61" s="85">
        <v>188.0</v>
      </c>
      <c r="T61" s="86">
        <v>230.0</v>
      </c>
      <c r="V61" s="86"/>
      <c r="X61" s="86"/>
      <c r="Z61" s="86"/>
      <c r="AB61" s="86"/>
      <c r="AC61" s="43"/>
      <c r="AD61" s="86"/>
      <c r="AF61" s="86"/>
      <c r="AH61" s="86"/>
      <c r="AJ61" s="85"/>
      <c r="AK61" s="43"/>
      <c r="AL61" s="85"/>
      <c r="AM61" s="43"/>
      <c r="AN61" s="85"/>
      <c r="AO61" s="43"/>
      <c r="AP61" s="85"/>
      <c r="AQ61" s="43"/>
      <c r="AR61" s="85"/>
      <c r="AS61" s="43"/>
      <c r="AT61" s="86"/>
      <c r="AV61" s="86"/>
      <c r="AW61" s="43"/>
      <c r="AX61" s="54">
        <f t="shared" si="1"/>
        <v>10143.91</v>
      </c>
      <c r="AY61" s="52">
        <f t="shared" si="2"/>
        <v>665</v>
      </c>
      <c r="AZ61" s="52">
        <f t="shared" si="3"/>
        <v>0</v>
      </c>
      <c r="BA61" s="52">
        <f t="shared" si="4"/>
        <v>665</v>
      </c>
      <c r="BB61" s="49">
        <f t="shared" si="5"/>
        <v>15.254</v>
      </c>
    </row>
    <row r="62" ht="15.75" customHeight="1">
      <c r="A62" s="50" t="s">
        <v>50</v>
      </c>
      <c r="B62" s="51">
        <f t="shared" si="6"/>
        <v>45715</v>
      </c>
      <c r="C62" s="52">
        <v>3.0</v>
      </c>
      <c r="D62" s="52" t="s">
        <v>47</v>
      </c>
      <c r="E62" s="92"/>
      <c r="F62" s="85">
        <v>121.0</v>
      </c>
      <c r="H62" s="86">
        <v>95.0</v>
      </c>
      <c r="J62" s="86"/>
      <c r="L62" s="86"/>
      <c r="N62" s="86"/>
      <c r="P62" s="86"/>
      <c r="Q62" s="43"/>
      <c r="R62" s="85">
        <v>197.0</v>
      </c>
      <c r="T62" s="86">
        <v>227.0</v>
      </c>
      <c r="V62" s="86"/>
      <c r="X62" s="86"/>
      <c r="Z62" s="86"/>
      <c r="AB62" s="86"/>
      <c r="AC62" s="43"/>
      <c r="AD62" s="86"/>
      <c r="AF62" s="86"/>
      <c r="AH62" s="86"/>
      <c r="AJ62" s="85"/>
      <c r="AK62" s="43"/>
      <c r="AL62" s="85"/>
      <c r="AM62" s="43"/>
      <c r="AN62" s="85"/>
      <c r="AO62" s="43"/>
      <c r="AP62" s="85"/>
      <c r="AQ62" s="43"/>
      <c r="AR62" s="85"/>
      <c r="AS62" s="43"/>
      <c r="AT62" s="86"/>
      <c r="AV62" s="86"/>
      <c r="AW62" s="43"/>
      <c r="AX62" s="54">
        <f t="shared" si="1"/>
        <v>9520.88</v>
      </c>
      <c r="AY62" s="52">
        <f t="shared" si="2"/>
        <v>640</v>
      </c>
      <c r="AZ62" s="52">
        <f t="shared" si="3"/>
        <v>0</v>
      </c>
      <c r="BA62" s="52">
        <f t="shared" si="4"/>
        <v>640</v>
      </c>
      <c r="BB62" s="49">
        <f t="shared" si="5"/>
        <v>14.876375</v>
      </c>
    </row>
    <row r="63" ht="15.75" customHeight="1">
      <c r="A63" s="50" t="s">
        <v>53</v>
      </c>
      <c r="B63" s="51">
        <f t="shared" si="6"/>
        <v>45716</v>
      </c>
      <c r="C63" s="52">
        <v>3.0</v>
      </c>
      <c r="D63" s="52" t="s">
        <v>47</v>
      </c>
      <c r="E63" s="92"/>
      <c r="F63" s="85">
        <v>115.0</v>
      </c>
      <c r="H63" s="86">
        <v>115.0</v>
      </c>
      <c r="J63" s="86"/>
      <c r="L63" s="86"/>
      <c r="N63" s="86"/>
      <c r="P63" s="86"/>
      <c r="Q63" s="43"/>
      <c r="R63" s="85">
        <v>189.0</v>
      </c>
      <c r="T63" s="86">
        <v>230.0</v>
      </c>
      <c r="V63" s="86"/>
      <c r="X63" s="86"/>
      <c r="Z63" s="86"/>
      <c r="AB63" s="86"/>
      <c r="AC63" s="43"/>
      <c r="AD63" s="86"/>
      <c r="AF63" s="86"/>
      <c r="AH63" s="86"/>
      <c r="AJ63" s="85"/>
      <c r="AK63" s="43"/>
      <c r="AL63" s="85"/>
      <c r="AM63" s="43"/>
      <c r="AN63" s="85"/>
      <c r="AO63" s="43"/>
      <c r="AP63" s="85"/>
      <c r="AQ63" s="43"/>
      <c r="AR63" s="85"/>
      <c r="AS63" s="43"/>
      <c r="AT63" s="86"/>
      <c r="AV63" s="86"/>
      <c r="AW63" s="43"/>
      <c r="AX63" s="54">
        <f t="shared" si="1"/>
        <v>9776.78</v>
      </c>
      <c r="AY63" s="52">
        <f t="shared" si="2"/>
        <v>649</v>
      </c>
      <c r="AZ63" s="52">
        <f t="shared" si="3"/>
        <v>0</v>
      </c>
      <c r="BA63" s="52">
        <f t="shared" si="4"/>
        <v>649</v>
      </c>
      <c r="BB63" s="49">
        <f t="shared" si="5"/>
        <v>15.06437596</v>
      </c>
    </row>
    <row r="64" ht="15.75" customHeight="1">
      <c r="A64" s="50" t="s">
        <v>54</v>
      </c>
      <c r="B64" s="51">
        <f t="shared" si="6"/>
        <v>45717</v>
      </c>
      <c r="C64" s="52">
        <v>3.0</v>
      </c>
      <c r="D64" s="52" t="s">
        <v>47</v>
      </c>
      <c r="E64" s="53"/>
      <c r="F64" s="85">
        <v>95.0</v>
      </c>
      <c r="H64" s="86">
        <v>90.0</v>
      </c>
      <c r="J64" s="86"/>
      <c r="L64" s="86"/>
      <c r="N64" s="86"/>
      <c r="P64" s="86"/>
      <c r="Q64" s="43"/>
      <c r="R64" s="85">
        <v>170.0</v>
      </c>
      <c r="T64" s="86">
        <v>191.0</v>
      </c>
      <c r="V64" s="86"/>
      <c r="X64" s="86"/>
      <c r="Z64" s="86"/>
      <c r="AB64" s="86"/>
      <c r="AC64" s="43"/>
      <c r="AD64" s="86"/>
      <c r="AF64" s="86"/>
      <c r="AH64" s="86"/>
      <c r="AJ64" s="85"/>
      <c r="AK64" s="43"/>
      <c r="AL64" s="85"/>
      <c r="AM64" s="43"/>
      <c r="AN64" s="85"/>
      <c r="AO64" s="43"/>
      <c r="AP64" s="85"/>
      <c r="AQ64" s="43"/>
      <c r="AR64" s="85"/>
      <c r="AS64" s="43"/>
      <c r="AT64" s="86"/>
      <c r="AV64" s="86"/>
      <c r="AW64" s="43"/>
      <c r="AX64" s="54">
        <f t="shared" si="1"/>
        <v>8130.57</v>
      </c>
      <c r="AY64" s="52">
        <f t="shared" si="2"/>
        <v>546</v>
      </c>
      <c r="AZ64" s="52">
        <f t="shared" si="3"/>
        <v>0</v>
      </c>
      <c r="BA64" s="52">
        <f t="shared" si="4"/>
        <v>546</v>
      </c>
      <c r="BB64" s="49">
        <f t="shared" si="5"/>
        <v>14.89115385</v>
      </c>
    </row>
    <row r="65" ht="15.75" customHeight="1">
      <c r="A65" s="59" t="s">
        <v>61</v>
      </c>
      <c r="B65" s="61">
        <f t="shared" si="6"/>
        <v>45718</v>
      </c>
      <c r="C65" s="63">
        <v>3.0</v>
      </c>
      <c r="D65" s="63" t="s">
        <v>47</v>
      </c>
      <c r="E65" s="94"/>
      <c r="F65" s="87">
        <v>91.0</v>
      </c>
      <c r="G65" s="66"/>
      <c r="H65" s="88">
        <v>111.0</v>
      </c>
      <c r="I65" s="66"/>
      <c r="J65" s="88"/>
      <c r="K65" s="66"/>
      <c r="L65" s="88"/>
      <c r="M65" s="66"/>
      <c r="N65" s="88"/>
      <c r="O65" s="66"/>
      <c r="P65" s="88"/>
      <c r="Q65" s="68"/>
      <c r="R65" s="87"/>
      <c r="S65" s="66"/>
      <c r="T65" s="88"/>
      <c r="U65" s="66"/>
      <c r="V65" s="88"/>
      <c r="W65" s="66"/>
      <c r="X65" s="88"/>
      <c r="Y65" s="66"/>
      <c r="Z65" s="88"/>
      <c r="AA65" s="66"/>
      <c r="AB65" s="88"/>
      <c r="AC65" s="68"/>
      <c r="AD65" s="88"/>
      <c r="AE65" s="66"/>
      <c r="AF65" s="88"/>
      <c r="AG65" s="66"/>
      <c r="AH65" s="88"/>
      <c r="AI65" s="66"/>
      <c r="AJ65" s="87"/>
      <c r="AK65" s="68"/>
      <c r="AL65" s="87"/>
      <c r="AM65" s="68"/>
      <c r="AN65" s="87"/>
      <c r="AO65" s="68"/>
      <c r="AP65" s="87"/>
      <c r="AQ65" s="68"/>
      <c r="AR65" s="87"/>
      <c r="AS65" s="68"/>
      <c r="AT65" s="88"/>
      <c r="AU65" s="66"/>
      <c r="AV65" s="88"/>
      <c r="AW65" s="68"/>
      <c r="AX65" s="73">
        <f t="shared" si="1"/>
        <v>4494.5</v>
      </c>
      <c r="AY65" s="63">
        <f t="shared" si="2"/>
        <v>202</v>
      </c>
      <c r="AZ65" s="63">
        <f t="shared" si="3"/>
        <v>0</v>
      </c>
      <c r="BA65" s="63">
        <f t="shared" si="4"/>
        <v>202</v>
      </c>
      <c r="BB65" s="74">
        <f t="shared" si="5"/>
        <v>22.25</v>
      </c>
    </row>
    <row r="66" ht="15.75" customHeight="1">
      <c r="A66" s="36" t="s">
        <v>46</v>
      </c>
      <c r="B66" s="75">
        <f t="shared" si="6"/>
        <v>45719</v>
      </c>
      <c r="C66" s="38">
        <v>3.0</v>
      </c>
      <c r="D66" s="38" t="s">
        <v>65</v>
      </c>
      <c r="E66" s="82"/>
      <c r="F66" s="85">
        <v>0.0</v>
      </c>
      <c r="H66" s="86">
        <v>0.0</v>
      </c>
      <c r="J66" s="86"/>
      <c r="L66" s="86"/>
      <c r="N66" s="86"/>
      <c r="P66" s="86"/>
      <c r="Q66" s="43"/>
      <c r="R66" s="85">
        <v>223.0</v>
      </c>
      <c r="T66" s="86">
        <v>207.0</v>
      </c>
      <c r="V66" s="86"/>
      <c r="X66" s="86"/>
      <c r="Z66" s="86"/>
      <c r="AB66" s="86"/>
      <c r="AC66" s="43"/>
      <c r="AD66" s="86"/>
      <c r="AF66" s="86"/>
      <c r="AH66" s="86"/>
      <c r="AJ66" s="85"/>
      <c r="AK66" s="43"/>
      <c r="AL66" s="85"/>
      <c r="AM66" s="43"/>
      <c r="AN66" s="85"/>
      <c r="AO66" s="43"/>
      <c r="AP66" s="85"/>
      <c r="AQ66" s="43"/>
      <c r="AR66" s="85"/>
      <c r="AS66" s="43"/>
      <c r="AT66" s="86"/>
      <c r="AV66" s="86"/>
      <c r="AW66" s="43"/>
      <c r="AX66" s="47">
        <f t="shared" si="1"/>
        <v>4781.6</v>
      </c>
      <c r="AY66" s="38">
        <f t="shared" si="2"/>
        <v>430</v>
      </c>
      <c r="AZ66" s="38">
        <f t="shared" si="3"/>
        <v>0</v>
      </c>
      <c r="BA66" s="38">
        <f t="shared" si="4"/>
        <v>430</v>
      </c>
      <c r="BB66" s="76">
        <f t="shared" si="5"/>
        <v>11.12</v>
      </c>
    </row>
    <row r="67" ht="15.75" customHeight="1">
      <c r="A67" s="50" t="s">
        <v>48</v>
      </c>
      <c r="B67" s="51">
        <f t="shared" si="6"/>
        <v>45720</v>
      </c>
      <c r="C67" s="52">
        <v>3.0</v>
      </c>
      <c r="D67" s="52" t="s">
        <v>65</v>
      </c>
      <c r="E67" s="53"/>
      <c r="F67" s="85">
        <v>24.0</v>
      </c>
      <c r="H67" s="86">
        <v>15.0</v>
      </c>
      <c r="J67" s="86"/>
      <c r="L67" s="86"/>
      <c r="N67" s="86"/>
      <c r="P67" s="86"/>
      <c r="Q67" s="43"/>
      <c r="R67" s="85">
        <v>268.0</v>
      </c>
      <c r="T67" s="86">
        <v>283.0</v>
      </c>
      <c r="V67" s="86"/>
      <c r="X67" s="86"/>
      <c r="Z67" s="86"/>
      <c r="AB67" s="86"/>
      <c r="AC67" s="43"/>
      <c r="AD67" s="86"/>
      <c r="AF67" s="86"/>
      <c r="AH67" s="86"/>
      <c r="AJ67" s="85"/>
      <c r="AK67" s="43"/>
      <c r="AL67" s="85"/>
      <c r="AM67" s="43"/>
      <c r="AN67" s="85"/>
      <c r="AO67" s="43"/>
      <c r="AP67" s="85"/>
      <c r="AQ67" s="43"/>
      <c r="AR67" s="85"/>
      <c r="AS67" s="43"/>
      <c r="AT67" s="86"/>
      <c r="AV67" s="86"/>
      <c r="AW67" s="43"/>
      <c r="AX67" s="54">
        <f t="shared" si="1"/>
        <v>6994.87</v>
      </c>
      <c r="AY67" s="52">
        <f t="shared" si="2"/>
        <v>590</v>
      </c>
      <c r="AZ67" s="52">
        <f t="shared" si="3"/>
        <v>0</v>
      </c>
      <c r="BA67" s="52">
        <f t="shared" si="4"/>
        <v>590</v>
      </c>
      <c r="BB67" s="49">
        <f t="shared" si="5"/>
        <v>11.85571186</v>
      </c>
    </row>
    <row r="68" ht="15.75" customHeight="1">
      <c r="A68" s="50" t="s">
        <v>49</v>
      </c>
      <c r="B68" s="51">
        <f t="shared" si="6"/>
        <v>45721</v>
      </c>
      <c r="C68" s="52">
        <v>3.0</v>
      </c>
      <c r="D68" s="52" t="s">
        <v>65</v>
      </c>
      <c r="E68" s="92"/>
      <c r="F68" s="85">
        <v>100.0</v>
      </c>
      <c r="H68" s="86">
        <v>100.0</v>
      </c>
      <c r="J68" s="86"/>
      <c r="L68" s="86"/>
      <c r="N68" s="86"/>
      <c r="P68" s="86"/>
      <c r="Q68" s="43"/>
      <c r="R68" s="85">
        <v>213.0</v>
      </c>
      <c r="T68" s="86">
        <v>276.0</v>
      </c>
      <c r="V68" s="86"/>
      <c r="X68" s="86"/>
      <c r="Z68" s="86"/>
      <c r="AB68" s="86"/>
      <c r="AC68" s="43"/>
      <c r="AD68" s="86"/>
      <c r="AF68" s="86"/>
      <c r="AH68" s="86"/>
      <c r="AJ68" s="85"/>
      <c r="AK68" s="43"/>
      <c r="AL68" s="85"/>
      <c r="AM68" s="43"/>
      <c r="AN68" s="85"/>
      <c r="AO68" s="43"/>
      <c r="AP68" s="85"/>
      <c r="AQ68" s="43"/>
      <c r="AR68" s="85"/>
      <c r="AS68" s="43"/>
      <c r="AT68" s="86"/>
      <c r="AV68" s="86"/>
      <c r="AW68" s="43"/>
      <c r="AX68" s="54">
        <f t="shared" si="1"/>
        <v>9887.68</v>
      </c>
      <c r="AY68" s="52">
        <f t="shared" si="2"/>
        <v>689</v>
      </c>
      <c r="AZ68" s="52">
        <f t="shared" si="3"/>
        <v>0</v>
      </c>
      <c r="BA68" s="52">
        <f t="shared" si="4"/>
        <v>689</v>
      </c>
      <c r="BB68" s="49">
        <f t="shared" si="5"/>
        <v>14.35076923</v>
      </c>
    </row>
    <row r="69" ht="15.75" customHeight="1">
      <c r="A69" s="50" t="s">
        <v>50</v>
      </c>
      <c r="B69" s="51">
        <f t="shared" si="6"/>
        <v>45722</v>
      </c>
      <c r="C69" s="52">
        <v>3.0</v>
      </c>
      <c r="D69" s="52" t="s">
        <v>65</v>
      </c>
      <c r="E69" s="92"/>
      <c r="F69" s="85">
        <v>115.0</v>
      </c>
      <c r="H69" s="86">
        <v>111.0</v>
      </c>
      <c r="J69" s="86"/>
      <c r="L69" s="86"/>
      <c r="N69" s="86"/>
      <c r="P69" s="86"/>
      <c r="Q69" s="43"/>
      <c r="R69" s="85">
        <v>230.0</v>
      </c>
      <c r="T69" s="86">
        <v>287.0</v>
      </c>
      <c r="V69" s="86"/>
      <c r="X69" s="86"/>
      <c r="Z69" s="86"/>
      <c r="AB69" s="86"/>
      <c r="AC69" s="43"/>
      <c r="AD69" s="86"/>
      <c r="AF69" s="86"/>
      <c r="AH69" s="86"/>
      <c r="AJ69" s="85"/>
      <c r="AK69" s="43"/>
      <c r="AL69" s="85"/>
      <c r="AM69" s="43"/>
      <c r="AN69" s="85"/>
      <c r="AO69" s="43"/>
      <c r="AP69" s="85"/>
      <c r="AQ69" s="43"/>
      <c r="AR69" s="85"/>
      <c r="AS69" s="43"/>
      <c r="AT69" s="86"/>
      <c r="AV69" s="86"/>
      <c r="AW69" s="43"/>
      <c r="AX69" s="54">
        <f t="shared" si="1"/>
        <v>10777.54</v>
      </c>
      <c r="AY69" s="52">
        <f t="shared" si="2"/>
        <v>743</v>
      </c>
      <c r="AZ69" s="52">
        <f t="shared" si="3"/>
        <v>0</v>
      </c>
      <c r="BA69" s="52">
        <f t="shared" si="4"/>
        <v>743</v>
      </c>
      <c r="BB69" s="49">
        <f t="shared" si="5"/>
        <v>14.50543742</v>
      </c>
    </row>
    <row r="70" ht="15.75" customHeight="1">
      <c r="A70" s="50" t="s">
        <v>53</v>
      </c>
      <c r="B70" s="51">
        <f t="shared" si="6"/>
        <v>45723</v>
      </c>
      <c r="C70" s="52">
        <v>3.0</v>
      </c>
      <c r="D70" s="52" t="s">
        <v>65</v>
      </c>
      <c r="E70" s="53"/>
      <c r="F70" s="85">
        <v>72.0</v>
      </c>
      <c r="H70" s="86">
        <v>100.0</v>
      </c>
      <c r="J70" s="86"/>
      <c r="L70" s="86"/>
      <c r="N70" s="86"/>
      <c r="P70" s="86"/>
      <c r="Q70" s="43"/>
      <c r="R70" s="85">
        <v>62.0</v>
      </c>
      <c r="T70" s="86">
        <v>61.0</v>
      </c>
      <c r="V70" s="86"/>
      <c r="X70" s="86"/>
      <c r="Z70" s="86"/>
      <c r="AB70" s="86"/>
      <c r="AC70" s="43"/>
      <c r="AD70" s="86"/>
      <c r="AF70" s="86"/>
      <c r="AH70" s="86"/>
      <c r="AJ70" s="85"/>
      <c r="AK70" s="43"/>
      <c r="AL70" s="85"/>
      <c r="AM70" s="43"/>
      <c r="AN70" s="85"/>
      <c r="AO70" s="43"/>
      <c r="AP70" s="85"/>
      <c r="AQ70" s="43"/>
      <c r="AR70" s="85"/>
      <c r="AS70" s="43"/>
      <c r="AT70" s="86"/>
      <c r="AV70" s="86"/>
      <c r="AW70" s="43"/>
      <c r="AX70" s="54">
        <f t="shared" si="1"/>
        <v>5194.76</v>
      </c>
      <c r="AY70" s="52">
        <f t="shared" si="2"/>
        <v>295</v>
      </c>
      <c r="AZ70" s="52">
        <f t="shared" si="3"/>
        <v>0</v>
      </c>
      <c r="BA70" s="52">
        <f t="shared" si="4"/>
        <v>295</v>
      </c>
      <c r="BB70" s="49">
        <f t="shared" si="5"/>
        <v>17.60935593</v>
      </c>
    </row>
    <row r="71" ht="15.75" customHeight="1">
      <c r="A71" s="50" t="s">
        <v>54</v>
      </c>
      <c r="B71" s="51">
        <f t="shared" si="6"/>
        <v>45724</v>
      </c>
      <c r="C71" s="52">
        <v>3.0</v>
      </c>
      <c r="D71" s="52" t="s">
        <v>65</v>
      </c>
      <c r="E71" s="53"/>
      <c r="F71" s="85">
        <v>113.0</v>
      </c>
      <c r="H71" s="86">
        <v>112.0</v>
      </c>
      <c r="J71" s="86"/>
      <c r="L71" s="86"/>
      <c r="N71" s="86"/>
      <c r="P71" s="86"/>
      <c r="Q71" s="43"/>
      <c r="R71" s="85">
        <v>226.0</v>
      </c>
      <c r="T71" s="86">
        <v>223.0</v>
      </c>
      <c r="V71" s="86"/>
      <c r="X71" s="86"/>
      <c r="Z71" s="86"/>
      <c r="AB71" s="86"/>
      <c r="AC71" s="43"/>
      <c r="AD71" s="86"/>
      <c r="AF71" s="86"/>
      <c r="AH71" s="86"/>
      <c r="AJ71" s="85"/>
      <c r="AK71" s="43"/>
      <c r="AL71" s="85"/>
      <c r="AM71" s="43"/>
      <c r="AN71" s="85"/>
      <c r="AO71" s="43"/>
      <c r="AP71" s="85"/>
      <c r="AQ71" s="43"/>
      <c r="AR71" s="85"/>
      <c r="AS71" s="43"/>
      <c r="AT71" s="86"/>
      <c r="AV71" s="86"/>
      <c r="AW71" s="43"/>
      <c r="AX71" s="54">
        <f t="shared" si="1"/>
        <v>9999.13</v>
      </c>
      <c r="AY71" s="52">
        <f t="shared" si="2"/>
        <v>674</v>
      </c>
      <c r="AZ71" s="52">
        <f t="shared" si="3"/>
        <v>0</v>
      </c>
      <c r="BA71" s="52">
        <f t="shared" si="4"/>
        <v>674</v>
      </c>
      <c r="BB71" s="49">
        <f t="shared" si="5"/>
        <v>14.83550445</v>
      </c>
    </row>
    <row r="72" ht="15.75" customHeight="1">
      <c r="A72" s="59" t="s">
        <v>61</v>
      </c>
      <c r="B72" s="61">
        <f t="shared" si="6"/>
        <v>45725</v>
      </c>
      <c r="C72" s="63">
        <v>3.0</v>
      </c>
      <c r="D72" s="63" t="s">
        <v>65</v>
      </c>
      <c r="E72" s="64"/>
      <c r="F72" s="87"/>
      <c r="G72" s="66"/>
      <c r="H72" s="88"/>
      <c r="I72" s="66"/>
      <c r="J72" s="88"/>
      <c r="K72" s="66"/>
      <c r="L72" s="88"/>
      <c r="M72" s="66"/>
      <c r="N72" s="88"/>
      <c r="O72" s="66"/>
      <c r="P72" s="88"/>
      <c r="Q72" s="68"/>
      <c r="R72" s="87">
        <v>191.0</v>
      </c>
      <c r="S72" s="66"/>
      <c r="T72" s="88">
        <v>185.0</v>
      </c>
      <c r="U72" s="66"/>
      <c r="V72" s="88"/>
      <c r="W72" s="66"/>
      <c r="X72" s="88"/>
      <c r="Y72" s="66"/>
      <c r="Z72" s="88"/>
      <c r="AA72" s="66"/>
      <c r="AB72" s="88"/>
      <c r="AC72" s="68"/>
      <c r="AD72" s="88"/>
      <c r="AE72" s="66"/>
      <c r="AF72" s="88"/>
      <c r="AG72" s="66"/>
      <c r="AH72" s="88"/>
      <c r="AI72" s="66"/>
      <c r="AJ72" s="87"/>
      <c r="AK72" s="68"/>
      <c r="AL72" s="87"/>
      <c r="AM72" s="68"/>
      <c r="AN72" s="87"/>
      <c r="AO72" s="68"/>
      <c r="AP72" s="87"/>
      <c r="AQ72" s="68"/>
      <c r="AR72" s="87"/>
      <c r="AS72" s="68"/>
      <c r="AT72" s="88"/>
      <c r="AU72" s="66"/>
      <c r="AV72" s="88"/>
      <c r="AW72" s="68"/>
      <c r="AX72" s="73">
        <f t="shared" si="1"/>
        <v>4181.12</v>
      </c>
      <c r="AY72" s="63">
        <f t="shared" si="2"/>
        <v>376</v>
      </c>
      <c r="AZ72" s="63">
        <f t="shared" si="3"/>
        <v>0</v>
      </c>
      <c r="BA72" s="63">
        <f t="shared" si="4"/>
        <v>376</v>
      </c>
      <c r="BB72" s="74">
        <f t="shared" si="5"/>
        <v>11.12</v>
      </c>
    </row>
    <row r="73" ht="15.75" customHeight="1">
      <c r="A73" s="36" t="s">
        <v>46</v>
      </c>
      <c r="B73" s="75">
        <f t="shared" si="6"/>
        <v>45726</v>
      </c>
      <c r="C73" s="38">
        <v>3.0</v>
      </c>
      <c r="D73" s="38" t="s">
        <v>69</v>
      </c>
      <c r="E73" s="40"/>
      <c r="F73" s="85">
        <v>90.0</v>
      </c>
      <c r="H73" s="86">
        <v>100.0</v>
      </c>
      <c r="J73" s="86"/>
      <c r="L73" s="86"/>
      <c r="N73" s="86"/>
      <c r="P73" s="86"/>
      <c r="Q73" s="43"/>
      <c r="R73" s="85">
        <v>248.0</v>
      </c>
      <c r="T73" s="86">
        <v>263.0</v>
      </c>
      <c r="V73" s="86"/>
      <c r="X73" s="86"/>
      <c r="Z73" s="86"/>
      <c r="AB73" s="86"/>
      <c r="AC73" s="43"/>
      <c r="AD73" s="86"/>
      <c r="AF73" s="86"/>
      <c r="AH73" s="86"/>
      <c r="AJ73" s="85"/>
      <c r="AK73" s="43"/>
      <c r="AL73" s="85"/>
      <c r="AM73" s="43"/>
      <c r="AN73" s="85"/>
      <c r="AO73" s="43"/>
      <c r="AP73" s="85"/>
      <c r="AQ73" s="43"/>
      <c r="AR73" s="85"/>
      <c r="AS73" s="43"/>
      <c r="AT73" s="86"/>
      <c r="AV73" s="86"/>
      <c r="AW73" s="43"/>
      <c r="AX73" s="47">
        <f t="shared" si="1"/>
        <v>9909.82</v>
      </c>
      <c r="AY73" s="38">
        <f t="shared" si="2"/>
        <v>701</v>
      </c>
      <c r="AZ73" s="38">
        <f t="shared" si="3"/>
        <v>0</v>
      </c>
      <c r="BA73" s="38">
        <f t="shared" si="4"/>
        <v>701</v>
      </c>
      <c r="BB73" s="76">
        <f t="shared" si="5"/>
        <v>14.13669044</v>
      </c>
    </row>
    <row r="74" ht="15.75" customHeight="1">
      <c r="A74" s="50" t="s">
        <v>48</v>
      </c>
      <c r="B74" s="51">
        <f t="shared" si="6"/>
        <v>45727</v>
      </c>
      <c r="C74" s="52">
        <v>3.0</v>
      </c>
      <c r="D74" s="52" t="s">
        <v>69</v>
      </c>
      <c r="E74" s="53"/>
      <c r="F74" s="85">
        <v>77.0</v>
      </c>
      <c r="H74" s="86">
        <v>100.0</v>
      </c>
      <c r="J74" s="86"/>
      <c r="L74" s="86"/>
      <c r="N74" s="86"/>
      <c r="P74" s="86"/>
      <c r="Q74" s="43"/>
      <c r="R74" s="85">
        <v>244.0</v>
      </c>
      <c r="T74" s="86">
        <v>249.0</v>
      </c>
      <c r="V74" s="86"/>
      <c r="X74" s="86"/>
      <c r="Z74" s="86"/>
      <c r="AB74" s="86"/>
      <c r="AC74" s="43"/>
      <c r="AD74" s="86"/>
      <c r="AF74" s="86"/>
      <c r="AH74" s="86"/>
      <c r="AJ74" s="85"/>
      <c r="AK74" s="43"/>
      <c r="AL74" s="85"/>
      <c r="AM74" s="43"/>
      <c r="AN74" s="85"/>
      <c r="AO74" s="43"/>
      <c r="AP74" s="85"/>
      <c r="AQ74" s="43"/>
      <c r="AR74" s="85"/>
      <c r="AS74" s="43"/>
      <c r="AT74" s="86"/>
      <c r="AV74" s="86"/>
      <c r="AW74" s="43"/>
      <c r="AX74" s="54">
        <f t="shared" si="1"/>
        <v>9420.41</v>
      </c>
      <c r="AY74" s="52">
        <f t="shared" si="2"/>
        <v>670</v>
      </c>
      <c r="AZ74" s="52">
        <f t="shared" si="3"/>
        <v>0</v>
      </c>
      <c r="BA74" s="52">
        <f t="shared" si="4"/>
        <v>670</v>
      </c>
      <c r="BB74" s="49">
        <f t="shared" si="5"/>
        <v>14.06031343</v>
      </c>
    </row>
    <row r="75" ht="15.75" customHeight="1">
      <c r="A75" s="50" t="s">
        <v>49</v>
      </c>
      <c r="B75" s="51">
        <f t="shared" si="6"/>
        <v>45728</v>
      </c>
      <c r="C75" s="52">
        <v>3.0</v>
      </c>
      <c r="D75" s="52" t="s">
        <v>69</v>
      </c>
      <c r="E75" s="53"/>
      <c r="F75" s="85"/>
      <c r="H75" s="86"/>
      <c r="J75" s="86"/>
      <c r="L75" s="86"/>
      <c r="N75" s="86"/>
      <c r="P75" s="86"/>
      <c r="Q75" s="43"/>
      <c r="R75" s="85"/>
      <c r="T75" s="86"/>
      <c r="V75" s="86"/>
      <c r="X75" s="86"/>
      <c r="Z75" s="86"/>
      <c r="AB75" s="86"/>
      <c r="AC75" s="43"/>
      <c r="AD75" s="86"/>
      <c r="AF75" s="86"/>
      <c r="AH75" s="86"/>
      <c r="AJ75" s="85"/>
      <c r="AK75" s="43"/>
      <c r="AL75" s="85"/>
      <c r="AM75" s="43"/>
      <c r="AN75" s="85"/>
      <c r="AO75" s="43"/>
      <c r="AP75" s="85"/>
      <c r="AQ75" s="43"/>
      <c r="AR75" s="85"/>
      <c r="AS75" s="43"/>
      <c r="AT75" s="86"/>
      <c r="AV75" s="86"/>
      <c r="AW75" s="43"/>
      <c r="AX75" s="54">
        <f t="shared" si="1"/>
        <v>0</v>
      </c>
      <c r="AY75" s="52">
        <f t="shared" si="2"/>
        <v>0</v>
      </c>
      <c r="AZ75" s="52">
        <f t="shared" si="3"/>
        <v>0</v>
      </c>
      <c r="BA75" s="52">
        <f t="shared" si="4"/>
        <v>0</v>
      </c>
      <c r="BB75" s="49" t="str">
        <f t="shared" si="5"/>
        <v/>
      </c>
    </row>
    <row r="76" ht="15.75" customHeight="1">
      <c r="A76" s="50" t="s">
        <v>50</v>
      </c>
      <c r="B76" s="51">
        <f t="shared" si="6"/>
        <v>45729</v>
      </c>
      <c r="C76" s="52">
        <v>3.0</v>
      </c>
      <c r="D76" s="52" t="s">
        <v>69</v>
      </c>
      <c r="E76" s="53"/>
      <c r="F76" s="85">
        <v>65.0</v>
      </c>
      <c r="H76" s="86">
        <v>125.0</v>
      </c>
      <c r="J76" s="86"/>
      <c r="L76" s="86"/>
      <c r="N76" s="86"/>
      <c r="P76" s="86"/>
      <c r="Q76" s="43"/>
      <c r="R76" s="85">
        <v>244.0</v>
      </c>
      <c r="T76" s="86">
        <v>251.0</v>
      </c>
      <c r="V76" s="86"/>
      <c r="X76" s="86"/>
      <c r="Z76" s="86"/>
      <c r="AB76" s="86"/>
      <c r="AC76" s="43"/>
      <c r="AD76" s="86"/>
      <c r="AF76" s="86"/>
      <c r="AH76" s="86"/>
      <c r="AJ76" s="85"/>
      <c r="AK76" s="43"/>
      <c r="AL76" s="85"/>
      <c r="AM76" s="43"/>
      <c r="AN76" s="85"/>
      <c r="AO76" s="43"/>
      <c r="AP76" s="85"/>
      <c r="AQ76" s="43"/>
      <c r="AR76" s="85"/>
      <c r="AS76" s="43"/>
      <c r="AT76" s="86"/>
      <c r="AV76" s="86"/>
      <c r="AW76" s="43"/>
      <c r="AX76" s="54">
        <f t="shared" si="1"/>
        <v>9731.9</v>
      </c>
      <c r="AY76" s="52">
        <f t="shared" si="2"/>
        <v>685</v>
      </c>
      <c r="AZ76" s="52">
        <f t="shared" si="3"/>
        <v>0</v>
      </c>
      <c r="BA76" s="52">
        <f t="shared" si="4"/>
        <v>685</v>
      </c>
      <c r="BB76" s="49">
        <f t="shared" si="5"/>
        <v>14.20715328</v>
      </c>
    </row>
    <row r="77" ht="15.75" customHeight="1">
      <c r="A77" s="50" t="s">
        <v>53</v>
      </c>
      <c r="B77" s="51">
        <f t="shared" si="6"/>
        <v>45730</v>
      </c>
      <c r="C77" s="52">
        <v>3.0</v>
      </c>
      <c r="D77" s="52" t="s">
        <v>69</v>
      </c>
      <c r="E77" s="53"/>
      <c r="F77" s="85">
        <v>85.0</v>
      </c>
      <c r="H77" s="86">
        <v>65.0</v>
      </c>
      <c r="J77" s="86"/>
      <c r="L77" s="86"/>
      <c r="N77" s="86"/>
      <c r="P77" s="86"/>
      <c r="Q77" s="43"/>
      <c r="R77" s="85">
        <v>208.0</v>
      </c>
      <c r="T77" s="86">
        <v>280.0</v>
      </c>
      <c r="V77" s="86"/>
      <c r="X77" s="86"/>
      <c r="Z77" s="86"/>
      <c r="AB77" s="86"/>
      <c r="AC77" s="43"/>
      <c r="AD77" s="86"/>
      <c r="AF77" s="86"/>
      <c r="AH77" s="86"/>
      <c r="AJ77" s="85"/>
      <c r="AK77" s="43"/>
      <c r="AL77" s="85"/>
      <c r="AM77" s="43"/>
      <c r="AN77" s="85"/>
      <c r="AO77" s="43"/>
      <c r="AP77" s="85"/>
      <c r="AQ77" s="43"/>
      <c r="AR77" s="85"/>
      <c r="AS77" s="43"/>
      <c r="AT77" s="86"/>
      <c r="AV77" s="86"/>
      <c r="AW77" s="43"/>
      <c r="AX77" s="54">
        <f t="shared" si="1"/>
        <v>8764.06</v>
      </c>
      <c r="AY77" s="52">
        <f t="shared" si="2"/>
        <v>638</v>
      </c>
      <c r="AZ77" s="52">
        <f t="shared" si="3"/>
        <v>0</v>
      </c>
      <c r="BA77" s="52">
        <f t="shared" si="4"/>
        <v>638</v>
      </c>
      <c r="BB77" s="49">
        <f t="shared" si="5"/>
        <v>13.73677116</v>
      </c>
    </row>
    <row r="78" ht="15.75" customHeight="1">
      <c r="A78" s="50" t="s">
        <v>54</v>
      </c>
      <c r="B78" s="51">
        <f t="shared" si="6"/>
        <v>45731</v>
      </c>
      <c r="C78" s="52">
        <v>3.0</v>
      </c>
      <c r="D78" s="52" t="s">
        <v>69</v>
      </c>
      <c r="E78" s="53"/>
      <c r="F78" s="85">
        <v>75.0</v>
      </c>
      <c r="H78" s="86">
        <v>68.0</v>
      </c>
      <c r="J78" s="86"/>
      <c r="L78" s="86"/>
      <c r="N78" s="86"/>
      <c r="P78" s="86"/>
      <c r="Q78" s="43"/>
      <c r="R78" s="85">
        <v>192.0</v>
      </c>
      <c r="T78" s="86">
        <v>260.0</v>
      </c>
      <c r="V78" s="86"/>
      <c r="X78" s="86"/>
      <c r="Z78" s="86"/>
      <c r="AB78" s="86"/>
      <c r="AC78" s="43"/>
      <c r="AD78" s="86"/>
      <c r="AF78" s="86"/>
      <c r="AH78" s="86"/>
      <c r="AJ78" s="85"/>
      <c r="AK78" s="43"/>
      <c r="AL78" s="85"/>
      <c r="AM78" s="43"/>
      <c r="AN78" s="85"/>
      <c r="AO78" s="43"/>
      <c r="AP78" s="85"/>
      <c r="AQ78" s="43"/>
      <c r="AR78" s="85"/>
      <c r="AS78" s="43"/>
      <c r="AT78" s="86"/>
      <c r="AV78" s="86"/>
      <c r="AW78" s="43"/>
      <c r="AX78" s="54">
        <f t="shared" si="1"/>
        <v>8207.99</v>
      </c>
      <c r="AY78" s="52">
        <f t="shared" si="2"/>
        <v>595</v>
      </c>
      <c r="AZ78" s="52">
        <f t="shared" si="3"/>
        <v>0</v>
      </c>
      <c r="BA78" s="52">
        <f t="shared" si="4"/>
        <v>595</v>
      </c>
      <c r="BB78" s="49">
        <f t="shared" si="5"/>
        <v>13.79494118</v>
      </c>
    </row>
    <row r="79" ht="15.75" customHeight="1">
      <c r="A79" s="59" t="s">
        <v>61</v>
      </c>
      <c r="B79" s="61">
        <f t="shared" si="6"/>
        <v>45732</v>
      </c>
      <c r="C79" s="63">
        <v>3.0</v>
      </c>
      <c r="D79" s="63" t="s">
        <v>69</v>
      </c>
      <c r="E79" s="64"/>
      <c r="F79" s="87">
        <v>90.0</v>
      </c>
      <c r="G79" s="66"/>
      <c r="H79" s="88">
        <v>91.0</v>
      </c>
      <c r="I79" s="66"/>
      <c r="J79" s="88"/>
      <c r="K79" s="66"/>
      <c r="L79" s="88"/>
      <c r="M79" s="66"/>
      <c r="N79" s="88"/>
      <c r="O79" s="66"/>
      <c r="P79" s="88"/>
      <c r="Q79" s="68"/>
      <c r="R79" s="87">
        <v>185.0</v>
      </c>
      <c r="S79" s="66"/>
      <c r="T79" s="88">
        <v>246.0</v>
      </c>
      <c r="U79" s="66"/>
      <c r="V79" s="88"/>
      <c r="W79" s="66"/>
      <c r="X79" s="88"/>
      <c r="Y79" s="66"/>
      <c r="Z79" s="88"/>
      <c r="AA79" s="66"/>
      <c r="AB79" s="88"/>
      <c r="AC79" s="68"/>
      <c r="AD79" s="88"/>
      <c r="AE79" s="66"/>
      <c r="AF79" s="88"/>
      <c r="AG79" s="66"/>
      <c r="AH79" s="88"/>
      <c r="AI79" s="66"/>
      <c r="AJ79" s="87"/>
      <c r="AK79" s="68"/>
      <c r="AL79" s="87"/>
      <c r="AM79" s="68"/>
      <c r="AN79" s="87"/>
      <c r="AO79" s="68"/>
      <c r="AP79" s="87"/>
      <c r="AQ79" s="68"/>
      <c r="AR79" s="87"/>
      <c r="AS79" s="68"/>
      <c r="AT79" s="88"/>
      <c r="AU79" s="66"/>
      <c r="AV79" s="88"/>
      <c r="AW79" s="68"/>
      <c r="AX79" s="73">
        <f t="shared" si="1"/>
        <v>8819.97</v>
      </c>
      <c r="AY79" s="63">
        <f t="shared" si="2"/>
        <v>612</v>
      </c>
      <c r="AZ79" s="63">
        <f t="shared" si="3"/>
        <v>0</v>
      </c>
      <c r="BA79" s="63">
        <f t="shared" si="4"/>
        <v>612</v>
      </c>
      <c r="BB79" s="74">
        <f t="shared" si="5"/>
        <v>14.41171569</v>
      </c>
    </row>
    <row r="80" ht="15.75" customHeight="1">
      <c r="A80" s="36" t="s">
        <v>46</v>
      </c>
      <c r="B80" s="75">
        <f t="shared" si="6"/>
        <v>45733</v>
      </c>
      <c r="C80" s="38">
        <v>3.0</v>
      </c>
      <c r="D80" s="38" t="s">
        <v>72</v>
      </c>
      <c r="E80" s="93"/>
      <c r="F80" s="85">
        <v>95.0</v>
      </c>
      <c r="H80" s="86">
        <v>134.0</v>
      </c>
      <c r="J80" s="86"/>
      <c r="L80" s="86"/>
      <c r="N80" s="86"/>
      <c r="P80" s="86"/>
      <c r="Q80" s="43"/>
      <c r="R80" s="85">
        <v>225.0</v>
      </c>
      <c r="T80" s="86">
        <v>334.0</v>
      </c>
      <c r="V80" s="86"/>
      <c r="X80" s="86"/>
      <c r="Z80" s="86"/>
      <c r="AB80" s="86"/>
      <c r="AC80" s="43"/>
      <c r="AD80" s="86"/>
      <c r="AF80" s="86"/>
      <c r="AH80" s="86"/>
      <c r="AJ80" s="85"/>
      <c r="AK80" s="43"/>
      <c r="AL80" s="85"/>
      <c r="AM80" s="43"/>
      <c r="AN80" s="85"/>
      <c r="AO80" s="43"/>
      <c r="AP80" s="85"/>
      <c r="AQ80" s="43"/>
      <c r="AR80" s="85"/>
      <c r="AS80" s="43"/>
      <c r="AT80" s="86"/>
      <c r="AV80" s="86"/>
      <c r="AW80" s="43"/>
      <c r="AX80" s="47">
        <f t="shared" si="1"/>
        <v>11311.33</v>
      </c>
      <c r="AY80" s="38">
        <f t="shared" si="2"/>
        <v>788</v>
      </c>
      <c r="AZ80" s="38">
        <f t="shared" si="3"/>
        <v>0</v>
      </c>
      <c r="BA80" s="38">
        <f t="shared" si="4"/>
        <v>788</v>
      </c>
      <c r="BB80" s="76">
        <f t="shared" si="5"/>
        <v>14.3544797</v>
      </c>
    </row>
    <row r="81" ht="15.75" customHeight="1">
      <c r="A81" s="50" t="s">
        <v>48</v>
      </c>
      <c r="B81" s="51">
        <f t="shared" si="6"/>
        <v>45734</v>
      </c>
      <c r="C81" s="52">
        <v>3.0</v>
      </c>
      <c r="D81" s="52" t="s">
        <v>72</v>
      </c>
      <c r="E81" s="92"/>
      <c r="F81" s="85">
        <v>75.0</v>
      </c>
      <c r="H81" s="86">
        <v>130.0</v>
      </c>
      <c r="J81" s="86"/>
      <c r="L81" s="86"/>
      <c r="N81" s="86"/>
      <c r="P81" s="86"/>
      <c r="Q81" s="43"/>
      <c r="R81" s="85">
        <v>226.0</v>
      </c>
      <c r="T81" s="86">
        <v>325.0</v>
      </c>
      <c r="V81" s="86"/>
      <c r="X81" s="86"/>
      <c r="Z81" s="86"/>
      <c r="AB81" s="86"/>
      <c r="AC81" s="43"/>
      <c r="AD81" s="86"/>
      <c r="AF81" s="86"/>
      <c r="AH81" s="86"/>
      <c r="AJ81" s="85"/>
      <c r="AK81" s="43"/>
      <c r="AL81" s="85"/>
      <c r="AM81" s="43"/>
      <c r="AN81" s="85"/>
      <c r="AO81" s="43"/>
      <c r="AP81" s="85"/>
      <c r="AQ81" s="43"/>
      <c r="AR81" s="85"/>
      <c r="AS81" s="43"/>
      <c r="AT81" s="86"/>
      <c r="AV81" s="86"/>
      <c r="AW81" s="43"/>
      <c r="AX81" s="54">
        <f t="shared" si="1"/>
        <v>10688.37</v>
      </c>
      <c r="AY81" s="52">
        <f t="shared" si="2"/>
        <v>756</v>
      </c>
      <c r="AZ81" s="52">
        <f t="shared" si="3"/>
        <v>0</v>
      </c>
      <c r="BA81" s="52">
        <f t="shared" si="4"/>
        <v>756</v>
      </c>
      <c r="BB81" s="49">
        <f t="shared" si="5"/>
        <v>14.13805556</v>
      </c>
    </row>
    <row r="82" ht="15.75" customHeight="1">
      <c r="A82" s="50" t="s">
        <v>49</v>
      </c>
      <c r="B82" s="51">
        <f t="shared" si="6"/>
        <v>45735</v>
      </c>
      <c r="C82" s="52">
        <v>3.0</v>
      </c>
      <c r="D82" s="52" t="s">
        <v>72</v>
      </c>
      <c r="E82" s="92"/>
      <c r="F82" s="85">
        <v>60.0</v>
      </c>
      <c r="H82" s="86">
        <v>85.0</v>
      </c>
      <c r="J82" s="86"/>
      <c r="L82" s="86"/>
      <c r="N82" s="86"/>
      <c r="P82" s="86"/>
      <c r="Q82" s="43"/>
      <c r="R82" s="85">
        <v>263.0</v>
      </c>
      <c r="T82" s="86">
        <v>362.0</v>
      </c>
      <c r="V82" s="86"/>
      <c r="X82" s="86"/>
      <c r="Z82" s="86"/>
      <c r="AB82" s="86"/>
      <c r="AC82" s="43"/>
      <c r="AD82" s="86"/>
      <c r="AF82" s="86"/>
      <c r="AH82" s="86"/>
      <c r="AJ82" s="85"/>
      <c r="AK82" s="43"/>
      <c r="AL82" s="85"/>
      <c r="AM82" s="43"/>
      <c r="AN82" s="85"/>
      <c r="AO82" s="43"/>
      <c r="AP82" s="85"/>
      <c r="AQ82" s="43"/>
      <c r="AR82" s="85"/>
      <c r="AS82" s="43"/>
      <c r="AT82" s="86"/>
      <c r="AV82" s="86"/>
      <c r="AW82" s="43"/>
      <c r="AX82" s="54">
        <f t="shared" si="1"/>
        <v>10176.25</v>
      </c>
      <c r="AY82" s="52">
        <f t="shared" si="2"/>
        <v>770</v>
      </c>
      <c r="AZ82" s="52">
        <f t="shared" si="3"/>
        <v>0</v>
      </c>
      <c r="BA82" s="52">
        <f t="shared" si="4"/>
        <v>770</v>
      </c>
      <c r="BB82" s="49">
        <f t="shared" si="5"/>
        <v>13.21590909</v>
      </c>
    </row>
    <row r="83" ht="15.75" customHeight="1">
      <c r="A83" s="50" t="s">
        <v>50</v>
      </c>
      <c r="B83" s="51">
        <f t="shared" si="6"/>
        <v>45736</v>
      </c>
      <c r="C83" s="52">
        <v>3.0</v>
      </c>
      <c r="D83" s="52" t="s">
        <v>72</v>
      </c>
      <c r="E83" s="53"/>
      <c r="F83" s="85">
        <v>50.0</v>
      </c>
      <c r="H83" s="86">
        <v>75.0</v>
      </c>
      <c r="J83" s="86"/>
      <c r="L83" s="86"/>
      <c r="N83" s="86"/>
      <c r="P83" s="86"/>
      <c r="Q83" s="43"/>
      <c r="R83" s="85">
        <v>270.0</v>
      </c>
      <c r="T83" s="86">
        <v>280.0</v>
      </c>
      <c r="V83" s="86"/>
      <c r="X83" s="86"/>
      <c r="Z83" s="86"/>
      <c r="AB83" s="86"/>
      <c r="AC83" s="43"/>
      <c r="AD83" s="86"/>
      <c r="AF83" s="86"/>
      <c r="AH83" s="86"/>
      <c r="AJ83" s="85"/>
      <c r="AK83" s="43"/>
      <c r="AL83" s="85"/>
      <c r="AM83" s="43"/>
      <c r="AN83" s="85"/>
      <c r="AO83" s="43"/>
      <c r="AP83" s="85"/>
      <c r="AQ83" s="43"/>
      <c r="AR83" s="85"/>
      <c r="AS83" s="43"/>
      <c r="AT83" s="86"/>
      <c r="AV83" s="86"/>
      <c r="AW83" s="43"/>
      <c r="AX83" s="54">
        <f t="shared" si="1"/>
        <v>8897.25</v>
      </c>
      <c r="AY83" s="52">
        <f t="shared" si="2"/>
        <v>675</v>
      </c>
      <c r="AZ83" s="52">
        <f t="shared" si="3"/>
        <v>0</v>
      </c>
      <c r="BA83" s="52">
        <f t="shared" si="4"/>
        <v>675</v>
      </c>
      <c r="BB83" s="49">
        <f t="shared" si="5"/>
        <v>13.18111111</v>
      </c>
    </row>
    <row r="84" ht="15.75" customHeight="1">
      <c r="A84" s="50" t="s">
        <v>53</v>
      </c>
      <c r="B84" s="51">
        <f t="shared" si="6"/>
        <v>45737</v>
      </c>
      <c r="C84" s="52">
        <v>3.0</v>
      </c>
      <c r="D84" s="52" t="s">
        <v>72</v>
      </c>
      <c r="E84" s="53"/>
      <c r="F84" s="85">
        <v>70.0</v>
      </c>
      <c r="H84" s="86">
        <v>65.0</v>
      </c>
      <c r="J84" s="86"/>
      <c r="L84" s="86"/>
      <c r="N84" s="86"/>
      <c r="P84" s="86"/>
      <c r="Q84" s="43"/>
      <c r="R84" s="85">
        <v>254.0</v>
      </c>
      <c r="T84" s="86">
        <v>320.0</v>
      </c>
      <c r="V84" s="86"/>
      <c r="X84" s="86"/>
      <c r="Z84" s="86"/>
      <c r="AB84" s="86"/>
      <c r="AC84" s="43"/>
      <c r="AD84" s="86"/>
      <c r="AF84" s="86"/>
      <c r="AH84" s="86"/>
      <c r="AJ84" s="85"/>
      <c r="AK84" s="43"/>
      <c r="AL84" s="85"/>
      <c r="AM84" s="43"/>
      <c r="AN84" s="85"/>
      <c r="AO84" s="43"/>
      <c r="AP84" s="85"/>
      <c r="AQ84" s="43"/>
      <c r="AR84" s="85"/>
      <c r="AS84" s="43"/>
      <c r="AT84" s="86"/>
      <c r="AV84" s="86"/>
      <c r="AW84" s="43"/>
      <c r="AX84" s="54">
        <f t="shared" si="1"/>
        <v>9386.63</v>
      </c>
      <c r="AY84" s="52">
        <f t="shared" si="2"/>
        <v>709</v>
      </c>
      <c r="AZ84" s="52">
        <f t="shared" si="3"/>
        <v>0</v>
      </c>
      <c r="BA84" s="52">
        <f t="shared" si="4"/>
        <v>709</v>
      </c>
      <c r="BB84" s="49">
        <f t="shared" si="5"/>
        <v>13.23925247</v>
      </c>
    </row>
    <row r="85" ht="15.75" customHeight="1">
      <c r="A85" s="50" t="s">
        <v>54</v>
      </c>
      <c r="B85" s="51">
        <f t="shared" si="6"/>
        <v>45738</v>
      </c>
      <c r="C85" s="52">
        <v>3.0</v>
      </c>
      <c r="D85" s="52" t="s">
        <v>72</v>
      </c>
      <c r="E85" s="53"/>
      <c r="F85" s="85">
        <v>30.0</v>
      </c>
      <c r="H85" s="86">
        <v>32.0</v>
      </c>
      <c r="J85" s="86"/>
      <c r="L85" s="86"/>
      <c r="N85" s="86"/>
      <c r="P85" s="86"/>
      <c r="Q85" s="43"/>
      <c r="R85" s="85">
        <v>239.0</v>
      </c>
      <c r="T85" s="86">
        <v>277.0</v>
      </c>
      <c r="V85" s="86"/>
      <c r="X85" s="86"/>
      <c r="Z85" s="86"/>
      <c r="AB85" s="86"/>
      <c r="AC85" s="43"/>
      <c r="AD85" s="86"/>
      <c r="AF85" s="86"/>
      <c r="AH85" s="86"/>
      <c r="AJ85" s="85"/>
      <c r="AK85" s="43"/>
      <c r="AL85" s="85"/>
      <c r="AM85" s="43"/>
      <c r="AN85" s="85"/>
      <c r="AO85" s="43"/>
      <c r="AP85" s="85"/>
      <c r="AQ85" s="43"/>
      <c r="AR85" s="85"/>
      <c r="AS85" s="43"/>
      <c r="AT85" s="86"/>
      <c r="AV85" s="86"/>
      <c r="AW85" s="43"/>
      <c r="AX85" s="54">
        <f t="shared" si="1"/>
        <v>7117.42</v>
      </c>
      <c r="AY85" s="52">
        <f t="shared" si="2"/>
        <v>578</v>
      </c>
      <c r="AZ85" s="52">
        <f t="shared" si="3"/>
        <v>0</v>
      </c>
      <c r="BA85" s="52">
        <f t="shared" si="4"/>
        <v>578</v>
      </c>
      <c r="BB85" s="49">
        <f t="shared" si="5"/>
        <v>12.31387543</v>
      </c>
    </row>
    <row r="86" ht="15.75" customHeight="1">
      <c r="A86" s="59" t="s">
        <v>61</v>
      </c>
      <c r="B86" s="61">
        <f t="shared" si="6"/>
        <v>45739</v>
      </c>
      <c r="C86" s="63">
        <v>3.0</v>
      </c>
      <c r="D86" s="63" t="s">
        <v>72</v>
      </c>
      <c r="E86" s="64"/>
      <c r="F86" s="87">
        <v>35.0</v>
      </c>
      <c r="G86" s="66"/>
      <c r="H86" s="88">
        <v>25.0</v>
      </c>
      <c r="I86" s="66"/>
      <c r="J86" s="88"/>
      <c r="K86" s="66"/>
      <c r="L86" s="88"/>
      <c r="M86" s="66"/>
      <c r="N86" s="88"/>
      <c r="O86" s="66"/>
      <c r="P86" s="88"/>
      <c r="Q86" s="68"/>
      <c r="R86" s="87">
        <v>243.0</v>
      </c>
      <c r="S86" s="66"/>
      <c r="T86" s="88">
        <v>216.0</v>
      </c>
      <c r="U86" s="66"/>
      <c r="V86" s="88"/>
      <c r="W86" s="66"/>
      <c r="X86" s="88"/>
      <c r="Y86" s="66"/>
      <c r="Z86" s="88"/>
      <c r="AA86" s="66"/>
      <c r="AB86" s="88"/>
      <c r="AC86" s="68"/>
      <c r="AD86" s="88"/>
      <c r="AE86" s="66"/>
      <c r="AF86" s="88"/>
      <c r="AG86" s="66"/>
      <c r="AH86" s="88"/>
      <c r="AI86" s="66"/>
      <c r="AJ86" s="87"/>
      <c r="AK86" s="68"/>
      <c r="AL86" s="87"/>
      <c r="AM86" s="68"/>
      <c r="AN86" s="87"/>
      <c r="AO86" s="68"/>
      <c r="AP86" s="87"/>
      <c r="AQ86" s="68"/>
      <c r="AR86" s="87"/>
      <c r="AS86" s="68"/>
      <c r="AT86" s="88"/>
      <c r="AU86" s="66"/>
      <c r="AV86" s="88"/>
      <c r="AW86" s="68"/>
      <c r="AX86" s="73">
        <f t="shared" si="1"/>
        <v>6439.08</v>
      </c>
      <c r="AY86" s="63">
        <f t="shared" si="2"/>
        <v>519</v>
      </c>
      <c r="AZ86" s="63">
        <f t="shared" si="3"/>
        <v>0</v>
      </c>
      <c r="BA86" s="63">
        <f t="shared" si="4"/>
        <v>519</v>
      </c>
      <c r="BB86" s="74">
        <f t="shared" si="5"/>
        <v>12.4067052</v>
      </c>
    </row>
    <row r="87" ht="15.75" customHeight="1">
      <c r="A87" s="36" t="s">
        <v>46</v>
      </c>
      <c r="B87" s="75">
        <f t="shared" si="6"/>
        <v>45740</v>
      </c>
      <c r="C87" s="38">
        <v>4.0</v>
      </c>
      <c r="D87" s="38" t="s">
        <v>47</v>
      </c>
      <c r="E87" s="82"/>
      <c r="F87" s="95"/>
      <c r="H87" s="96"/>
      <c r="J87" s="86"/>
      <c r="L87" s="86"/>
      <c r="N87" s="96"/>
      <c r="P87" s="86"/>
      <c r="Q87" s="43"/>
      <c r="R87" s="95">
        <v>76.0</v>
      </c>
      <c r="T87" s="96">
        <v>70.0</v>
      </c>
      <c r="V87" s="86"/>
      <c r="X87" s="86"/>
      <c r="Z87" s="86"/>
      <c r="AB87" s="86"/>
      <c r="AC87" s="43"/>
      <c r="AD87" s="86"/>
      <c r="AF87" s="86"/>
      <c r="AH87" s="86"/>
      <c r="AJ87" s="85"/>
      <c r="AK87" s="43"/>
      <c r="AL87" s="85"/>
      <c r="AM87" s="43"/>
      <c r="AN87" s="85"/>
      <c r="AO87" s="43"/>
      <c r="AP87" s="85"/>
      <c r="AQ87" s="43"/>
      <c r="AR87" s="85"/>
      <c r="AS87" s="43"/>
      <c r="AT87" s="86"/>
      <c r="AV87" s="86"/>
      <c r="AW87" s="43"/>
      <c r="AX87" s="47">
        <f t="shared" si="1"/>
        <v>1623.52</v>
      </c>
      <c r="AY87" s="38">
        <f t="shared" si="2"/>
        <v>146</v>
      </c>
      <c r="AZ87" s="38">
        <f t="shared" si="3"/>
        <v>0</v>
      </c>
      <c r="BA87" s="38">
        <f t="shared" si="4"/>
        <v>146</v>
      </c>
      <c r="BB87" s="76">
        <f t="shared" si="5"/>
        <v>11.12</v>
      </c>
    </row>
    <row r="88" ht="15.75" customHeight="1">
      <c r="A88" s="50" t="s">
        <v>48</v>
      </c>
      <c r="B88" s="51">
        <f t="shared" si="6"/>
        <v>45741</v>
      </c>
      <c r="C88" s="52">
        <v>4.0</v>
      </c>
      <c r="D88" s="52" t="s">
        <v>47</v>
      </c>
      <c r="E88" s="92"/>
      <c r="F88" s="95"/>
      <c r="H88" s="96"/>
      <c r="J88" s="86"/>
      <c r="L88" s="86"/>
      <c r="N88" s="96"/>
      <c r="P88" s="86"/>
      <c r="Q88" s="43"/>
      <c r="R88" s="85">
        <v>222.0</v>
      </c>
      <c r="T88" s="86">
        <v>230.0</v>
      </c>
      <c r="V88" s="86"/>
      <c r="X88" s="86"/>
      <c r="Z88" s="86"/>
      <c r="AB88" s="86"/>
      <c r="AC88" s="43"/>
      <c r="AD88" s="86"/>
      <c r="AF88" s="86"/>
      <c r="AH88" s="86"/>
      <c r="AJ88" s="85"/>
      <c r="AK88" s="43"/>
      <c r="AL88" s="85"/>
      <c r="AM88" s="43"/>
      <c r="AN88" s="85"/>
      <c r="AO88" s="43"/>
      <c r="AP88" s="85"/>
      <c r="AQ88" s="43"/>
      <c r="AR88" s="85"/>
      <c r="AS88" s="43"/>
      <c r="AT88" s="86"/>
      <c r="AV88" s="86"/>
      <c r="AW88" s="43"/>
      <c r="AX88" s="54">
        <f t="shared" si="1"/>
        <v>5026.24</v>
      </c>
      <c r="AY88" s="52">
        <f t="shared" si="2"/>
        <v>452</v>
      </c>
      <c r="AZ88" s="52">
        <f t="shared" si="3"/>
        <v>0</v>
      </c>
      <c r="BA88" s="52">
        <f t="shared" si="4"/>
        <v>452</v>
      </c>
      <c r="BB88" s="49">
        <f t="shared" si="5"/>
        <v>11.12</v>
      </c>
    </row>
    <row r="89" ht="15.75" customHeight="1">
      <c r="A89" s="50" t="s">
        <v>49</v>
      </c>
      <c r="B89" s="51">
        <f t="shared" si="6"/>
        <v>45742</v>
      </c>
      <c r="C89" s="52">
        <v>4.0</v>
      </c>
      <c r="D89" s="52" t="s">
        <v>47</v>
      </c>
      <c r="E89" s="92"/>
      <c r="F89" s="85"/>
      <c r="H89" s="86"/>
      <c r="J89" s="86"/>
      <c r="L89" s="86"/>
      <c r="N89" s="86"/>
      <c r="P89" s="86"/>
      <c r="Q89" s="43"/>
      <c r="R89" s="85">
        <v>240.0</v>
      </c>
      <c r="T89" s="86">
        <v>257.0</v>
      </c>
      <c r="V89" s="86"/>
      <c r="X89" s="86"/>
      <c r="Z89" s="86"/>
      <c r="AB89" s="86"/>
      <c r="AC89" s="43"/>
      <c r="AD89" s="86"/>
      <c r="AF89" s="86"/>
      <c r="AH89" s="86"/>
      <c r="AJ89" s="85"/>
      <c r="AK89" s="43"/>
      <c r="AL89" s="85"/>
      <c r="AM89" s="43"/>
      <c r="AN89" s="85"/>
      <c r="AO89" s="43"/>
      <c r="AP89" s="85"/>
      <c r="AQ89" s="43"/>
      <c r="AR89" s="85"/>
      <c r="AS89" s="43"/>
      <c r="AT89" s="86"/>
      <c r="AV89" s="86"/>
      <c r="AW89" s="43"/>
      <c r="AX89" s="54">
        <f t="shared" si="1"/>
        <v>5526.64</v>
      </c>
      <c r="AY89" s="52">
        <f t="shared" si="2"/>
        <v>497</v>
      </c>
      <c r="AZ89" s="52">
        <f t="shared" si="3"/>
        <v>0</v>
      </c>
      <c r="BA89" s="52">
        <f t="shared" si="4"/>
        <v>497</v>
      </c>
      <c r="BB89" s="49">
        <f t="shared" si="5"/>
        <v>11.12</v>
      </c>
    </row>
    <row r="90" ht="15.75" customHeight="1">
      <c r="A90" s="50" t="s">
        <v>50</v>
      </c>
      <c r="B90" s="51">
        <f t="shared" si="6"/>
        <v>45743</v>
      </c>
      <c r="C90" s="52">
        <v>4.0</v>
      </c>
      <c r="D90" s="52" t="s">
        <v>47</v>
      </c>
      <c r="E90" s="53"/>
      <c r="F90" s="85"/>
      <c r="H90" s="86"/>
      <c r="J90" s="86"/>
      <c r="L90" s="86"/>
      <c r="N90" s="86"/>
      <c r="P90" s="86"/>
      <c r="Q90" s="43"/>
      <c r="R90" s="85">
        <v>242.0</v>
      </c>
      <c r="T90" s="86">
        <v>233.0</v>
      </c>
      <c r="V90" s="86"/>
      <c r="X90" s="86"/>
      <c r="Z90" s="86"/>
      <c r="AB90" s="86"/>
      <c r="AC90" s="43"/>
      <c r="AD90" s="86"/>
      <c r="AF90" s="86"/>
      <c r="AH90" s="86"/>
      <c r="AJ90" s="85"/>
      <c r="AK90" s="43"/>
      <c r="AL90" s="85"/>
      <c r="AM90" s="43"/>
      <c r="AN90" s="85"/>
      <c r="AO90" s="43"/>
      <c r="AP90" s="85"/>
      <c r="AQ90" s="43"/>
      <c r="AR90" s="85"/>
      <c r="AS90" s="43"/>
      <c r="AT90" s="86"/>
      <c r="AV90" s="86"/>
      <c r="AW90" s="43"/>
      <c r="AX90" s="54">
        <f t="shared" si="1"/>
        <v>5282</v>
      </c>
      <c r="AY90" s="52">
        <f t="shared" si="2"/>
        <v>475</v>
      </c>
      <c r="AZ90" s="52">
        <f t="shared" si="3"/>
        <v>0</v>
      </c>
      <c r="BA90" s="52">
        <f t="shared" si="4"/>
        <v>475</v>
      </c>
      <c r="BB90" s="49">
        <f t="shared" si="5"/>
        <v>11.12</v>
      </c>
    </row>
    <row r="91" ht="15.75" customHeight="1">
      <c r="A91" s="50" t="s">
        <v>53</v>
      </c>
      <c r="B91" s="51">
        <f t="shared" si="6"/>
        <v>45744</v>
      </c>
      <c r="C91" s="52">
        <v>4.0</v>
      </c>
      <c r="D91" s="52" t="s">
        <v>47</v>
      </c>
      <c r="E91" s="92"/>
      <c r="F91" s="85"/>
      <c r="H91" s="86"/>
      <c r="J91" s="86"/>
      <c r="L91" s="86"/>
      <c r="N91" s="86"/>
      <c r="P91" s="86"/>
      <c r="Q91" s="43"/>
      <c r="R91" s="85">
        <v>217.0</v>
      </c>
      <c r="T91" s="86">
        <v>242.0</v>
      </c>
      <c r="V91" s="86"/>
      <c r="X91" s="86"/>
      <c r="Z91" s="86"/>
      <c r="AB91" s="86"/>
      <c r="AC91" s="43"/>
      <c r="AD91" s="86"/>
      <c r="AF91" s="86"/>
      <c r="AH91" s="86"/>
      <c r="AJ91" s="85"/>
      <c r="AK91" s="43"/>
      <c r="AL91" s="85"/>
      <c r="AM91" s="43"/>
      <c r="AN91" s="85"/>
      <c r="AO91" s="43"/>
      <c r="AP91" s="85"/>
      <c r="AQ91" s="43"/>
      <c r="AR91" s="85"/>
      <c r="AS91" s="43"/>
      <c r="AT91" s="86"/>
      <c r="AV91" s="86"/>
      <c r="AW91" s="43"/>
      <c r="AX91" s="54">
        <f t="shared" si="1"/>
        <v>5104.08</v>
      </c>
      <c r="AY91" s="52">
        <f t="shared" si="2"/>
        <v>459</v>
      </c>
      <c r="AZ91" s="52">
        <f t="shared" si="3"/>
        <v>0</v>
      </c>
      <c r="BA91" s="52">
        <f t="shared" si="4"/>
        <v>459</v>
      </c>
      <c r="BB91" s="49">
        <f t="shared" si="5"/>
        <v>11.12</v>
      </c>
    </row>
    <row r="92" ht="15.75" customHeight="1">
      <c r="A92" s="50" t="s">
        <v>54</v>
      </c>
      <c r="B92" s="51">
        <f t="shared" si="6"/>
        <v>45745</v>
      </c>
      <c r="C92" s="52">
        <v>4.0</v>
      </c>
      <c r="D92" s="52" t="s">
        <v>47</v>
      </c>
      <c r="E92" s="53"/>
      <c r="F92" s="85"/>
      <c r="H92" s="86"/>
      <c r="J92" s="86"/>
      <c r="L92" s="86"/>
      <c r="N92" s="86"/>
      <c r="P92" s="86"/>
      <c r="Q92" s="43"/>
      <c r="R92" s="85">
        <v>191.0</v>
      </c>
      <c r="T92" s="86">
        <v>150.0</v>
      </c>
      <c r="V92" s="86"/>
      <c r="X92" s="86"/>
      <c r="Z92" s="86"/>
      <c r="AB92" s="86"/>
      <c r="AC92" s="43"/>
      <c r="AD92" s="86"/>
      <c r="AF92" s="86"/>
      <c r="AH92" s="86"/>
      <c r="AJ92" s="85"/>
      <c r="AK92" s="43"/>
      <c r="AL92" s="85"/>
      <c r="AM92" s="43"/>
      <c r="AN92" s="85"/>
      <c r="AO92" s="43"/>
      <c r="AP92" s="85"/>
      <c r="AQ92" s="43"/>
      <c r="AR92" s="85"/>
      <c r="AS92" s="43"/>
      <c r="AT92" s="86"/>
      <c r="AV92" s="86"/>
      <c r="AW92" s="43"/>
      <c r="AX92" s="54">
        <f t="shared" si="1"/>
        <v>3791.92</v>
      </c>
      <c r="AY92" s="52">
        <f t="shared" si="2"/>
        <v>341</v>
      </c>
      <c r="AZ92" s="52">
        <f t="shared" si="3"/>
        <v>0</v>
      </c>
      <c r="BA92" s="52">
        <f t="shared" si="4"/>
        <v>341</v>
      </c>
      <c r="BB92" s="49">
        <f t="shared" si="5"/>
        <v>11.12</v>
      </c>
    </row>
    <row r="93" ht="15.75" customHeight="1">
      <c r="A93" s="59" t="s">
        <v>61</v>
      </c>
      <c r="B93" s="61">
        <f t="shared" si="6"/>
        <v>45746</v>
      </c>
      <c r="C93" s="63">
        <v>4.0</v>
      </c>
      <c r="D93" s="63" t="s">
        <v>47</v>
      </c>
      <c r="E93" s="64"/>
      <c r="F93" s="87"/>
      <c r="G93" s="66"/>
      <c r="H93" s="88"/>
      <c r="I93" s="66"/>
      <c r="J93" s="88"/>
      <c r="K93" s="66"/>
      <c r="L93" s="88"/>
      <c r="M93" s="66"/>
      <c r="N93" s="88"/>
      <c r="O93" s="66"/>
      <c r="P93" s="88"/>
      <c r="Q93" s="68"/>
      <c r="R93" s="87">
        <v>151.0</v>
      </c>
      <c r="S93" s="66"/>
      <c r="T93" s="88">
        <v>150.0</v>
      </c>
      <c r="U93" s="66"/>
      <c r="V93" s="88"/>
      <c r="W93" s="66"/>
      <c r="X93" s="88"/>
      <c r="Y93" s="66"/>
      <c r="Z93" s="88"/>
      <c r="AA93" s="66"/>
      <c r="AB93" s="88"/>
      <c r="AC93" s="68"/>
      <c r="AD93" s="88"/>
      <c r="AE93" s="66"/>
      <c r="AF93" s="88"/>
      <c r="AG93" s="66"/>
      <c r="AH93" s="88"/>
      <c r="AI93" s="66"/>
      <c r="AJ93" s="87"/>
      <c r="AK93" s="68"/>
      <c r="AL93" s="87"/>
      <c r="AM93" s="68"/>
      <c r="AN93" s="87"/>
      <c r="AO93" s="68"/>
      <c r="AP93" s="87"/>
      <c r="AQ93" s="68"/>
      <c r="AR93" s="87"/>
      <c r="AS93" s="68"/>
      <c r="AT93" s="88"/>
      <c r="AU93" s="66"/>
      <c r="AV93" s="88"/>
      <c r="AW93" s="68"/>
      <c r="AX93" s="73">
        <f t="shared" si="1"/>
        <v>3347.12</v>
      </c>
      <c r="AY93" s="63">
        <f t="shared" si="2"/>
        <v>301</v>
      </c>
      <c r="AZ93" s="63">
        <f t="shared" si="3"/>
        <v>0</v>
      </c>
      <c r="BA93" s="63">
        <f t="shared" si="4"/>
        <v>301</v>
      </c>
      <c r="BB93" s="74">
        <f t="shared" si="5"/>
        <v>11.12</v>
      </c>
    </row>
    <row r="94" ht="15.75" customHeight="1">
      <c r="A94" s="36" t="s">
        <v>46</v>
      </c>
      <c r="B94" s="75">
        <f t="shared" si="6"/>
        <v>45747</v>
      </c>
      <c r="C94" s="38">
        <v>4.0</v>
      </c>
      <c r="D94" s="38" t="s">
        <v>65</v>
      </c>
      <c r="E94" s="40"/>
      <c r="F94" s="85"/>
      <c r="H94" s="86"/>
      <c r="J94" s="86"/>
      <c r="L94" s="86"/>
      <c r="N94" s="86"/>
      <c r="P94" s="86"/>
      <c r="Q94" s="43"/>
      <c r="R94" s="85">
        <v>151.0</v>
      </c>
      <c r="T94" s="86">
        <v>150.0</v>
      </c>
      <c r="V94" s="86"/>
      <c r="X94" s="86"/>
      <c r="Z94" s="86"/>
      <c r="AB94" s="86"/>
      <c r="AC94" s="43"/>
      <c r="AD94" s="86"/>
      <c r="AF94" s="86"/>
      <c r="AH94" s="86"/>
      <c r="AJ94" s="85"/>
      <c r="AK94" s="43"/>
      <c r="AL94" s="85"/>
      <c r="AM94" s="43"/>
      <c r="AN94" s="85"/>
      <c r="AO94" s="43"/>
      <c r="AP94" s="85"/>
      <c r="AQ94" s="43"/>
      <c r="AR94" s="85"/>
      <c r="AS94" s="43"/>
      <c r="AT94" s="86"/>
      <c r="AV94" s="86"/>
      <c r="AW94" s="43"/>
      <c r="AX94" s="47">
        <f t="shared" si="1"/>
        <v>3347.12</v>
      </c>
      <c r="AY94" s="38">
        <f t="shared" si="2"/>
        <v>301</v>
      </c>
      <c r="AZ94" s="38">
        <f t="shared" si="3"/>
        <v>0</v>
      </c>
      <c r="BA94" s="38">
        <f t="shared" si="4"/>
        <v>301</v>
      </c>
      <c r="BB94" s="76">
        <f t="shared" si="5"/>
        <v>11.12</v>
      </c>
    </row>
    <row r="95" ht="15.75" customHeight="1">
      <c r="A95" s="50" t="s">
        <v>48</v>
      </c>
      <c r="B95" s="51">
        <f t="shared" si="6"/>
        <v>45748</v>
      </c>
      <c r="C95" s="52">
        <v>4.0</v>
      </c>
      <c r="D95" s="52" t="s">
        <v>65</v>
      </c>
      <c r="E95" s="92"/>
      <c r="F95" s="85"/>
      <c r="H95" s="86"/>
      <c r="J95" s="86"/>
      <c r="L95" s="86"/>
      <c r="N95" s="86"/>
      <c r="P95" s="86"/>
      <c r="Q95" s="43"/>
      <c r="R95" s="85">
        <v>125.0</v>
      </c>
      <c r="T95" s="86">
        <v>130.0</v>
      </c>
      <c r="V95" s="86"/>
      <c r="X95" s="86"/>
      <c r="Z95" s="86"/>
      <c r="AB95" s="86"/>
      <c r="AC95" s="43"/>
      <c r="AD95" s="86"/>
      <c r="AF95" s="86"/>
      <c r="AH95" s="86"/>
      <c r="AJ95" s="85"/>
      <c r="AK95" s="43"/>
      <c r="AL95" s="85"/>
      <c r="AM95" s="43"/>
      <c r="AN95" s="85"/>
      <c r="AO95" s="43"/>
      <c r="AP95" s="85"/>
      <c r="AQ95" s="43"/>
      <c r="AR95" s="85"/>
      <c r="AS95" s="43"/>
      <c r="AT95" s="86"/>
      <c r="AV95" s="86"/>
      <c r="AW95" s="43"/>
      <c r="AX95" s="54">
        <f t="shared" si="1"/>
        <v>2835.6</v>
      </c>
      <c r="AY95" s="52">
        <f t="shared" si="2"/>
        <v>255</v>
      </c>
      <c r="AZ95" s="52">
        <f t="shared" si="3"/>
        <v>0</v>
      </c>
      <c r="BA95" s="52">
        <f t="shared" si="4"/>
        <v>255</v>
      </c>
      <c r="BB95" s="49">
        <f t="shared" si="5"/>
        <v>11.12</v>
      </c>
    </row>
    <row r="96" ht="15.75" customHeight="1">
      <c r="A96" s="50" t="s">
        <v>49</v>
      </c>
      <c r="B96" s="51">
        <f t="shared" si="6"/>
        <v>45749</v>
      </c>
      <c r="C96" s="52">
        <v>4.0</v>
      </c>
      <c r="D96" s="52" t="s">
        <v>65</v>
      </c>
      <c r="E96" s="53"/>
      <c r="F96" s="85"/>
      <c r="H96" s="86"/>
      <c r="J96" s="86"/>
      <c r="L96" s="86"/>
      <c r="N96" s="86"/>
      <c r="P96" s="86"/>
      <c r="Q96" s="43"/>
      <c r="R96" s="85">
        <v>115.0</v>
      </c>
      <c r="T96" s="86">
        <v>131.0</v>
      </c>
      <c r="V96" s="86"/>
      <c r="X96" s="86"/>
      <c r="Z96" s="86"/>
      <c r="AB96" s="86"/>
      <c r="AC96" s="43"/>
      <c r="AD96" s="86"/>
      <c r="AF96" s="86"/>
      <c r="AH96" s="86"/>
      <c r="AJ96" s="85"/>
      <c r="AK96" s="43"/>
      <c r="AL96" s="85"/>
      <c r="AM96" s="43"/>
      <c r="AN96" s="85"/>
      <c r="AO96" s="43"/>
      <c r="AP96" s="85"/>
      <c r="AQ96" s="43"/>
      <c r="AR96" s="85"/>
      <c r="AS96" s="43"/>
      <c r="AT96" s="86"/>
      <c r="AV96" s="86"/>
      <c r="AW96" s="43"/>
      <c r="AX96" s="54">
        <f t="shared" si="1"/>
        <v>2735.52</v>
      </c>
      <c r="AY96" s="52">
        <f t="shared" si="2"/>
        <v>246</v>
      </c>
      <c r="AZ96" s="52">
        <f t="shared" si="3"/>
        <v>0</v>
      </c>
      <c r="BA96" s="52">
        <f t="shared" si="4"/>
        <v>246</v>
      </c>
      <c r="BB96" s="49">
        <f t="shared" si="5"/>
        <v>11.12</v>
      </c>
    </row>
    <row r="97" ht="15.75" customHeight="1">
      <c r="A97" s="50" t="s">
        <v>50</v>
      </c>
      <c r="B97" s="51">
        <f t="shared" si="6"/>
        <v>45750</v>
      </c>
      <c r="C97" s="52">
        <v>4.0</v>
      </c>
      <c r="D97" s="52" t="s">
        <v>65</v>
      </c>
      <c r="E97" s="53"/>
      <c r="F97" s="85"/>
      <c r="H97" s="86"/>
      <c r="J97" s="86"/>
      <c r="L97" s="86"/>
      <c r="N97" s="86"/>
      <c r="P97" s="86"/>
      <c r="Q97" s="43"/>
      <c r="R97" s="85">
        <v>103.0</v>
      </c>
      <c r="T97" s="86">
        <v>136.0</v>
      </c>
      <c r="V97" s="86"/>
      <c r="X97" s="86"/>
      <c r="Z97" s="86"/>
      <c r="AB97" s="86"/>
      <c r="AC97" s="43"/>
      <c r="AD97" s="86"/>
      <c r="AF97" s="86"/>
      <c r="AH97" s="86"/>
      <c r="AJ97" s="85"/>
      <c r="AK97" s="43"/>
      <c r="AL97" s="85"/>
      <c r="AM97" s="43"/>
      <c r="AN97" s="85"/>
      <c r="AO97" s="43"/>
      <c r="AP97" s="85"/>
      <c r="AQ97" s="43"/>
      <c r="AR97" s="85"/>
      <c r="AS97" s="43"/>
      <c r="AT97" s="86"/>
      <c r="AV97" s="86"/>
      <c r="AW97" s="43"/>
      <c r="AX97" s="54">
        <f t="shared" si="1"/>
        <v>2657.68</v>
      </c>
      <c r="AY97" s="52">
        <f t="shared" si="2"/>
        <v>239</v>
      </c>
      <c r="AZ97" s="52">
        <f t="shared" si="3"/>
        <v>0</v>
      </c>
      <c r="BA97" s="52">
        <f t="shared" si="4"/>
        <v>239</v>
      </c>
      <c r="BB97" s="49">
        <f t="shared" si="5"/>
        <v>11.12</v>
      </c>
    </row>
    <row r="98" ht="15.75" customHeight="1">
      <c r="A98" s="50" t="s">
        <v>53</v>
      </c>
      <c r="B98" s="51">
        <f t="shared" si="6"/>
        <v>45751</v>
      </c>
      <c r="C98" s="52">
        <v>4.0</v>
      </c>
      <c r="D98" s="52" t="s">
        <v>65</v>
      </c>
      <c r="E98" s="92"/>
      <c r="F98" s="85"/>
      <c r="H98" s="86"/>
      <c r="J98" s="86"/>
      <c r="L98" s="86"/>
      <c r="N98" s="86"/>
      <c r="P98" s="86"/>
      <c r="Q98" s="43"/>
      <c r="R98" s="85">
        <v>59.0</v>
      </c>
      <c r="T98" s="86">
        <v>68.0</v>
      </c>
      <c r="V98" s="86"/>
      <c r="X98" s="86"/>
      <c r="Z98" s="86"/>
      <c r="AB98" s="86"/>
      <c r="AC98" s="43"/>
      <c r="AD98" s="86"/>
      <c r="AF98" s="86"/>
      <c r="AH98" s="86"/>
      <c r="AJ98" s="85"/>
      <c r="AK98" s="43"/>
      <c r="AL98" s="85"/>
      <c r="AM98" s="43"/>
      <c r="AN98" s="85"/>
      <c r="AO98" s="43"/>
      <c r="AP98" s="85"/>
      <c r="AQ98" s="43"/>
      <c r="AR98" s="85"/>
      <c r="AS98" s="43"/>
      <c r="AT98" s="86"/>
      <c r="AV98" s="86"/>
      <c r="AW98" s="43"/>
      <c r="AX98" s="54">
        <f t="shared" si="1"/>
        <v>1412.24</v>
      </c>
      <c r="AY98" s="52">
        <f t="shared" si="2"/>
        <v>127</v>
      </c>
      <c r="AZ98" s="52">
        <f t="shared" si="3"/>
        <v>0</v>
      </c>
      <c r="BA98" s="52">
        <f t="shared" si="4"/>
        <v>127</v>
      </c>
      <c r="BB98" s="49">
        <f t="shared" si="5"/>
        <v>11.12</v>
      </c>
    </row>
    <row r="99" ht="15.75" customHeight="1">
      <c r="A99" s="50" t="s">
        <v>54</v>
      </c>
      <c r="B99" s="51">
        <f t="shared" si="6"/>
        <v>45752</v>
      </c>
      <c r="C99" s="52">
        <v>4.0</v>
      </c>
      <c r="D99" s="52" t="s">
        <v>65</v>
      </c>
      <c r="E99" s="53"/>
      <c r="F99" s="85"/>
      <c r="H99" s="86"/>
      <c r="J99" s="86"/>
      <c r="L99" s="86"/>
      <c r="N99" s="86"/>
      <c r="P99" s="86"/>
      <c r="Q99" s="43"/>
      <c r="R99" s="85">
        <v>40.0</v>
      </c>
      <c r="T99" s="86">
        <v>77.0</v>
      </c>
      <c r="V99" s="86"/>
      <c r="X99" s="86"/>
      <c r="Z99" s="86"/>
      <c r="AB99" s="86"/>
      <c r="AC99" s="43"/>
      <c r="AD99" s="86"/>
      <c r="AF99" s="86"/>
      <c r="AH99" s="86"/>
      <c r="AJ99" s="85"/>
      <c r="AK99" s="43"/>
      <c r="AL99" s="85"/>
      <c r="AM99" s="43"/>
      <c r="AN99" s="85"/>
      <c r="AO99" s="43"/>
      <c r="AP99" s="85"/>
      <c r="AQ99" s="43"/>
      <c r="AR99" s="85"/>
      <c r="AS99" s="43"/>
      <c r="AT99" s="86"/>
      <c r="AV99" s="86"/>
      <c r="AW99" s="43"/>
      <c r="AX99" s="54">
        <f t="shared" si="1"/>
        <v>1301.04</v>
      </c>
      <c r="AY99" s="52">
        <f t="shared" si="2"/>
        <v>117</v>
      </c>
      <c r="AZ99" s="52">
        <f t="shared" si="3"/>
        <v>0</v>
      </c>
      <c r="BA99" s="52">
        <f t="shared" si="4"/>
        <v>117</v>
      </c>
      <c r="BB99" s="49">
        <f t="shared" si="5"/>
        <v>11.12</v>
      </c>
    </row>
    <row r="100" ht="15.75" customHeight="1">
      <c r="A100" s="59" t="s">
        <v>61</v>
      </c>
      <c r="B100" s="61">
        <f t="shared" si="6"/>
        <v>45753</v>
      </c>
      <c r="C100" s="63">
        <v>4.0</v>
      </c>
      <c r="D100" s="63" t="s">
        <v>65</v>
      </c>
      <c r="E100" s="64"/>
      <c r="F100" s="87"/>
      <c r="G100" s="66"/>
      <c r="H100" s="88"/>
      <c r="I100" s="66"/>
      <c r="J100" s="88"/>
      <c r="K100" s="66"/>
      <c r="L100" s="88"/>
      <c r="M100" s="66"/>
      <c r="N100" s="88"/>
      <c r="O100" s="66"/>
      <c r="P100" s="88"/>
      <c r="Q100" s="68"/>
      <c r="R100" s="87">
        <v>0.0</v>
      </c>
      <c r="S100" s="66"/>
      <c r="T100" s="88">
        <v>33.0</v>
      </c>
      <c r="U100" s="66"/>
      <c r="V100" s="88"/>
      <c r="W100" s="66"/>
      <c r="X100" s="88"/>
      <c r="Y100" s="66"/>
      <c r="Z100" s="88"/>
      <c r="AA100" s="66"/>
      <c r="AB100" s="88"/>
      <c r="AC100" s="68"/>
      <c r="AD100" s="88"/>
      <c r="AE100" s="66"/>
      <c r="AF100" s="88"/>
      <c r="AG100" s="66"/>
      <c r="AH100" s="88"/>
      <c r="AI100" s="66"/>
      <c r="AJ100" s="87"/>
      <c r="AK100" s="68"/>
      <c r="AL100" s="87"/>
      <c r="AM100" s="68"/>
      <c r="AN100" s="87"/>
      <c r="AO100" s="68"/>
      <c r="AP100" s="87"/>
      <c r="AQ100" s="68"/>
      <c r="AR100" s="87"/>
      <c r="AS100" s="68"/>
      <c r="AT100" s="88"/>
      <c r="AU100" s="66"/>
      <c r="AV100" s="88"/>
      <c r="AW100" s="68"/>
      <c r="AX100" s="73">
        <f t="shared" si="1"/>
        <v>366.96</v>
      </c>
      <c r="AY100" s="63">
        <f t="shared" si="2"/>
        <v>33</v>
      </c>
      <c r="AZ100" s="63">
        <f t="shared" si="3"/>
        <v>0</v>
      </c>
      <c r="BA100" s="63">
        <f t="shared" si="4"/>
        <v>33</v>
      </c>
      <c r="BB100" s="74">
        <f t="shared" si="5"/>
        <v>11.12</v>
      </c>
    </row>
    <row r="101" ht="15.75" customHeight="1">
      <c r="A101" s="36" t="s">
        <v>46</v>
      </c>
      <c r="B101" s="75">
        <f t="shared" si="6"/>
        <v>45754</v>
      </c>
      <c r="C101" s="38">
        <v>4.0</v>
      </c>
      <c r="D101" s="38" t="s">
        <v>69</v>
      </c>
      <c r="E101" s="40"/>
      <c r="F101" s="85"/>
      <c r="H101" s="86"/>
      <c r="J101" s="86"/>
      <c r="L101" s="86"/>
      <c r="N101" s="86"/>
      <c r="P101" s="86"/>
      <c r="Q101" s="43"/>
      <c r="R101" s="85">
        <v>93.0</v>
      </c>
      <c r="T101" s="86">
        <v>137.0</v>
      </c>
      <c r="V101" s="86"/>
      <c r="X101" s="86"/>
      <c r="Z101" s="86"/>
      <c r="AB101" s="86"/>
      <c r="AC101" s="43"/>
      <c r="AD101" s="86"/>
      <c r="AF101" s="86"/>
      <c r="AH101" s="86"/>
      <c r="AJ101" s="85"/>
      <c r="AK101" s="43"/>
      <c r="AL101" s="85"/>
      <c r="AM101" s="43"/>
      <c r="AN101" s="85"/>
      <c r="AO101" s="43"/>
      <c r="AP101" s="85"/>
      <c r="AQ101" s="43"/>
      <c r="AR101" s="85"/>
      <c r="AS101" s="43"/>
      <c r="AT101" s="86"/>
      <c r="AV101" s="86"/>
      <c r="AW101" s="43"/>
      <c r="AX101" s="47">
        <f t="shared" si="1"/>
        <v>2557.6</v>
      </c>
      <c r="AY101" s="38">
        <f t="shared" si="2"/>
        <v>230</v>
      </c>
      <c r="AZ101" s="38">
        <f t="shared" si="3"/>
        <v>0</v>
      </c>
      <c r="BA101" s="38">
        <f t="shared" si="4"/>
        <v>230</v>
      </c>
      <c r="BB101" s="76">
        <f t="shared" si="5"/>
        <v>11.12</v>
      </c>
    </row>
    <row r="102" ht="15.75" customHeight="1">
      <c r="A102" s="50" t="s">
        <v>48</v>
      </c>
      <c r="B102" s="51">
        <f t="shared" si="6"/>
        <v>45755</v>
      </c>
      <c r="C102" s="52">
        <v>4.0</v>
      </c>
      <c r="D102" s="52" t="s">
        <v>69</v>
      </c>
      <c r="E102" s="53"/>
      <c r="F102" s="85"/>
      <c r="H102" s="86"/>
      <c r="J102" s="86"/>
      <c r="L102" s="86"/>
      <c r="N102" s="86"/>
      <c r="P102" s="86"/>
      <c r="Q102" s="43"/>
      <c r="R102" s="85">
        <v>120.0</v>
      </c>
      <c r="T102" s="86">
        <v>163.0</v>
      </c>
      <c r="V102" s="86"/>
      <c r="X102" s="86"/>
      <c r="Z102" s="86"/>
      <c r="AB102" s="86"/>
      <c r="AC102" s="43"/>
      <c r="AD102" s="86"/>
      <c r="AF102" s="86"/>
      <c r="AH102" s="86"/>
      <c r="AJ102" s="85"/>
      <c r="AK102" s="43"/>
      <c r="AL102" s="85"/>
      <c r="AM102" s="43"/>
      <c r="AN102" s="85"/>
      <c r="AO102" s="43"/>
      <c r="AP102" s="85"/>
      <c r="AQ102" s="43"/>
      <c r="AR102" s="85"/>
      <c r="AS102" s="43"/>
      <c r="AT102" s="86"/>
      <c r="AV102" s="86"/>
      <c r="AW102" s="43"/>
      <c r="AX102" s="54">
        <f t="shared" si="1"/>
        <v>3146.96</v>
      </c>
      <c r="AY102" s="52">
        <f t="shared" si="2"/>
        <v>283</v>
      </c>
      <c r="AZ102" s="52">
        <f t="shared" si="3"/>
        <v>0</v>
      </c>
      <c r="BA102" s="52">
        <f t="shared" si="4"/>
        <v>283</v>
      </c>
      <c r="BB102" s="49">
        <f t="shared" si="5"/>
        <v>11.12</v>
      </c>
    </row>
    <row r="103" ht="15.75" customHeight="1">
      <c r="A103" s="50" t="s">
        <v>49</v>
      </c>
      <c r="B103" s="51">
        <f t="shared" si="6"/>
        <v>45756</v>
      </c>
      <c r="C103" s="52">
        <v>4.0</v>
      </c>
      <c r="D103" s="52" t="s">
        <v>69</v>
      </c>
      <c r="E103" s="53"/>
      <c r="F103" s="85"/>
      <c r="H103" s="86"/>
      <c r="J103" s="86"/>
      <c r="L103" s="86"/>
      <c r="N103" s="86"/>
      <c r="P103" s="86"/>
      <c r="Q103" s="43"/>
      <c r="R103" s="85">
        <v>92.0</v>
      </c>
      <c r="T103" s="86">
        <v>129.0</v>
      </c>
      <c r="V103" s="86"/>
      <c r="X103" s="86"/>
      <c r="Z103" s="86"/>
      <c r="AB103" s="86"/>
      <c r="AC103" s="43"/>
      <c r="AD103" s="86"/>
      <c r="AF103" s="86"/>
      <c r="AH103" s="86"/>
      <c r="AJ103" s="85"/>
      <c r="AK103" s="43"/>
      <c r="AL103" s="85"/>
      <c r="AM103" s="43"/>
      <c r="AN103" s="85"/>
      <c r="AO103" s="43"/>
      <c r="AP103" s="85"/>
      <c r="AQ103" s="43"/>
      <c r="AR103" s="85"/>
      <c r="AS103" s="43"/>
      <c r="AT103" s="86"/>
      <c r="AV103" s="86"/>
      <c r="AW103" s="43"/>
      <c r="AX103" s="54">
        <f t="shared" si="1"/>
        <v>2457.52</v>
      </c>
      <c r="AY103" s="52">
        <f t="shared" si="2"/>
        <v>221</v>
      </c>
      <c r="AZ103" s="52">
        <f t="shared" si="3"/>
        <v>0</v>
      </c>
      <c r="BA103" s="52">
        <f t="shared" si="4"/>
        <v>221</v>
      </c>
      <c r="BB103" s="49">
        <f t="shared" si="5"/>
        <v>11.12</v>
      </c>
    </row>
    <row r="104" ht="15.75" customHeight="1">
      <c r="A104" s="50" t="s">
        <v>50</v>
      </c>
      <c r="B104" s="51">
        <f t="shared" si="6"/>
        <v>45757</v>
      </c>
      <c r="C104" s="52">
        <v>4.0</v>
      </c>
      <c r="D104" s="52" t="s">
        <v>69</v>
      </c>
      <c r="E104" s="53"/>
      <c r="F104" s="85"/>
      <c r="H104" s="86"/>
      <c r="J104" s="86"/>
      <c r="L104" s="86"/>
      <c r="N104" s="86"/>
      <c r="P104" s="86"/>
      <c r="Q104" s="43"/>
      <c r="R104" s="85">
        <v>91.0</v>
      </c>
      <c r="T104" s="86">
        <v>116.0</v>
      </c>
      <c r="V104" s="86"/>
      <c r="X104" s="86"/>
      <c r="Z104" s="86"/>
      <c r="AB104" s="86"/>
      <c r="AC104" s="43"/>
      <c r="AD104" s="86"/>
      <c r="AF104" s="86"/>
      <c r="AH104" s="86"/>
      <c r="AJ104" s="85"/>
      <c r="AK104" s="43"/>
      <c r="AL104" s="85"/>
      <c r="AM104" s="43"/>
      <c r="AN104" s="85"/>
      <c r="AO104" s="43"/>
      <c r="AP104" s="85"/>
      <c r="AQ104" s="43"/>
      <c r="AR104" s="85"/>
      <c r="AS104" s="43"/>
      <c r="AT104" s="86"/>
      <c r="AV104" s="86"/>
      <c r="AW104" s="43"/>
      <c r="AX104" s="54">
        <f t="shared" si="1"/>
        <v>2301.84</v>
      </c>
      <c r="AY104" s="52">
        <f t="shared" si="2"/>
        <v>207</v>
      </c>
      <c r="AZ104" s="52">
        <f t="shared" si="3"/>
        <v>0</v>
      </c>
      <c r="BA104" s="52">
        <f t="shared" si="4"/>
        <v>207</v>
      </c>
      <c r="BB104" s="49">
        <f t="shared" si="5"/>
        <v>11.12</v>
      </c>
    </row>
    <row r="105" ht="15.75" customHeight="1">
      <c r="A105" s="50" t="s">
        <v>53</v>
      </c>
      <c r="B105" s="51">
        <f t="shared" si="6"/>
        <v>45758</v>
      </c>
      <c r="C105" s="52">
        <v>4.0</v>
      </c>
      <c r="D105" s="52" t="s">
        <v>69</v>
      </c>
      <c r="E105" s="53"/>
      <c r="F105" s="85"/>
      <c r="H105" s="86"/>
      <c r="J105" s="86"/>
      <c r="L105" s="86"/>
      <c r="N105" s="86"/>
      <c r="P105" s="86"/>
      <c r="Q105" s="43"/>
      <c r="R105" s="85">
        <v>89.0</v>
      </c>
      <c r="T105" s="86">
        <v>102.0</v>
      </c>
      <c r="V105" s="86"/>
      <c r="X105" s="86"/>
      <c r="Z105" s="86"/>
      <c r="AB105" s="86"/>
      <c r="AC105" s="43"/>
      <c r="AD105" s="86"/>
      <c r="AF105" s="86"/>
      <c r="AH105" s="86"/>
      <c r="AJ105" s="85"/>
      <c r="AK105" s="43"/>
      <c r="AL105" s="85"/>
      <c r="AM105" s="43"/>
      <c r="AN105" s="85"/>
      <c r="AO105" s="43"/>
      <c r="AP105" s="85"/>
      <c r="AQ105" s="43"/>
      <c r="AR105" s="85"/>
      <c r="AS105" s="43"/>
      <c r="AT105" s="86"/>
      <c r="AV105" s="86"/>
      <c r="AW105" s="43"/>
      <c r="AX105" s="54">
        <f t="shared" si="1"/>
        <v>2123.92</v>
      </c>
      <c r="AY105" s="52">
        <f t="shared" si="2"/>
        <v>191</v>
      </c>
      <c r="AZ105" s="52">
        <f t="shared" si="3"/>
        <v>0</v>
      </c>
      <c r="BA105" s="52">
        <f t="shared" si="4"/>
        <v>191</v>
      </c>
      <c r="BB105" s="49">
        <f t="shared" si="5"/>
        <v>11.12</v>
      </c>
    </row>
    <row r="106" ht="15.75" customHeight="1">
      <c r="A106" s="50" t="s">
        <v>54</v>
      </c>
      <c r="B106" s="51">
        <f t="shared" si="6"/>
        <v>45759</v>
      </c>
      <c r="C106" s="52">
        <v>4.0</v>
      </c>
      <c r="D106" s="52" t="s">
        <v>69</v>
      </c>
      <c r="E106" s="53"/>
      <c r="F106" s="85"/>
      <c r="H106" s="86"/>
      <c r="J106" s="86"/>
      <c r="L106" s="86"/>
      <c r="N106" s="86"/>
      <c r="P106" s="86"/>
      <c r="Q106" s="43"/>
      <c r="R106" s="85">
        <v>89.0</v>
      </c>
      <c r="T106" s="86">
        <v>109.0</v>
      </c>
      <c r="V106" s="86"/>
      <c r="X106" s="86"/>
      <c r="Z106" s="86"/>
      <c r="AB106" s="86"/>
      <c r="AC106" s="43"/>
      <c r="AD106" s="86"/>
      <c r="AF106" s="86"/>
      <c r="AH106" s="86"/>
      <c r="AJ106" s="85"/>
      <c r="AK106" s="43"/>
      <c r="AL106" s="85"/>
      <c r="AM106" s="43"/>
      <c r="AN106" s="85"/>
      <c r="AO106" s="43"/>
      <c r="AP106" s="85"/>
      <c r="AQ106" s="43"/>
      <c r="AR106" s="85"/>
      <c r="AS106" s="43"/>
      <c r="AT106" s="86"/>
      <c r="AV106" s="86"/>
      <c r="AW106" s="43"/>
      <c r="AX106" s="54">
        <f t="shared" si="1"/>
        <v>2201.76</v>
      </c>
      <c r="AY106" s="52">
        <f t="shared" si="2"/>
        <v>198</v>
      </c>
      <c r="AZ106" s="52">
        <f t="shared" si="3"/>
        <v>0</v>
      </c>
      <c r="BA106" s="52">
        <f t="shared" si="4"/>
        <v>198</v>
      </c>
      <c r="BB106" s="49">
        <f t="shared" si="5"/>
        <v>11.12</v>
      </c>
    </row>
    <row r="107" ht="15.75" customHeight="1">
      <c r="A107" s="59" t="s">
        <v>61</v>
      </c>
      <c r="B107" s="61">
        <f t="shared" si="6"/>
        <v>45760</v>
      </c>
      <c r="C107" s="63">
        <v>4.0</v>
      </c>
      <c r="D107" s="63" t="s">
        <v>69</v>
      </c>
      <c r="E107" s="64"/>
      <c r="F107" s="87"/>
      <c r="G107" s="66"/>
      <c r="H107" s="88"/>
      <c r="I107" s="66"/>
      <c r="J107" s="88"/>
      <c r="K107" s="66"/>
      <c r="L107" s="88"/>
      <c r="M107" s="66"/>
      <c r="N107" s="88"/>
      <c r="O107" s="66"/>
      <c r="P107" s="88"/>
      <c r="Q107" s="68"/>
      <c r="R107" s="87">
        <v>0.0</v>
      </c>
      <c r="S107" s="66"/>
      <c r="T107" s="88">
        <v>0.0</v>
      </c>
      <c r="U107" s="66"/>
      <c r="V107" s="88"/>
      <c r="W107" s="66"/>
      <c r="X107" s="88"/>
      <c r="Y107" s="66"/>
      <c r="Z107" s="88"/>
      <c r="AA107" s="66"/>
      <c r="AB107" s="88"/>
      <c r="AC107" s="68"/>
      <c r="AD107" s="88"/>
      <c r="AE107" s="66"/>
      <c r="AF107" s="88"/>
      <c r="AG107" s="66"/>
      <c r="AH107" s="88"/>
      <c r="AI107" s="66"/>
      <c r="AJ107" s="87"/>
      <c r="AK107" s="68"/>
      <c r="AL107" s="87"/>
      <c r="AM107" s="68"/>
      <c r="AN107" s="87"/>
      <c r="AO107" s="68"/>
      <c r="AP107" s="87"/>
      <c r="AQ107" s="68"/>
      <c r="AR107" s="87"/>
      <c r="AS107" s="68"/>
      <c r="AT107" s="88"/>
      <c r="AU107" s="66"/>
      <c r="AV107" s="88"/>
      <c r="AW107" s="68"/>
      <c r="AX107" s="73">
        <f t="shared" si="1"/>
        <v>0</v>
      </c>
      <c r="AY107" s="63">
        <f t="shared" si="2"/>
        <v>0</v>
      </c>
      <c r="AZ107" s="63">
        <f t="shared" si="3"/>
        <v>0</v>
      </c>
      <c r="BA107" s="63">
        <f t="shared" si="4"/>
        <v>0</v>
      </c>
      <c r="BB107" s="74" t="str">
        <f t="shared" si="5"/>
        <v/>
      </c>
    </row>
    <row r="108" ht="15.75" customHeight="1">
      <c r="A108" s="36" t="s">
        <v>46</v>
      </c>
      <c r="B108" s="75">
        <f t="shared" si="6"/>
        <v>45761</v>
      </c>
      <c r="C108" s="38">
        <v>4.0</v>
      </c>
      <c r="D108" s="38" t="s">
        <v>72</v>
      </c>
      <c r="E108" s="40"/>
      <c r="F108" s="85"/>
      <c r="H108" s="86"/>
      <c r="J108" s="86"/>
      <c r="L108" s="86"/>
      <c r="N108" s="86"/>
      <c r="P108" s="86"/>
      <c r="Q108" s="43"/>
      <c r="R108" s="85">
        <v>101.0</v>
      </c>
      <c r="T108" s="86">
        <v>114.0</v>
      </c>
      <c r="V108" s="86"/>
      <c r="X108" s="86"/>
      <c r="Z108" s="86"/>
      <c r="AB108" s="86"/>
      <c r="AC108" s="43"/>
      <c r="AD108" s="86"/>
      <c r="AF108" s="86"/>
      <c r="AH108" s="86"/>
      <c r="AJ108" s="85"/>
      <c r="AK108" s="43"/>
      <c r="AL108" s="46"/>
      <c r="AM108" s="43"/>
      <c r="AN108" s="41"/>
      <c r="AO108" s="43"/>
      <c r="AP108" s="41"/>
      <c r="AQ108" s="43"/>
      <c r="AR108" s="41"/>
      <c r="AS108" s="43"/>
      <c r="AT108" s="42"/>
      <c r="AV108" s="42"/>
      <c r="AW108" s="43"/>
      <c r="AX108" s="47">
        <f t="shared" si="1"/>
        <v>2390.8</v>
      </c>
      <c r="AY108" s="38">
        <f t="shared" si="2"/>
        <v>215</v>
      </c>
      <c r="AZ108" s="38">
        <f t="shared" si="3"/>
        <v>0</v>
      </c>
      <c r="BA108" s="38">
        <f t="shared" si="4"/>
        <v>215</v>
      </c>
      <c r="BB108" s="76">
        <f t="shared" si="5"/>
        <v>11.12</v>
      </c>
    </row>
    <row r="109" ht="15.75" customHeight="1">
      <c r="A109" s="50" t="s">
        <v>48</v>
      </c>
      <c r="B109" s="51">
        <f t="shared" si="6"/>
        <v>45762</v>
      </c>
      <c r="C109" s="52">
        <v>4.0</v>
      </c>
      <c r="D109" s="52" t="s">
        <v>72</v>
      </c>
      <c r="E109" s="92"/>
      <c r="F109" s="85"/>
      <c r="H109" s="86"/>
      <c r="J109" s="86"/>
      <c r="L109" s="86"/>
      <c r="N109" s="86"/>
      <c r="P109" s="86"/>
      <c r="Q109" s="43"/>
      <c r="R109" s="85">
        <v>102.0</v>
      </c>
      <c r="T109" s="86">
        <v>115.0</v>
      </c>
      <c r="V109" s="86"/>
      <c r="X109" s="86"/>
      <c r="Z109" s="86"/>
      <c r="AB109" s="86"/>
      <c r="AC109" s="43"/>
      <c r="AD109" s="86"/>
      <c r="AF109" s="86"/>
      <c r="AH109" s="86"/>
      <c r="AJ109" s="85"/>
      <c r="AK109" s="43"/>
      <c r="AL109" s="46"/>
      <c r="AM109" s="43"/>
      <c r="AN109" s="41"/>
      <c r="AO109" s="43"/>
      <c r="AP109" s="41"/>
      <c r="AQ109" s="43"/>
      <c r="AR109" s="41"/>
      <c r="AS109" s="43"/>
      <c r="AT109" s="42"/>
      <c r="AV109" s="42"/>
      <c r="AW109" s="43"/>
      <c r="AX109" s="54">
        <f t="shared" si="1"/>
        <v>2413.04</v>
      </c>
      <c r="AY109" s="52">
        <f t="shared" si="2"/>
        <v>217</v>
      </c>
      <c r="AZ109" s="52">
        <f t="shared" si="3"/>
        <v>0</v>
      </c>
      <c r="BA109" s="52">
        <f t="shared" si="4"/>
        <v>217</v>
      </c>
      <c r="BB109" s="49">
        <f t="shared" si="5"/>
        <v>11.12</v>
      </c>
    </row>
    <row r="110" ht="15.75" customHeight="1">
      <c r="A110" s="50" t="s">
        <v>49</v>
      </c>
      <c r="B110" s="51">
        <f t="shared" si="6"/>
        <v>45763</v>
      </c>
      <c r="C110" s="52">
        <v>4.0</v>
      </c>
      <c r="D110" s="52" t="s">
        <v>72</v>
      </c>
      <c r="E110" s="92"/>
      <c r="F110" s="85"/>
      <c r="H110" s="86"/>
      <c r="J110" s="86"/>
      <c r="L110" s="86"/>
      <c r="N110" s="86"/>
      <c r="P110" s="86"/>
      <c r="Q110" s="43"/>
      <c r="R110" s="85">
        <v>95.0</v>
      </c>
      <c r="T110" s="86">
        <v>106.0</v>
      </c>
      <c r="V110" s="86"/>
      <c r="X110" s="86"/>
      <c r="Z110" s="86"/>
      <c r="AB110" s="86"/>
      <c r="AC110" s="43"/>
      <c r="AD110" s="86"/>
      <c r="AF110" s="86"/>
      <c r="AH110" s="86"/>
      <c r="AJ110" s="85"/>
      <c r="AK110" s="43"/>
      <c r="AL110" s="46"/>
      <c r="AM110" s="43"/>
      <c r="AN110" s="41"/>
      <c r="AO110" s="43"/>
      <c r="AP110" s="41"/>
      <c r="AQ110" s="43"/>
      <c r="AR110" s="41"/>
      <c r="AS110" s="43"/>
      <c r="AT110" s="42"/>
      <c r="AV110" s="42"/>
      <c r="AW110" s="43"/>
      <c r="AX110" s="54">
        <f t="shared" si="1"/>
        <v>2235.12</v>
      </c>
      <c r="AY110" s="52">
        <f t="shared" si="2"/>
        <v>201</v>
      </c>
      <c r="AZ110" s="52">
        <f t="shared" si="3"/>
        <v>0</v>
      </c>
      <c r="BA110" s="52">
        <f t="shared" si="4"/>
        <v>201</v>
      </c>
      <c r="BB110" s="49">
        <f t="shared" si="5"/>
        <v>11.12</v>
      </c>
    </row>
    <row r="111" ht="15.75" customHeight="1">
      <c r="A111" s="50" t="s">
        <v>50</v>
      </c>
      <c r="B111" s="51">
        <f t="shared" si="6"/>
        <v>45764</v>
      </c>
      <c r="C111" s="52">
        <v>4.0</v>
      </c>
      <c r="D111" s="52" t="s">
        <v>72</v>
      </c>
      <c r="E111" s="53"/>
      <c r="F111" s="85"/>
      <c r="H111" s="86"/>
      <c r="J111" s="86"/>
      <c r="L111" s="86"/>
      <c r="N111" s="86"/>
      <c r="P111" s="86"/>
      <c r="Q111" s="43"/>
      <c r="R111" s="85">
        <v>84.0</v>
      </c>
      <c r="T111" s="86">
        <v>153.0</v>
      </c>
      <c r="V111" s="86"/>
      <c r="X111" s="86"/>
      <c r="Z111" s="86"/>
      <c r="AB111" s="86"/>
      <c r="AC111" s="43"/>
      <c r="AD111" s="86"/>
      <c r="AF111" s="86"/>
      <c r="AH111" s="86"/>
      <c r="AJ111" s="85"/>
      <c r="AK111" s="43"/>
      <c r="AL111" s="46"/>
      <c r="AM111" s="43"/>
      <c r="AN111" s="41"/>
      <c r="AO111" s="43"/>
      <c r="AP111" s="41"/>
      <c r="AQ111" s="43"/>
      <c r="AR111" s="41"/>
      <c r="AS111" s="43"/>
      <c r="AT111" s="42"/>
      <c r="AV111" s="42"/>
      <c r="AW111" s="43"/>
      <c r="AX111" s="54">
        <f t="shared" si="1"/>
        <v>2635.44</v>
      </c>
      <c r="AY111" s="52">
        <f t="shared" si="2"/>
        <v>237</v>
      </c>
      <c r="AZ111" s="52">
        <f t="shared" si="3"/>
        <v>0</v>
      </c>
      <c r="BA111" s="52">
        <f t="shared" si="4"/>
        <v>237</v>
      </c>
      <c r="BB111" s="49">
        <f t="shared" si="5"/>
        <v>11.12</v>
      </c>
    </row>
    <row r="112" ht="15.75" customHeight="1">
      <c r="A112" s="50" t="s">
        <v>53</v>
      </c>
      <c r="B112" s="51">
        <f t="shared" si="6"/>
        <v>45765</v>
      </c>
      <c r="C112" s="52">
        <v>4.0</v>
      </c>
      <c r="D112" s="52" t="s">
        <v>72</v>
      </c>
      <c r="E112" s="53"/>
      <c r="F112" s="85"/>
      <c r="H112" s="86"/>
      <c r="J112" s="86"/>
      <c r="L112" s="86"/>
      <c r="N112" s="86"/>
      <c r="P112" s="86"/>
      <c r="Q112" s="43"/>
      <c r="R112" s="85">
        <v>94.0</v>
      </c>
      <c r="T112" s="86">
        <v>154.0</v>
      </c>
      <c r="V112" s="86"/>
      <c r="X112" s="86"/>
      <c r="Z112" s="86"/>
      <c r="AB112" s="86"/>
      <c r="AC112" s="43"/>
      <c r="AD112" s="86"/>
      <c r="AF112" s="86"/>
      <c r="AH112" s="86"/>
      <c r="AJ112" s="85"/>
      <c r="AK112" s="43"/>
      <c r="AL112" s="46"/>
      <c r="AM112" s="43"/>
      <c r="AN112" s="41"/>
      <c r="AO112" s="43"/>
      <c r="AP112" s="41"/>
      <c r="AQ112" s="43"/>
      <c r="AR112" s="41"/>
      <c r="AS112" s="43"/>
      <c r="AT112" s="42"/>
      <c r="AV112" s="42"/>
      <c r="AW112" s="43"/>
      <c r="AX112" s="54">
        <f t="shared" si="1"/>
        <v>2757.76</v>
      </c>
      <c r="AY112" s="52">
        <f t="shared" si="2"/>
        <v>248</v>
      </c>
      <c r="AZ112" s="52">
        <f t="shared" si="3"/>
        <v>0</v>
      </c>
      <c r="BA112" s="52">
        <f t="shared" si="4"/>
        <v>248</v>
      </c>
      <c r="BB112" s="49">
        <f t="shared" si="5"/>
        <v>11.12</v>
      </c>
    </row>
    <row r="113" ht="15.75" customHeight="1">
      <c r="A113" s="50" t="s">
        <v>54</v>
      </c>
      <c r="B113" s="51">
        <f t="shared" si="6"/>
        <v>45766</v>
      </c>
      <c r="C113" s="52">
        <v>4.0</v>
      </c>
      <c r="D113" s="52" t="s">
        <v>72</v>
      </c>
      <c r="E113" s="53"/>
      <c r="F113" s="85"/>
      <c r="H113" s="86"/>
      <c r="J113" s="86"/>
      <c r="L113" s="86"/>
      <c r="N113" s="86"/>
      <c r="P113" s="86"/>
      <c r="Q113" s="43"/>
      <c r="R113" s="85">
        <v>76.0</v>
      </c>
      <c r="T113" s="86">
        <v>97.0</v>
      </c>
      <c r="V113" s="86"/>
      <c r="X113" s="86"/>
      <c r="Z113" s="86"/>
      <c r="AB113" s="86"/>
      <c r="AC113" s="43"/>
      <c r="AD113" s="86"/>
      <c r="AF113" s="86"/>
      <c r="AH113" s="86"/>
      <c r="AJ113" s="85"/>
      <c r="AK113" s="43"/>
      <c r="AL113" s="46"/>
      <c r="AM113" s="43"/>
      <c r="AN113" s="41"/>
      <c r="AO113" s="43"/>
      <c r="AP113" s="41"/>
      <c r="AQ113" s="43"/>
      <c r="AR113" s="41"/>
      <c r="AS113" s="43"/>
      <c r="AT113" s="42"/>
      <c r="AV113" s="42"/>
      <c r="AW113" s="43"/>
      <c r="AX113" s="54">
        <f t="shared" si="1"/>
        <v>1923.76</v>
      </c>
      <c r="AY113" s="52">
        <f t="shared" si="2"/>
        <v>173</v>
      </c>
      <c r="AZ113" s="52">
        <f t="shared" si="3"/>
        <v>0</v>
      </c>
      <c r="BA113" s="52">
        <f t="shared" si="4"/>
        <v>173</v>
      </c>
      <c r="BB113" s="49">
        <f t="shared" si="5"/>
        <v>11.12</v>
      </c>
    </row>
    <row r="114" ht="15.75" customHeight="1">
      <c r="A114" s="59" t="s">
        <v>61</v>
      </c>
      <c r="B114" s="61">
        <f t="shared" si="6"/>
        <v>45767</v>
      </c>
      <c r="C114" s="63">
        <v>4.0</v>
      </c>
      <c r="D114" s="63" t="s">
        <v>72</v>
      </c>
      <c r="E114" s="64"/>
      <c r="F114" s="87"/>
      <c r="G114" s="66"/>
      <c r="H114" s="88"/>
      <c r="I114" s="66"/>
      <c r="J114" s="88"/>
      <c r="K114" s="66"/>
      <c r="L114" s="88"/>
      <c r="M114" s="66"/>
      <c r="N114" s="88"/>
      <c r="O114" s="66"/>
      <c r="P114" s="88"/>
      <c r="Q114" s="68"/>
      <c r="R114" s="87">
        <v>0.0</v>
      </c>
      <c r="S114" s="66"/>
      <c r="T114" s="88">
        <v>0.0</v>
      </c>
      <c r="U114" s="66"/>
      <c r="V114" s="88"/>
      <c r="W114" s="66"/>
      <c r="X114" s="88"/>
      <c r="Y114" s="66"/>
      <c r="Z114" s="88"/>
      <c r="AA114" s="66"/>
      <c r="AB114" s="88"/>
      <c r="AC114" s="68"/>
      <c r="AD114" s="88"/>
      <c r="AE114" s="66"/>
      <c r="AF114" s="88"/>
      <c r="AG114" s="66"/>
      <c r="AH114" s="88"/>
      <c r="AI114" s="66"/>
      <c r="AJ114" s="87"/>
      <c r="AK114" s="68"/>
      <c r="AL114" s="71"/>
      <c r="AM114" s="68"/>
      <c r="AN114" s="65"/>
      <c r="AO114" s="68"/>
      <c r="AP114" s="65"/>
      <c r="AQ114" s="68"/>
      <c r="AR114" s="65"/>
      <c r="AS114" s="68"/>
      <c r="AT114" s="67"/>
      <c r="AU114" s="66"/>
      <c r="AV114" s="67"/>
      <c r="AW114" s="68"/>
      <c r="AX114" s="73">
        <f t="shared" si="1"/>
        <v>0</v>
      </c>
      <c r="AY114" s="63">
        <f t="shared" si="2"/>
        <v>0</v>
      </c>
      <c r="AZ114" s="63">
        <f t="shared" si="3"/>
        <v>0</v>
      </c>
      <c r="BA114" s="63">
        <f t="shared" si="4"/>
        <v>0</v>
      </c>
      <c r="BB114" s="74" t="str">
        <f t="shared" si="5"/>
        <v/>
      </c>
    </row>
    <row r="115" ht="15.75" customHeight="1">
      <c r="A115" s="36" t="s">
        <v>46</v>
      </c>
      <c r="B115" s="75">
        <f t="shared" si="6"/>
        <v>45768</v>
      </c>
      <c r="C115" s="38">
        <v>5.0</v>
      </c>
      <c r="D115" s="38" t="s">
        <v>47</v>
      </c>
      <c r="E115" s="40"/>
      <c r="F115" s="85"/>
      <c r="H115" s="86"/>
      <c r="J115" s="86"/>
      <c r="L115" s="86"/>
      <c r="N115" s="86"/>
      <c r="P115" s="86"/>
      <c r="Q115" s="43"/>
      <c r="R115" s="85">
        <v>82.0</v>
      </c>
      <c r="T115" s="86">
        <v>128.0</v>
      </c>
      <c r="V115" s="86"/>
      <c r="X115" s="86"/>
      <c r="Z115" s="86"/>
      <c r="AB115" s="86"/>
      <c r="AC115" s="43"/>
      <c r="AD115" s="86"/>
      <c r="AF115" s="86"/>
      <c r="AH115" s="86"/>
      <c r="AJ115" s="85"/>
      <c r="AK115" s="43"/>
      <c r="AL115" s="46"/>
      <c r="AM115" s="43"/>
      <c r="AN115" s="41"/>
      <c r="AO115" s="43"/>
      <c r="AP115" s="41"/>
      <c r="AQ115" s="43"/>
      <c r="AR115" s="41"/>
      <c r="AS115" s="43"/>
      <c r="AT115" s="42"/>
      <c r="AV115" s="42"/>
      <c r="AW115" s="43"/>
      <c r="AX115" s="47">
        <f t="shared" si="1"/>
        <v>2335.2</v>
      </c>
      <c r="AY115" s="38">
        <f t="shared" si="2"/>
        <v>210</v>
      </c>
      <c r="AZ115" s="38">
        <f t="shared" si="3"/>
        <v>0</v>
      </c>
      <c r="BA115" s="38">
        <f t="shared" si="4"/>
        <v>210</v>
      </c>
      <c r="BB115" s="76">
        <f t="shared" si="5"/>
        <v>11.12</v>
      </c>
    </row>
    <row r="116" ht="15.75" customHeight="1">
      <c r="A116" s="50" t="s">
        <v>48</v>
      </c>
      <c r="B116" s="51">
        <f t="shared" si="6"/>
        <v>45769</v>
      </c>
      <c r="C116" s="52">
        <v>5.0</v>
      </c>
      <c r="D116" s="52" t="s">
        <v>47</v>
      </c>
      <c r="E116" s="53"/>
      <c r="F116" s="85"/>
      <c r="H116" s="86"/>
      <c r="J116" s="86"/>
      <c r="L116" s="86"/>
      <c r="N116" s="86"/>
      <c r="P116" s="86"/>
      <c r="Q116" s="43"/>
      <c r="R116" s="85">
        <v>97.0</v>
      </c>
      <c r="T116" s="86">
        <v>120.0</v>
      </c>
      <c r="V116" s="86"/>
      <c r="X116" s="86"/>
      <c r="Z116" s="86"/>
      <c r="AB116" s="86"/>
      <c r="AC116" s="43"/>
      <c r="AD116" s="86"/>
      <c r="AF116" s="86"/>
      <c r="AH116" s="86"/>
      <c r="AJ116" s="85"/>
      <c r="AK116" s="43"/>
      <c r="AL116" s="46"/>
      <c r="AM116" s="43"/>
      <c r="AN116" s="41"/>
      <c r="AO116" s="43"/>
      <c r="AP116" s="41"/>
      <c r="AQ116" s="43"/>
      <c r="AR116" s="41"/>
      <c r="AS116" s="43"/>
      <c r="AT116" s="42"/>
      <c r="AV116" s="42"/>
      <c r="AW116" s="43"/>
      <c r="AX116" s="54">
        <f t="shared" si="1"/>
        <v>2413.04</v>
      </c>
      <c r="AY116" s="52">
        <f t="shared" si="2"/>
        <v>217</v>
      </c>
      <c r="AZ116" s="52">
        <f t="shared" si="3"/>
        <v>0</v>
      </c>
      <c r="BA116" s="52">
        <f t="shared" si="4"/>
        <v>217</v>
      </c>
      <c r="BB116" s="49">
        <f t="shared" si="5"/>
        <v>11.12</v>
      </c>
    </row>
    <row r="117" ht="15.75" customHeight="1">
      <c r="A117" s="50" t="s">
        <v>49</v>
      </c>
      <c r="B117" s="51">
        <f t="shared" si="6"/>
        <v>45770</v>
      </c>
      <c r="C117" s="52">
        <v>5.0</v>
      </c>
      <c r="D117" s="52" t="s">
        <v>47</v>
      </c>
      <c r="E117" s="53"/>
      <c r="F117" s="85"/>
      <c r="H117" s="86"/>
      <c r="J117" s="86"/>
      <c r="L117" s="86"/>
      <c r="N117" s="86"/>
      <c r="P117" s="86"/>
      <c r="Q117" s="43"/>
      <c r="R117" s="85">
        <v>89.0</v>
      </c>
      <c r="T117" s="86">
        <v>164.0</v>
      </c>
      <c r="V117" s="86"/>
      <c r="X117" s="86"/>
      <c r="Z117" s="86"/>
      <c r="AB117" s="86"/>
      <c r="AC117" s="43"/>
      <c r="AD117" s="86"/>
      <c r="AF117" s="86"/>
      <c r="AH117" s="86"/>
      <c r="AJ117" s="85"/>
      <c r="AK117" s="43"/>
      <c r="AL117" s="46"/>
      <c r="AM117" s="43"/>
      <c r="AN117" s="41"/>
      <c r="AO117" s="43"/>
      <c r="AP117" s="41"/>
      <c r="AQ117" s="43"/>
      <c r="AR117" s="41"/>
      <c r="AS117" s="43"/>
      <c r="AT117" s="42"/>
      <c r="AV117" s="42"/>
      <c r="AW117" s="43"/>
      <c r="AX117" s="54">
        <f t="shared" si="1"/>
        <v>2813.36</v>
      </c>
      <c r="AY117" s="52">
        <f t="shared" si="2"/>
        <v>253</v>
      </c>
      <c r="AZ117" s="52">
        <f t="shared" si="3"/>
        <v>0</v>
      </c>
      <c r="BA117" s="52">
        <f t="shared" si="4"/>
        <v>253</v>
      </c>
      <c r="BB117" s="49">
        <f t="shared" si="5"/>
        <v>11.12</v>
      </c>
    </row>
    <row r="118" ht="15.75" customHeight="1">
      <c r="A118" s="50" t="s">
        <v>50</v>
      </c>
      <c r="B118" s="51">
        <f t="shared" si="6"/>
        <v>45771</v>
      </c>
      <c r="C118" s="52">
        <v>5.0</v>
      </c>
      <c r="D118" s="52" t="s">
        <v>47</v>
      </c>
      <c r="E118" s="53"/>
      <c r="F118" s="85"/>
      <c r="H118" s="86"/>
      <c r="J118" s="86"/>
      <c r="L118" s="86"/>
      <c r="N118" s="86"/>
      <c r="P118" s="86"/>
      <c r="Q118" s="43"/>
      <c r="R118" s="85">
        <v>97.0</v>
      </c>
      <c r="T118" s="86">
        <v>179.0</v>
      </c>
      <c r="V118" s="86"/>
      <c r="X118" s="86"/>
      <c r="Z118" s="86"/>
      <c r="AB118" s="86"/>
      <c r="AC118" s="43"/>
      <c r="AD118" s="86"/>
      <c r="AF118" s="86"/>
      <c r="AH118" s="86"/>
      <c r="AJ118" s="85"/>
      <c r="AK118" s="43"/>
      <c r="AL118" s="46"/>
      <c r="AM118" s="43"/>
      <c r="AN118" s="41"/>
      <c r="AO118" s="43"/>
      <c r="AP118" s="41"/>
      <c r="AQ118" s="43"/>
      <c r="AR118" s="41"/>
      <c r="AS118" s="43"/>
      <c r="AT118" s="42"/>
      <c r="AV118" s="42"/>
      <c r="AW118" s="43"/>
      <c r="AX118" s="54">
        <f t="shared" si="1"/>
        <v>3069.12</v>
      </c>
      <c r="AY118" s="52">
        <f t="shared" si="2"/>
        <v>276</v>
      </c>
      <c r="AZ118" s="52">
        <f t="shared" si="3"/>
        <v>0</v>
      </c>
      <c r="BA118" s="52">
        <f t="shared" si="4"/>
        <v>276</v>
      </c>
      <c r="BB118" s="49">
        <f t="shared" si="5"/>
        <v>11.12</v>
      </c>
    </row>
    <row r="119" ht="15.75" customHeight="1">
      <c r="A119" s="50" t="s">
        <v>53</v>
      </c>
      <c r="B119" s="51">
        <f t="shared" si="6"/>
        <v>45772</v>
      </c>
      <c r="C119" s="52">
        <v>5.0</v>
      </c>
      <c r="D119" s="52" t="s">
        <v>47</v>
      </c>
      <c r="E119" s="53"/>
      <c r="F119" s="85"/>
      <c r="H119" s="86"/>
      <c r="J119" s="86"/>
      <c r="L119" s="86"/>
      <c r="N119" s="86"/>
      <c r="P119" s="86"/>
      <c r="Q119" s="43"/>
      <c r="R119" s="85">
        <v>98.0</v>
      </c>
      <c r="T119" s="86">
        <v>105.0</v>
      </c>
      <c r="V119" s="86"/>
      <c r="X119" s="86"/>
      <c r="Z119" s="86"/>
      <c r="AB119" s="86"/>
      <c r="AC119" s="43"/>
      <c r="AD119" s="86"/>
      <c r="AF119" s="86"/>
      <c r="AH119" s="86"/>
      <c r="AJ119" s="85"/>
      <c r="AK119" s="43"/>
      <c r="AL119" s="46"/>
      <c r="AM119" s="43"/>
      <c r="AN119" s="41"/>
      <c r="AO119" s="43"/>
      <c r="AP119" s="41"/>
      <c r="AQ119" s="43"/>
      <c r="AR119" s="41"/>
      <c r="AS119" s="43"/>
      <c r="AT119" s="42"/>
      <c r="AV119" s="42"/>
      <c r="AW119" s="43"/>
      <c r="AX119" s="54">
        <f t="shared" si="1"/>
        <v>2257.36</v>
      </c>
      <c r="AY119" s="52">
        <f t="shared" si="2"/>
        <v>203</v>
      </c>
      <c r="AZ119" s="52">
        <f t="shared" si="3"/>
        <v>0</v>
      </c>
      <c r="BA119" s="52">
        <f t="shared" si="4"/>
        <v>203</v>
      </c>
      <c r="BB119" s="49">
        <f t="shared" si="5"/>
        <v>11.12</v>
      </c>
    </row>
    <row r="120" ht="15.75" customHeight="1">
      <c r="A120" s="50" t="s">
        <v>54</v>
      </c>
      <c r="B120" s="51">
        <f t="shared" si="6"/>
        <v>45773</v>
      </c>
      <c r="C120" s="52">
        <v>5.0</v>
      </c>
      <c r="D120" s="52" t="s">
        <v>47</v>
      </c>
      <c r="E120" s="53"/>
      <c r="F120" s="85"/>
      <c r="H120" s="86"/>
      <c r="J120" s="86"/>
      <c r="L120" s="86"/>
      <c r="N120" s="86"/>
      <c r="P120" s="86"/>
      <c r="Q120" s="43"/>
      <c r="R120" s="85">
        <v>81.0</v>
      </c>
      <c r="T120" s="86">
        <v>164.0</v>
      </c>
      <c r="V120" s="86"/>
      <c r="X120" s="86"/>
      <c r="Z120" s="86"/>
      <c r="AB120" s="86"/>
      <c r="AC120" s="43"/>
      <c r="AD120" s="86"/>
      <c r="AF120" s="86"/>
      <c r="AH120" s="86"/>
      <c r="AJ120" s="85"/>
      <c r="AK120" s="43"/>
      <c r="AL120" s="46"/>
      <c r="AM120" s="43"/>
      <c r="AN120" s="41"/>
      <c r="AO120" s="43"/>
      <c r="AP120" s="41"/>
      <c r="AQ120" s="43"/>
      <c r="AR120" s="41"/>
      <c r="AS120" s="43"/>
      <c r="AT120" s="42"/>
      <c r="AV120" s="42"/>
      <c r="AW120" s="43"/>
      <c r="AX120" s="54">
        <f t="shared" si="1"/>
        <v>2724.4</v>
      </c>
      <c r="AY120" s="52">
        <f t="shared" si="2"/>
        <v>245</v>
      </c>
      <c r="AZ120" s="52">
        <f t="shared" si="3"/>
        <v>0</v>
      </c>
      <c r="BA120" s="52">
        <f t="shared" si="4"/>
        <v>245</v>
      </c>
      <c r="BB120" s="49">
        <f t="shared" si="5"/>
        <v>11.12</v>
      </c>
    </row>
    <row r="121" ht="15.75" customHeight="1">
      <c r="A121" s="59" t="s">
        <v>61</v>
      </c>
      <c r="B121" s="61">
        <f t="shared" si="6"/>
        <v>45774</v>
      </c>
      <c r="C121" s="63">
        <v>5.0</v>
      </c>
      <c r="D121" s="63" t="s">
        <v>47</v>
      </c>
      <c r="E121" s="64"/>
      <c r="F121" s="87"/>
      <c r="G121" s="66"/>
      <c r="H121" s="88"/>
      <c r="I121" s="66"/>
      <c r="J121" s="88"/>
      <c r="K121" s="66"/>
      <c r="L121" s="88"/>
      <c r="M121" s="66"/>
      <c r="N121" s="88"/>
      <c r="O121" s="66"/>
      <c r="P121" s="88"/>
      <c r="Q121" s="68"/>
      <c r="R121" s="87">
        <v>0.0</v>
      </c>
      <c r="S121" s="66"/>
      <c r="T121" s="88">
        <v>0.0</v>
      </c>
      <c r="U121" s="66"/>
      <c r="V121" s="88"/>
      <c r="W121" s="66"/>
      <c r="X121" s="88"/>
      <c r="Y121" s="66"/>
      <c r="Z121" s="88"/>
      <c r="AA121" s="66"/>
      <c r="AB121" s="88"/>
      <c r="AC121" s="68"/>
      <c r="AD121" s="88"/>
      <c r="AE121" s="66"/>
      <c r="AF121" s="88"/>
      <c r="AG121" s="66"/>
      <c r="AH121" s="88"/>
      <c r="AI121" s="66"/>
      <c r="AJ121" s="87"/>
      <c r="AK121" s="68"/>
      <c r="AL121" s="71"/>
      <c r="AM121" s="68"/>
      <c r="AN121" s="65"/>
      <c r="AO121" s="68"/>
      <c r="AP121" s="65"/>
      <c r="AQ121" s="68"/>
      <c r="AR121" s="65"/>
      <c r="AS121" s="68"/>
      <c r="AT121" s="67"/>
      <c r="AU121" s="66"/>
      <c r="AV121" s="67"/>
      <c r="AW121" s="68"/>
      <c r="AX121" s="73">
        <f t="shared" si="1"/>
        <v>0</v>
      </c>
      <c r="AY121" s="63">
        <f t="shared" si="2"/>
        <v>0</v>
      </c>
      <c r="AZ121" s="63">
        <f t="shared" si="3"/>
        <v>0</v>
      </c>
      <c r="BA121" s="63">
        <f t="shared" si="4"/>
        <v>0</v>
      </c>
      <c r="BB121" s="74" t="str">
        <f t="shared" si="5"/>
        <v/>
      </c>
    </row>
    <row r="122" ht="15.75" customHeight="1">
      <c r="A122" s="36" t="s">
        <v>46</v>
      </c>
      <c r="B122" s="75">
        <f t="shared" si="6"/>
        <v>45775</v>
      </c>
      <c r="C122" s="38">
        <v>5.0</v>
      </c>
      <c r="D122" s="38" t="s">
        <v>65</v>
      </c>
      <c r="E122" s="40"/>
      <c r="F122" s="85"/>
      <c r="H122" s="86"/>
      <c r="J122" s="86"/>
      <c r="L122" s="86"/>
      <c r="N122" s="86"/>
      <c r="P122" s="86"/>
      <c r="Q122" s="43"/>
      <c r="R122" s="85">
        <v>75.0</v>
      </c>
      <c r="T122" s="86">
        <v>112.0</v>
      </c>
      <c r="V122" s="86"/>
      <c r="X122" s="86"/>
      <c r="Z122" s="86"/>
      <c r="AB122" s="86"/>
      <c r="AC122" s="43"/>
      <c r="AD122" s="86"/>
      <c r="AF122" s="86"/>
      <c r="AH122" s="86"/>
      <c r="AJ122" s="85"/>
      <c r="AK122" s="43"/>
      <c r="AL122" s="46"/>
      <c r="AM122" s="43"/>
      <c r="AN122" s="41"/>
      <c r="AO122" s="43"/>
      <c r="AP122" s="41"/>
      <c r="AQ122" s="43"/>
      <c r="AR122" s="41"/>
      <c r="AS122" s="43"/>
      <c r="AT122" s="42"/>
      <c r="AV122" s="42"/>
      <c r="AW122" s="43"/>
      <c r="AX122" s="47">
        <f t="shared" si="1"/>
        <v>2079.44</v>
      </c>
      <c r="AY122" s="38">
        <f t="shared" si="2"/>
        <v>187</v>
      </c>
      <c r="AZ122" s="38">
        <f t="shared" si="3"/>
        <v>0</v>
      </c>
      <c r="BA122" s="38">
        <f t="shared" si="4"/>
        <v>187</v>
      </c>
      <c r="BB122" s="76">
        <f t="shared" si="5"/>
        <v>11.12</v>
      </c>
    </row>
    <row r="123" ht="15.75" customHeight="1">
      <c r="A123" s="50" t="s">
        <v>48</v>
      </c>
      <c r="B123" s="51">
        <f t="shared" si="6"/>
        <v>45776</v>
      </c>
      <c r="C123" s="52">
        <v>5.0</v>
      </c>
      <c r="D123" s="52" t="s">
        <v>65</v>
      </c>
      <c r="E123" s="53"/>
      <c r="F123" s="85"/>
      <c r="H123" s="86"/>
      <c r="J123" s="86"/>
      <c r="L123" s="86"/>
      <c r="N123" s="86"/>
      <c r="P123" s="86"/>
      <c r="Q123" s="43"/>
      <c r="R123" s="85">
        <v>95.0</v>
      </c>
      <c r="T123" s="86">
        <v>113.0</v>
      </c>
      <c r="V123" s="86"/>
      <c r="X123" s="86"/>
      <c r="Z123" s="86"/>
      <c r="AB123" s="86"/>
      <c r="AC123" s="43"/>
      <c r="AD123" s="86"/>
      <c r="AF123" s="86"/>
      <c r="AH123" s="86"/>
      <c r="AJ123" s="85"/>
      <c r="AK123" s="43"/>
      <c r="AL123" s="46"/>
      <c r="AM123" s="43"/>
      <c r="AN123" s="41"/>
      <c r="AO123" s="43"/>
      <c r="AP123" s="41"/>
      <c r="AQ123" s="43"/>
      <c r="AR123" s="41"/>
      <c r="AS123" s="43"/>
      <c r="AT123" s="42"/>
      <c r="AV123" s="42"/>
      <c r="AW123" s="43"/>
      <c r="AX123" s="54">
        <f t="shared" si="1"/>
        <v>2312.96</v>
      </c>
      <c r="AY123" s="52">
        <f t="shared" si="2"/>
        <v>208</v>
      </c>
      <c r="AZ123" s="52">
        <f t="shared" si="3"/>
        <v>0</v>
      </c>
      <c r="BA123" s="52">
        <f t="shared" si="4"/>
        <v>208</v>
      </c>
      <c r="BB123" s="49">
        <f t="shared" si="5"/>
        <v>11.12</v>
      </c>
    </row>
    <row r="124" ht="15.75" customHeight="1">
      <c r="A124" s="50" t="s">
        <v>49</v>
      </c>
      <c r="B124" s="51">
        <f t="shared" si="6"/>
        <v>45777</v>
      </c>
      <c r="C124" s="52">
        <v>5.0</v>
      </c>
      <c r="D124" s="52" t="s">
        <v>65</v>
      </c>
      <c r="E124" s="53"/>
      <c r="F124" s="85"/>
      <c r="H124" s="86"/>
      <c r="J124" s="86"/>
      <c r="L124" s="86"/>
      <c r="N124" s="86"/>
      <c r="P124" s="86"/>
      <c r="Q124" s="43"/>
      <c r="R124" s="85">
        <v>86.0</v>
      </c>
      <c r="T124" s="86">
        <v>102.0</v>
      </c>
      <c r="V124" s="86"/>
      <c r="X124" s="86"/>
      <c r="Z124" s="86"/>
      <c r="AB124" s="86"/>
      <c r="AC124" s="43"/>
      <c r="AD124" s="86"/>
      <c r="AF124" s="86"/>
      <c r="AH124" s="86"/>
      <c r="AJ124" s="85"/>
      <c r="AK124" s="43"/>
      <c r="AL124" s="46"/>
      <c r="AM124" s="43"/>
      <c r="AN124" s="41"/>
      <c r="AO124" s="43"/>
      <c r="AP124" s="41"/>
      <c r="AQ124" s="43"/>
      <c r="AR124" s="41"/>
      <c r="AS124" s="43"/>
      <c r="AT124" s="42"/>
      <c r="AV124" s="42"/>
      <c r="AW124" s="43"/>
      <c r="AX124" s="54">
        <f t="shared" si="1"/>
        <v>2090.56</v>
      </c>
      <c r="AY124" s="52">
        <f t="shared" si="2"/>
        <v>188</v>
      </c>
      <c r="AZ124" s="52">
        <f t="shared" si="3"/>
        <v>0</v>
      </c>
      <c r="BA124" s="52">
        <f t="shared" si="4"/>
        <v>188</v>
      </c>
      <c r="BB124" s="49">
        <f t="shared" si="5"/>
        <v>11.12</v>
      </c>
    </row>
    <row r="125" ht="15.75" customHeight="1">
      <c r="A125" s="50" t="s">
        <v>50</v>
      </c>
      <c r="B125" s="51">
        <f t="shared" si="6"/>
        <v>45778</v>
      </c>
      <c r="C125" s="52">
        <v>5.0</v>
      </c>
      <c r="D125" s="52" t="s">
        <v>65</v>
      </c>
      <c r="E125" s="53"/>
      <c r="F125" s="85"/>
      <c r="H125" s="86"/>
      <c r="J125" s="86"/>
      <c r="L125" s="86"/>
      <c r="N125" s="86"/>
      <c r="P125" s="86"/>
      <c r="Q125" s="43"/>
      <c r="R125" s="85">
        <v>92.0</v>
      </c>
      <c r="T125" s="86">
        <v>90.0</v>
      </c>
      <c r="V125" s="86"/>
      <c r="X125" s="86"/>
      <c r="Z125" s="86"/>
      <c r="AB125" s="86"/>
      <c r="AC125" s="43"/>
      <c r="AD125" s="86"/>
      <c r="AF125" s="86"/>
      <c r="AH125" s="86"/>
      <c r="AJ125" s="85"/>
      <c r="AK125" s="43"/>
      <c r="AL125" s="46"/>
      <c r="AM125" s="43"/>
      <c r="AN125" s="41"/>
      <c r="AO125" s="43"/>
      <c r="AP125" s="41"/>
      <c r="AQ125" s="43"/>
      <c r="AR125" s="41"/>
      <c r="AS125" s="43"/>
      <c r="AT125" s="42"/>
      <c r="AV125" s="42"/>
      <c r="AW125" s="43"/>
      <c r="AX125" s="54">
        <f t="shared" si="1"/>
        <v>2023.84</v>
      </c>
      <c r="AY125" s="52">
        <f t="shared" si="2"/>
        <v>182</v>
      </c>
      <c r="AZ125" s="52">
        <f t="shared" si="3"/>
        <v>0</v>
      </c>
      <c r="BA125" s="52">
        <f t="shared" si="4"/>
        <v>182</v>
      </c>
      <c r="BB125" s="49">
        <f t="shared" si="5"/>
        <v>11.12</v>
      </c>
    </row>
    <row r="126" ht="15.75" customHeight="1">
      <c r="A126" s="50" t="s">
        <v>53</v>
      </c>
      <c r="B126" s="51">
        <f t="shared" si="6"/>
        <v>45779</v>
      </c>
      <c r="C126" s="52">
        <v>5.0</v>
      </c>
      <c r="D126" s="52" t="s">
        <v>65</v>
      </c>
      <c r="E126" s="53"/>
      <c r="F126" s="85"/>
      <c r="H126" s="86"/>
      <c r="J126" s="86"/>
      <c r="L126" s="86"/>
      <c r="N126" s="86"/>
      <c r="P126" s="86"/>
      <c r="Q126" s="43"/>
      <c r="R126" s="85">
        <v>96.0</v>
      </c>
      <c r="T126" s="86">
        <v>100.0</v>
      </c>
      <c r="V126" s="86"/>
      <c r="X126" s="86"/>
      <c r="Z126" s="86"/>
      <c r="AB126" s="86"/>
      <c r="AC126" s="43"/>
      <c r="AD126" s="86"/>
      <c r="AF126" s="86"/>
      <c r="AH126" s="86"/>
      <c r="AJ126" s="85"/>
      <c r="AK126" s="43"/>
      <c r="AL126" s="46"/>
      <c r="AM126" s="43"/>
      <c r="AN126" s="41"/>
      <c r="AO126" s="43"/>
      <c r="AP126" s="41"/>
      <c r="AQ126" s="43"/>
      <c r="AR126" s="41"/>
      <c r="AS126" s="43"/>
      <c r="AT126" s="42"/>
      <c r="AV126" s="42"/>
      <c r="AW126" s="43"/>
      <c r="AX126" s="54">
        <f t="shared" si="1"/>
        <v>2179.52</v>
      </c>
      <c r="AY126" s="52">
        <f t="shared" si="2"/>
        <v>196</v>
      </c>
      <c r="AZ126" s="52">
        <f t="shared" si="3"/>
        <v>0</v>
      </c>
      <c r="BA126" s="52">
        <f t="shared" si="4"/>
        <v>196</v>
      </c>
      <c r="BB126" s="49">
        <f t="shared" si="5"/>
        <v>11.12</v>
      </c>
    </row>
    <row r="127" ht="15.75" customHeight="1">
      <c r="A127" s="50" t="s">
        <v>54</v>
      </c>
      <c r="B127" s="51">
        <f t="shared" si="6"/>
        <v>45780</v>
      </c>
      <c r="C127" s="52">
        <v>5.0</v>
      </c>
      <c r="D127" s="52" t="s">
        <v>65</v>
      </c>
      <c r="E127" s="53"/>
      <c r="F127" s="85"/>
      <c r="H127" s="86"/>
      <c r="J127" s="86"/>
      <c r="L127" s="86"/>
      <c r="N127" s="86"/>
      <c r="P127" s="86"/>
      <c r="Q127" s="43"/>
      <c r="R127" s="85">
        <v>74.0</v>
      </c>
      <c r="T127" s="86">
        <v>95.0</v>
      </c>
      <c r="V127" s="86"/>
      <c r="X127" s="86"/>
      <c r="Z127" s="86"/>
      <c r="AB127" s="86"/>
      <c r="AC127" s="43"/>
      <c r="AD127" s="86"/>
      <c r="AF127" s="86"/>
      <c r="AH127" s="86"/>
      <c r="AJ127" s="85"/>
      <c r="AK127" s="43"/>
      <c r="AL127" s="46"/>
      <c r="AM127" s="43"/>
      <c r="AN127" s="41"/>
      <c r="AO127" s="43"/>
      <c r="AP127" s="41"/>
      <c r="AQ127" s="43"/>
      <c r="AR127" s="41"/>
      <c r="AS127" s="43"/>
      <c r="AT127" s="42"/>
      <c r="AV127" s="42"/>
      <c r="AW127" s="43"/>
      <c r="AX127" s="54">
        <f t="shared" si="1"/>
        <v>1879.28</v>
      </c>
      <c r="AY127" s="52">
        <f t="shared" si="2"/>
        <v>169</v>
      </c>
      <c r="AZ127" s="52">
        <f t="shared" si="3"/>
        <v>0</v>
      </c>
      <c r="BA127" s="52">
        <f t="shared" si="4"/>
        <v>169</v>
      </c>
      <c r="BB127" s="49">
        <f t="shared" si="5"/>
        <v>11.12</v>
      </c>
    </row>
    <row r="128" ht="15.75" customHeight="1">
      <c r="A128" s="59" t="s">
        <v>61</v>
      </c>
      <c r="B128" s="61">
        <f t="shared" si="6"/>
        <v>45781</v>
      </c>
      <c r="C128" s="63">
        <v>5.0</v>
      </c>
      <c r="D128" s="63" t="s">
        <v>65</v>
      </c>
      <c r="E128" s="64"/>
      <c r="F128" s="87"/>
      <c r="G128" s="66"/>
      <c r="H128" s="88"/>
      <c r="I128" s="66"/>
      <c r="J128" s="88"/>
      <c r="K128" s="66"/>
      <c r="L128" s="88"/>
      <c r="M128" s="66"/>
      <c r="N128" s="88"/>
      <c r="O128" s="66"/>
      <c r="P128" s="88"/>
      <c r="Q128" s="68"/>
      <c r="R128" s="87">
        <v>0.0</v>
      </c>
      <c r="S128" s="66"/>
      <c r="T128" s="88">
        <v>0.0</v>
      </c>
      <c r="U128" s="66"/>
      <c r="V128" s="88"/>
      <c r="W128" s="66"/>
      <c r="X128" s="88"/>
      <c r="Y128" s="66"/>
      <c r="Z128" s="88"/>
      <c r="AA128" s="66"/>
      <c r="AB128" s="88"/>
      <c r="AC128" s="68"/>
      <c r="AD128" s="88"/>
      <c r="AE128" s="66"/>
      <c r="AF128" s="88"/>
      <c r="AG128" s="66"/>
      <c r="AH128" s="88"/>
      <c r="AI128" s="66"/>
      <c r="AJ128" s="87"/>
      <c r="AK128" s="68"/>
      <c r="AL128" s="71"/>
      <c r="AM128" s="68"/>
      <c r="AN128" s="65"/>
      <c r="AO128" s="68"/>
      <c r="AP128" s="65"/>
      <c r="AQ128" s="68"/>
      <c r="AR128" s="65"/>
      <c r="AS128" s="68"/>
      <c r="AT128" s="67"/>
      <c r="AU128" s="66"/>
      <c r="AV128" s="67"/>
      <c r="AW128" s="68"/>
      <c r="AX128" s="73">
        <f t="shared" si="1"/>
        <v>0</v>
      </c>
      <c r="AY128" s="63">
        <f t="shared" si="2"/>
        <v>0</v>
      </c>
      <c r="AZ128" s="63">
        <f t="shared" si="3"/>
        <v>0</v>
      </c>
      <c r="BA128" s="63">
        <f t="shared" si="4"/>
        <v>0</v>
      </c>
      <c r="BB128" s="74" t="str">
        <f t="shared" si="5"/>
        <v/>
      </c>
    </row>
    <row r="129" ht="15.75" customHeight="1">
      <c r="A129" s="36" t="s">
        <v>46</v>
      </c>
      <c r="B129" s="75">
        <f t="shared" si="6"/>
        <v>45782</v>
      </c>
      <c r="C129" s="38">
        <v>5.0</v>
      </c>
      <c r="D129" s="38" t="s">
        <v>69</v>
      </c>
      <c r="E129" s="40"/>
      <c r="F129" s="85"/>
      <c r="H129" s="86"/>
      <c r="J129" s="86"/>
      <c r="L129" s="86"/>
      <c r="N129" s="86"/>
      <c r="P129" s="86"/>
      <c r="Q129" s="43"/>
      <c r="R129" s="85">
        <v>86.0</v>
      </c>
      <c r="T129" s="86">
        <v>107.0</v>
      </c>
      <c r="V129" s="86"/>
      <c r="X129" s="86"/>
      <c r="Z129" s="86"/>
      <c r="AB129" s="86"/>
      <c r="AC129" s="43"/>
      <c r="AD129" s="86"/>
      <c r="AF129" s="86"/>
      <c r="AH129" s="86"/>
      <c r="AJ129" s="85"/>
      <c r="AK129" s="43"/>
      <c r="AL129" s="46"/>
      <c r="AM129" s="43"/>
      <c r="AN129" s="41"/>
      <c r="AO129" s="43"/>
      <c r="AP129" s="41"/>
      <c r="AQ129" s="43"/>
      <c r="AR129" s="41"/>
      <c r="AS129" s="43"/>
      <c r="AT129" s="42"/>
      <c r="AV129" s="42"/>
      <c r="AW129" s="43"/>
      <c r="AX129" s="47">
        <f t="shared" si="1"/>
        <v>2146.16</v>
      </c>
      <c r="AY129" s="38">
        <f t="shared" si="2"/>
        <v>193</v>
      </c>
      <c r="AZ129" s="38">
        <f t="shared" si="3"/>
        <v>0</v>
      </c>
      <c r="BA129" s="38">
        <f t="shared" si="4"/>
        <v>193</v>
      </c>
      <c r="BB129" s="76">
        <f t="shared" si="5"/>
        <v>11.12</v>
      </c>
    </row>
    <row r="130" ht="15.75" customHeight="1">
      <c r="A130" s="50" t="s">
        <v>48</v>
      </c>
      <c r="B130" s="51">
        <f t="shared" si="6"/>
        <v>45783</v>
      </c>
      <c r="C130" s="52">
        <v>5.0</v>
      </c>
      <c r="D130" s="52" t="s">
        <v>69</v>
      </c>
      <c r="E130" s="53"/>
      <c r="F130" s="85"/>
      <c r="H130" s="86"/>
      <c r="J130" s="86"/>
      <c r="L130" s="86"/>
      <c r="N130" s="86"/>
      <c r="P130" s="86"/>
      <c r="Q130" s="43"/>
      <c r="R130" s="85">
        <v>82.0</v>
      </c>
      <c r="T130" s="86">
        <v>83.0</v>
      </c>
      <c r="V130" s="86"/>
      <c r="X130" s="86"/>
      <c r="Z130" s="86"/>
      <c r="AB130" s="86"/>
      <c r="AC130" s="43"/>
      <c r="AD130" s="86"/>
      <c r="AF130" s="86"/>
      <c r="AH130" s="86"/>
      <c r="AJ130" s="85"/>
      <c r="AK130" s="43"/>
      <c r="AL130" s="46"/>
      <c r="AM130" s="43"/>
      <c r="AN130" s="41"/>
      <c r="AO130" s="43"/>
      <c r="AP130" s="41"/>
      <c r="AQ130" s="43"/>
      <c r="AR130" s="41"/>
      <c r="AS130" s="43"/>
      <c r="AT130" s="42"/>
      <c r="AV130" s="42"/>
      <c r="AW130" s="43"/>
      <c r="AX130" s="54">
        <f t="shared" si="1"/>
        <v>1834.8</v>
      </c>
      <c r="AY130" s="52">
        <f t="shared" si="2"/>
        <v>165</v>
      </c>
      <c r="AZ130" s="52">
        <f t="shared" si="3"/>
        <v>0</v>
      </c>
      <c r="BA130" s="52">
        <f t="shared" si="4"/>
        <v>165</v>
      </c>
      <c r="BB130" s="49">
        <f t="shared" si="5"/>
        <v>11.12</v>
      </c>
    </row>
    <row r="131" ht="15.75" customHeight="1">
      <c r="A131" s="50" t="s">
        <v>49</v>
      </c>
      <c r="B131" s="51">
        <f t="shared" si="6"/>
        <v>45784</v>
      </c>
      <c r="C131" s="52">
        <v>5.0</v>
      </c>
      <c r="D131" s="52" t="s">
        <v>69</v>
      </c>
      <c r="E131" s="53"/>
      <c r="F131" s="85"/>
      <c r="H131" s="86"/>
      <c r="J131" s="86"/>
      <c r="L131" s="86"/>
      <c r="N131" s="86"/>
      <c r="P131" s="86"/>
      <c r="Q131" s="43"/>
      <c r="R131" s="85">
        <v>93.0</v>
      </c>
      <c r="T131" s="86">
        <v>121.0</v>
      </c>
      <c r="V131" s="86"/>
      <c r="X131" s="86"/>
      <c r="Z131" s="86"/>
      <c r="AB131" s="86"/>
      <c r="AC131" s="43"/>
      <c r="AD131" s="86"/>
      <c r="AF131" s="86"/>
      <c r="AH131" s="86"/>
      <c r="AJ131" s="85"/>
      <c r="AK131" s="43"/>
      <c r="AL131" s="46"/>
      <c r="AM131" s="43"/>
      <c r="AN131" s="41"/>
      <c r="AO131" s="43"/>
      <c r="AP131" s="41"/>
      <c r="AQ131" s="43"/>
      <c r="AR131" s="41"/>
      <c r="AS131" s="43"/>
      <c r="AT131" s="42"/>
      <c r="AV131" s="42"/>
      <c r="AW131" s="43"/>
      <c r="AX131" s="54">
        <f t="shared" si="1"/>
        <v>2379.68</v>
      </c>
      <c r="AY131" s="52">
        <f t="shared" si="2"/>
        <v>214</v>
      </c>
      <c r="AZ131" s="52">
        <f t="shared" si="3"/>
        <v>0</v>
      </c>
      <c r="BA131" s="52">
        <f t="shared" si="4"/>
        <v>214</v>
      </c>
      <c r="BB131" s="49">
        <f t="shared" si="5"/>
        <v>11.12</v>
      </c>
    </row>
    <row r="132" ht="15.75" customHeight="1">
      <c r="A132" s="50" t="s">
        <v>50</v>
      </c>
      <c r="B132" s="51">
        <f t="shared" si="6"/>
        <v>45785</v>
      </c>
      <c r="C132" s="52">
        <v>5.0</v>
      </c>
      <c r="D132" s="52" t="s">
        <v>69</v>
      </c>
      <c r="E132" s="53"/>
      <c r="F132" s="85"/>
      <c r="H132" s="86"/>
      <c r="J132" s="86"/>
      <c r="L132" s="86"/>
      <c r="N132" s="86"/>
      <c r="P132" s="86"/>
      <c r="Q132" s="43"/>
      <c r="R132" s="85">
        <v>86.0</v>
      </c>
      <c r="T132" s="86">
        <v>75.0</v>
      </c>
      <c r="V132" s="86"/>
      <c r="X132" s="86"/>
      <c r="Z132" s="86"/>
      <c r="AB132" s="86"/>
      <c r="AC132" s="43"/>
      <c r="AD132" s="86"/>
      <c r="AF132" s="86"/>
      <c r="AH132" s="86"/>
      <c r="AJ132" s="85"/>
      <c r="AK132" s="43"/>
      <c r="AL132" s="46"/>
      <c r="AM132" s="43"/>
      <c r="AN132" s="41"/>
      <c r="AO132" s="43"/>
      <c r="AP132" s="41"/>
      <c r="AQ132" s="43"/>
      <c r="AR132" s="41"/>
      <c r="AS132" s="43"/>
      <c r="AT132" s="42"/>
      <c r="AV132" s="42"/>
      <c r="AW132" s="43"/>
      <c r="AX132" s="54">
        <f t="shared" si="1"/>
        <v>1790.32</v>
      </c>
      <c r="AY132" s="52">
        <f t="shared" si="2"/>
        <v>161</v>
      </c>
      <c r="AZ132" s="52">
        <f t="shared" si="3"/>
        <v>0</v>
      </c>
      <c r="BA132" s="52">
        <f t="shared" si="4"/>
        <v>161</v>
      </c>
      <c r="BB132" s="49">
        <f t="shared" si="5"/>
        <v>11.12</v>
      </c>
    </row>
    <row r="133" ht="15.75" customHeight="1">
      <c r="A133" s="50" t="s">
        <v>53</v>
      </c>
      <c r="B133" s="51">
        <f t="shared" si="6"/>
        <v>45786</v>
      </c>
      <c r="C133" s="52">
        <v>5.0</v>
      </c>
      <c r="D133" s="52" t="s">
        <v>69</v>
      </c>
      <c r="E133" s="53"/>
      <c r="F133" s="85"/>
      <c r="H133" s="86"/>
      <c r="J133" s="86"/>
      <c r="L133" s="86"/>
      <c r="N133" s="86"/>
      <c r="P133" s="86"/>
      <c r="Q133" s="43"/>
      <c r="R133" s="85">
        <v>75.0</v>
      </c>
      <c r="T133" s="86">
        <v>90.0</v>
      </c>
      <c r="V133" s="86"/>
      <c r="X133" s="86"/>
      <c r="Z133" s="86"/>
      <c r="AB133" s="86"/>
      <c r="AC133" s="43"/>
      <c r="AD133" s="86"/>
      <c r="AF133" s="86"/>
      <c r="AH133" s="86"/>
      <c r="AJ133" s="85"/>
      <c r="AK133" s="43"/>
      <c r="AL133" s="46"/>
      <c r="AM133" s="43"/>
      <c r="AN133" s="41"/>
      <c r="AO133" s="43"/>
      <c r="AP133" s="41"/>
      <c r="AQ133" s="43"/>
      <c r="AR133" s="41"/>
      <c r="AS133" s="43"/>
      <c r="AT133" s="42"/>
      <c r="AV133" s="42"/>
      <c r="AW133" s="43"/>
      <c r="AX133" s="54">
        <f t="shared" si="1"/>
        <v>1834.8</v>
      </c>
      <c r="AY133" s="52">
        <f t="shared" si="2"/>
        <v>165</v>
      </c>
      <c r="AZ133" s="52">
        <f t="shared" si="3"/>
        <v>0</v>
      </c>
      <c r="BA133" s="52">
        <f t="shared" si="4"/>
        <v>165</v>
      </c>
      <c r="BB133" s="49">
        <f t="shared" si="5"/>
        <v>11.12</v>
      </c>
    </row>
    <row r="134" ht="15.75" customHeight="1">
      <c r="A134" s="50" t="s">
        <v>54</v>
      </c>
      <c r="B134" s="51">
        <f t="shared" si="6"/>
        <v>45787</v>
      </c>
      <c r="C134" s="52">
        <v>5.0</v>
      </c>
      <c r="D134" s="52" t="s">
        <v>69</v>
      </c>
      <c r="E134" s="53"/>
      <c r="F134" s="85"/>
      <c r="H134" s="86"/>
      <c r="J134" s="86"/>
      <c r="L134" s="86"/>
      <c r="N134" s="86"/>
      <c r="P134" s="86"/>
      <c r="Q134" s="43"/>
      <c r="R134" s="85">
        <v>82.0</v>
      </c>
      <c r="T134" s="86">
        <v>87.0</v>
      </c>
      <c r="V134" s="86"/>
      <c r="X134" s="86"/>
      <c r="Z134" s="86"/>
      <c r="AB134" s="86"/>
      <c r="AC134" s="43"/>
      <c r="AD134" s="86"/>
      <c r="AF134" s="86"/>
      <c r="AH134" s="86"/>
      <c r="AJ134" s="85"/>
      <c r="AK134" s="43"/>
      <c r="AL134" s="46"/>
      <c r="AM134" s="43"/>
      <c r="AN134" s="41"/>
      <c r="AO134" s="43"/>
      <c r="AP134" s="41"/>
      <c r="AQ134" s="43"/>
      <c r="AR134" s="41"/>
      <c r="AS134" s="43"/>
      <c r="AT134" s="42"/>
      <c r="AV134" s="42"/>
      <c r="AW134" s="43"/>
      <c r="AX134" s="54">
        <f t="shared" si="1"/>
        <v>1879.28</v>
      </c>
      <c r="AY134" s="52">
        <f t="shared" si="2"/>
        <v>169</v>
      </c>
      <c r="AZ134" s="52">
        <f t="shared" si="3"/>
        <v>0</v>
      </c>
      <c r="BA134" s="52">
        <f t="shared" si="4"/>
        <v>169</v>
      </c>
      <c r="BB134" s="49">
        <f t="shared" si="5"/>
        <v>11.12</v>
      </c>
    </row>
    <row r="135" ht="15.75" customHeight="1">
      <c r="A135" s="59" t="s">
        <v>61</v>
      </c>
      <c r="B135" s="61">
        <f t="shared" si="6"/>
        <v>45788</v>
      </c>
      <c r="C135" s="63">
        <v>5.0</v>
      </c>
      <c r="D135" s="63" t="s">
        <v>69</v>
      </c>
      <c r="E135" s="64"/>
      <c r="F135" s="87"/>
      <c r="G135" s="66"/>
      <c r="H135" s="88"/>
      <c r="I135" s="66"/>
      <c r="J135" s="88"/>
      <c r="K135" s="66"/>
      <c r="L135" s="88"/>
      <c r="M135" s="66"/>
      <c r="N135" s="88"/>
      <c r="O135" s="66"/>
      <c r="P135" s="88"/>
      <c r="Q135" s="68"/>
      <c r="R135" s="87">
        <v>0.0</v>
      </c>
      <c r="S135" s="66"/>
      <c r="T135" s="88">
        <v>0.0</v>
      </c>
      <c r="U135" s="66"/>
      <c r="V135" s="88"/>
      <c r="W135" s="66"/>
      <c r="X135" s="88"/>
      <c r="Y135" s="66"/>
      <c r="Z135" s="88"/>
      <c r="AA135" s="66"/>
      <c r="AB135" s="88"/>
      <c r="AC135" s="68"/>
      <c r="AD135" s="88"/>
      <c r="AE135" s="66"/>
      <c r="AF135" s="88"/>
      <c r="AG135" s="66"/>
      <c r="AH135" s="88"/>
      <c r="AI135" s="66"/>
      <c r="AJ135" s="87"/>
      <c r="AK135" s="68"/>
      <c r="AL135" s="71"/>
      <c r="AM135" s="68"/>
      <c r="AN135" s="65"/>
      <c r="AO135" s="68"/>
      <c r="AP135" s="65"/>
      <c r="AQ135" s="68"/>
      <c r="AR135" s="65"/>
      <c r="AS135" s="68"/>
      <c r="AT135" s="67"/>
      <c r="AU135" s="66"/>
      <c r="AV135" s="67"/>
      <c r="AW135" s="68"/>
      <c r="AX135" s="73">
        <f t="shared" si="1"/>
        <v>0</v>
      </c>
      <c r="AY135" s="63">
        <f t="shared" si="2"/>
        <v>0</v>
      </c>
      <c r="AZ135" s="63">
        <f t="shared" si="3"/>
        <v>0</v>
      </c>
      <c r="BA135" s="63">
        <f t="shared" si="4"/>
        <v>0</v>
      </c>
      <c r="BB135" s="74" t="str">
        <f t="shared" si="5"/>
        <v/>
      </c>
    </row>
    <row r="136" ht="15.75" customHeight="1">
      <c r="A136" s="36" t="s">
        <v>46</v>
      </c>
      <c r="B136" s="75">
        <f t="shared" si="6"/>
        <v>45789</v>
      </c>
      <c r="C136" s="38">
        <v>5.0</v>
      </c>
      <c r="D136" s="38" t="s">
        <v>72</v>
      </c>
      <c r="E136" s="40"/>
      <c r="F136" s="85"/>
      <c r="H136" s="86"/>
      <c r="J136" s="86"/>
      <c r="L136" s="86"/>
      <c r="N136" s="86"/>
      <c r="P136" s="86"/>
      <c r="Q136" s="43"/>
      <c r="R136" s="85">
        <v>79.0</v>
      </c>
      <c r="T136" s="86">
        <v>92.0</v>
      </c>
      <c r="V136" s="86"/>
      <c r="X136" s="86"/>
      <c r="Z136" s="86"/>
      <c r="AB136" s="86"/>
      <c r="AC136" s="43"/>
      <c r="AD136" s="86"/>
      <c r="AF136" s="86"/>
      <c r="AH136" s="86"/>
      <c r="AJ136" s="85"/>
      <c r="AK136" s="43"/>
      <c r="AL136" s="46"/>
      <c r="AM136" s="43"/>
      <c r="AN136" s="41"/>
      <c r="AO136" s="43"/>
      <c r="AP136" s="41"/>
      <c r="AQ136" s="43"/>
      <c r="AR136" s="41"/>
      <c r="AS136" s="43"/>
      <c r="AT136" s="42"/>
      <c r="AV136" s="42"/>
      <c r="AW136" s="43"/>
      <c r="AX136" s="47">
        <f t="shared" si="1"/>
        <v>1901.52</v>
      </c>
      <c r="AY136" s="38">
        <f t="shared" si="2"/>
        <v>171</v>
      </c>
      <c r="AZ136" s="38">
        <f t="shared" si="3"/>
        <v>0</v>
      </c>
      <c r="BA136" s="38">
        <f t="shared" si="4"/>
        <v>171</v>
      </c>
      <c r="BB136" s="76">
        <f t="shared" si="5"/>
        <v>11.12</v>
      </c>
    </row>
    <row r="137" ht="15.75" customHeight="1">
      <c r="A137" s="50" t="s">
        <v>48</v>
      </c>
      <c r="B137" s="51">
        <f t="shared" si="6"/>
        <v>45790</v>
      </c>
      <c r="C137" s="52">
        <v>5.0</v>
      </c>
      <c r="D137" s="52" t="s">
        <v>72</v>
      </c>
      <c r="E137" s="53"/>
      <c r="F137" s="85"/>
      <c r="H137" s="86"/>
      <c r="J137" s="86"/>
      <c r="L137" s="86"/>
      <c r="N137" s="86"/>
      <c r="P137" s="86"/>
      <c r="Q137" s="43"/>
      <c r="R137" s="85">
        <v>71.0</v>
      </c>
      <c r="T137" s="86">
        <v>94.0</v>
      </c>
      <c r="V137" s="86"/>
      <c r="X137" s="86"/>
      <c r="Z137" s="86"/>
      <c r="AB137" s="86"/>
      <c r="AC137" s="43"/>
      <c r="AD137" s="86"/>
      <c r="AF137" s="86"/>
      <c r="AH137" s="86"/>
      <c r="AJ137" s="85"/>
      <c r="AK137" s="43"/>
      <c r="AL137" s="46"/>
      <c r="AM137" s="43"/>
      <c r="AN137" s="41"/>
      <c r="AO137" s="43"/>
      <c r="AP137" s="41"/>
      <c r="AQ137" s="43"/>
      <c r="AR137" s="41"/>
      <c r="AS137" s="43"/>
      <c r="AT137" s="42"/>
      <c r="AV137" s="42"/>
      <c r="AW137" s="43"/>
      <c r="AX137" s="54">
        <f t="shared" si="1"/>
        <v>1834.8</v>
      </c>
      <c r="AY137" s="52">
        <f t="shared" si="2"/>
        <v>165</v>
      </c>
      <c r="AZ137" s="52">
        <f t="shared" si="3"/>
        <v>0</v>
      </c>
      <c r="BA137" s="52">
        <f t="shared" si="4"/>
        <v>165</v>
      </c>
      <c r="BB137" s="49">
        <f t="shared" si="5"/>
        <v>11.12</v>
      </c>
    </row>
    <row r="138" ht="15.75" customHeight="1">
      <c r="A138" s="50" t="s">
        <v>49</v>
      </c>
      <c r="B138" s="51">
        <f t="shared" si="6"/>
        <v>45791</v>
      </c>
      <c r="C138" s="52">
        <v>5.0</v>
      </c>
      <c r="D138" s="52" t="s">
        <v>72</v>
      </c>
      <c r="E138" s="53"/>
      <c r="F138" s="85"/>
      <c r="H138" s="86"/>
      <c r="J138" s="86"/>
      <c r="L138" s="86"/>
      <c r="N138" s="86"/>
      <c r="P138" s="86"/>
      <c r="Q138" s="43"/>
      <c r="R138" s="85">
        <v>88.0</v>
      </c>
      <c r="T138" s="86">
        <v>120.0</v>
      </c>
      <c r="V138" s="86"/>
      <c r="X138" s="86"/>
      <c r="Z138" s="86"/>
      <c r="AB138" s="86"/>
      <c r="AC138" s="43"/>
      <c r="AD138" s="86"/>
      <c r="AF138" s="86"/>
      <c r="AH138" s="86"/>
      <c r="AJ138" s="85"/>
      <c r="AK138" s="43"/>
      <c r="AL138" s="46"/>
      <c r="AM138" s="43"/>
      <c r="AN138" s="41"/>
      <c r="AO138" s="43"/>
      <c r="AP138" s="41"/>
      <c r="AQ138" s="43"/>
      <c r="AR138" s="41"/>
      <c r="AS138" s="43"/>
      <c r="AT138" s="42"/>
      <c r="AV138" s="42"/>
      <c r="AW138" s="43"/>
      <c r="AX138" s="54">
        <f t="shared" si="1"/>
        <v>2312.96</v>
      </c>
      <c r="AY138" s="52">
        <f t="shared" si="2"/>
        <v>208</v>
      </c>
      <c r="AZ138" s="52">
        <f t="shared" si="3"/>
        <v>0</v>
      </c>
      <c r="BA138" s="52">
        <f t="shared" si="4"/>
        <v>208</v>
      </c>
      <c r="BB138" s="49">
        <f t="shared" si="5"/>
        <v>11.12</v>
      </c>
    </row>
    <row r="139" ht="15.75" customHeight="1">
      <c r="A139" s="50" t="s">
        <v>50</v>
      </c>
      <c r="B139" s="51">
        <f t="shared" si="6"/>
        <v>45792</v>
      </c>
      <c r="C139" s="52">
        <v>5.0</v>
      </c>
      <c r="D139" s="52" t="s">
        <v>72</v>
      </c>
      <c r="E139" s="53"/>
      <c r="F139" s="85"/>
      <c r="H139" s="86"/>
      <c r="J139" s="86"/>
      <c r="L139" s="86"/>
      <c r="N139" s="86"/>
      <c r="P139" s="86"/>
      <c r="Q139" s="43"/>
      <c r="R139" s="85">
        <v>89.0</v>
      </c>
      <c r="T139" s="86">
        <v>80.0</v>
      </c>
      <c r="V139" s="86"/>
      <c r="X139" s="86"/>
      <c r="Z139" s="86"/>
      <c r="AB139" s="86"/>
      <c r="AC139" s="43"/>
      <c r="AD139" s="86"/>
      <c r="AF139" s="86"/>
      <c r="AH139" s="86"/>
      <c r="AJ139" s="85"/>
      <c r="AK139" s="43"/>
      <c r="AL139" s="46"/>
      <c r="AM139" s="43"/>
      <c r="AN139" s="41"/>
      <c r="AO139" s="43"/>
      <c r="AP139" s="41"/>
      <c r="AQ139" s="43"/>
      <c r="AR139" s="41"/>
      <c r="AS139" s="43"/>
      <c r="AT139" s="42"/>
      <c r="AV139" s="42"/>
      <c r="AW139" s="43"/>
      <c r="AX139" s="54">
        <f t="shared" si="1"/>
        <v>1879.28</v>
      </c>
      <c r="AY139" s="52">
        <f t="shared" si="2"/>
        <v>169</v>
      </c>
      <c r="AZ139" s="52">
        <f t="shared" si="3"/>
        <v>0</v>
      </c>
      <c r="BA139" s="52">
        <f t="shared" si="4"/>
        <v>169</v>
      </c>
      <c r="BB139" s="49">
        <f t="shared" si="5"/>
        <v>11.12</v>
      </c>
    </row>
    <row r="140" ht="15.75" customHeight="1">
      <c r="A140" s="50" t="s">
        <v>53</v>
      </c>
      <c r="B140" s="51">
        <f t="shared" si="6"/>
        <v>45793</v>
      </c>
      <c r="C140" s="52">
        <v>5.0</v>
      </c>
      <c r="D140" s="52" t="s">
        <v>72</v>
      </c>
      <c r="E140" s="53"/>
      <c r="F140" s="85"/>
      <c r="H140" s="86"/>
      <c r="J140" s="86"/>
      <c r="L140" s="86"/>
      <c r="N140" s="86"/>
      <c r="P140" s="86"/>
      <c r="Q140" s="43"/>
      <c r="R140" s="85">
        <v>97.0</v>
      </c>
      <c r="T140" s="86">
        <v>100.0</v>
      </c>
      <c r="V140" s="86"/>
      <c r="X140" s="86"/>
      <c r="Z140" s="86"/>
      <c r="AB140" s="86"/>
      <c r="AC140" s="43"/>
      <c r="AD140" s="86"/>
      <c r="AF140" s="86"/>
      <c r="AH140" s="86"/>
      <c r="AJ140" s="85"/>
      <c r="AK140" s="43"/>
      <c r="AL140" s="46"/>
      <c r="AM140" s="43"/>
      <c r="AN140" s="41"/>
      <c r="AO140" s="43"/>
      <c r="AP140" s="41"/>
      <c r="AQ140" s="43"/>
      <c r="AR140" s="41"/>
      <c r="AS140" s="43"/>
      <c r="AT140" s="42"/>
      <c r="AV140" s="42"/>
      <c r="AW140" s="43"/>
      <c r="AX140" s="54">
        <f t="shared" si="1"/>
        <v>2190.64</v>
      </c>
      <c r="AY140" s="52">
        <f t="shared" si="2"/>
        <v>197</v>
      </c>
      <c r="AZ140" s="52">
        <f t="shared" si="3"/>
        <v>0</v>
      </c>
      <c r="BA140" s="52">
        <f t="shared" si="4"/>
        <v>197</v>
      </c>
      <c r="BB140" s="49">
        <f t="shared" si="5"/>
        <v>11.12</v>
      </c>
    </row>
    <row r="141" ht="15.75" customHeight="1">
      <c r="A141" s="50" t="s">
        <v>54</v>
      </c>
      <c r="B141" s="51">
        <f t="shared" si="6"/>
        <v>45794</v>
      </c>
      <c r="C141" s="52">
        <v>5.0</v>
      </c>
      <c r="D141" s="52" t="s">
        <v>72</v>
      </c>
      <c r="E141" s="53"/>
      <c r="F141" s="85"/>
      <c r="H141" s="86"/>
      <c r="J141" s="86"/>
      <c r="L141" s="86"/>
      <c r="N141" s="86"/>
      <c r="P141" s="86"/>
      <c r="Q141" s="43"/>
      <c r="R141" s="85">
        <v>74.0</v>
      </c>
      <c r="T141" s="86">
        <v>86.0</v>
      </c>
      <c r="V141" s="86"/>
      <c r="X141" s="86"/>
      <c r="Z141" s="86"/>
      <c r="AB141" s="86"/>
      <c r="AC141" s="43"/>
      <c r="AD141" s="86"/>
      <c r="AF141" s="86"/>
      <c r="AH141" s="86"/>
      <c r="AJ141" s="85"/>
      <c r="AK141" s="43"/>
      <c r="AL141" s="46"/>
      <c r="AM141" s="43"/>
      <c r="AN141" s="41"/>
      <c r="AO141" s="43"/>
      <c r="AP141" s="41"/>
      <c r="AQ141" s="43"/>
      <c r="AR141" s="41"/>
      <c r="AS141" s="43"/>
      <c r="AT141" s="42"/>
      <c r="AV141" s="42"/>
      <c r="AW141" s="43"/>
      <c r="AX141" s="54">
        <f t="shared" si="1"/>
        <v>1779.2</v>
      </c>
      <c r="AY141" s="52">
        <f t="shared" si="2"/>
        <v>160</v>
      </c>
      <c r="AZ141" s="52">
        <f t="shared" si="3"/>
        <v>0</v>
      </c>
      <c r="BA141" s="52">
        <f t="shared" si="4"/>
        <v>160</v>
      </c>
      <c r="BB141" s="49">
        <f t="shared" si="5"/>
        <v>11.12</v>
      </c>
    </row>
    <row r="142" ht="15.75" customHeight="1">
      <c r="A142" s="59" t="s">
        <v>61</v>
      </c>
      <c r="B142" s="61">
        <f t="shared" si="6"/>
        <v>45795</v>
      </c>
      <c r="C142" s="63">
        <v>5.0</v>
      </c>
      <c r="D142" s="63" t="s">
        <v>72</v>
      </c>
      <c r="E142" s="64"/>
      <c r="F142" s="87"/>
      <c r="G142" s="66"/>
      <c r="H142" s="88"/>
      <c r="I142" s="66"/>
      <c r="J142" s="88"/>
      <c r="K142" s="66"/>
      <c r="L142" s="88"/>
      <c r="M142" s="66"/>
      <c r="N142" s="88"/>
      <c r="O142" s="66"/>
      <c r="P142" s="88"/>
      <c r="Q142" s="68"/>
      <c r="R142" s="87">
        <v>0.0</v>
      </c>
      <c r="S142" s="66"/>
      <c r="T142" s="88">
        <v>0.0</v>
      </c>
      <c r="U142" s="66"/>
      <c r="V142" s="88"/>
      <c r="W142" s="66"/>
      <c r="X142" s="88"/>
      <c r="Y142" s="66"/>
      <c r="Z142" s="88"/>
      <c r="AA142" s="66"/>
      <c r="AB142" s="88"/>
      <c r="AC142" s="68"/>
      <c r="AD142" s="88"/>
      <c r="AE142" s="66"/>
      <c r="AF142" s="88"/>
      <c r="AG142" s="66"/>
      <c r="AH142" s="88"/>
      <c r="AI142" s="66"/>
      <c r="AJ142" s="87"/>
      <c r="AK142" s="68"/>
      <c r="AL142" s="71"/>
      <c r="AM142" s="68"/>
      <c r="AN142" s="65"/>
      <c r="AO142" s="68"/>
      <c r="AP142" s="65"/>
      <c r="AQ142" s="68"/>
      <c r="AR142" s="65"/>
      <c r="AS142" s="68"/>
      <c r="AT142" s="67"/>
      <c r="AU142" s="66"/>
      <c r="AV142" s="67"/>
      <c r="AW142" s="68"/>
      <c r="AX142" s="73">
        <f t="shared" si="1"/>
        <v>0</v>
      </c>
      <c r="AY142" s="63">
        <f t="shared" si="2"/>
        <v>0</v>
      </c>
      <c r="AZ142" s="63">
        <f t="shared" si="3"/>
        <v>0</v>
      </c>
      <c r="BA142" s="63">
        <f t="shared" si="4"/>
        <v>0</v>
      </c>
      <c r="BB142" s="74" t="str">
        <f t="shared" si="5"/>
        <v/>
      </c>
    </row>
    <row r="143" ht="15.75" customHeight="1">
      <c r="A143" s="36" t="s">
        <v>46</v>
      </c>
      <c r="B143" s="75">
        <f t="shared" si="6"/>
        <v>45796</v>
      </c>
      <c r="C143" s="38">
        <v>6.0</v>
      </c>
      <c r="D143" s="38" t="s">
        <v>47</v>
      </c>
      <c r="E143" s="40"/>
      <c r="F143" s="85"/>
      <c r="H143" s="86"/>
      <c r="J143" s="86"/>
      <c r="L143" s="86"/>
      <c r="N143" s="86"/>
      <c r="P143" s="86"/>
      <c r="Q143" s="43"/>
      <c r="R143" s="85">
        <v>80.0</v>
      </c>
      <c r="T143" s="86">
        <v>86.0</v>
      </c>
      <c r="V143" s="86"/>
      <c r="X143" s="86"/>
      <c r="Z143" s="86"/>
      <c r="AB143" s="86"/>
      <c r="AC143" s="43"/>
      <c r="AD143" s="86"/>
      <c r="AF143" s="86"/>
      <c r="AH143" s="86"/>
      <c r="AJ143" s="85"/>
      <c r="AK143" s="43"/>
      <c r="AL143" s="46"/>
      <c r="AM143" s="43"/>
      <c r="AN143" s="41"/>
      <c r="AO143" s="43"/>
      <c r="AP143" s="41"/>
      <c r="AQ143" s="43"/>
      <c r="AR143" s="41"/>
      <c r="AS143" s="43"/>
      <c r="AT143" s="42"/>
      <c r="AV143" s="42"/>
      <c r="AW143" s="43"/>
      <c r="AX143" s="47">
        <f t="shared" si="1"/>
        <v>1845.92</v>
      </c>
      <c r="AY143" s="38">
        <f t="shared" si="2"/>
        <v>166</v>
      </c>
      <c r="AZ143" s="38">
        <f t="shared" si="3"/>
        <v>0</v>
      </c>
      <c r="BA143" s="38">
        <f t="shared" si="4"/>
        <v>166</v>
      </c>
      <c r="BB143" s="76">
        <f t="shared" si="5"/>
        <v>11.12</v>
      </c>
    </row>
    <row r="144" ht="15.75" customHeight="1">
      <c r="A144" s="50" t="s">
        <v>48</v>
      </c>
      <c r="B144" s="51">
        <f t="shared" si="6"/>
        <v>45797</v>
      </c>
      <c r="C144" s="52">
        <v>6.0</v>
      </c>
      <c r="D144" s="52" t="s">
        <v>47</v>
      </c>
      <c r="E144" s="53"/>
      <c r="F144" s="85"/>
      <c r="H144" s="86"/>
      <c r="J144" s="86"/>
      <c r="L144" s="86"/>
      <c r="N144" s="86"/>
      <c r="P144" s="86"/>
      <c r="Q144" s="43"/>
      <c r="R144" s="85">
        <v>94.0</v>
      </c>
      <c r="T144" s="86">
        <v>99.0</v>
      </c>
      <c r="V144" s="86"/>
      <c r="X144" s="86"/>
      <c r="Z144" s="86"/>
      <c r="AB144" s="86"/>
      <c r="AC144" s="43"/>
      <c r="AD144" s="86"/>
      <c r="AF144" s="86"/>
      <c r="AH144" s="86"/>
      <c r="AJ144" s="85"/>
      <c r="AK144" s="43"/>
      <c r="AL144" s="46"/>
      <c r="AM144" s="43"/>
      <c r="AN144" s="41"/>
      <c r="AO144" s="43"/>
      <c r="AP144" s="41"/>
      <c r="AQ144" s="43"/>
      <c r="AR144" s="41"/>
      <c r="AS144" s="43"/>
      <c r="AT144" s="42"/>
      <c r="AV144" s="42"/>
      <c r="AW144" s="43"/>
      <c r="AX144" s="54">
        <f t="shared" si="1"/>
        <v>2146.16</v>
      </c>
      <c r="AY144" s="52">
        <f t="shared" si="2"/>
        <v>193</v>
      </c>
      <c r="AZ144" s="52">
        <f t="shared" si="3"/>
        <v>0</v>
      </c>
      <c r="BA144" s="52">
        <f t="shared" si="4"/>
        <v>193</v>
      </c>
      <c r="BB144" s="49">
        <f t="shared" si="5"/>
        <v>11.12</v>
      </c>
    </row>
    <row r="145" ht="15.75" customHeight="1">
      <c r="A145" s="50" t="s">
        <v>49</v>
      </c>
      <c r="B145" s="51">
        <f t="shared" si="6"/>
        <v>45798</v>
      </c>
      <c r="C145" s="52">
        <v>6.0</v>
      </c>
      <c r="D145" s="52" t="s">
        <v>47</v>
      </c>
      <c r="E145" s="53"/>
      <c r="F145" s="85"/>
      <c r="H145" s="86"/>
      <c r="J145" s="86"/>
      <c r="L145" s="86"/>
      <c r="N145" s="86"/>
      <c r="P145" s="86"/>
      <c r="Q145" s="43"/>
      <c r="R145" s="85">
        <v>94.0</v>
      </c>
      <c r="T145" s="86">
        <v>160.0</v>
      </c>
      <c r="V145" s="86"/>
      <c r="X145" s="86"/>
      <c r="Z145" s="86"/>
      <c r="AB145" s="86"/>
      <c r="AC145" s="43"/>
      <c r="AD145" s="86"/>
      <c r="AF145" s="86"/>
      <c r="AH145" s="86"/>
      <c r="AJ145" s="85"/>
      <c r="AK145" s="43"/>
      <c r="AL145" s="46"/>
      <c r="AM145" s="43"/>
      <c r="AN145" s="41"/>
      <c r="AO145" s="43"/>
      <c r="AP145" s="41"/>
      <c r="AQ145" s="43"/>
      <c r="AR145" s="41"/>
      <c r="AS145" s="43"/>
      <c r="AT145" s="42"/>
      <c r="AV145" s="42"/>
      <c r="AW145" s="43"/>
      <c r="AX145" s="54">
        <f t="shared" si="1"/>
        <v>2824.48</v>
      </c>
      <c r="AY145" s="52">
        <f t="shared" si="2"/>
        <v>254</v>
      </c>
      <c r="AZ145" s="52">
        <f t="shared" si="3"/>
        <v>0</v>
      </c>
      <c r="BA145" s="52">
        <f t="shared" si="4"/>
        <v>254</v>
      </c>
      <c r="BB145" s="49">
        <f t="shared" si="5"/>
        <v>11.12</v>
      </c>
    </row>
    <row r="146" ht="15.75" customHeight="1">
      <c r="A146" s="50" t="s">
        <v>50</v>
      </c>
      <c r="B146" s="51">
        <f t="shared" si="6"/>
        <v>45799</v>
      </c>
      <c r="C146" s="52">
        <v>6.0</v>
      </c>
      <c r="D146" s="52" t="s">
        <v>47</v>
      </c>
      <c r="E146" s="53"/>
      <c r="F146" s="85"/>
      <c r="H146" s="86"/>
      <c r="J146" s="86"/>
      <c r="L146" s="86"/>
      <c r="N146" s="86"/>
      <c r="P146" s="86"/>
      <c r="Q146" s="43"/>
      <c r="R146" s="85">
        <v>92.0</v>
      </c>
      <c r="T146" s="86">
        <v>110.0</v>
      </c>
      <c r="V146" s="86"/>
      <c r="X146" s="86"/>
      <c r="Z146" s="86"/>
      <c r="AB146" s="86"/>
      <c r="AC146" s="43"/>
      <c r="AD146" s="86"/>
      <c r="AF146" s="86"/>
      <c r="AH146" s="86"/>
      <c r="AJ146" s="85"/>
      <c r="AK146" s="43"/>
      <c r="AL146" s="46"/>
      <c r="AM146" s="43"/>
      <c r="AN146" s="41"/>
      <c r="AO146" s="43"/>
      <c r="AP146" s="41"/>
      <c r="AQ146" s="43"/>
      <c r="AR146" s="41"/>
      <c r="AS146" s="43"/>
      <c r="AT146" s="42"/>
      <c r="AV146" s="42"/>
      <c r="AW146" s="43"/>
      <c r="AX146" s="54">
        <f t="shared" si="1"/>
        <v>2246.24</v>
      </c>
      <c r="AY146" s="52">
        <f t="shared" si="2"/>
        <v>202</v>
      </c>
      <c r="AZ146" s="52">
        <f t="shared" si="3"/>
        <v>0</v>
      </c>
      <c r="BA146" s="52">
        <f t="shared" si="4"/>
        <v>202</v>
      </c>
      <c r="BB146" s="49">
        <f t="shared" si="5"/>
        <v>11.12</v>
      </c>
    </row>
    <row r="147" ht="15.75" customHeight="1">
      <c r="A147" s="50" t="s">
        <v>53</v>
      </c>
      <c r="B147" s="51">
        <f t="shared" si="6"/>
        <v>45800</v>
      </c>
      <c r="C147" s="52">
        <v>6.0</v>
      </c>
      <c r="D147" s="52" t="s">
        <v>47</v>
      </c>
      <c r="E147" s="53"/>
      <c r="F147" s="85"/>
      <c r="H147" s="86"/>
      <c r="J147" s="86"/>
      <c r="L147" s="86"/>
      <c r="N147" s="86"/>
      <c r="P147" s="86"/>
      <c r="Q147" s="43"/>
      <c r="R147" s="85">
        <v>96.0</v>
      </c>
      <c r="T147" s="86">
        <v>100.0</v>
      </c>
      <c r="V147" s="86"/>
      <c r="X147" s="86"/>
      <c r="Z147" s="86"/>
      <c r="AB147" s="86"/>
      <c r="AC147" s="43"/>
      <c r="AD147" s="86"/>
      <c r="AF147" s="86"/>
      <c r="AH147" s="86"/>
      <c r="AJ147" s="85"/>
      <c r="AK147" s="43"/>
      <c r="AL147" s="46"/>
      <c r="AM147" s="43"/>
      <c r="AN147" s="41"/>
      <c r="AO147" s="43"/>
      <c r="AP147" s="41"/>
      <c r="AQ147" s="43"/>
      <c r="AR147" s="41"/>
      <c r="AS147" s="43"/>
      <c r="AT147" s="42"/>
      <c r="AV147" s="42"/>
      <c r="AW147" s="43"/>
      <c r="AX147" s="54">
        <f t="shared" si="1"/>
        <v>2179.52</v>
      </c>
      <c r="AY147" s="52">
        <f t="shared" si="2"/>
        <v>196</v>
      </c>
      <c r="AZ147" s="52">
        <f t="shared" si="3"/>
        <v>0</v>
      </c>
      <c r="BA147" s="52">
        <f t="shared" si="4"/>
        <v>196</v>
      </c>
      <c r="BB147" s="49">
        <f t="shared" si="5"/>
        <v>11.12</v>
      </c>
    </row>
    <row r="148" ht="15.75" customHeight="1">
      <c r="A148" s="50" t="s">
        <v>54</v>
      </c>
      <c r="B148" s="51">
        <f t="shared" si="6"/>
        <v>45801</v>
      </c>
      <c r="C148" s="52">
        <v>6.0</v>
      </c>
      <c r="D148" s="52" t="s">
        <v>47</v>
      </c>
      <c r="E148" s="53"/>
      <c r="F148" s="85"/>
      <c r="H148" s="86"/>
      <c r="J148" s="86"/>
      <c r="L148" s="86"/>
      <c r="N148" s="86"/>
      <c r="P148" s="86"/>
      <c r="Q148" s="43"/>
      <c r="R148" s="85">
        <v>74.0</v>
      </c>
      <c r="T148" s="86">
        <v>75.0</v>
      </c>
      <c r="V148" s="86"/>
      <c r="X148" s="86"/>
      <c r="Z148" s="86"/>
      <c r="AB148" s="86"/>
      <c r="AC148" s="43"/>
      <c r="AD148" s="86"/>
      <c r="AF148" s="86"/>
      <c r="AH148" s="86"/>
      <c r="AJ148" s="85"/>
      <c r="AK148" s="43"/>
      <c r="AL148" s="46"/>
      <c r="AM148" s="43"/>
      <c r="AN148" s="41"/>
      <c r="AO148" s="43"/>
      <c r="AP148" s="41"/>
      <c r="AQ148" s="43"/>
      <c r="AR148" s="41"/>
      <c r="AS148" s="43"/>
      <c r="AT148" s="42"/>
      <c r="AV148" s="42"/>
      <c r="AW148" s="43"/>
      <c r="AX148" s="54">
        <f t="shared" si="1"/>
        <v>1656.88</v>
      </c>
      <c r="AY148" s="52">
        <f t="shared" si="2"/>
        <v>149</v>
      </c>
      <c r="AZ148" s="52">
        <f t="shared" si="3"/>
        <v>0</v>
      </c>
      <c r="BA148" s="52">
        <f t="shared" si="4"/>
        <v>149</v>
      </c>
      <c r="BB148" s="49">
        <f t="shared" si="5"/>
        <v>11.12</v>
      </c>
    </row>
    <row r="149" ht="15.75" customHeight="1">
      <c r="A149" s="59" t="s">
        <v>61</v>
      </c>
      <c r="B149" s="61">
        <f t="shared" si="6"/>
        <v>45802</v>
      </c>
      <c r="C149" s="63">
        <v>6.0</v>
      </c>
      <c r="D149" s="63" t="s">
        <v>47</v>
      </c>
      <c r="E149" s="64"/>
      <c r="F149" s="87"/>
      <c r="G149" s="66"/>
      <c r="H149" s="88"/>
      <c r="I149" s="66"/>
      <c r="J149" s="88"/>
      <c r="K149" s="66"/>
      <c r="L149" s="88"/>
      <c r="M149" s="66"/>
      <c r="N149" s="88"/>
      <c r="O149" s="66"/>
      <c r="P149" s="88"/>
      <c r="Q149" s="68"/>
      <c r="R149" s="87">
        <v>0.0</v>
      </c>
      <c r="S149" s="66"/>
      <c r="T149" s="88">
        <v>0.0</v>
      </c>
      <c r="U149" s="66"/>
      <c r="V149" s="88"/>
      <c r="W149" s="66"/>
      <c r="X149" s="88"/>
      <c r="Y149" s="66"/>
      <c r="Z149" s="88"/>
      <c r="AA149" s="66"/>
      <c r="AB149" s="88"/>
      <c r="AC149" s="68"/>
      <c r="AD149" s="88"/>
      <c r="AE149" s="66"/>
      <c r="AF149" s="88"/>
      <c r="AG149" s="66"/>
      <c r="AH149" s="88"/>
      <c r="AI149" s="66"/>
      <c r="AJ149" s="87"/>
      <c r="AK149" s="68"/>
      <c r="AL149" s="71"/>
      <c r="AM149" s="68"/>
      <c r="AN149" s="65"/>
      <c r="AO149" s="68"/>
      <c r="AP149" s="65"/>
      <c r="AQ149" s="68"/>
      <c r="AR149" s="65"/>
      <c r="AS149" s="68"/>
      <c r="AT149" s="67"/>
      <c r="AU149" s="66"/>
      <c r="AV149" s="67"/>
      <c r="AW149" s="68"/>
      <c r="AX149" s="73">
        <f t="shared" si="1"/>
        <v>0</v>
      </c>
      <c r="AY149" s="63">
        <f t="shared" si="2"/>
        <v>0</v>
      </c>
      <c r="AZ149" s="63">
        <f t="shared" si="3"/>
        <v>0</v>
      </c>
      <c r="BA149" s="63">
        <f t="shared" si="4"/>
        <v>0</v>
      </c>
      <c r="BB149" s="74" t="str">
        <f t="shared" si="5"/>
        <v/>
      </c>
    </row>
    <row r="150" ht="15.75" customHeight="1">
      <c r="A150" s="36" t="s">
        <v>46</v>
      </c>
      <c r="B150" s="75">
        <f t="shared" si="6"/>
        <v>45803</v>
      </c>
      <c r="C150" s="38">
        <v>6.0</v>
      </c>
      <c r="D150" s="38" t="s">
        <v>65</v>
      </c>
      <c r="E150" s="40"/>
      <c r="F150" s="85"/>
      <c r="H150" s="86"/>
      <c r="J150" s="86"/>
      <c r="L150" s="86"/>
      <c r="N150" s="86"/>
      <c r="P150" s="86"/>
      <c r="Q150" s="43"/>
      <c r="R150" s="85">
        <v>81.0</v>
      </c>
      <c r="T150" s="86">
        <v>100.0</v>
      </c>
      <c r="V150" s="86"/>
      <c r="X150" s="86"/>
      <c r="Z150" s="86"/>
      <c r="AB150" s="86"/>
      <c r="AC150" s="43"/>
      <c r="AD150" s="86"/>
      <c r="AF150" s="86"/>
      <c r="AH150" s="86"/>
      <c r="AJ150" s="85"/>
      <c r="AK150" s="43"/>
      <c r="AL150" s="46"/>
      <c r="AM150" s="43"/>
      <c r="AN150" s="41"/>
      <c r="AO150" s="43"/>
      <c r="AP150" s="41"/>
      <c r="AQ150" s="43"/>
      <c r="AR150" s="41"/>
      <c r="AS150" s="43"/>
      <c r="AT150" s="42"/>
      <c r="AV150" s="42"/>
      <c r="AW150" s="43"/>
      <c r="AX150" s="47">
        <f t="shared" si="1"/>
        <v>2012.72</v>
      </c>
      <c r="AY150" s="38">
        <f t="shared" si="2"/>
        <v>181</v>
      </c>
      <c r="AZ150" s="38">
        <f t="shared" si="3"/>
        <v>0</v>
      </c>
      <c r="BA150" s="38">
        <f t="shared" si="4"/>
        <v>181</v>
      </c>
      <c r="BB150" s="76">
        <f t="shared" si="5"/>
        <v>11.12</v>
      </c>
    </row>
    <row r="151" ht="15.75" customHeight="1">
      <c r="A151" s="50" t="s">
        <v>48</v>
      </c>
      <c r="B151" s="51">
        <f t="shared" si="6"/>
        <v>45804</v>
      </c>
      <c r="C151" s="52">
        <v>6.0</v>
      </c>
      <c r="D151" s="52" t="s">
        <v>65</v>
      </c>
      <c r="E151" s="53"/>
      <c r="F151" s="85"/>
      <c r="H151" s="86"/>
      <c r="J151" s="86"/>
      <c r="L151" s="86"/>
      <c r="N151" s="86"/>
      <c r="P151" s="86"/>
      <c r="Q151" s="43"/>
      <c r="R151" s="85">
        <v>73.0</v>
      </c>
      <c r="T151" s="86">
        <v>101.0</v>
      </c>
      <c r="V151" s="86"/>
      <c r="X151" s="86"/>
      <c r="Z151" s="86"/>
      <c r="AB151" s="86"/>
      <c r="AC151" s="43"/>
      <c r="AD151" s="86"/>
      <c r="AF151" s="86"/>
      <c r="AH151" s="86"/>
      <c r="AJ151" s="85"/>
      <c r="AK151" s="43"/>
      <c r="AL151" s="46"/>
      <c r="AM151" s="43"/>
      <c r="AN151" s="41"/>
      <c r="AO151" s="43"/>
      <c r="AP151" s="41"/>
      <c r="AQ151" s="43"/>
      <c r="AR151" s="41"/>
      <c r="AS151" s="43"/>
      <c r="AT151" s="42"/>
      <c r="AV151" s="42"/>
      <c r="AW151" s="43"/>
      <c r="AX151" s="54">
        <f t="shared" si="1"/>
        <v>1934.88</v>
      </c>
      <c r="AY151" s="52">
        <f t="shared" si="2"/>
        <v>174</v>
      </c>
      <c r="AZ151" s="52">
        <f t="shared" si="3"/>
        <v>0</v>
      </c>
      <c r="BA151" s="52">
        <f t="shared" si="4"/>
        <v>174</v>
      </c>
      <c r="BB151" s="49">
        <f t="shared" si="5"/>
        <v>11.12</v>
      </c>
    </row>
    <row r="152" ht="15.75" customHeight="1">
      <c r="A152" s="50" t="s">
        <v>49</v>
      </c>
      <c r="B152" s="51">
        <f t="shared" si="6"/>
        <v>45805</v>
      </c>
      <c r="C152" s="52">
        <v>6.0</v>
      </c>
      <c r="D152" s="52" t="s">
        <v>65</v>
      </c>
      <c r="E152" s="53"/>
      <c r="F152" s="85"/>
      <c r="H152" s="86"/>
      <c r="J152" s="86"/>
      <c r="L152" s="86"/>
      <c r="N152" s="86"/>
      <c r="P152" s="86"/>
      <c r="Q152" s="43"/>
      <c r="R152" s="85">
        <v>85.0</v>
      </c>
      <c r="T152" s="86">
        <v>95.0</v>
      </c>
      <c r="V152" s="86"/>
      <c r="X152" s="86"/>
      <c r="Z152" s="86"/>
      <c r="AB152" s="86"/>
      <c r="AC152" s="43"/>
      <c r="AD152" s="86"/>
      <c r="AF152" s="86"/>
      <c r="AH152" s="86"/>
      <c r="AJ152" s="85"/>
      <c r="AK152" s="43"/>
      <c r="AL152" s="46"/>
      <c r="AM152" s="43"/>
      <c r="AN152" s="41"/>
      <c r="AO152" s="43"/>
      <c r="AP152" s="41"/>
      <c r="AQ152" s="43"/>
      <c r="AR152" s="41"/>
      <c r="AS152" s="43"/>
      <c r="AT152" s="42"/>
      <c r="AV152" s="42"/>
      <c r="AW152" s="43"/>
      <c r="AX152" s="54">
        <f t="shared" si="1"/>
        <v>2001.6</v>
      </c>
      <c r="AY152" s="52">
        <f t="shared" si="2"/>
        <v>180</v>
      </c>
      <c r="AZ152" s="52">
        <f t="shared" si="3"/>
        <v>0</v>
      </c>
      <c r="BA152" s="52">
        <f t="shared" si="4"/>
        <v>180</v>
      </c>
      <c r="BB152" s="49">
        <f t="shared" si="5"/>
        <v>11.12</v>
      </c>
    </row>
    <row r="153" ht="15.75" customHeight="1">
      <c r="A153" s="50" t="s">
        <v>50</v>
      </c>
      <c r="B153" s="51">
        <f t="shared" si="6"/>
        <v>45806</v>
      </c>
      <c r="C153" s="52">
        <v>6.0</v>
      </c>
      <c r="D153" s="52" t="s">
        <v>65</v>
      </c>
      <c r="E153" s="53"/>
      <c r="F153" s="85"/>
      <c r="H153" s="86"/>
      <c r="J153" s="86"/>
      <c r="L153" s="86"/>
      <c r="N153" s="86"/>
      <c r="P153" s="86"/>
      <c r="Q153" s="43"/>
      <c r="R153" s="85">
        <v>90.0</v>
      </c>
      <c r="T153" s="86">
        <v>115.0</v>
      </c>
      <c r="V153" s="86"/>
      <c r="X153" s="86"/>
      <c r="Z153" s="86"/>
      <c r="AB153" s="86"/>
      <c r="AC153" s="43"/>
      <c r="AD153" s="86"/>
      <c r="AF153" s="86"/>
      <c r="AH153" s="86"/>
      <c r="AJ153" s="85"/>
      <c r="AK153" s="43"/>
      <c r="AL153" s="46"/>
      <c r="AM153" s="43"/>
      <c r="AN153" s="41"/>
      <c r="AO153" s="43"/>
      <c r="AP153" s="41"/>
      <c r="AQ153" s="43"/>
      <c r="AR153" s="41"/>
      <c r="AS153" s="43"/>
      <c r="AT153" s="42"/>
      <c r="AV153" s="42"/>
      <c r="AW153" s="43"/>
      <c r="AX153" s="54">
        <f t="shared" si="1"/>
        <v>2279.6</v>
      </c>
      <c r="AY153" s="52">
        <f t="shared" si="2"/>
        <v>205</v>
      </c>
      <c r="AZ153" s="52">
        <f t="shared" si="3"/>
        <v>0</v>
      </c>
      <c r="BA153" s="52">
        <f t="shared" si="4"/>
        <v>205</v>
      </c>
      <c r="BB153" s="49">
        <f t="shared" si="5"/>
        <v>11.12</v>
      </c>
    </row>
    <row r="154" ht="15.75" customHeight="1">
      <c r="A154" s="50" t="s">
        <v>53</v>
      </c>
      <c r="B154" s="51">
        <f t="shared" si="6"/>
        <v>45807</v>
      </c>
      <c r="C154" s="52">
        <v>6.0</v>
      </c>
      <c r="D154" s="52" t="s">
        <v>65</v>
      </c>
      <c r="E154" s="53"/>
      <c r="F154" s="85"/>
      <c r="H154" s="86"/>
      <c r="J154" s="86"/>
      <c r="L154" s="86"/>
      <c r="N154" s="86"/>
      <c r="P154" s="86"/>
      <c r="Q154" s="43"/>
      <c r="R154" s="85">
        <v>83.0</v>
      </c>
      <c r="T154" s="86">
        <v>100.0</v>
      </c>
      <c r="V154" s="86"/>
      <c r="X154" s="86"/>
      <c r="Z154" s="86"/>
      <c r="AB154" s="86"/>
      <c r="AC154" s="43"/>
      <c r="AD154" s="86"/>
      <c r="AF154" s="86"/>
      <c r="AH154" s="86"/>
      <c r="AJ154" s="85"/>
      <c r="AK154" s="43"/>
      <c r="AL154" s="46"/>
      <c r="AM154" s="43"/>
      <c r="AN154" s="41"/>
      <c r="AO154" s="43"/>
      <c r="AP154" s="102"/>
      <c r="AQ154" s="43"/>
      <c r="AR154" s="41"/>
      <c r="AS154" s="43"/>
      <c r="AT154" s="42"/>
      <c r="AV154" s="42"/>
      <c r="AW154" s="43"/>
      <c r="AX154" s="54">
        <f t="shared" si="1"/>
        <v>2034.96</v>
      </c>
      <c r="AY154" s="52">
        <f t="shared" si="2"/>
        <v>183</v>
      </c>
      <c r="AZ154" s="52">
        <f t="shared" si="3"/>
        <v>0</v>
      </c>
      <c r="BA154" s="52">
        <f t="shared" si="4"/>
        <v>183</v>
      </c>
      <c r="BB154" s="49">
        <f t="shared" si="5"/>
        <v>11.12</v>
      </c>
    </row>
    <row r="155" ht="15.75" customHeight="1">
      <c r="A155" s="50" t="s">
        <v>54</v>
      </c>
      <c r="B155" s="51">
        <f t="shared" si="6"/>
        <v>45808</v>
      </c>
      <c r="C155" s="52">
        <v>6.0</v>
      </c>
      <c r="D155" s="52" t="s">
        <v>65</v>
      </c>
      <c r="E155" s="53"/>
      <c r="F155" s="85"/>
      <c r="H155" s="86"/>
      <c r="J155" s="86"/>
      <c r="L155" s="86"/>
      <c r="N155" s="86"/>
      <c r="P155" s="86"/>
      <c r="Q155" s="43"/>
      <c r="R155" s="85">
        <v>69.0</v>
      </c>
      <c r="T155" s="86">
        <v>80.0</v>
      </c>
      <c r="V155" s="86"/>
      <c r="X155" s="86"/>
      <c r="Z155" s="86"/>
      <c r="AB155" s="86"/>
      <c r="AC155" s="43"/>
      <c r="AD155" s="86"/>
      <c r="AF155" s="86"/>
      <c r="AH155" s="86"/>
      <c r="AJ155" s="85"/>
      <c r="AK155" s="43"/>
      <c r="AL155" s="46"/>
      <c r="AM155" s="43"/>
      <c r="AN155" s="41"/>
      <c r="AO155" s="43"/>
      <c r="AP155" s="102"/>
      <c r="AQ155" s="43"/>
      <c r="AR155" s="41"/>
      <c r="AS155" s="43"/>
      <c r="AT155" s="42"/>
      <c r="AV155" s="42"/>
      <c r="AW155" s="43"/>
      <c r="AX155" s="54">
        <f t="shared" si="1"/>
        <v>1656.88</v>
      </c>
      <c r="AY155" s="52">
        <f t="shared" si="2"/>
        <v>149</v>
      </c>
      <c r="AZ155" s="52">
        <f t="shared" si="3"/>
        <v>0</v>
      </c>
      <c r="BA155" s="52">
        <f t="shared" si="4"/>
        <v>149</v>
      </c>
      <c r="BB155" s="49">
        <f t="shared" si="5"/>
        <v>11.12</v>
      </c>
    </row>
    <row r="156" ht="15.75" customHeight="1">
      <c r="A156" s="59" t="s">
        <v>61</v>
      </c>
      <c r="B156" s="61">
        <f t="shared" si="6"/>
        <v>45809</v>
      </c>
      <c r="C156" s="63">
        <v>6.0</v>
      </c>
      <c r="D156" s="63" t="s">
        <v>65</v>
      </c>
      <c r="E156" s="64"/>
      <c r="F156" s="87"/>
      <c r="G156" s="66"/>
      <c r="H156" s="88"/>
      <c r="I156" s="66"/>
      <c r="J156" s="88"/>
      <c r="K156" s="66"/>
      <c r="L156" s="88"/>
      <c r="M156" s="66"/>
      <c r="N156" s="88"/>
      <c r="O156" s="66"/>
      <c r="P156" s="88"/>
      <c r="Q156" s="68"/>
      <c r="R156" s="87">
        <v>0.0</v>
      </c>
      <c r="S156" s="66"/>
      <c r="T156" s="88">
        <v>0.0</v>
      </c>
      <c r="U156" s="66"/>
      <c r="V156" s="88"/>
      <c r="W156" s="66"/>
      <c r="X156" s="88"/>
      <c r="Y156" s="66"/>
      <c r="Z156" s="88"/>
      <c r="AA156" s="66"/>
      <c r="AB156" s="88"/>
      <c r="AC156" s="68"/>
      <c r="AD156" s="88"/>
      <c r="AE156" s="66"/>
      <c r="AF156" s="88"/>
      <c r="AG156" s="66"/>
      <c r="AH156" s="88"/>
      <c r="AI156" s="66"/>
      <c r="AJ156" s="87"/>
      <c r="AK156" s="68"/>
      <c r="AL156" s="71"/>
      <c r="AM156" s="68"/>
      <c r="AN156" s="65"/>
      <c r="AO156" s="68"/>
      <c r="AP156" s="65"/>
      <c r="AQ156" s="68"/>
      <c r="AR156" s="65"/>
      <c r="AS156" s="68"/>
      <c r="AT156" s="67"/>
      <c r="AU156" s="66"/>
      <c r="AV156" s="67"/>
      <c r="AW156" s="68"/>
      <c r="AX156" s="73">
        <f t="shared" si="1"/>
        <v>0</v>
      </c>
      <c r="AY156" s="63">
        <f t="shared" si="2"/>
        <v>0</v>
      </c>
      <c r="AZ156" s="63">
        <f t="shared" si="3"/>
        <v>0</v>
      </c>
      <c r="BA156" s="63">
        <f t="shared" si="4"/>
        <v>0</v>
      </c>
      <c r="BB156" s="74" t="str">
        <f t="shared" si="5"/>
        <v/>
      </c>
    </row>
    <row r="157" ht="15.75" customHeight="1">
      <c r="A157" s="36" t="s">
        <v>46</v>
      </c>
      <c r="B157" s="75">
        <f t="shared" si="6"/>
        <v>45810</v>
      </c>
      <c r="C157" s="38">
        <v>6.0</v>
      </c>
      <c r="D157" s="38" t="s">
        <v>69</v>
      </c>
      <c r="E157" s="40"/>
      <c r="F157" s="85"/>
      <c r="H157" s="86"/>
      <c r="J157" s="86"/>
      <c r="L157" s="86"/>
      <c r="N157" s="86"/>
      <c r="P157" s="86"/>
      <c r="Q157" s="43"/>
      <c r="R157" s="85">
        <v>82.0</v>
      </c>
      <c r="T157" s="86">
        <v>100.0</v>
      </c>
      <c r="V157" s="86"/>
      <c r="X157" s="86"/>
      <c r="Z157" s="86"/>
      <c r="AB157" s="86"/>
      <c r="AC157" s="43"/>
      <c r="AD157" s="86"/>
      <c r="AF157" s="86"/>
      <c r="AH157" s="86"/>
      <c r="AJ157" s="85"/>
      <c r="AK157" s="43"/>
      <c r="AL157" s="46"/>
      <c r="AM157" s="43"/>
      <c r="AN157" s="41"/>
      <c r="AO157" s="43"/>
      <c r="AP157" s="41"/>
      <c r="AQ157" s="43"/>
      <c r="AR157" s="41"/>
      <c r="AS157" s="43"/>
      <c r="AT157" s="42"/>
      <c r="AV157" s="42"/>
      <c r="AW157" s="43"/>
      <c r="AX157" s="47">
        <f t="shared" si="1"/>
        <v>2023.84</v>
      </c>
      <c r="AY157" s="38">
        <f t="shared" si="2"/>
        <v>182</v>
      </c>
      <c r="AZ157" s="38">
        <f t="shared" si="3"/>
        <v>0</v>
      </c>
      <c r="BA157" s="38">
        <f t="shared" si="4"/>
        <v>182</v>
      </c>
      <c r="BB157" s="76">
        <f t="shared" si="5"/>
        <v>11.12</v>
      </c>
    </row>
    <row r="158" ht="15.75" customHeight="1">
      <c r="A158" s="50" t="s">
        <v>48</v>
      </c>
      <c r="B158" s="51">
        <f t="shared" si="6"/>
        <v>45811</v>
      </c>
      <c r="C158" s="52">
        <v>6.0</v>
      </c>
      <c r="D158" s="52" t="s">
        <v>69</v>
      </c>
      <c r="E158" s="92"/>
      <c r="F158" s="85"/>
      <c r="H158" s="86"/>
      <c r="J158" s="86"/>
      <c r="L158" s="86"/>
      <c r="N158" s="86"/>
      <c r="P158" s="86"/>
      <c r="Q158" s="43"/>
      <c r="R158" s="85">
        <v>96.0</v>
      </c>
      <c r="T158" s="86">
        <v>105.0</v>
      </c>
      <c r="V158" s="86"/>
      <c r="X158" s="86"/>
      <c r="Z158" s="86"/>
      <c r="AB158" s="86"/>
      <c r="AC158" s="43"/>
      <c r="AD158" s="86"/>
      <c r="AF158" s="86"/>
      <c r="AH158" s="86"/>
      <c r="AJ158" s="85"/>
      <c r="AK158" s="43"/>
      <c r="AL158" s="46"/>
      <c r="AM158" s="43"/>
      <c r="AN158" s="41"/>
      <c r="AO158" s="43"/>
      <c r="AP158" s="41"/>
      <c r="AQ158" s="43"/>
      <c r="AR158" s="41"/>
      <c r="AS158" s="43"/>
      <c r="AT158" s="42"/>
      <c r="AV158" s="42"/>
      <c r="AW158" s="43"/>
      <c r="AX158" s="54">
        <f t="shared" si="1"/>
        <v>2235.12</v>
      </c>
      <c r="AY158" s="52">
        <f t="shared" si="2"/>
        <v>201</v>
      </c>
      <c r="AZ158" s="52">
        <f t="shared" si="3"/>
        <v>0</v>
      </c>
      <c r="BA158" s="52">
        <f t="shared" si="4"/>
        <v>201</v>
      </c>
      <c r="BB158" s="49">
        <f t="shared" si="5"/>
        <v>11.12</v>
      </c>
    </row>
    <row r="159" ht="15.75" customHeight="1">
      <c r="A159" s="50" t="s">
        <v>49</v>
      </c>
      <c r="B159" s="51">
        <f t="shared" si="6"/>
        <v>45812</v>
      </c>
      <c r="C159" s="52">
        <v>6.0</v>
      </c>
      <c r="D159" s="52" t="s">
        <v>69</v>
      </c>
      <c r="E159" s="53"/>
      <c r="F159" s="85"/>
      <c r="H159" s="86"/>
      <c r="J159" s="86"/>
      <c r="L159" s="86"/>
      <c r="N159" s="86"/>
      <c r="P159" s="86"/>
      <c r="Q159" s="43"/>
      <c r="R159" s="85">
        <v>101.0</v>
      </c>
      <c r="T159" s="86">
        <v>105.0</v>
      </c>
      <c r="V159" s="86"/>
      <c r="X159" s="86"/>
      <c r="Z159" s="86"/>
      <c r="AB159" s="86"/>
      <c r="AC159" s="43"/>
      <c r="AD159" s="86"/>
      <c r="AF159" s="86"/>
      <c r="AH159" s="86"/>
      <c r="AJ159" s="85"/>
      <c r="AK159" s="43"/>
      <c r="AL159" s="46"/>
      <c r="AM159" s="43"/>
      <c r="AN159" s="41"/>
      <c r="AO159" s="43"/>
      <c r="AP159" s="41"/>
      <c r="AQ159" s="43"/>
      <c r="AR159" s="41"/>
      <c r="AS159" s="43"/>
      <c r="AT159" s="42"/>
      <c r="AV159" s="42"/>
      <c r="AW159" s="43"/>
      <c r="AX159" s="54">
        <f t="shared" si="1"/>
        <v>2290.72</v>
      </c>
      <c r="AY159" s="52">
        <f t="shared" si="2"/>
        <v>206</v>
      </c>
      <c r="AZ159" s="52">
        <f t="shared" si="3"/>
        <v>0</v>
      </c>
      <c r="BA159" s="52">
        <f t="shared" si="4"/>
        <v>206</v>
      </c>
      <c r="BB159" s="49">
        <f t="shared" si="5"/>
        <v>11.12</v>
      </c>
    </row>
    <row r="160" ht="15.75" customHeight="1">
      <c r="A160" s="50" t="s">
        <v>50</v>
      </c>
      <c r="B160" s="51">
        <f t="shared" si="6"/>
        <v>45813</v>
      </c>
      <c r="C160" s="52">
        <v>6.0</v>
      </c>
      <c r="D160" s="52" t="s">
        <v>69</v>
      </c>
      <c r="E160" s="53"/>
      <c r="F160" s="85"/>
      <c r="H160" s="86"/>
      <c r="J160" s="86"/>
      <c r="L160" s="86"/>
      <c r="N160" s="86"/>
      <c r="P160" s="86"/>
      <c r="Q160" s="43"/>
      <c r="R160" s="85">
        <v>87.0</v>
      </c>
      <c r="T160" s="86">
        <v>119.0</v>
      </c>
      <c r="V160" s="86"/>
      <c r="X160" s="86"/>
      <c r="Z160" s="86"/>
      <c r="AB160" s="86"/>
      <c r="AC160" s="43"/>
      <c r="AD160" s="86"/>
      <c r="AF160" s="86"/>
      <c r="AH160" s="86"/>
      <c r="AJ160" s="85"/>
      <c r="AK160" s="43"/>
      <c r="AL160" s="46"/>
      <c r="AM160" s="43"/>
      <c r="AN160" s="41"/>
      <c r="AO160" s="43"/>
      <c r="AP160" s="41"/>
      <c r="AQ160" s="43"/>
      <c r="AR160" s="41"/>
      <c r="AS160" s="43"/>
      <c r="AT160" s="42"/>
      <c r="AV160" s="42"/>
      <c r="AW160" s="43"/>
      <c r="AX160" s="54">
        <f t="shared" si="1"/>
        <v>2290.72</v>
      </c>
      <c r="AY160" s="52">
        <f t="shared" si="2"/>
        <v>206</v>
      </c>
      <c r="AZ160" s="52">
        <f t="shared" si="3"/>
        <v>0</v>
      </c>
      <c r="BA160" s="52">
        <f t="shared" si="4"/>
        <v>206</v>
      </c>
      <c r="BB160" s="49">
        <f t="shared" si="5"/>
        <v>11.12</v>
      </c>
    </row>
    <row r="161" ht="15.75" customHeight="1">
      <c r="A161" s="50" t="s">
        <v>53</v>
      </c>
      <c r="B161" s="51">
        <f t="shared" si="6"/>
        <v>45814</v>
      </c>
      <c r="C161" s="52">
        <v>6.0</v>
      </c>
      <c r="D161" s="52" t="s">
        <v>69</v>
      </c>
      <c r="E161" s="53"/>
      <c r="F161" s="85"/>
      <c r="H161" s="86"/>
      <c r="J161" s="86"/>
      <c r="L161" s="86"/>
      <c r="N161" s="86"/>
      <c r="P161" s="86"/>
      <c r="Q161" s="43"/>
      <c r="R161" s="85">
        <v>97.0</v>
      </c>
      <c r="T161" s="86">
        <v>115.0</v>
      </c>
      <c r="V161" s="86"/>
      <c r="X161" s="86"/>
      <c r="Z161" s="86"/>
      <c r="AB161" s="86"/>
      <c r="AC161" s="43"/>
      <c r="AD161" s="86"/>
      <c r="AF161" s="86"/>
      <c r="AH161" s="86"/>
      <c r="AJ161" s="85"/>
      <c r="AK161" s="43"/>
      <c r="AL161" s="46"/>
      <c r="AM161" s="43"/>
      <c r="AN161" s="41"/>
      <c r="AO161" s="43"/>
      <c r="AP161" s="41"/>
      <c r="AQ161" s="43"/>
      <c r="AR161" s="41"/>
      <c r="AS161" s="43"/>
      <c r="AT161" s="42"/>
      <c r="AV161" s="42"/>
      <c r="AW161" s="43"/>
      <c r="AX161" s="54">
        <f t="shared" si="1"/>
        <v>2357.44</v>
      </c>
      <c r="AY161" s="52">
        <f t="shared" si="2"/>
        <v>212</v>
      </c>
      <c r="AZ161" s="52">
        <f t="shared" si="3"/>
        <v>0</v>
      </c>
      <c r="BA161" s="52">
        <f t="shared" si="4"/>
        <v>212</v>
      </c>
      <c r="BB161" s="49">
        <f t="shared" si="5"/>
        <v>11.12</v>
      </c>
    </row>
    <row r="162" ht="15.75" customHeight="1">
      <c r="A162" s="50" t="s">
        <v>54</v>
      </c>
      <c r="B162" s="51">
        <f t="shared" si="6"/>
        <v>45815</v>
      </c>
      <c r="C162" s="52">
        <v>6.0</v>
      </c>
      <c r="D162" s="52" t="s">
        <v>69</v>
      </c>
      <c r="E162" s="92"/>
      <c r="F162" s="85"/>
      <c r="H162" s="86"/>
      <c r="J162" s="86"/>
      <c r="L162" s="86"/>
      <c r="N162" s="86"/>
      <c r="P162" s="86"/>
      <c r="Q162" s="43"/>
      <c r="R162" s="85">
        <v>84.0</v>
      </c>
      <c r="T162" s="86">
        <v>72.0</v>
      </c>
      <c r="V162" s="86"/>
      <c r="X162" s="86"/>
      <c r="Z162" s="86"/>
      <c r="AB162" s="86"/>
      <c r="AC162" s="43"/>
      <c r="AD162" s="86"/>
      <c r="AF162" s="86"/>
      <c r="AH162" s="86"/>
      <c r="AJ162" s="85"/>
      <c r="AK162" s="43"/>
      <c r="AL162" s="46"/>
      <c r="AM162" s="43"/>
      <c r="AN162" s="41"/>
      <c r="AO162" s="43"/>
      <c r="AP162" s="41"/>
      <c r="AQ162" s="43"/>
      <c r="AR162" s="41"/>
      <c r="AS162" s="43"/>
      <c r="AT162" s="42"/>
      <c r="AV162" s="42"/>
      <c r="AW162" s="43"/>
      <c r="AX162" s="54">
        <f t="shared" si="1"/>
        <v>1734.72</v>
      </c>
      <c r="AY162" s="52">
        <f t="shared" si="2"/>
        <v>156</v>
      </c>
      <c r="AZ162" s="52">
        <f t="shared" si="3"/>
        <v>0</v>
      </c>
      <c r="BA162" s="52">
        <f t="shared" si="4"/>
        <v>156</v>
      </c>
      <c r="BB162" s="49">
        <f t="shared" si="5"/>
        <v>11.12</v>
      </c>
    </row>
    <row r="163" ht="15.75" customHeight="1">
      <c r="A163" s="59" t="s">
        <v>61</v>
      </c>
      <c r="B163" s="61">
        <f t="shared" si="6"/>
        <v>45816</v>
      </c>
      <c r="C163" s="63">
        <v>6.0</v>
      </c>
      <c r="D163" s="63" t="s">
        <v>69</v>
      </c>
      <c r="E163" s="94"/>
      <c r="F163" s="87"/>
      <c r="G163" s="66"/>
      <c r="H163" s="88"/>
      <c r="I163" s="66"/>
      <c r="J163" s="88"/>
      <c r="K163" s="66"/>
      <c r="L163" s="88"/>
      <c r="M163" s="66"/>
      <c r="N163" s="88"/>
      <c r="O163" s="66"/>
      <c r="P163" s="88"/>
      <c r="Q163" s="68"/>
      <c r="R163" s="87">
        <v>0.0</v>
      </c>
      <c r="S163" s="66"/>
      <c r="T163" s="88">
        <v>0.0</v>
      </c>
      <c r="U163" s="66"/>
      <c r="V163" s="88"/>
      <c r="W163" s="66"/>
      <c r="X163" s="88"/>
      <c r="Y163" s="66"/>
      <c r="Z163" s="88"/>
      <c r="AA163" s="66"/>
      <c r="AB163" s="88"/>
      <c r="AC163" s="68"/>
      <c r="AD163" s="88"/>
      <c r="AE163" s="66"/>
      <c r="AF163" s="88"/>
      <c r="AG163" s="66"/>
      <c r="AH163" s="88"/>
      <c r="AI163" s="66"/>
      <c r="AJ163" s="87"/>
      <c r="AK163" s="68"/>
      <c r="AL163" s="71"/>
      <c r="AM163" s="68"/>
      <c r="AN163" s="65"/>
      <c r="AO163" s="68"/>
      <c r="AP163" s="65"/>
      <c r="AQ163" s="68"/>
      <c r="AR163" s="65"/>
      <c r="AS163" s="68"/>
      <c r="AT163" s="67"/>
      <c r="AU163" s="66"/>
      <c r="AV163" s="67"/>
      <c r="AW163" s="68"/>
      <c r="AX163" s="73">
        <f t="shared" si="1"/>
        <v>0</v>
      </c>
      <c r="AY163" s="63">
        <f t="shared" si="2"/>
        <v>0</v>
      </c>
      <c r="AZ163" s="63">
        <f t="shared" si="3"/>
        <v>0</v>
      </c>
      <c r="BA163" s="63">
        <f t="shared" si="4"/>
        <v>0</v>
      </c>
      <c r="BB163" s="74" t="str">
        <f t="shared" si="5"/>
        <v/>
      </c>
    </row>
    <row r="164" ht="15.75" customHeight="1">
      <c r="A164" s="36" t="s">
        <v>46</v>
      </c>
      <c r="B164" s="75">
        <f t="shared" si="6"/>
        <v>45817</v>
      </c>
      <c r="C164" s="38">
        <v>6.0</v>
      </c>
      <c r="D164" s="38" t="s">
        <v>72</v>
      </c>
      <c r="E164" s="40"/>
      <c r="F164" s="85"/>
      <c r="H164" s="86"/>
      <c r="J164" s="86"/>
      <c r="L164" s="86"/>
      <c r="N164" s="86"/>
      <c r="P164" s="86"/>
      <c r="Q164" s="43"/>
      <c r="R164" s="85">
        <v>79.0</v>
      </c>
      <c r="T164" s="86">
        <v>113.0</v>
      </c>
      <c r="V164" s="86"/>
      <c r="X164" s="86"/>
      <c r="Z164" s="86"/>
      <c r="AB164" s="86"/>
      <c r="AC164" s="43"/>
      <c r="AD164" s="86"/>
      <c r="AF164" s="86"/>
      <c r="AH164" s="86"/>
      <c r="AJ164" s="85"/>
      <c r="AK164" s="43"/>
      <c r="AL164" s="46"/>
      <c r="AM164" s="43"/>
      <c r="AN164" s="41"/>
      <c r="AO164" s="43"/>
      <c r="AP164" s="41"/>
      <c r="AQ164" s="43"/>
      <c r="AR164" s="41"/>
      <c r="AS164" s="43"/>
      <c r="AT164" s="42"/>
      <c r="AV164" s="42"/>
      <c r="AW164" s="43"/>
      <c r="AX164" s="47">
        <f t="shared" si="1"/>
        <v>2135.04</v>
      </c>
      <c r="AY164" s="38">
        <f t="shared" si="2"/>
        <v>192</v>
      </c>
      <c r="AZ164" s="38">
        <f t="shared" si="3"/>
        <v>0</v>
      </c>
      <c r="BA164" s="38">
        <f t="shared" si="4"/>
        <v>192</v>
      </c>
      <c r="BB164" s="76">
        <f t="shared" si="5"/>
        <v>11.12</v>
      </c>
    </row>
    <row r="165" ht="15.75" customHeight="1">
      <c r="A165" s="50" t="s">
        <v>48</v>
      </c>
      <c r="B165" s="51">
        <f t="shared" si="6"/>
        <v>45818</v>
      </c>
      <c r="C165" s="52">
        <v>6.0</v>
      </c>
      <c r="D165" s="52" t="s">
        <v>72</v>
      </c>
      <c r="E165" s="53"/>
      <c r="F165" s="85"/>
      <c r="H165" s="86"/>
      <c r="J165" s="86"/>
      <c r="L165" s="86"/>
      <c r="N165" s="86"/>
      <c r="P165" s="86"/>
      <c r="Q165" s="43"/>
      <c r="R165" s="85">
        <v>86.0</v>
      </c>
      <c r="T165" s="86">
        <v>88.0</v>
      </c>
      <c r="V165" s="86"/>
      <c r="X165" s="86"/>
      <c r="Z165" s="86"/>
      <c r="AB165" s="86"/>
      <c r="AC165" s="43"/>
      <c r="AD165" s="86"/>
      <c r="AF165" s="86"/>
      <c r="AH165" s="86"/>
      <c r="AJ165" s="85"/>
      <c r="AK165" s="43"/>
      <c r="AL165" s="46"/>
      <c r="AM165" s="43"/>
      <c r="AN165" s="41"/>
      <c r="AO165" s="43"/>
      <c r="AP165" s="41"/>
      <c r="AQ165" s="43"/>
      <c r="AR165" s="41"/>
      <c r="AS165" s="43"/>
      <c r="AT165" s="42"/>
      <c r="AV165" s="42"/>
      <c r="AW165" s="43"/>
      <c r="AX165" s="54">
        <f t="shared" si="1"/>
        <v>1934.88</v>
      </c>
      <c r="AY165" s="52">
        <f t="shared" si="2"/>
        <v>174</v>
      </c>
      <c r="AZ165" s="52">
        <f t="shared" si="3"/>
        <v>0</v>
      </c>
      <c r="BA165" s="52">
        <f t="shared" si="4"/>
        <v>174</v>
      </c>
      <c r="BB165" s="49">
        <f t="shared" si="5"/>
        <v>11.12</v>
      </c>
    </row>
    <row r="166" ht="15.75" customHeight="1">
      <c r="A166" s="50" t="s">
        <v>49</v>
      </c>
      <c r="B166" s="51">
        <f t="shared" si="6"/>
        <v>45819</v>
      </c>
      <c r="C166" s="52">
        <v>6.0</v>
      </c>
      <c r="D166" s="52" t="s">
        <v>72</v>
      </c>
      <c r="E166" s="53"/>
      <c r="F166" s="85"/>
      <c r="H166" s="86"/>
      <c r="J166" s="86"/>
      <c r="L166" s="86"/>
      <c r="N166" s="86"/>
      <c r="P166" s="86"/>
      <c r="Q166" s="43"/>
      <c r="R166" s="85">
        <v>90.0</v>
      </c>
      <c r="T166" s="86">
        <v>97.0</v>
      </c>
      <c r="V166" s="86"/>
      <c r="X166" s="86"/>
      <c r="Z166" s="86"/>
      <c r="AB166" s="86"/>
      <c r="AC166" s="43"/>
      <c r="AD166" s="86"/>
      <c r="AF166" s="86"/>
      <c r="AH166" s="86"/>
      <c r="AJ166" s="85"/>
      <c r="AK166" s="43"/>
      <c r="AL166" s="46"/>
      <c r="AM166" s="43"/>
      <c r="AN166" s="41"/>
      <c r="AO166" s="43"/>
      <c r="AP166" s="41"/>
      <c r="AQ166" s="43"/>
      <c r="AR166" s="41"/>
      <c r="AS166" s="43"/>
      <c r="AT166" s="42"/>
      <c r="AV166" s="42"/>
      <c r="AW166" s="43"/>
      <c r="AX166" s="54">
        <f t="shared" si="1"/>
        <v>2079.44</v>
      </c>
      <c r="AY166" s="52">
        <f t="shared" si="2"/>
        <v>187</v>
      </c>
      <c r="AZ166" s="52">
        <f t="shared" si="3"/>
        <v>0</v>
      </c>
      <c r="BA166" s="52">
        <f t="shared" si="4"/>
        <v>187</v>
      </c>
      <c r="BB166" s="49">
        <f t="shared" si="5"/>
        <v>11.12</v>
      </c>
    </row>
    <row r="167" ht="15.75" customHeight="1">
      <c r="A167" s="50" t="s">
        <v>50</v>
      </c>
      <c r="B167" s="51">
        <f t="shared" si="6"/>
        <v>45820</v>
      </c>
      <c r="C167" s="52">
        <v>6.0</v>
      </c>
      <c r="D167" s="52" t="s">
        <v>72</v>
      </c>
      <c r="E167" s="53"/>
      <c r="F167" s="85"/>
      <c r="H167" s="86"/>
      <c r="J167" s="86"/>
      <c r="L167" s="86"/>
      <c r="N167" s="86"/>
      <c r="P167" s="86"/>
      <c r="Q167" s="43"/>
      <c r="R167" s="85">
        <v>89.0</v>
      </c>
      <c r="T167" s="86">
        <v>105.0</v>
      </c>
      <c r="V167" s="86"/>
      <c r="X167" s="86"/>
      <c r="Z167" s="86"/>
      <c r="AB167" s="86"/>
      <c r="AC167" s="43"/>
      <c r="AD167" s="86"/>
      <c r="AF167" s="86"/>
      <c r="AH167" s="86"/>
      <c r="AJ167" s="85"/>
      <c r="AK167" s="43"/>
      <c r="AL167" s="46"/>
      <c r="AM167" s="43"/>
      <c r="AN167" s="41"/>
      <c r="AO167" s="43"/>
      <c r="AP167" s="41"/>
      <c r="AQ167" s="43"/>
      <c r="AR167" s="41"/>
      <c r="AS167" s="43"/>
      <c r="AT167" s="42"/>
      <c r="AV167" s="42"/>
      <c r="AW167" s="43"/>
      <c r="AX167" s="54">
        <f t="shared" si="1"/>
        <v>2157.28</v>
      </c>
      <c r="AY167" s="52">
        <f t="shared" si="2"/>
        <v>194</v>
      </c>
      <c r="AZ167" s="52">
        <f t="shared" si="3"/>
        <v>0</v>
      </c>
      <c r="BA167" s="52">
        <f t="shared" si="4"/>
        <v>194</v>
      </c>
      <c r="BB167" s="49">
        <f t="shared" si="5"/>
        <v>11.12</v>
      </c>
    </row>
    <row r="168" ht="15.75" customHeight="1">
      <c r="A168" s="50" t="s">
        <v>53</v>
      </c>
      <c r="B168" s="51">
        <f t="shared" si="6"/>
        <v>45821</v>
      </c>
      <c r="C168" s="52">
        <v>6.0</v>
      </c>
      <c r="D168" s="52" t="s">
        <v>72</v>
      </c>
      <c r="E168" s="53"/>
      <c r="F168" s="85"/>
      <c r="H168" s="86"/>
      <c r="J168" s="86"/>
      <c r="L168" s="86"/>
      <c r="N168" s="86"/>
      <c r="P168" s="86"/>
      <c r="Q168" s="43"/>
      <c r="R168" s="85">
        <v>93.0</v>
      </c>
      <c r="T168" s="86">
        <v>85.0</v>
      </c>
      <c r="V168" s="86"/>
      <c r="X168" s="86"/>
      <c r="Z168" s="86"/>
      <c r="AB168" s="86"/>
      <c r="AC168" s="43"/>
      <c r="AD168" s="86"/>
      <c r="AF168" s="86"/>
      <c r="AH168" s="86"/>
      <c r="AJ168" s="85"/>
      <c r="AK168" s="43"/>
      <c r="AL168" s="46"/>
      <c r="AM168" s="43"/>
      <c r="AN168" s="41"/>
      <c r="AO168" s="43"/>
      <c r="AP168" s="41"/>
      <c r="AQ168" s="43"/>
      <c r="AR168" s="41"/>
      <c r="AS168" s="43"/>
      <c r="AT168" s="42"/>
      <c r="AV168" s="42"/>
      <c r="AW168" s="43"/>
      <c r="AX168" s="54">
        <f t="shared" si="1"/>
        <v>1979.36</v>
      </c>
      <c r="AY168" s="52">
        <f t="shared" si="2"/>
        <v>178</v>
      </c>
      <c r="AZ168" s="52">
        <f t="shared" si="3"/>
        <v>0</v>
      </c>
      <c r="BA168" s="52">
        <f t="shared" si="4"/>
        <v>178</v>
      </c>
      <c r="BB168" s="49">
        <f t="shared" si="5"/>
        <v>11.12</v>
      </c>
    </row>
    <row r="169" ht="15.75" customHeight="1">
      <c r="A169" s="50" t="s">
        <v>54</v>
      </c>
      <c r="B169" s="51">
        <f t="shared" si="6"/>
        <v>45822</v>
      </c>
      <c r="C169" s="52">
        <v>6.0</v>
      </c>
      <c r="D169" s="52" t="s">
        <v>72</v>
      </c>
      <c r="E169" s="53"/>
      <c r="F169" s="85"/>
      <c r="H169" s="86"/>
      <c r="J169" s="86"/>
      <c r="L169" s="86"/>
      <c r="N169" s="86"/>
      <c r="P169" s="86"/>
      <c r="Q169" s="43"/>
      <c r="R169" s="85">
        <v>78.0</v>
      </c>
      <c r="T169" s="86">
        <v>80.0</v>
      </c>
      <c r="V169" s="86"/>
      <c r="X169" s="86"/>
      <c r="Z169" s="86"/>
      <c r="AB169" s="86"/>
      <c r="AC169" s="43"/>
      <c r="AD169" s="86"/>
      <c r="AF169" s="86"/>
      <c r="AH169" s="86"/>
      <c r="AJ169" s="85"/>
      <c r="AK169" s="43"/>
      <c r="AL169" s="46"/>
      <c r="AM169" s="43"/>
      <c r="AN169" s="41"/>
      <c r="AO169" s="43"/>
      <c r="AP169" s="41"/>
      <c r="AQ169" s="43"/>
      <c r="AR169" s="41"/>
      <c r="AS169" s="43"/>
      <c r="AT169" s="42"/>
      <c r="AV169" s="42"/>
      <c r="AW169" s="43"/>
      <c r="AX169" s="54">
        <f t="shared" si="1"/>
        <v>1756.96</v>
      </c>
      <c r="AY169" s="52">
        <f t="shared" si="2"/>
        <v>158</v>
      </c>
      <c r="AZ169" s="52">
        <f t="shared" si="3"/>
        <v>0</v>
      </c>
      <c r="BA169" s="52">
        <f t="shared" si="4"/>
        <v>158</v>
      </c>
      <c r="BB169" s="49">
        <f t="shared" si="5"/>
        <v>11.12</v>
      </c>
    </row>
    <row r="170" ht="15.75" customHeight="1">
      <c r="A170" s="59" t="s">
        <v>61</v>
      </c>
      <c r="B170" s="61">
        <f t="shared" si="6"/>
        <v>45823</v>
      </c>
      <c r="C170" s="63">
        <v>6.0</v>
      </c>
      <c r="D170" s="63" t="s">
        <v>72</v>
      </c>
      <c r="E170" s="64"/>
      <c r="F170" s="87"/>
      <c r="G170" s="66"/>
      <c r="H170" s="88"/>
      <c r="I170" s="66"/>
      <c r="J170" s="88"/>
      <c r="K170" s="66"/>
      <c r="L170" s="88"/>
      <c r="M170" s="66"/>
      <c r="N170" s="88"/>
      <c r="O170" s="66"/>
      <c r="P170" s="88"/>
      <c r="Q170" s="68"/>
      <c r="R170" s="87">
        <v>0.0</v>
      </c>
      <c r="S170" s="66"/>
      <c r="T170" s="88">
        <v>0.0</v>
      </c>
      <c r="U170" s="66"/>
      <c r="V170" s="88"/>
      <c r="W170" s="66"/>
      <c r="X170" s="88"/>
      <c r="Y170" s="66"/>
      <c r="Z170" s="88"/>
      <c r="AA170" s="66"/>
      <c r="AB170" s="88"/>
      <c r="AC170" s="68"/>
      <c r="AD170" s="88"/>
      <c r="AE170" s="66"/>
      <c r="AF170" s="88"/>
      <c r="AG170" s="66"/>
      <c r="AH170" s="88"/>
      <c r="AI170" s="66"/>
      <c r="AJ170" s="87"/>
      <c r="AK170" s="68"/>
      <c r="AL170" s="71"/>
      <c r="AM170" s="68"/>
      <c r="AN170" s="65"/>
      <c r="AO170" s="68"/>
      <c r="AP170" s="65"/>
      <c r="AQ170" s="68"/>
      <c r="AR170" s="65"/>
      <c r="AS170" s="68"/>
      <c r="AT170" s="67"/>
      <c r="AU170" s="66"/>
      <c r="AV170" s="67"/>
      <c r="AW170" s="68"/>
      <c r="AX170" s="73">
        <f t="shared" si="1"/>
        <v>0</v>
      </c>
      <c r="AY170" s="63">
        <f t="shared" si="2"/>
        <v>0</v>
      </c>
      <c r="AZ170" s="63">
        <f t="shared" si="3"/>
        <v>0</v>
      </c>
      <c r="BA170" s="63">
        <f t="shared" si="4"/>
        <v>0</v>
      </c>
      <c r="BB170" s="74" t="str">
        <f t="shared" si="5"/>
        <v/>
      </c>
    </row>
    <row r="171" ht="15.75" customHeight="1">
      <c r="A171" s="36" t="s">
        <v>46</v>
      </c>
      <c r="B171" s="75">
        <f t="shared" si="6"/>
        <v>45824</v>
      </c>
      <c r="C171" s="38">
        <v>7.0</v>
      </c>
      <c r="D171" s="38" t="s">
        <v>47</v>
      </c>
      <c r="E171" s="40"/>
      <c r="F171" s="85"/>
      <c r="H171" s="86"/>
      <c r="J171" s="86"/>
      <c r="L171" s="86"/>
      <c r="N171" s="86"/>
      <c r="P171" s="86"/>
      <c r="Q171" s="43"/>
      <c r="R171" s="85">
        <v>71.0</v>
      </c>
      <c r="T171" s="86">
        <v>84.0</v>
      </c>
      <c r="V171" s="86"/>
      <c r="X171" s="86"/>
      <c r="Z171" s="86"/>
      <c r="AB171" s="86"/>
      <c r="AC171" s="43"/>
      <c r="AD171" s="86"/>
      <c r="AF171" s="86"/>
      <c r="AH171" s="86"/>
      <c r="AJ171" s="85"/>
      <c r="AK171" s="43"/>
      <c r="AL171" s="46"/>
      <c r="AM171" s="43"/>
      <c r="AN171" s="41"/>
      <c r="AO171" s="43"/>
      <c r="AP171" s="41"/>
      <c r="AQ171" s="43"/>
      <c r="AR171" s="41"/>
      <c r="AS171" s="43"/>
      <c r="AT171" s="42"/>
      <c r="AV171" s="42"/>
      <c r="AW171" s="43"/>
      <c r="AX171" s="47">
        <f t="shared" si="1"/>
        <v>1723.6</v>
      </c>
      <c r="AY171" s="38">
        <f t="shared" si="2"/>
        <v>155</v>
      </c>
      <c r="AZ171" s="38">
        <f t="shared" si="3"/>
        <v>0</v>
      </c>
      <c r="BA171" s="38">
        <f t="shared" si="4"/>
        <v>155</v>
      </c>
      <c r="BB171" s="76">
        <f t="shared" si="5"/>
        <v>11.12</v>
      </c>
    </row>
    <row r="172" ht="15.75" customHeight="1">
      <c r="A172" s="50" t="s">
        <v>48</v>
      </c>
      <c r="B172" s="51">
        <f t="shared" si="6"/>
        <v>45825</v>
      </c>
      <c r="C172" s="52">
        <v>7.0</v>
      </c>
      <c r="D172" s="52" t="s">
        <v>47</v>
      </c>
      <c r="E172" s="53"/>
      <c r="F172" s="85"/>
      <c r="H172" s="86"/>
      <c r="J172" s="86"/>
      <c r="L172" s="86"/>
      <c r="N172" s="86"/>
      <c r="P172" s="86"/>
      <c r="Q172" s="43"/>
      <c r="R172" s="85">
        <v>93.0</v>
      </c>
      <c r="T172" s="86">
        <v>85.0</v>
      </c>
      <c r="V172" s="86"/>
      <c r="X172" s="86"/>
      <c r="Z172" s="86"/>
      <c r="AB172" s="86"/>
      <c r="AC172" s="43"/>
      <c r="AD172" s="86"/>
      <c r="AF172" s="86"/>
      <c r="AH172" s="86"/>
      <c r="AJ172" s="85"/>
      <c r="AK172" s="43"/>
      <c r="AL172" s="46"/>
      <c r="AM172" s="43"/>
      <c r="AN172" s="41"/>
      <c r="AO172" s="43"/>
      <c r="AP172" s="41"/>
      <c r="AQ172" s="43"/>
      <c r="AR172" s="41"/>
      <c r="AS172" s="43"/>
      <c r="AT172" s="42"/>
      <c r="AV172" s="42"/>
      <c r="AW172" s="43"/>
      <c r="AX172" s="54">
        <f t="shared" si="1"/>
        <v>1979.36</v>
      </c>
      <c r="AY172" s="52">
        <f t="shared" si="2"/>
        <v>178</v>
      </c>
      <c r="AZ172" s="52">
        <f t="shared" si="3"/>
        <v>0</v>
      </c>
      <c r="BA172" s="52">
        <f t="shared" si="4"/>
        <v>178</v>
      </c>
      <c r="BB172" s="49">
        <f t="shared" si="5"/>
        <v>11.12</v>
      </c>
    </row>
    <row r="173" ht="15.75" customHeight="1">
      <c r="A173" s="50" t="s">
        <v>49</v>
      </c>
      <c r="B173" s="51">
        <f t="shared" si="6"/>
        <v>45826</v>
      </c>
      <c r="C173" s="52">
        <v>7.0</v>
      </c>
      <c r="D173" s="52" t="s">
        <v>47</v>
      </c>
      <c r="E173" s="53"/>
      <c r="F173" s="85"/>
      <c r="H173" s="86"/>
      <c r="J173" s="86"/>
      <c r="L173" s="86"/>
      <c r="N173" s="86"/>
      <c r="P173" s="86"/>
      <c r="Q173" s="43"/>
      <c r="R173" s="85">
        <v>76.0</v>
      </c>
      <c r="T173" s="86">
        <v>180.0</v>
      </c>
      <c r="V173" s="86"/>
      <c r="X173" s="86"/>
      <c r="Z173" s="86"/>
      <c r="AB173" s="86"/>
      <c r="AC173" s="43"/>
      <c r="AD173" s="86"/>
      <c r="AF173" s="86"/>
      <c r="AH173" s="86"/>
      <c r="AJ173" s="85"/>
      <c r="AK173" s="43"/>
      <c r="AL173" s="46"/>
      <c r="AM173" s="43"/>
      <c r="AN173" s="41"/>
      <c r="AO173" s="43"/>
      <c r="AP173" s="41"/>
      <c r="AQ173" s="43"/>
      <c r="AR173" s="41"/>
      <c r="AS173" s="43"/>
      <c r="AT173" s="42"/>
      <c r="AV173" s="42"/>
      <c r="AW173" s="43"/>
      <c r="AX173" s="54">
        <f t="shared" si="1"/>
        <v>2846.72</v>
      </c>
      <c r="AY173" s="52">
        <f t="shared" si="2"/>
        <v>256</v>
      </c>
      <c r="AZ173" s="52">
        <f t="shared" si="3"/>
        <v>0</v>
      </c>
      <c r="BA173" s="52">
        <f t="shared" si="4"/>
        <v>256</v>
      </c>
      <c r="BB173" s="49">
        <f t="shared" si="5"/>
        <v>11.12</v>
      </c>
    </row>
    <row r="174" ht="15.75" customHeight="1">
      <c r="A174" s="50" t="s">
        <v>50</v>
      </c>
      <c r="B174" s="51">
        <f t="shared" si="6"/>
        <v>45827</v>
      </c>
      <c r="C174" s="52">
        <v>7.0</v>
      </c>
      <c r="D174" s="52" t="s">
        <v>47</v>
      </c>
      <c r="E174" s="53"/>
      <c r="F174" s="85"/>
      <c r="H174" s="86"/>
      <c r="J174" s="86"/>
      <c r="L174" s="86"/>
      <c r="N174" s="86"/>
      <c r="P174" s="86"/>
      <c r="Q174" s="43"/>
      <c r="R174" s="85">
        <v>95.0</v>
      </c>
      <c r="T174" s="86">
        <v>106.0</v>
      </c>
      <c r="V174" s="86"/>
      <c r="X174" s="86"/>
      <c r="Z174" s="86"/>
      <c r="AB174" s="86"/>
      <c r="AC174" s="43"/>
      <c r="AD174" s="86"/>
      <c r="AF174" s="86"/>
      <c r="AH174" s="86"/>
      <c r="AJ174" s="85"/>
      <c r="AK174" s="43"/>
      <c r="AL174" s="46"/>
      <c r="AM174" s="43"/>
      <c r="AN174" s="41"/>
      <c r="AO174" s="43"/>
      <c r="AP174" s="41"/>
      <c r="AQ174" s="43"/>
      <c r="AR174" s="41"/>
      <c r="AS174" s="43"/>
      <c r="AT174" s="42"/>
      <c r="AV174" s="42"/>
      <c r="AW174" s="43"/>
      <c r="AX174" s="54">
        <f t="shared" si="1"/>
        <v>2235.12</v>
      </c>
      <c r="AY174" s="52">
        <f t="shared" si="2"/>
        <v>201</v>
      </c>
      <c r="AZ174" s="52">
        <f t="shared" si="3"/>
        <v>0</v>
      </c>
      <c r="BA174" s="52">
        <f t="shared" si="4"/>
        <v>201</v>
      </c>
      <c r="BB174" s="49">
        <f t="shared" si="5"/>
        <v>11.12</v>
      </c>
    </row>
    <row r="175" ht="15.75" customHeight="1">
      <c r="A175" s="50" t="s">
        <v>53</v>
      </c>
      <c r="B175" s="51">
        <f t="shared" si="6"/>
        <v>45828</v>
      </c>
      <c r="C175" s="52">
        <v>7.0</v>
      </c>
      <c r="D175" s="52" t="s">
        <v>47</v>
      </c>
      <c r="E175" s="53"/>
      <c r="F175" s="85"/>
      <c r="H175" s="86"/>
      <c r="J175" s="86"/>
      <c r="L175" s="86"/>
      <c r="N175" s="86"/>
      <c r="P175" s="86"/>
      <c r="Q175" s="43"/>
      <c r="R175" s="85">
        <v>89.0</v>
      </c>
      <c r="T175" s="86">
        <v>107.0</v>
      </c>
      <c r="V175" s="86"/>
      <c r="X175" s="86"/>
      <c r="Z175" s="86"/>
      <c r="AB175" s="86"/>
      <c r="AC175" s="43"/>
      <c r="AD175" s="86"/>
      <c r="AF175" s="86"/>
      <c r="AH175" s="86"/>
      <c r="AJ175" s="85"/>
      <c r="AK175" s="43"/>
      <c r="AL175" s="46"/>
      <c r="AM175" s="43"/>
      <c r="AN175" s="41"/>
      <c r="AO175" s="43"/>
      <c r="AP175" s="41"/>
      <c r="AQ175" s="43"/>
      <c r="AR175" s="41"/>
      <c r="AS175" s="43"/>
      <c r="AT175" s="42"/>
      <c r="AV175" s="42"/>
      <c r="AW175" s="43"/>
      <c r="AX175" s="54">
        <f t="shared" si="1"/>
        <v>2179.52</v>
      </c>
      <c r="AY175" s="52">
        <f t="shared" si="2"/>
        <v>196</v>
      </c>
      <c r="AZ175" s="52">
        <f t="shared" si="3"/>
        <v>0</v>
      </c>
      <c r="BA175" s="52">
        <f t="shared" si="4"/>
        <v>196</v>
      </c>
      <c r="BB175" s="49">
        <f t="shared" si="5"/>
        <v>11.12</v>
      </c>
    </row>
    <row r="176" ht="15.75" customHeight="1">
      <c r="A176" s="50" t="s">
        <v>54</v>
      </c>
      <c r="B176" s="51">
        <f t="shared" si="6"/>
        <v>45829</v>
      </c>
      <c r="C176" s="52">
        <v>7.0</v>
      </c>
      <c r="D176" s="52" t="s">
        <v>47</v>
      </c>
      <c r="E176" s="53"/>
      <c r="F176" s="85"/>
      <c r="H176" s="86"/>
      <c r="J176" s="86"/>
      <c r="L176" s="86"/>
      <c r="N176" s="86"/>
      <c r="P176" s="86"/>
      <c r="Q176" s="43"/>
      <c r="R176" s="85">
        <v>87.0</v>
      </c>
      <c r="T176" s="86">
        <v>88.0</v>
      </c>
      <c r="V176" s="86"/>
      <c r="X176" s="86"/>
      <c r="Z176" s="86"/>
      <c r="AB176" s="86"/>
      <c r="AC176" s="43"/>
      <c r="AD176" s="86"/>
      <c r="AF176" s="86"/>
      <c r="AH176" s="86"/>
      <c r="AJ176" s="85"/>
      <c r="AK176" s="43"/>
      <c r="AL176" s="46"/>
      <c r="AM176" s="43"/>
      <c r="AN176" s="41"/>
      <c r="AO176" s="43"/>
      <c r="AP176" s="41"/>
      <c r="AQ176" s="43"/>
      <c r="AR176" s="41"/>
      <c r="AS176" s="43"/>
      <c r="AT176" s="42"/>
      <c r="AV176" s="42"/>
      <c r="AW176" s="43"/>
      <c r="AX176" s="54">
        <f t="shared" si="1"/>
        <v>1946</v>
      </c>
      <c r="AY176" s="52">
        <f t="shared" si="2"/>
        <v>175</v>
      </c>
      <c r="AZ176" s="52">
        <f t="shared" si="3"/>
        <v>0</v>
      </c>
      <c r="BA176" s="52">
        <f t="shared" si="4"/>
        <v>175</v>
      </c>
      <c r="BB176" s="49">
        <f t="shared" si="5"/>
        <v>11.12</v>
      </c>
    </row>
    <row r="177" ht="15.75" customHeight="1">
      <c r="A177" s="59" t="s">
        <v>61</v>
      </c>
      <c r="B177" s="61">
        <f t="shared" si="6"/>
        <v>45830</v>
      </c>
      <c r="C177" s="63">
        <v>7.0</v>
      </c>
      <c r="D177" s="63" t="s">
        <v>47</v>
      </c>
      <c r="E177" s="64"/>
      <c r="F177" s="87"/>
      <c r="G177" s="66"/>
      <c r="H177" s="88"/>
      <c r="I177" s="66"/>
      <c r="J177" s="88"/>
      <c r="K177" s="66"/>
      <c r="L177" s="88"/>
      <c r="M177" s="66"/>
      <c r="N177" s="88"/>
      <c r="O177" s="66"/>
      <c r="P177" s="88"/>
      <c r="Q177" s="68"/>
      <c r="R177" s="87">
        <v>0.0</v>
      </c>
      <c r="S177" s="66"/>
      <c r="T177" s="88">
        <v>0.0</v>
      </c>
      <c r="U177" s="66"/>
      <c r="V177" s="88"/>
      <c r="W177" s="66"/>
      <c r="X177" s="88"/>
      <c r="Y177" s="66"/>
      <c r="Z177" s="88"/>
      <c r="AA177" s="66"/>
      <c r="AB177" s="88"/>
      <c r="AC177" s="68"/>
      <c r="AD177" s="88"/>
      <c r="AE177" s="66"/>
      <c r="AF177" s="88"/>
      <c r="AG177" s="66"/>
      <c r="AH177" s="88"/>
      <c r="AI177" s="66"/>
      <c r="AJ177" s="87"/>
      <c r="AK177" s="68"/>
      <c r="AL177" s="71"/>
      <c r="AM177" s="68"/>
      <c r="AN177" s="65"/>
      <c r="AO177" s="68"/>
      <c r="AP177" s="65"/>
      <c r="AQ177" s="68"/>
      <c r="AR177" s="65"/>
      <c r="AS177" s="68"/>
      <c r="AT177" s="67"/>
      <c r="AU177" s="66"/>
      <c r="AV177" s="67"/>
      <c r="AW177" s="68"/>
      <c r="AX177" s="73">
        <f t="shared" si="1"/>
        <v>0</v>
      </c>
      <c r="AY177" s="63">
        <f t="shared" si="2"/>
        <v>0</v>
      </c>
      <c r="AZ177" s="63">
        <f t="shared" si="3"/>
        <v>0</v>
      </c>
      <c r="BA177" s="63">
        <f t="shared" si="4"/>
        <v>0</v>
      </c>
      <c r="BB177" s="74" t="str">
        <f t="shared" si="5"/>
        <v/>
      </c>
    </row>
    <row r="178" ht="15.75" customHeight="1">
      <c r="A178" s="36" t="s">
        <v>46</v>
      </c>
      <c r="B178" s="75">
        <f t="shared" si="6"/>
        <v>45831</v>
      </c>
      <c r="C178" s="38">
        <v>7.0</v>
      </c>
      <c r="D178" s="38" t="s">
        <v>65</v>
      </c>
      <c r="E178" s="40"/>
      <c r="F178" s="85"/>
      <c r="H178" s="86"/>
      <c r="J178" s="86"/>
      <c r="L178" s="86"/>
      <c r="N178" s="86"/>
      <c r="P178" s="86"/>
      <c r="Q178" s="43"/>
      <c r="R178" s="85">
        <v>116.0</v>
      </c>
      <c r="T178" s="86">
        <v>128.0</v>
      </c>
      <c r="V178" s="86"/>
      <c r="X178" s="86"/>
      <c r="Z178" s="86"/>
      <c r="AB178" s="86"/>
      <c r="AC178" s="43"/>
      <c r="AD178" s="86"/>
      <c r="AF178" s="86"/>
      <c r="AH178" s="86"/>
      <c r="AJ178" s="85"/>
      <c r="AK178" s="43"/>
      <c r="AL178" s="46"/>
      <c r="AM178" s="43"/>
      <c r="AN178" s="41"/>
      <c r="AO178" s="43"/>
      <c r="AP178" s="41"/>
      <c r="AQ178" s="43"/>
      <c r="AR178" s="41"/>
      <c r="AS178" s="43"/>
      <c r="AT178" s="42"/>
      <c r="AV178" s="42"/>
      <c r="AW178" s="43"/>
      <c r="AX178" s="47">
        <f t="shared" si="1"/>
        <v>2713.28</v>
      </c>
      <c r="AY178" s="38">
        <f t="shared" si="2"/>
        <v>244</v>
      </c>
      <c r="AZ178" s="38">
        <f t="shared" si="3"/>
        <v>0</v>
      </c>
      <c r="BA178" s="38">
        <f t="shared" si="4"/>
        <v>244</v>
      </c>
      <c r="BB178" s="76">
        <f t="shared" si="5"/>
        <v>11.12</v>
      </c>
    </row>
    <row r="179" ht="15.75" customHeight="1">
      <c r="A179" s="50" t="s">
        <v>48</v>
      </c>
      <c r="B179" s="51">
        <f t="shared" si="6"/>
        <v>45832</v>
      </c>
      <c r="C179" s="52">
        <v>7.0</v>
      </c>
      <c r="D179" s="52" t="s">
        <v>65</v>
      </c>
      <c r="E179" s="53"/>
      <c r="F179" s="85"/>
      <c r="H179" s="86"/>
      <c r="J179" s="86"/>
      <c r="L179" s="86"/>
      <c r="N179" s="86"/>
      <c r="P179" s="86"/>
      <c r="Q179" s="43"/>
      <c r="R179" s="85">
        <v>114.0</v>
      </c>
      <c r="T179" s="86">
        <v>130.0</v>
      </c>
      <c r="V179" s="86"/>
      <c r="X179" s="86"/>
      <c r="Z179" s="86"/>
      <c r="AB179" s="86"/>
      <c r="AC179" s="43"/>
      <c r="AD179" s="86"/>
      <c r="AF179" s="86"/>
      <c r="AH179" s="86"/>
      <c r="AJ179" s="85"/>
      <c r="AK179" s="43"/>
      <c r="AL179" s="46"/>
      <c r="AM179" s="43"/>
      <c r="AN179" s="41"/>
      <c r="AO179" s="43"/>
      <c r="AP179" s="41"/>
      <c r="AQ179" s="43"/>
      <c r="AR179" s="41"/>
      <c r="AS179" s="43"/>
      <c r="AT179" s="42"/>
      <c r="AV179" s="42"/>
      <c r="AW179" s="43"/>
      <c r="AX179" s="54">
        <f t="shared" si="1"/>
        <v>2713.28</v>
      </c>
      <c r="AY179" s="52">
        <f t="shared" si="2"/>
        <v>244</v>
      </c>
      <c r="AZ179" s="52">
        <f t="shared" si="3"/>
        <v>0</v>
      </c>
      <c r="BA179" s="52">
        <f t="shared" si="4"/>
        <v>244</v>
      </c>
      <c r="BB179" s="49">
        <f t="shared" si="5"/>
        <v>11.12</v>
      </c>
    </row>
    <row r="180" ht="15.75" customHeight="1">
      <c r="A180" s="50" t="s">
        <v>49</v>
      </c>
      <c r="B180" s="51">
        <f t="shared" si="6"/>
        <v>45833</v>
      </c>
      <c r="C180" s="52">
        <v>7.0</v>
      </c>
      <c r="D180" s="52" t="s">
        <v>65</v>
      </c>
      <c r="E180" s="53"/>
      <c r="F180" s="85"/>
      <c r="H180" s="86"/>
      <c r="J180" s="86"/>
      <c r="L180" s="86"/>
      <c r="N180" s="86"/>
      <c r="P180" s="86"/>
      <c r="Q180" s="43"/>
      <c r="R180" s="85">
        <v>112.0</v>
      </c>
      <c r="T180" s="86">
        <v>113.0</v>
      </c>
      <c r="V180" s="86"/>
      <c r="X180" s="86"/>
      <c r="Z180" s="86"/>
      <c r="AB180" s="86"/>
      <c r="AC180" s="43"/>
      <c r="AD180" s="86"/>
      <c r="AF180" s="86"/>
      <c r="AH180" s="86"/>
      <c r="AJ180" s="85"/>
      <c r="AK180" s="43"/>
      <c r="AL180" s="46"/>
      <c r="AM180" s="43"/>
      <c r="AN180" s="41"/>
      <c r="AO180" s="43"/>
      <c r="AP180" s="41"/>
      <c r="AQ180" s="43"/>
      <c r="AR180" s="41"/>
      <c r="AS180" s="43"/>
      <c r="AT180" s="42"/>
      <c r="AV180" s="42"/>
      <c r="AW180" s="43"/>
      <c r="AX180" s="54">
        <f t="shared" si="1"/>
        <v>2502</v>
      </c>
      <c r="AY180" s="52">
        <f t="shared" si="2"/>
        <v>225</v>
      </c>
      <c r="AZ180" s="52">
        <f t="shared" si="3"/>
        <v>0</v>
      </c>
      <c r="BA180" s="52">
        <f t="shared" si="4"/>
        <v>225</v>
      </c>
      <c r="BB180" s="49">
        <f t="shared" si="5"/>
        <v>11.12</v>
      </c>
    </row>
    <row r="181" ht="15.75" customHeight="1">
      <c r="A181" s="50" t="s">
        <v>50</v>
      </c>
      <c r="B181" s="51">
        <f t="shared" si="6"/>
        <v>45834</v>
      </c>
      <c r="C181" s="52">
        <v>7.0</v>
      </c>
      <c r="D181" s="52" t="s">
        <v>65</v>
      </c>
      <c r="E181" s="53"/>
      <c r="F181" s="85"/>
      <c r="H181" s="86"/>
      <c r="J181" s="86"/>
      <c r="L181" s="86"/>
      <c r="N181" s="86"/>
      <c r="P181" s="86"/>
      <c r="Q181" s="43"/>
      <c r="R181" s="85">
        <v>106.0</v>
      </c>
      <c r="T181" s="86">
        <v>128.0</v>
      </c>
      <c r="V181" s="86"/>
      <c r="X181" s="86"/>
      <c r="Z181" s="86"/>
      <c r="AB181" s="86"/>
      <c r="AC181" s="43"/>
      <c r="AD181" s="86"/>
      <c r="AF181" s="86"/>
      <c r="AH181" s="86"/>
      <c r="AJ181" s="85"/>
      <c r="AK181" s="43"/>
      <c r="AL181" s="46"/>
      <c r="AM181" s="43"/>
      <c r="AN181" s="41"/>
      <c r="AO181" s="43"/>
      <c r="AP181" s="41"/>
      <c r="AQ181" s="43"/>
      <c r="AR181" s="41"/>
      <c r="AS181" s="43"/>
      <c r="AT181" s="42"/>
      <c r="AV181" s="42"/>
      <c r="AW181" s="43"/>
      <c r="AX181" s="54">
        <f t="shared" si="1"/>
        <v>2602.08</v>
      </c>
      <c r="AY181" s="52">
        <f t="shared" si="2"/>
        <v>234</v>
      </c>
      <c r="AZ181" s="52">
        <f t="shared" si="3"/>
        <v>0</v>
      </c>
      <c r="BA181" s="52">
        <f t="shared" si="4"/>
        <v>234</v>
      </c>
      <c r="BB181" s="49">
        <f t="shared" si="5"/>
        <v>11.12</v>
      </c>
    </row>
    <row r="182" ht="15.75" customHeight="1">
      <c r="A182" s="50" t="s">
        <v>53</v>
      </c>
      <c r="B182" s="51">
        <f t="shared" si="6"/>
        <v>45835</v>
      </c>
      <c r="C182" s="52">
        <v>7.0</v>
      </c>
      <c r="D182" s="52" t="s">
        <v>65</v>
      </c>
      <c r="E182" s="53"/>
      <c r="F182" s="85"/>
      <c r="H182" s="86"/>
      <c r="J182" s="86"/>
      <c r="L182" s="86"/>
      <c r="N182" s="86"/>
      <c r="P182" s="86"/>
      <c r="Q182" s="43"/>
      <c r="R182" s="85">
        <v>118.0</v>
      </c>
      <c r="T182" s="86">
        <v>90.0</v>
      </c>
      <c r="V182" s="86"/>
      <c r="X182" s="86"/>
      <c r="Z182" s="86"/>
      <c r="AB182" s="86"/>
      <c r="AC182" s="43"/>
      <c r="AD182" s="86"/>
      <c r="AF182" s="86"/>
      <c r="AH182" s="86"/>
      <c r="AJ182" s="85"/>
      <c r="AK182" s="43"/>
      <c r="AL182" s="46"/>
      <c r="AM182" s="43"/>
      <c r="AN182" s="41"/>
      <c r="AO182" s="43"/>
      <c r="AP182" s="41"/>
      <c r="AQ182" s="43"/>
      <c r="AR182" s="41"/>
      <c r="AS182" s="43"/>
      <c r="AT182" s="42"/>
      <c r="AV182" s="42"/>
      <c r="AW182" s="43"/>
      <c r="AX182" s="54">
        <f t="shared" si="1"/>
        <v>2312.96</v>
      </c>
      <c r="AY182" s="52">
        <f t="shared" si="2"/>
        <v>208</v>
      </c>
      <c r="AZ182" s="52">
        <f t="shared" si="3"/>
        <v>0</v>
      </c>
      <c r="BA182" s="52">
        <f t="shared" si="4"/>
        <v>208</v>
      </c>
      <c r="BB182" s="49">
        <f t="shared" si="5"/>
        <v>11.12</v>
      </c>
    </row>
    <row r="183" ht="15.75" customHeight="1">
      <c r="A183" s="50" t="s">
        <v>54</v>
      </c>
      <c r="B183" s="51">
        <f t="shared" si="6"/>
        <v>45836</v>
      </c>
      <c r="C183" s="52">
        <v>7.0</v>
      </c>
      <c r="D183" s="52" t="s">
        <v>65</v>
      </c>
      <c r="E183" s="53"/>
      <c r="F183" s="85"/>
      <c r="H183" s="86"/>
      <c r="J183" s="86"/>
      <c r="L183" s="86"/>
      <c r="N183" s="86"/>
      <c r="P183" s="86"/>
      <c r="Q183" s="43"/>
      <c r="R183" s="85">
        <v>88.0</v>
      </c>
      <c r="T183" s="86">
        <v>92.0</v>
      </c>
      <c r="V183" s="86"/>
      <c r="X183" s="86"/>
      <c r="Z183" s="86"/>
      <c r="AB183" s="86"/>
      <c r="AC183" s="43"/>
      <c r="AD183" s="86"/>
      <c r="AF183" s="86"/>
      <c r="AH183" s="86"/>
      <c r="AJ183" s="85"/>
      <c r="AK183" s="43"/>
      <c r="AL183" s="46"/>
      <c r="AM183" s="43"/>
      <c r="AN183" s="41"/>
      <c r="AO183" s="43"/>
      <c r="AP183" s="41"/>
      <c r="AQ183" s="43"/>
      <c r="AR183" s="41"/>
      <c r="AS183" s="43"/>
      <c r="AT183" s="42"/>
      <c r="AV183" s="42"/>
      <c r="AW183" s="43"/>
      <c r="AX183" s="54">
        <f t="shared" si="1"/>
        <v>2001.6</v>
      </c>
      <c r="AY183" s="52">
        <f t="shared" si="2"/>
        <v>180</v>
      </c>
      <c r="AZ183" s="52">
        <f t="shared" si="3"/>
        <v>0</v>
      </c>
      <c r="BA183" s="52">
        <f t="shared" si="4"/>
        <v>180</v>
      </c>
      <c r="BB183" s="49">
        <f t="shared" si="5"/>
        <v>11.12</v>
      </c>
    </row>
    <row r="184" ht="15.75" customHeight="1">
      <c r="A184" s="59" t="s">
        <v>61</v>
      </c>
      <c r="B184" s="61">
        <f t="shared" si="6"/>
        <v>45837</v>
      </c>
      <c r="C184" s="63">
        <v>7.0</v>
      </c>
      <c r="D184" s="63" t="s">
        <v>65</v>
      </c>
      <c r="E184" s="64"/>
      <c r="F184" s="87"/>
      <c r="G184" s="66"/>
      <c r="H184" s="88"/>
      <c r="I184" s="66"/>
      <c r="J184" s="88"/>
      <c r="K184" s="66"/>
      <c r="L184" s="88"/>
      <c r="M184" s="66"/>
      <c r="N184" s="88"/>
      <c r="O184" s="66"/>
      <c r="P184" s="88"/>
      <c r="Q184" s="68"/>
      <c r="R184" s="87">
        <v>0.0</v>
      </c>
      <c r="S184" s="66"/>
      <c r="T184" s="88">
        <v>0.0</v>
      </c>
      <c r="U184" s="66"/>
      <c r="V184" s="88"/>
      <c r="W184" s="66"/>
      <c r="X184" s="88"/>
      <c r="Y184" s="66"/>
      <c r="Z184" s="88"/>
      <c r="AA184" s="66"/>
      <c r="AB184" s="88"/>
      <c r="AC184" s="68"/>
      <c r="AD184" s="88"/>
      <c r="AE184" s="66"/>
      <c r="AF184" s="88"/>
      <c r="AG184" s="66"/>
      <c r="AH184" s="88"/>
      <c r="AI184" s="66"/>
      <c r="AJ184" s="87"/>
      <c r="AK184" s="68"/>
      <c r="AL184" s="71"/>
      <c r="AM184" s="68"/>
      <c r="AN184" s="65"/>
      <c r="AO184" s="68"/>
      <c r="AP184" s="65"/>
      <c r="AQ184" s="68"/>
      <c r="AR184" s="65"/>
      <c r="AS184" s="68"/>
      <c r="AT184" s="67"/>
      <c r="AU184" s="66"/>
      <c r="AV184" s="67"/>
      <c r="AW184" s="68"/>
      <c r="AX184" s="73">
        <f t="shared" si="1"/>
        <v>0</v>
      </c>
      <c r="AY184" s="63">
        <f t="shared" si="2"/>
        <v>0</v>
      </c>
      <c r="AZ184" s="63">
        <f t="shared" si="3"/>
        <v>0</v>
      </c>
      <c r="BA184" s="63">
        <f t="shared" si="4"/>
        <v>0</v>
      </c>
      <c r="BB184" s="74" t="str">
        <f t="shared" si="5"/>
        <v/>
      </c>
    </row>
    <row r="185" ht="15.75" customHeight="1">
      <c r="A185" s="36" t="s">
        <v>46</v>
      </c>
      <c r="B185" s="75">
        <f t="shared" si="6"/>
        <v>45838</v>
      </c>
      <c r="C185" s="38">
        <v>7.0</v>
      </c>
      <c r="D185" s="38" t="s">
        <v>69</v>
      </c>
      <c r="E185" s="40"/>
      <c r="F185" s="85"/>
      <c r="H185" s="86"/>
      <c r="J185" s="86"/>
      <c r="L185" s="86"/>
      <c r="N185" s="86"/>
      <c r="P185" s="86"/>
      <c r="Q185" s="43"/>
      <c r="R185" s="85">
        <v>74.0</v>
      </c>
      <c r="T185" s="86">
        <v>102.0</v>
      </c>
      <c r="V185" s="86"/>
      <c r="X185" s="86"/>
      <c r="Z185" s="86"/>
      <c r="AB185" s="86"/>
      <c r="AC185" s="43"/>
      <c r="AD185" s="86"/>
      <c r="AF185" s="86"/>
      <c r="AH185" s="86"/>
      <c r="AJ185" s="85"/>
      <c r="AK185" s="43"/>
      <c r="AL185" s="46"/>
      <c r="AM185" s="43"/>
      <c r="AN185" s="41"/>
      <c r="AO185" s="43"/>
      <c r="AP185" s="41"/>
      <c r="AQ185" s="43"/>
      <c r="AR185" s="41"/>
      <c r="AS185" s="43"/>
      <c r="AT185" s="42"/>
      <c r="AV185" s="42"/>
      <c r="AW185" s="43"/>
      <c r="AX185" s="54">
        <f t="shared" si="1"/>
        <v>1957.12</v>
      </c>
      <c r="AY185" s="38">
        <f t="shared" si="2"/>
        <v>176</v>
      </c>
      <c r="AZ185" s="38">
        <f t="shared" si="3"/>
        <v>0</v>
      </c>
      <c r="BA185" s="38">
        <f t="shared" si="4"/>
        <v>176</v>
      </c>
      <c r="BB185" s="76">
        <f t="shared" si="5"/>
        <v>11.12</v>
      </c>
    </row>
    <row r="186" ht="15.75" customHeight="1">
      <c r="A186" s="50" t="s">
        <v>48</v>
      </c>
      <c r="B186" s="51">
        <f t="shared" si="6"/>
        <v>45839</v>
      </c>
      <c r="C186" s="52">
        <v>7.0</v>
      </c>
      <c r="D186" s="52" t="s">
        <v>69</v>
      </c>
      <c r="E186" s="53"/>
      <c r="F186" s="85"/>
      <c r="H186" s="86"/>
      <c r="J186" s="86"/>
      <c r="L186" s="86"/>
      <c r="N186" s="86"/>
      <c r="P186" s="86"/>
      <c r="Q186" s="43"/>
      <c r="R186" s="85">
        <v>84.0</v>
      </c>
      <c r="T186" s="86">
        <v>58.0</v>
      </c>
      <c r="V186" s="86"/>
      <c r="X186" s="86"/>
      <c r="Z186" s="86"/>
      <c r="AB186" s="86"/>
      <c r="AC186" s="43"/>
      <c r="AD186" s="86"/>
      <c r="AF186" s="86"/>
      <c r="AH186" s="86"/>
      <c r="AJ186" s="85"/>
      <c r="AK186" s="43"/>
      <c r="AL186" s="46"/>
      <c r="AM186" s="43"/>
      <c r="AN186" s="41"/>
      <c r="AO186" s="43"/>
      <c r="AP186" s="41"/>
      <c r="AQ186" s="43"/>
      <c r="AR186" s="41"/>
      <c r="AS186" s="43"/>
      <c r="AT186" s="42"/>
      <c r="AV186" s="42"/>
      <c r="AW186" s="43"/>
      <c r="AX186" s="54">
        <f t="shared" si="1"/>
        <v>1579.04</v>
      </c>
      <c r="AY186" s="52">
        <f t="shared" si="2"/>
        <v>142</v>
      </c>
      <c r="AZ186" s="52">
        <f t="shared" si="3"/>
        <v>0</v>
      </c>
      <c r="BA186" s="52">
        <f t="shared" si="4"/>
        <v>142</v>
      </c>
      <c r="BB186" s="49">
        <f t="shared" si="5"/>
        <v>11.12</v>
      </c>
    </row>
    <row r="187" ht="15.75" customHeight="1">
      <c r="A187" s="50" t="s">
        <v>49</v>
      </c>
      <c r="B187" s="51">
        <f t="shared" si="6"/>
        <v>45840</v>
      </c>
      <c r="C187" s="52">
        <v>7.0</v>
      </c>
      <c r="D187" s="52" t="s">
        <v>69</v>
      </c>
      <c r="E187" s="92"/>
      <c r="F187" s="85"/>
      <c r="H187" s="86"/>
      <c r="J187" s="86"/>
      <c r="L187" s="86"/>
      <c r="N187" s="86"/>
      <c r="P187" s="86"/>
      <c r="Q187" s="43"/>
      <c r="R187" s="85">
        <v>96.0</v>
      </c>
      <c r="T187" s="86">
        <v>260.0</v>
      </c>
      <c r="V187" s="86"/>
      <c r="X187" s="86"/>
      <c r="Z187" s="86"/>
      <c r="AB187" s="86"/>
      <c r="AC187" s="43"/>
      <c r="AD187" s="86"/>
      <c r="AF187" s="86"/>
      <c r="AH187" s="86"/>
      <c r="AJ187" s="85"/>
      <c r="AK187" s="43"/>
      <c r="AL187" s="107"/>
      <c r="AM187" s="43"/>
      <c r="AN187" s="41"/>
      <c r="AO187" s="43"/>
      <c r="AP187" s="41"/>
      <c r="AQ187" s="43"/>
      <c r="AR187" s="41"/>
      <c r="AS187" s="43"/>
      <c r="AT187" s="42"/>
      <c r="AV187" s="42"/>
      <c r="AW187" s="43"/>
      <c r="AX187" s="54">
        <f t="shared" si="1"/>
        <v>3958.72</v>
      </c>
      <c r="AY187" s="52">
        <f t="shared" si="2"/>
        <v>356</v>
      </c>
      <c r="AZ187" s="52">
        <f t="shared" si="3"/>
        <v>0</v>
      </c>
      <c r="BA187" s="52">
        <f t="shared" si="4"/>
        <v>356</v>
      </c>
      <c r="BB187" s="49">
        <f t="shared" si="5"/>
        <v>11.12</v>
      </c>
    </row>
    <row r="188" ht="15.75" customHeight="1">
      <c r="A188" s="50" t="s">
        <v>50</v>
      </c>
      <c r="B188" s="51">
        <f t="shared" si="6"/>
        <v>45841</v>
      </c>
      <c r="C188" s="52">
        <v>7.0</v>
      </c>
      <c r="D188" s="52" t="s">
        <v>69</v>
      </c>
      <c r="E188" s="92"/>
      <c r="F188" s="85"/>
      <c r="H188" s="86"/>
      <c r="J188" s="86"/>
      <c r="L188" s="86"/>
      <c r="N188" s="86"/>
      <c r="P188" s="86"/>
      <c r="Q188" s="43"/>
      <c r="R188" s="85">
        <v>93.0</v>
      </c>
      <c r="T188" s="86">
        <v>108.0</v>
      </c>
      <c r="V188" s="86"/>
      <c r="X188" s="86"/>
      <c r="Z188" s="86"/>
      <c r="AB188" s="86"/>
      <c r="AC188" s="43"/>
      <c r="AD188" s="86"/>
      <c r="AF188" s="86"/>
      <c r="AH188" s="86"/>
      <c r="AJ188" s="85"/>
      <c r="AK188" s="43"/>
      <c r="AL188" s="108"/>
      <c r="AM188" s="43"/>
      <c r="AN188" s="41"/>
      <c r="AO188" s="43"/>
      <c r="AP188" s="41"/>
      <c r="AQ188" s="43"/>
      <c r="AR188" s="41"/>
      <c r="AS188" s="43"/>
      <c r="AT188" s="42"/>
      <c r="AV188" s="42"/>
      <c r="AW188" s="43"/>
      <c r="AX188" s="54">
        <f t="shared" si="1"/>
        <v>2235.12</v>
      </c>
      <c r="AY188" s="52">
        <f t="shared" si="2"/>
        <v>201</v>
      </c>
      <c r="AZ188" s="52">
        <f t="shared" si="3"/>
        <v>0</v>
      </c>
      <c r="BA188" s="52">
        <f t="shared" si="4"/>
        <v>201</v>
      </c>
      <c r="BB188" s="49">
        <f t="shared" si="5"/>
        <v>11.12</v>
      </c>
    </row>
    <row r="189" ht="15.75" customHeight="1">
      <c r="A189" s="50" t="s">
        <v>53</v>
      </c>
      <c r="B189" s="51">
        <f t="shared" si="6"/>
        <v>45842</v>
      </c>
      <c r="C189" s="52">
        <v>7.0</v>
      </c>
      <c r="D189" s="52" t="s">
        <v>69</v>
      </c>
      <c r="E189" s="53"/>
      <c r="F189" s="85"/>
      <c r="H189" s="86"/>
      <c r="J189" s="86"/>
      <c r="L189" s="86"/>
      <c r="N189" s="86"/>
      <c r="P189" s="86"/>
      <c r="Q189" s="43"/>
      <c r="R189" s="85">
        <v>95.0</v>
      </c>
      <c r="T189" s="86">
        <v>80.0</v>
      </c>
      <c r="V189" s="86"/>
      <c r="X189" s="86"/>
      <c r="Z189" s="86"/>
      <c r="AB189" s="86"/>
      <c r="AC189" s="43"/>
      <c r="AD189" s="86"/>
      <c r="AF189" s="86"/>
      <c r="AH189" s="86"/>
      <c r="AJ189" s="85"/>
      <c r="AK189" s="43"/>
      <c r="AL189" s="46"/>
      <c r="AM189" s="43"/>
      <c r="AN189" s="41"/>
      <c r="AO189" s="43"/>
      <c r="AP189" s="41"/>
      <c r="AQ189" s="43"/>
      <c r="AR189" s="41"/>
      <c r="AS189" s="43"/>
      <c r="AT189" s="42"/>
      <c r="AV189" s="42"/>
      <c r="AW189" s="43"/>
      <c r="AX189" s="54">
        <f t="shared" si="1"/>
        <v>1946</v>
      </c>
      <c r="AY189" s="52">
        <f t="shared" si="2"/>
        <v>175</v>
      </c>
      <c r="AZ189" s="52">
        <f t="shared" si="3"/>
        <v>0</v>
      </c>
      <c r="BA189" s="52">
        <f t="shared" si="4"/>
        <v>175</v>
      </c>
      <c r="BB189" s="49">
        <f t="shared" si="5"/>
        <v>11.12</v>
      </c>
    </row>
    <row r="190" ht="15.75" customHeight="1">
      <c r="A190" s="50" t="s">
        <v>54</v>
      </c>
      <c r="B190" s="51">
        <f t="shared" si="6"/>
        <v>45843</v>
      </c>
      <c r="C190" s="52">
        <v>7.0</v>
      </c>
      <c r="D190" s="52" t="s">
        <v>69</v>
      </c>
      <c r="E190" s="53"/>
      <c r="F190" s="85"/>
      <c r="H190" s="86"/>
      <c r="J190" s="86"/>
      <c r="L190" s="86"/>
      <c r="N190" s="86"/>
      <c r="P190" s="86"/>
      <c r="Q190" s="43"/>
      <c r="R190" s="85">
        <v>77.0</v>
      </c>
      <c r="T190" s="86">
        <v>85.0</v>
      </c>
      <c r="V190" s="86"/>
      <c r="X190" s="86"/>
      <c r="Z190" s="86"/>
      <c r="AB190" s="86"/>
      <c r="AC190" s="43"/>
      <c r="AD190" s="86"/>
      <c r="AF190" s="86"/>
      <c r="AH190" s="86"/>
      <c r="AJ190" s="85"/>
      <c r="AK190" s="43"/>
      <c r="AL190" s="46"/>
      <c r="AM190" s="43"/>
      <c r="AN190" s="41"/>
      <c r="AO190" s="43"/>
      <c r="AP190" s="41"/>
      <c r="AQ190" s="43"/>
      <c r="AR190" s="41"/>
      <c r="AS190" s="43"/>
      <c r="AT190" s="42"/>
      <c r="AV190" s="42"/>
      <c r="AW190" s="43"/>
      <c r="AX190" s="54">
        <f t="shared" si="1"/>
        <v>1801.44</v>
      </c>
      <c r="AY190" s="52">
        <f t="shared" si="2"/>
        <v>162</v>
      </c>
      <c r="AZ190" s="52">
        <f t="shared" si="3"/>
        <v>0</v>
      </c>
      <c r="BA190" s="52">
        <f t="shared" si="4"/>
        <v>162</v>
      </c>
      <c r="BB190" s="49">
        <f t="shared" si="5"/>
        <v>11.12</v>
      </c>
    </row>
    <row r="191" ht="15.75" customHeight="1">
      <c r="A191" s="59" t="s">
        <v>61</v>
      </c>
      <c r="B191" s="61">
        <f t="shared" si="6"/>
        <v>45844</v>
      </c>
      <c r="C191" s="63">
        <v>7.0</v>
      </c>
      <c r="D191" s="63" t="s">
        <v>69</v>
      </c>
      <c r="E191" s="64"/>
      <c r="F191" s="87"/>
      <c r="G191" s="66"/>
      <c r="H191" s="88"/>
      <c r="I191" s="66"/>
      <c r="J191" s="88"/>
      <c r="K191" s="66"/>
      <c r="L191" s="88"/>
      <c r="M191" s="66"/>
      <c r="N191" s="88"/>
      <c r="O191" s="66"/>
      <c r="P191" s="88"/>
      <c r="Q191" s="68"/>
      <c r="R191" s="87">
        <v>0.0</v>
      </c>
      <c r="S191" s="66"/>
      <c r="T191" s="88">
        <v>0.0</v>
      </c>
      <c r="U191" s="66"/>
      <c r="V191" s="88"/>
      <c r="W191" s="66"/>
      <c r="X191" s="88"/>
      <c r="Y191" s="66"/>
      <c r="Z191" s="88"/>
      <c r="AA191" s="66"/>
      <c r="AB191" s="88"/>
      <c r="AC191" s="68"/>
      <c r="AD191" s="88"/>
      <c r="AE191" s="66"/>
      <c r="AF191" s="88"/>
      <c r="AG191" s="66"/>
      <c r="AH191" s="88"/>
      <c r="AI191" s="66"/>
      <c r="AJ191" s="87"/>
      <c r="AK191" s="68"/>
      <c r="AL191" s="71"/>
      <c r="AM191" s="68"/>
      <c r="AN191" s="65"/>
      <c r="AO191" s="68"/>
      <c r="AP191" s="65"/>
      <c r="AQ191" s="68"/>
      <c r="AR191" s="65"/>
      <c r="AS191" s="68"/>
      <c r="AT191" s="67"/>
      <c r="AU191" s="66"/>
      <c r="AV191" s="67"/>
      <c r="AW191" s="68"/>
      <c r="AX191" s="73">
        <f t="shared" si="1"/>
        <v>0</v>
      </c>
      <c r="AY191" s="63">
        <f t="shared" si="2"/>
        <v>0</v>
      </c>
      <c r="AZ191" s="63">
        <f t="shared" si="3"/>
        <v>0</v>
      </c>
      <c r="BA191" s="63">
        <f t="shared" si="4"/>
        <v>0</v>
      </c>
      <c r="BB191" s="74" t="str">
        <f t="shared" si="5"/>
        <v/>
      </c>
    </row>
    <row r="192" ht="15.75" customHeight="1">
      <c r="A192" s="36" t="s">
        <v>46</v>
      </c>
      <c r="B192" s="75">
        <f t="shared" si="6"/>
        <v>45845</v>
      </c>
      <c r="C192" s="38">
        <v>7.0</v>
      </c>
      <c r="D192" s="38" t="s">
        <v>72</v>
      </c>
      <c r="E192" s="82"/>
      <c r="F192" s="85"/>
      <c r="H192" s="86"/>
      <c r="J192" s="86"/>
      <c r="L192" s="86"/>
      <c r="N192" s="86"/>
      <c r="P192" s="86"/>
      <c r="Q192" s="43"/>
      <c r="R192" s="85">
        <v>91.0</v>
      </c>
      <c r="T192" s="86">
        <v>70.0</v>
      </c>
      <c r="V192" s="86"/>
      <c r="X192" s="86"/>
      <c r="Z192" s="86"/>
      <c r="AB192" s="86"/>
      <c r="AC192" s="43"/>
      <c r="AD192" s="86"/>
      <c r="AF192" s="86"/>
      <c r="AH192" s="86"/>
      <c r="AJ192" s="85"/>
      <c r="AK192" s="43"/>
      <c r="AL192" s="46"/>
      <c r="AM192" s="43"/>
      <c r="AN192" s="41"/>
      <c r="AO192" s="43"/>
      <c r="AP192" s="41"/>
      <c r="AQ192" s="43"/>
      <c r="AR192" s="41"/>
      <c r="AS192" s="43"/>
      <c r="AT192" s="42"/>
      <c r="AV192" s="42"/>
      <c r="AW192" s="43"/>
      <c r="AX192" s="47">
        <f t="shared" si="1"/>
        <v>1790.32</v>
      </c>
      <c r="AY192" s="38">
        <f t="shared" si="2"/>
        <v>161</v>
      </c>
      <c r="AZ192" s="38">
        <f t="shared" si="3"/>
        <v>0</v>
      </c>
      <c r="BA192" s="38">
        <f t="shared" si="4"/>
        <v>161</v>
      </c>
      <c r="BB192" s="76">
        <f t="shared" si="5"/>
        <v>11.12</v>
      </c>
    </row>
    <row r="193" ht="15.75" customHeight="1">
      <c r="A193" s="50" t="s">
        <v>48</v>
      </c>
      <c r="B193" s="51">
        <f t="shared" si="6"/>
        <v>45846</v>
      </c>
      <c r="C193" s="52">
        <v>7.0</v>
      </c>
      <c r="D193" s="52" t="s">
        <v>72</v>
      </c>
      <c r="E193" s="53"/>
      <c r="F193" s="85"/>
      <c r="H193" s="86"/>
      <c r="J193" s="86"/>
      <c r="L193" s="86"/>
      <c r="N193" s="86"/>
      <c r="P193" s="86"/>
      <c r="Q193" s="43"/>
      <c r="R193" s="85">
        <v>101.0</v>
      </c>
      <c r="T193" s="86">
        <v>93.0</v>
      </c>
      <c r="V193" s="86"/>
      <c r="X193" s="86"/>
      <c r="Z193" s="86"/>
      <c r="AB193" s="86"/>
      <c r="AC193" s="43"/>
      <c r="AD193" s="86"/>
      <c r="AF193" s="86"/>
      <c r="AH193" s="86"/>
      <c r="AJ193" s="85"/>
      <c r="AK193" s="43"/>
      <c r="AL193" s="46"/>
      <c r="AM193" s="43"/>
      <c r="AN193" s="41"/>
      <c r="AO193" s="43"/>
      <c r="AP193" s="41"/>
      <c r="AQ193" s="43"/>
      <c r="AR193" s="41"/>
      <c r="AS193" s="43"/>
      <c r="AT193" s="42"/>
      <c r="AV193" s="42"/>
      <c r="AW193" s="43"/>
      <c r="AX193" s="54">
        <f t="shared" si="1"/>
        <v>2157.28</v>
      </c>
      <c r="AY193" s="52">
        <f t="shared" si="2"/>
        <v>194</v>
      </c>
      <c r="AZ193" s="52">
        <f t="shared" si="3"/>
        <v>0</v>
      </c>
      <c r="BA193" s="52">
        <f t="shared" si="4"/>
        <v>194</v>
      </c>
      <c r="BB193" s="49">
        <f t="shared" si="5"/>
        <v>11.12</v>
      </c>
    </row>
    <row r="194" ht="15.75" customHeight="1">
      <c r="A194" s="50" t="s">
        <v>49</v>
      </c>
      <c r="B194" s="51">
        <f t="shared" si="6"/>
        <v>45847</v>
      </c>
      <c r="C194" s="52">
        <v>7.0</v>
      </c>
      <c r="D194" s="52" t="s">
        <v>72</v>
      </c>
      <c r="E194" s="53"/>
      <c r="F194" s="85"/>
      <c r="H194" s="86"/>
      <c r="J194" s="86"/>
      <c r="L194" s="86"/>
      <c r="N194" s="86"/>
      <c r="P194" s="86"/>
      <c r="Q194" s="43"/>
      <c r="R194" s="85">
        <v>99.0</v>
      </c>
      <c r="T194" s="86">
        <v>124.0</v>
      </c>
      <c r="V194" s="86"/>
      <c r="X194" s="86"/>
      <c r="Z194" s="86"/>
      <c r="AB194" s="86"/>
      <c r="AC194" s="43"/>
      <c r="AD194" s="86"/>
      <c r="AF194" s="86"/>
      <c r="AH194" s="86"/>
      <c r="AJ194" s="85"/>
      <c r="AK194" s="43"/>
      <c r="AL194" s="46"/>
      <c r="AM194" s="43"/>
      <c r="AN194" s="41"/>
      <c r="AO194" s="43"/>
      <c r="AP194" s="41"/>
      <c r="AQ194" s="43"/>
      <c r="AR194" s="41"/>
      <c r="AS194" s="43"/>
      <c r="AT194" s="42"/>
      <c r="AV194" s="42"/>
      <c r="AW194" s="43"/>
      <c r="AX194" s="54">
        <f t="shared" si="1"/>
        <v>2479.76</v>
      </c>
      <c r="AY194" s="52">
        <f t="shared" si="2"/>
        <v>223</v>
      </c>
      <c r="AZ194" s="52">
        <f t="shared" si="3"/>
        <v>0</v>
      </c>
      <c r="BA194" s="52">
        <f t="shared" si="4"/>
        <v>223</v>
      </c>
      <c r="BB194" s="49">
        <f t="shared" si="5"/>
        <v>11.12</v>
      </c>
    </row>
    <row r="195" ht="15.75" customHeight="1">
      <c r="A195" s="50" t="s">
        <v>50</v>
      </c>
      <c r="B195" s="51">
        <f t="shared" si="6"/>
        <v>45848</v>
      </c>
      <c r="C195" s="52">
        <v>7.0</v>
      </c>
      <c r="D195" s="52" t="s">
        <v>72</v>
      </c>
      <c r="E195" s="53"/>
      <c r="F195" s="85"/>
      <c r="H195" s="86"/>
      <c r="J195" s="86"/>
      <c r="L195" s="86"/>
      <c r="N195" s="86"/>
      <c r="P195" s="86"/>
      <c r="Q195" s="43"/>
      <c r="R195" s="85">
        <v>101.0</v>
      </c>
      <c r="T195" s="86">
        <v>140.0</v>
      </c>
      <c r="V195" s="86"/>
      <c r="X195" s="86"/>
      <c r="Z195" s="86"/>
      <c r="AB195" s="86"/>
      <c r="AC195" s="43"/>
      <c r="AD195" s="86"/>
      <c r="AF195" s="86"/>
      <c r="AH195" s="86"/>
      <c r="AJ195" s="85"/>
      <c r="AK195" s="43"/>
      <c r="AL195" s="46"/>
      <c r="AM195" s="43"/>
      <c r="AN195" s="41"/>
      <c r="AO195" s="43"/>
      <c r="AP195" s="41"/>
      <c r="AQ195" s="43"/>
      <c r="AR195" s="41"/>
      <c r="AS195" s="43"/>
      <c r="AT195" s="42"/>
      <c r="AV195" s="42"/>
      <c r="AW195" s="43"/>
      <c r="AX195" s="54">
        <f t="shared" si="1"/>
        <v>2679.92</v>
      </c>
      <c r="AY195" s="52">
        <f t="shared" si="2"/>
        <v>241</v>
      </c>
      <c r="AZ195" s="52">
        <f t="shared" si="3"/>
        <v>0</v>
      </c>
      <c r="BA195" s="52">
        <f t="shared" si="4"/>
        <v>241</v>
      </c>
      <c r="BB195" s="49">
        <f t="shared" si="5"/>
        <v>11.12</v>
      </c>
    </row>
    <row r="196" ht="15.75" customHeight="1">
      <c r="A196" s="50" t="s">
        <v>53</v>
      </c>
      <c r="B196" s="51">
        <f t="shared" si="6"/>
        <v>45849</v>
      </c>
      <c r="C196" s="52">
        <v>7.0</v>
      </c>
      <c r="D196" s="52" t="s">
        <v>72</v>
      </c>
      <c r="E196" s="53"/>
      <c r="F196" s="85"/>
      <c r="H196" s="86"/>
      <c r="J196" s="86"/>
      <c r="L196" s="86"/>
      <c r="N196" s="86"/>
      <c r="P196" s="86"/>
      <c r="Q196" s="43"/>
      <c r="R196" s="85">
        <v>92.0</v>
      </c>
      <c r="T196" s="86">
        <v>113.0</v>
      </c>
      <c r="V196" s="86"/>
      <c r="X196" s="86"/>
      <c r="Z196" s="86"/>
      <c r="AB196" s="86"/>
      <c r="AC196" s="43"/>
      <c r="AD196" s="86"/>
      <c r="AF196" s="86"/>
      <c r="AH196" s="86"/>
      <c r="AJ196" s="85"/>
      <c r="AK196" s="43"/>
      <c r="AL196" s="46"/>
      <c r="AM196" s="43"/>
      <c r="AN196" s="41"/>
      <c r="AO196" s="43"/>
      <c r="AP196" s="41"/>
      <c r="AQ196" s="43"/>
      <c r="AR196" s="41"/>
      <c r="AS196" s="43"/>
      <c r="AT196" s="42"/>
      <c r="AV196" s="42"/>
      <c r="AW196" s="43"/>
      <c r="AX196" s="54">
        <f t="shared" si="1"/>
        <v>2279.6</v>
      </c>
      <c r="AY196" s="52">
        <f t="shared" si="2"/>
        <v>205</v>
      </c>
      <c r="AZ196" s="52">
        <f t="shared" si="3"/>
        <v>0</v>
      </c>
      <c r="BA196" s="52">
        <f t="shared" si="4"/>
        <v>205</v>
      </c>
      <c r="BB196" s="49">
        <f t="shared" si="5"/>
        <v>11.12</v>
      </c>
    </row>
    <row r="197" ht="15.75" customHeight="1">
      <c r="A197" s="50" t="s">
        <v>54</v>
      </c>
      <c r="B197" s="51">
        <f t="shared" si="6"/>
        <v>45850</v>
      </c>
      <c r="C197" s="52">
        <v>7.0</v>
      </c>
      <c r="D197" s="52" t="s">
        <v>72</v>
      </c>
      <c r="E197" s="92"/>
      <c r="F197" s="85"/>
      <c r="H197" s="86"/>
      <c r="J197" s="86"/>
      <c r="L197" s="86"/>
      <c r="N197" s="86"/>
      <c r="P197" s="86"/>
      <c r="Q197" s="43"/>
      <c r="R197" s="85">
        <v>69.0</v>
      </c>
      <c r="T197" s="86">
        <v>75.0</v>
      </c>
      <c r="V197" s="86"/>
      <c r="X197" s="86"/>
      <c r="Z197" s="86"/>
      <c r="AB197" s="86"/>
      <c r="AC197" s="43"/>
      <c r="AD197" s="86"/>
      <c r="AF197" s="86"/>
      <c r="AH197" s="86"/>
      <c r="AJ197" s="85"/>
      <c r="AK197" s="43"/>
      <c r="AL197" s="46"/>
      <c r="AM197" s="43"/>
      <c r="AN197" s="41"/>
      <c r="AO197" s="43"/>
      <c r="AP197" s="41"/>
      <c r="AQ197" s="43"/>
      <c r="AR197" s="41"/>
      <c r="AS197" s="43"/>
      <c r="AT197" s="42"/>
      <c r="AV197" s="42"/>
      <c r="AW197" s="43"/>
      <c r="AX197" s="54">
        <f t="shared" si="1"/>
        <v>1601.28</v>
      </c>
      <c r="AY197" s="52">
        <f t="shared" si="2"/>
        <v>144</v>
      </c>
      <c r="AZ197" s="52">
        <f t="shared" si="3"/>
        <v>0</v>
      </c>
      <c r="BA197" s="52">
        <f t="shared" si="4"/>
        <v>144</v>
      </c>
      <c r="BB197" s="49">
        <f t="shared" si="5"/>
        <v>11.12</v>
      </c>
    </row>
    <row r="198" ht="15.75" customHeight="1">
      <c r="A198" s="59" t="s">
        <v>61</v>
      </c>
      <c r="B198" s="61">
        <f t="shared" si="6"/>
        <v>45851</v>
      </c>
      <c r="C198" s="63">
        <v>7.0</v>
      </c>
      <c r="D198" s="63" t="s">
        <v>72</v>
      </c>
      <c r="E198" s="64"/>
      <c r="F198" s="87"/>
      <c r="G198" s="66"/>
      <c r="H198" s="88"/>
      <c r="I198" s="66"/>
      <c r="J198" s="88"/>
      <c r="K198" s="66"/>
      <c r="L198" s="88"/>
      <c r="M198" s="66"/>
      <c r="N198" s="88"/>
      <c r="O198" s="66"/>
      <c r="P198" s="88"/>
      <c r="Q198" s="68"/>
      <c r="R198" s="87">
        <v>0.0</v>
      </c>
      <c r="S198" s="66"/>
      <c r="T198" s="88">
        <v>0.0</v>
      </c>
      <c r="U198" s="66"/>
      <c r="V198" s="88"/>
      <c r="W198" s="66"/>
      <c r="X198" s="88"/>
      <c r="Y198" s="66"/>
      <c r="Z198" s="88"/>
      <c r="AA198" s="66"/>
      <c r="AB198" s="88"/>
      <c r="AC198" s="68"/>
      <c r="AD198" s="88"/>
      <c r="AE198" s="66"/>
      <c r="AF198" s="88"/>
      <c r="AG198" s="66"/>
      <c r="AH198" s="88"/>
      <c r="AI198" s="66"/>
      <c r="AJ198" s="87"/>
      <c r="AK198" s="68"/>
      <c r="AL198" s="71"/>
      <c r="AM198" s="68"/>
      <c r="AN198" s="65"/>
      <c r="AO198" s="68"/>
      <c r="AP198" s="65"/>
      <c r="AQ198" s="68"/>
      <c r="AR198" s="65"/>
      <c r="AS198" s="68"/>
      <c r="AT198" s="67"/>
      <c r="AU198" s="66"/>
      <c r="AV198" s="67"/>
      <c r="AW198" s="68"/>
      <c r="AX198" s="73">
        <f t="shared" si="1"/>
        <v>0</v>
      </c>
      <c r="AY198" s="63">
        <f t="shared" si="2"/>
        <v>0</v>
      </c>
      <c r="AZ198" s="63">
        <f t="shared" si="3"/>
        <v>0</v>
      </c>
      <c r="BA198" s="63">
        <f t="shared" si="4"/>
        <v>0</v>
      </c>
      <c r="BB198" s="74" t="str">
        <f t="shared" si="5"/>
        <v/>
      </c>
    </row>
    <row r="199" ht="15.75" customHeight="1">
      <c r="A199" s="36" t="s">
        <v>46</v>
      </c>
      <c r="B199" s="75">
        <f t="shared" si="6"/>
        <v>45852</v>
      </c>
      <c r="C199" s="38">
        <v>8.0</v>
      </c>
      <c r="D199" s="38" t="s">
        <v>47</v>
      </c>
      <c r="E199" s="40"/>
      <c r="F199" s="85"/>
      <c r="H199" s="86"/>
      <c r="J199" s="86"/>
      <c r="L199" s="86"/>
      <c r="N199" s="86"/>
      <c r="P199" s="86"/>
      <c r="Q199" s="43"/>
      <c r="R199" s="85">
        <v>77.0</v>
      </c>
      <c r="T199" s="86">
        <v>112.0</v>
      </c>
      <c r="V199" s="86"/>
      <c r="X199" s="86"/>
      <c r="Z199" s="86"/>
      <c r="AB199" s="86"/>
      <c r="AC199" s="43"/>
      <c r="AD199" s="86"/>
      <c r="AF199" s="86"/>
      <c r="AH199" s="86"/>
      <c r="AJ199" s="85"/>
      <c r="AK199" s="43"/>
      <c r="AL199" s="46"/>
      <c r="AM199" s="43"/>
      <c r="AN199" s="41"/>
      <c r="AO199" s="43"/>
      <c r="AP199" s="41"/>
      <c r="AQ199" s="43"/>
      <c r="AR199" s="41"/>
      <c r="AS199" s="43"/>
      <c r="AT199" s="42"/>
      <c r="AV199" s="42"/>
      <c r="AW199" s="43"/>
      <c r="AX199" s="47">
        <f t="shared" si="1"/>
        <v>2101.68</v>
      </c>
      <c r="AY199" s="38">
        <f t="shared" si="2"/>
        <v>189</v>
      </c>
      <c r="AZ199" s="38">
        <f t="shared" si="3"/>
        <v>0</v>
      </c>
      <c r="BA199" s="38">
        <f t="shared" si="4"/>
        <v>189</v>
      </c>
      <c r="BB199" s="76">
        <f t="shared" si="5"/>
        <v>11.12</v>
      </c>
    </row>
    <row r="200" ht="15.75" customHeight="1">
      <c r="A200" s="50" t="s">
        <v>48</v>
      </c>
      <c r="B200" s="51">
        <f t="shared" si="6"/>
        <v>45853</v>
      </c>
      <c r="C200" s="52">
        <v>8.0</v>
      </c>
      <c r="D200" s="52" t="s">
        <v>47</v>
      </c>
      <c r="E200" s="92"/>
      <c r="F200" s="85"/>
      <c r="H200" s="86"/>
      <c r="J200" s="86"/>
      <c r="L200" s="86"/>
      <c r="N200" s="86"/>
      <c r="P200" s="86"/>
      <c r="Q200" s="43"/>
      <c r="R200" s="85">
        <v>83.0</v>
      </c>
      <c r="T200" s="86">
        <v>122.0</v>
      </c>
      <c r="V200" s="86"/>
      <c r="X200" s="86"/>
      <c r="Z200" s="86"/>
      <c r="AB200" s="86"/>
      <c r="AC200" s="43"/>
      <c r="AD200" s="86"/>
      <c r="AF200" s="86"/>
      <c r="AH200" s="86"/>
      <c r="AJ200" s="85"/>
      <c r="AK200" s="43"/>
      <c r="AL200" s="46"/>
      <c r="AM200" s="43"/>
      <c r="AN200" s="41"/>
      <c r="AO200" s="43"/>
      <c r="AP200" s="41"/>
      <c r="AQ200" s="43"/>
      <c r="AR200" s="41"/>
      <c r="AS200" s="43"/>
      <c r="AT200" s="42"/>
      <c r="AV200" s="42"/>
      <c r="AW200" s="43"/>
      <c r="AX200" s="54">
        <f t="shared" si="1"/>
        <v>2279.6</v>
      </c>
      <c r="AY200" s="52">
        <f t="shared" si="2"/>
        <v>205</v>
      </c>
      <c r="AZ200" s="52">
        <f t="shared" si="3"/>
        <v>0</v>
      </c>
      <c r="BA200" s="52">
        <f t="shared" si="4"/>
        <v>205</v>
      </c>
      <c r="BB200" s="49">
        <f t="shared" si="5"/>
        <v>11.12</v>
      </c>
    </row>
    <row r="201" ht="15.75" customHeight="1">
      <c r="A201" s="50" t="s">
        <v>49</v>
      </c>
      <c r="B201" s="51">
        <f t="shared" si="6"/>
        <v>45854</v>
      </c>
      <c r="C201" s="52">
        <v>8.0</v>
      </c>
      <c r="D201" s="52" t="s">
        <v>47</v>
      </c>
      <c r="E201" s="53"/>
      <c r="F201" s="85"/>
      <c r="H201" s="86"/>
      <c r="J201" s="86"/>
      <c r="L201" s="86"/>
      <c r="N201" s="86"/>
      <c r="P201" s="86"/>
      <c r="Q201" s="43"/>
      <c r="R201" s="85">
        <v>104.0</v>
      </c>
      <c r="T201" s="86">
        <v>140.0</v>
      </c>
      <c r="V201" s="86"/>
      <c r="X201" s="86"/>
      <c r="Z201" s="86"/>
      <c r="AB201" s="86"/>
      <c r="AC201" s="43"/>
      <c r="AD201" s="86"/>
      <c r="AF201" s="86"/>
      <c r="AH201" s="86"/>
      <c r="AJ201" s="85"/>
      <c r="AK201" s="43"/>
      <c r="AL201" s="46"/>
      <c r="AM201" s="43"/>
      <c r="AN201" s="41"/>
      <c r="AO201" s="43"/>
      <c r="AP201" s="41"/>
      <c r="AQ201" s="43"/>
      <c r="AR201" s="41"/>
      <c r="AS201" s="43"/>
      <c r="AT201" s="42"/>
      <c r="AV201" s="42"/>
      <c r="AW201" s="43"/>
      <c r="AX201" s="54">
        <f t="shared" si="1"/>
        <v>2713.28</v>
      </c>
      <c r="AY201" s="52">
        <f t="shared" si="2"/>
        <v>244</v>
      </c>
      <c r="AZ201" s="52">
        <f t="shared" si="3"/>
        <v>0</v>
      </c>
      <c r="BA201" s="52">
        <f t="shared" si="4"/>
        <v>244</v>
      </c>
      <c r="BB201" s="49">
        <f t="shared" si="5"/>
        <v>11.12</v>
      </c>
    </row>
    <row r="202" ht="15.75" customHeight="1">
      <c r="A202" s="50" t="s">
        <v>50</v>
      </c>
      <c r="B202" s="51">
        <f t="shared" si="6"/>
        <v>45855</v>
      </c>
      <c r="C202" s="52">
        <v>8.0</v>
      </c>
      <c r="D202" s="52" t="s">
        <v>47</v>
      </c>
      <c r="E202" s="53"/>
      <c r="F202" s="85"/>
      <c r="H202" s="86"/>
      <c r="J202" s="86"/>
      <c r="L202" s="86"/>
      <c r="N202" s="86"/>
      <c r="P202" s="86"/>
      <c r="Q202" s="43"/>
      <c r="R202" s="85">
        <v>128.0</v>
      </c>
      <c r="T202" s="86">
        <v>130.0</v>
      </c>
      <c r="V202" s="86"/>
      <c r="X202" s="86"/>
      <c r="Z202" s="86"/>
      <c r="AB202" s="86"/>
      <c r="AC202" s="43"/>
      <c r="AD202" s="86"/>
      <c r="AF202" s="86"/>
      <c r="AH202" s="86"/>
      <c r="AJ202" s="85"/>
      <c r="AK202" s="43"/>
      <c r="AL202" s="46"/>
      <c r="AM202" s="43"/>
      <c r="AN202" s="41"/>
      <c r="AO202" s="43"/>
      <c r="AP202" s="41"/>
      <c r="AQ202" s="43"/>
      <c r="AR202" s="41"/>
      <c r="AS202" s="43"/>
      <c r="AT202" s="42"/>
      <c r="AV202" s="42"/>
      <c r="AW202" s="43"/>
      <c r="AX202" s="54">
        <f t="shared" si="1"/>
        <v>2868.96</v>
      </c>
      <c r="AY202" s="52">
        <f t="shared" si="2"/>
        <v>258</v>
      </c>
      <c r="AZ202" s="52">
        <f t="shared" si="3"/>
        <v>0</v>
      </c>
      <c r="BA202" s="52">
        <f t="shared" si="4"/>
        <v>258</v>
      </c>
      <c r="BB202" s="49">
        <f t="shared" si="5"/>
        <v>11.12</v>
      </c>
    </row>
    <row r="203" ht="15.75" customHeight="1">
      <c r="A203" s="50" t="s">
        <v>53</v>
      </c>
      <c r="B203" s="51">
        <f t="shared" si="6"/>
        <v>45856</v>
      </c>
      <c r="C203" s="52">
        <v>8.0</v>
      </c>
      <c r="D203" s="52" t="s">
        <v>47</v>
      </c>
      <c r="E203" s="53"/>
      <c r="F203" s="85"/>
      <c r="H203" s="86"/>
      <c r="J203" s="86"/>
      <c r="L203" s="86"/>
      <c r="N203" s="86"/>
      <c r="P203" s="86"/>
      <c r="Q203" s="43"/>
      <c r="R203" s="85">
        <v>229.0</v>
      </c>
      <c r="T203" s="86">
        <v>160.0</v>
      </c>
      <c r="V203" s="86"/>
      <c r="X203" s="86"/>
      <c r="Z203" s="86"/>
      <c r="AB203" s="86"/>
      <c r="AC203" s="43"/>
      <c r="AD203" s="86"/>
      <c r="AF203" s="86"/>
      <c r="AH203" s="86"/>
      <c r="AJ203" s="85"/>
      <c r="AK203" s="43"/>
      <c r="AL203" s="46"/>
      <c r="AM203" s="43"/>
      <c r="AN203" s="41"/>
      <c r="AO203" s="43"/>
      <c r="AP203" s="41"/>
      <c r="AQ203" s="43"/>
      <c r="AR203" s="41"/>
      <c r="AS203" s="43"/>
      <c r="AT203" s="42"/>
      <c r="AV203" s="42"/>
      <c r="AW203" s="43"/>
      <c r="AX203" s="54">
        <f t="shared" si="1"/>
        <v>4325.68</v>
      </c>
      <c r="AY203" s="52">
        <f t="shared" si="2"/>
        <v>389</v>
      </c>
      <c r="AZ203" s="52">
        <f t="shared" si="3"/>
        <v>0</v>
      </c>
      <c r="BA203" s="52">
        <f t="shared" si="4"/>
        <v>389</v>
      </c>
      <c r="BB203" s="49">
        <f t="shared" si="5"/>
        <v>11.12</v>
      </c>
    </row>
    <row r="204" ht="15.75" customHeight="1">
      <c r="A204" s="50" t="s">
        <v>54</v>
      </c>
      <c r="B204" s="51">
        <f t="shared" si="6"/>
        <v>45857</v>
      </c>
      <c r="C204" s="52">
        <v>8.0</v>
      </c>
      <c r="D204" s="52" t="s">
        <v>47</v>
      </c>
      <c r="E204" s="92"/>
      <c r="F204" s="85"/>
      <c r="H204" s="86"/>
      <c r="J204" s="86"/>
      <c r="L204" s="86"/>
      <c r="N204" s="86"/>
      <c r="P204" s="86"/>
      <c r="Q204" s="43"/>
      <c r="R204" s="85">
        <v>132.0</v>
      </c>
      <c r="T204" s="86">
        <v>153.0</v>
      </c>
      <c r="V204" s="86"/>
      <c r="X204" s="86"/>
      <c r="Z204" s="86"/>
      <c r="AB204" s="86"/>
      <c r="AC204" s="43"/>
      <c r="AD204" s="86"/>
      <c r="AF204" s="86"/>
      <c r="AH204" s="86"/>
      <c r="AJ204" s="85"/>
      <c r="AK204" s="43"/>
      <c r="AL204" s="46"/>
      <c r="AM204" s="43"/>
      <c r="AN204" s="41"/>
      <c r="AO204" s="43"/>
      <c r="AP204" s="41"/>
      <c r="AQ204" s="43"/>
      <c r="AR204" s="41"/>
      <c r="AS204" s="43"/>
      <c r="AT204" s="42"/>
      <c r="AV204" s="42"/>
      <c r="AW204" s="43"/>
      <c r="AX204" s="54">
        <f t="shared" si="1"/>
        <v>3169.2</v>
      </c>
      <c r="AY204" s="52">
        <f t="shared" si="2"/>
        <v>285</v>
      </c>
      <c r="AZ204" s="52">
        <f t="shared" si="3"/>
        <v>0</v>
      </c>
      <c r="BA204" s="52">
        <f t="shared" si="4"/>
        <v>285</v>
      </c>
      <c r="BB204" s="49">
        <f t="shared" si="5"/>
        <v>11.12</v>
      </c>
    </row>
    <row r="205" ht="15.75" customHeight="1">
      <c r="A205" s="59" t="s">
        <v>61</v>
      </c>
      <c r="B205" s="61">
        <f t="shared" si="6"/>
        <v>45858</v>
      </c>
      <c r="C205" s="63">
        <v>8.0</v>
      </c>
      <c r="D205" s="63" t="s">
        <v>47</v>
      </c>
      <c r="E205" s="64"/>
      <c r="F205" s="87"/>
      <c r="G205" s="66"/>
      <c r="H205" s="88"/>
      <c r="I205" s="66"/>
      <c r="J205" s="88"/>
      <c r="K205" s="66"/>
      <c r="L205" s="88"/>
      <c r="M205" s="66"/>
      <c r="N205" s="88"/>
      <c r="O205" s="66"/>
      <c r="P205" s="88"/>
      <c r="Q205" s="68"/>
      <c r="R205" s="87">
        <v>60.0</v>
      </c>
      <c r="S205" s="66"/>
      <c r="T205" s="88">
        <v>67.0</v>
      </c>
      <c r="U205" s="66"/>
      <c r="V205" s="88"/>
      <c r="W205" s="66"/>
      <c r="X205" s="88"/>
      <c r="Y205" s="66"/>
      <c r="Z205" s="88"/>
      <c r="AA205" s="66"/>
      <c r="AB205" s="88"/>
      <c r="AC205" s="68"/>
      <c r="AD205" s="88"/>
      <c r="AE205" s="66"/>
      <c r="AF205" s="88"/>
      <c r="AG205" s="66"/>
      <c r="AH205" s="88"/>
      <c r="AI205" s="66"/>
      <c r="AJ205" s="87"/>
      <c r="AK205" s="68"/>
      <c r="AL205" s="71"/>
      <c r="AM205" s="68"/>
      <c r="AN205" s="65"/>
      <c r="AO205" s="68"/>
      <c r="AP205" s="65"/>
      <c r="AQ205" s="68"/>
      <c r="AR205" s="65"/>
      <c r="AS205" s="68"/>
      <c r="AT205" s="67"/>
      <c r="AU205" s="66"/>
      <c r="AV205" s="67"/>
      <c r="AW205" s="68"/>
      <c r="AX205" s="73">
        <f t="shared" si="1"/>
        <v>1412.24</v>
      </c>
      <c r="AY205" s="63">
        <f t="shared" si="2"/>
        <v>127</v>
      </c>
      <c r="AZ205" s="63">
        <f t="shared" si="3"/>
        <v>0</v>
      </c>
      <c r="BA205" s="63">
        <f t="shared" si="4"/>
        <v>127</v>
      </c>
      <c r="BB205" s="74">
        <f t="shared" si="5"/>
        <v>11.12</v>
      </c>
    </row>
    <row r="206" ht="15.75" customHeight="1">
      <c r="A206" s="36" t="s">
        <v>46</v>
      </c>
      <c r="B206" s="75">
        <f t="shared" si="6"/>
        <v>45859</v>
      </c>
      <c r="C206" s="38">
        <v>8.0</v>
      </c>
      <c r="D206" s="38" t="s">
        <v>65</v>
      </c>
      <c r="E206" s="82"/>
      <c r="F206" s="85"/>
      <c r="H206" s="86"/>
      <c r="J206" s="86"/>
      <c r="L206" s="86"/>
      <c r="N206" s="86"/>
      <c r="P206" s="86"/>
      <c r="Q206" s="43"/>
      <c r="R206" s="85">
        <v>132.0</v>
      </c>
      <c r="T206" s="86">
        <v>134.0</v>
      </c>
      <c r="V206" s="86"/>
      <c r="X206" s="86"/>
      <c r="Z206" s="86"/>
      <c r="AB206" s="86"/>
      <c r="AC206" s="43"/>
      <c r="AD206" s="86"/>
      <c r="AF206" s="86"/>
      <c r="AH206" s="86"/>
      <c r="AJ206" s="85"/>
      <c r="AK206" s="43"/>
      <c r="AL206" s="46"/>
      <c r="AM206" s="43"/>
      <c r="AN206" s="41"/>
      <c r="AO206" s="43"/>
      <c r="AP206" s="41"/>
      <c r="AQ206" s="43"/>
      <c r="AR206" s="41"/>
      <c r="AS206" s="43"/>
      <c r="AT206" s="42"/>
      <c r="AV206" s="42"/>
      <c r="AW206" s="43"/>
      <c r="AX206" s="47">
        <f t="shared" si="1"/>
        <v>2957.92</v>
      </c>
      <c r="AY206" s="38">
        <f t="shared" si="2"/>
        <v>266</v>
      </c>
      <c r="AZ206" s="38">
        <f t="shared" si="3"/>
        <v>0</v>
      </c>
      <c r="BA206" s="38">
        <f t="shared" si="4"/>
        <v>266</v>
      </c>
      <c r="BB206" s="76">
        <f t="shared" si="5"/>
        <v>11.12</v>
      </c>
    </row>
    <row r="207" ht="15.75" customHeight="1">
      <c r="A207" s="50" t="s">
        <v>48</v>
      </c>
      <c r="B207" s="51">
        <f t="shared" si="6"/>
        <v>45860</v>
      </c>
      <c r="C207" s="52">
        <v>8.0</v>
      </c>
      <c r="D207" s="52" t="s">
        <v>65</v>
      </c>
      <c r="E207" s="53"/>
      <c r="F207" s="85"/>
      <c r="H207" s="86"/>
      <c r="J207" s="86"/>
      <c r="L207" s="86"/>
      <c r="N207" s="86"/>
      <c r="P207" s="86"/>
      <c r="Q207" s="43"/>
      <c r="R207" s="85">
        <v>146.0</v>
      </c>
      <c r="T207" s="86">
        <v>155.0</v>
      </c>
      <c r="V207" s="86"/>
      <c r="X207" s="86"/>
      <c r="Z207" s="86"/>
      <c r="AB207" s="86"/>
      <c r="AC207" s="43"/>
      <c r="AD207" s="86"/>
      <c r="AF207" s="86"/>
      <c r="AH207" s="86"/>
      <c r="AJ207" s="85"/>
      <c r="AK207" s="43"/>
      <c r="AL207" s="46"/>
      <c r="AM207" s="43"/>
      <c r="AN207" s="41"/>
      <c r="AO207" s="43"/>
      <c r="AP207" s="41"/>
      <c r="AQ207" s="43"/>
      <c r="AR207" s="41"/>
      <c r="AS207" s="43"/>
      <c r="AT207" s="42"/>
      <c r="AV207" s="42"/>
      <c r="AW207" s="43"/>
      <c r="AX207" s="54">
        <f t="shared" si="1"/>
        <v>3347.12</v>
      </c>
      <c r="AY207" s="52">
        <f t="shared" si="2"/>
        <v>301</v>
      </c>
      <c r="AZ207" s="52">
        <f t="shared" si="3"/>
        <v>0</v>
      </c>
      <c r="BA207" s="52">
        <f t="shared" si="4"/>
        <v>301</v>
      </c>
      <c r="BB207" s="49">
        <f t="shared" si="5"/>
        <v>11.12</v>
      </c>
    </row>
    <row r="208" ht="15.75" customHeight="1">
      <c r="A208" s="50" t="s">
        <v>49</v>
      </c>
      <c r="B208" s="51">
        <f t="shared" si="6"/>
        <v>45861</v>
      </c>
      <c r="C208" s="52">
        <v>8.0</v>
      </c>
      <c r="D208" s="52" t="s">
        <v>65</v>
      </c>
      <c r="E208" s="53"/>
      <c r="F208" s="85"/>
      <c r="H208" s="86"/>
      <c r="J208" s="86"/>
      <c r="L208" s="86"/>
      <c r="N208" s="86"/>
      <c r="P208" s="86"/>
      <c r="Q208" s="43"/>
      <c r="R208" s="85">
        <v>79.0</v>
      </c>
      <c r="T208" s="86">
        <v>151.0</v>
      </c>
      <c r="V208" s="86"/>
      <c r="X208" s="86"/>
      <c r="Z208" s="86"/>
      <c r="AB208" s="86"/>
      <c r="AC208" s="43"/>
      <c r="AD208" s="86"/>
      <c r="AF208" s="86"/>
      <c r="AH208" s="86"/>
      <c r="AJ208" s="85"/>
      <c r="AK208" s="43"/>
      <c r="AL208" s="46"/>
      <c r="AM208" s="43"/>
      <c r="AN208" s="41"/>
      <c r="AO208" s="43"/>
      <c r="AP208" s="41"/>
      <c r="AQ208" s="43"/>
      <c r="AR208" s="41"/>
      <c r="AS208" s="43"/>
      <c r="AT208" s="42"/>
      <c r="AV208" s="42"/>
      <c r="AW208" s="43"/>
      <c r="AX208" s="54">
        <f t="shared" si="1"/>
        <v>2557.6</v>
      </c>
      <c r="AY208" s="52">
        <f t="shared" si="2"/>
        <v>230</v>
      </c>
      <c r="AZ208" s="52">
        <f t="shared" si="3"/>
        <v>0</v>
      </c>
      <c r="BA208" s="52">
        <f t="shared" si="4"/>
        <v>230</v>
      </c>
      <c r="BB208" s="49">
        <f t="shared" si="5"/>
        <v>11.12</v>
      </c>
    </row>
    <row r="209" ht="15.75" customHeight="1">
      <c r="A209" s="50" t="s">
        <v>50</v>
      </c>
      <c r="B209" s="51">
        <f t="shared" si="6"/>
        <v>45862</v>
      </c>
      <c r="C209" s="52">
        <v>8.0</v>
      </c>
      <c r="D209" s="52" t="s">
        <v>65</v>
      </c>
      <c r="E209" s="53"/>
      <c r="F209" s="85"/>
      <c r="H209" s="86"/>
      <c r="J209" s="86"/>
      <c r="L209" s="86"/>
      <c r="N209" s="86"/>
      <c r="P209" s="86"/>
      <c r="Q209" s="43"/>
      <c r="R209" s="85">
        <v>132.0</v>
      </c>
      <c r="T209" s="86">
        <v>150.0</v>
      </c>
      <c r="V209" s="86"/>
      <c r="X209" s="86"/>
      <c r="Z209" s="86"/>
      <c r="AB209" s="86"/>
      <c r="AC209" s="43"/>
      <c r="AD209" s="86"/>
      <c r="AF209" s="86"/>
      <c r="AH209" s="86"/>
      <c r="AJ209" s="85"/>
      <c r="AK209" s="43"/>
      <c r="AL209" s="46"/>
      <c r="AM209" s="43"/>
      <c r="AN209" s="41"/>
      <c r="AO209" s="43"/>
      <c r="AP209" s="41"/>
      <c r="AQ209" s="43"/>
      <c r="AR209" s="41"/>
      <c r="AS209" s="43"/>
      <c r="AT209" s="42"/>
      <c r="AV209" s="42"/>
      <c r="AW209" s="43"/>
      <c r="AX209" s="54">
        <f t="shared" si="1"/>
        <v>3135.84</v>
      </c>
      <c r="AY209" s="52">
        <f t="shared" si="2"/>
        <v>282</v>
      </c>
      <c r="AZ209" s="52">
        <f t="shared" si="3"/>
        <v>0</v>
      </c>
      <c r="BA209" s="52">
        <f t="shared" si="4"/>
        <v>282</v>
      </c>
      <c r="BB209" s="49">
        <f t="shared" si="5"/>
        <v>11.12</v>
      </c>
    </row>
    <row r="210" ht="15.75" customHeight="1">
      <c r="A210" s="50" t="s">
        <v>53</v>
      </c>
      <c r="B210" s="51">
        <f t="shared" si="6"/>
        <v>45863</v>
      </c>
      <c r="C210" s="52">
        <v>8.0</v>
      </c>
      <c r="D210" s="52" t="s">
        <v>65</v>
      </c>
      <c r="E210" s="53"/>
      <c r="F210" s="85"/>
      <c r="H210" s="86"/>
      <c r="J210" s="86"/>
      <c r="L210" s="86"/>
      <c r="N210" s="86"/>
      <c r="P210" s="86"/>
      <c r="Q210" s="43"/>
      <c r="R210" s="85">
        <v>128.0</v>
      </c>
      <c r="T210" s="86">
        <v>124.0</v>
      </c>
      <c r="V210" s="86"/>
      <c r="X210" s="86"/>
      <c r="Z210" s="86"/>
      <c r="AB210" s="86"/>
      <c r="AC210" s="43"/>
      <c r="AD210" s="86"/>
      <c r="AF210" s="86"/>
      <c r="AH210" s="86"/>
      <c r="AJ210" s="85"/>
      <c r="AK210" s="43"/>
      <c r="AL210" s="46"/>
      <c r="AM210" s="43"/>
      <c r="AN210" s="41"/>
      <c r="AO210" s="43"/>
      <c r="AP210" s="41"/>
      <c r="AQ210" s="43"/>
      <c r="AR210" s="41"/>
      <c r="AS210" s="43"/>
      <c r="AT210" s="42"/>
      <c r="AV210" s="42"/>
      <c r="AW210" s="43"/>
      <c r="AX210" s="54">
        <f t="shared" si="1"/>
        <v>2802.24</v>
      </c>
      <c r="AY210" s="52">
        <f t="shared" si="2"/>
        <v>252</v>
      </c>
      <c r="AZ210" s="52">
        <f t="shared" si="3"/>
        <v>0</v>
      </c>
      <c r="BA210" s="52">
        <f t="shared" si="4"/>
        <v>252</v>
      </c>
      <c r="BB210" s="49">
        <f t="shared" si="5"/>
        <v>11.12</v>
      </c>
    </row>
    <row r="211" ht="15.75" customHeight="1">
      <c r="A211" s="50" t="s">
        <v>54</v>
      </c>
      <c r="B211" s="51">
        <f t="shared" si="6"/>
        <v>45864</v>
      </c>
      <c r="C211" s="52">
        <v>8.0</v>
      </c>
      <c r="D211" s="52" t="s">
        <v>65</v>
      </c>
      <c r="E211" s="53"/>
      <c r="F211" s="85"/>
      <c r="H211" s="86"/>
      <c r="J211" s="86"/>
      <c r="L211" s="86"/>
      <c r="N211" s="86"/>
      <c r="P211" s="86"/>
      <c r="Q211" s="43"/>
      <c r="R211" s="85">
        <v>73.0</v>
      </c>
      <c r="T211" s="86">
        <v>53.0</v>
      </c>
      <c r="V211" s="86"/>
      <c r="X211" s="86"/>
      <c r="Z211" s="86"/>
      <c r="AB211" s="86"/>
      <c r="AC211" s="43"/>
      <c r="AD211" s="86"/>
      <c r="AF211" s="86"/>
      <c r="AH211" s="86"/>
      <c r="AJ211" s="85"/>
      <c r="AK211" s="43"/>
      <c r="AL211" s="46"/>
      <c r="AM211" s="43"/>
      <c r="AN211" s="41"/>
      <c r="AO211" s="43"/>
      <c r="AP211" s="41"/>
      <c r="AQ211" s="43"/>
      <c r="AR211" s="41"/>
      <c r="AS211" s="43"/>
      <c r="AT211" s="42"/>
      <c r="AV211" s="42"/>
      <c r="AW211" s="43"/>
      <c r="AX211" s="54">
        <f t="shared" si="1"/>
        <v>1401.12</v>
      </c>
      <c r="AY211" s="52">
        <f t="shared" si="2"/>
        <v>126</v>
      </c>
      <c r="AZ211" s="52">
        <f t="shared" si="3"/>
        <v>0</v>
      </c>
      <c r="BA211" s="52">
        <f t="shared" si="4"/>
        <v>126</v>
      </c>
      <c r="BB211" s="49">
        <f t="shared" si="5"/>
        <v>11.12</v>
      </c>
    </row>
    <row r="212" ht="15.75" customHeight="1">
      <c r="A212" s="59" t="s">
        <v>61</v>
      </c>
      <c r="B212" s="61">
        <f t="shared" si="6"/>
        <v>45865</v>
      </c>
      <c r="C212" s="63">
        <v>8.0</v>
      </c>
      <c r="D212" s="63" t="s">
        <v>65</v>
      </c>
      <c r="E212" s="64"/>
      <c r="F212" s="87"/>
      <c r="G212" s="66"/>
      <c r="H212" s="88"/>
      <c r="I212" s="66"/>
      <c r="J212" s="88"/>
      <c r="K212" s="66"/>
      <c r="L212" s="88"/>
      <c r="M212" s="66"/>
      <c r="N212" s="88"/>
      <c r="O212" s="66"/>
      <c r="P212" s="88"/>
      <c r="Q212" s="68"/>
      <c r="R212" s="87">
        <v>57.0</v>
      </c>
      <c r="S212" s="66"/>
      <c r="T212" s="88">
        <v>71.0</v>
      </c>
      <c r="U212" s="66"/>
      <c r="V212" s="88"/>
      <c r="W212" s="66"/>
      <c r="X212" s="88"/>
      <c r="Y212" s="66"/>
      <c r="Z212" s="88"/>
      <c r="AA212" s="66"/>
      <c r="AB212" s="88"/>
      <c r="AC212" s="68"/>
      <c r="AD212" s="88"/>
      <c r="AE212" s="66"/>
      <c r="AF212" s="88"/>
      <c r="AG212" s="66"/>
      <c r="AH212" s="88"/>
      <c r="AI212" s="66"/>
      <c r="AJ212" s="87"/>
      <c r="AK212" s="68"/>
      <c r="AL212" s="71"/>
      <c r="AM212" s="68"/>
      <c r="AN212" s="65"/>
      <c r="AO212" s="68"/>
      <c r="AP212" s="65"/>
      <c r="AQ212" s="68"/>
      <c r="AR212" s="65"/>
      <c r="AS212" s="68"/>
      <c r="AT212" s="67"/>
      <c r="AU212" s="66"/>
      <c r="AV212" s="67"/>
      <c r="AW212" s="68"/>
      <c r="AX212" s="73">
        <f t="shared" si="1"/>
        <v>1423.36</v>
      </c>
      <c r="AY212" s="63">
        <f t="shared" si="2"/>
        <v>128</v>
      </c>
      <c r="AZ212" s="63">
        <f t="shared" si="3"/>
        <v>0</v>
      </c>
      <c r="BA212" s="63">
        <f t="shared" si="4"/>
        <v>128</v>
      </c>
      <c r="BB212" s="74">
        <f t="shared" si="5"/>
        <v>11.12</v>
      </c>
    </row>
    <row r="213" ht="15.75" customHeight="1">
      <c r="A213" s="36" t="s">
        <v>46</v>
      </c>
      <c r="B213" s="75">
        <f t="shared" si="6"/>
        <v>45866</v>
      </c>
      <c r="C213" s="38">
        <v>8.0</v>
      </c>
      <c r="D213" s="38" t="s">
        <v>69</v>
      </c>
      <c r="E213" s="40"/>
      <c r="F213" s="85"/>
      <c r="H213" s="86"/>
      <c r="J213" s="86"/>
      <c r="L213" s="86"/>
      <c r="N213" s="86"/>
      <c r="P213" s="86"/>
      <c r="Q213" s="43"/>
      <c r="R213" s="85">
        <v>95.0</v>
      </c>
      <c r="T213" s="86">
        <v>110.0</v>
      </c>
      <c r="V213" s="86"/>
      <c r="X213" s="86"/>
      <c r="Z213" s="86"/>
      <c r="AB213" s="86"/>
      <c r="AC213" s="43"/>
      <c r="AD213" s="86"/>
      <c r="AF213" s="86"/>
      <c r="AH213" s="86"/>
      <c r="AJ213" s="85"/>
      <c r="AK213" s="43"/>
      <c r="AL213" s="46"/>
      <c r="AM213" s="43"/>
      <c r="AN213" s="41"/>
      <c r="AO213" s="43"/>
      <c r="AP213" s="41"/>
      <c r="AQ213" s="43"/>
      <c r="AR213" s="41"/>
      <c r="AS213" s="43"/>
      <c r="AT213" s="42"/>
      <c r="AV213" s="42"/>
      <c r="AW213" s="43"/>
      <c r="AX213" s="47">
        <f t="shared" si="1"/>
        <v>2279.6</v>
      </c>
      <c r="AY213" s="38">
        <f t="shared" si="2"/>
        <v>205</v>
      </c>
      <c r="AZ213" s="38">
        <f t="shared" si="3"/>
        <v>0</v>
      </c>
      <c r="BA213" s="38">
        <f t="shared" si="4"/>
        <v>205</v>
      </c>
      <c r="BB213" s="76">
        <f t="shared" si="5"/>
        <v>11.12</v>
      </c>
    </row>
    <row r="214" ht="15.75" customHeight="1">
      <c r="A214" s="50" t="s">
        <v>48</v>
      </c>
      <c r="B214" s="51">
        <f t="shared" si="6"/>
        <v>45867</v>
      </c>
      <c r="C214" s="52">
        <v>8.0</v>
      </c>
      <c r="D214" s="52" t="s">
        <v>69</v>
      </c>
      <c r="E214" s="53"/>
      <c r="F214" s="85"/>
      <c r="H214" s="86"/>
      <c r="J214" s="86"/>
      <c r="L214" s="86"/>
      <c r="N214" s="86"/>
      <c r="P214" s="86"/>
      <c r="Q214" s="43"/>
      <c r="R214" s="85">
        <v>100.0</v>
      </c>
      <c r="T214" s="86">
        <v>115.0</v>
      </c>
      <c r="V214" s="86"/>
      <c r="X214" s="86"/>
      <c r="Z214" s="86"/>
      <c r="AB214" s="86"/>
      <c r="AC214" s="43"/>
      <c r="AD214" s="86"/>
      <c r="AF214" s="86"/>
      <c r="AH214" s="86"/>
      <c r="AJ214" s="85"/>
      <c r="AK214" s="43"/>
      <c r="AL214" s="46"/>
      <c r="AM214" s="43"/>
      <c r="AN214" s="41"/>
      <c r="AO214" s="43"/>
      <c r="AP214" s="41"/>
      <c r="AQ214" s="43"/>
      <c r="AR214" s="41"/>
      <c r="AS214" s="43"/>
      <c r="AT214" s="42"/>
      <c r="AV214" s="42"/>
      <c r="AW214" s="43"/>
      <c r="AX214" s="54">
        <f t="shared" si="1"/>
        <v>2390.8</v>
      </c>
      <c r="AY214" s="52">
        <f t="shared" si="2"/>
        <v>215</v>
      </c>
      <c r="AZ214" s="52">
        <f t="shared" si="3"/>
        <v>0</v>
      </c>
      <c r="BA214" s="52">
        <f t="shared" si="4"/>
        <v>215</v>
      </c>
      <c r="BB214" s="49">
        <f t="shared" si="5"/>
        <v>11.12</v>
      </c>
    </row>
    <row r="215" ht="15.75" customHeight="1">
      <c r="A215" s="50" t="s">
        <v>49</v>
      </c>
      <c r="B215" s="51">
        <f t="shared" si="6"/>
        <v>45868</v>
      </c>
      <c r="C215" s="52">
        <v>8.0</v>
      </c>
      <c r="D215" s="52" t="s">
        <v>69</v>
      </c>
      <c r="E215" s="53"/>
      <c r="F215" s="85"/>
      <c r="H215" s="86"/>
      <c r="J215" s="86"/>
      <c r="L215" s="86"/>
      <c r="N215" s="86"/>
      <c r="P215" s="86"/>
      <c r="Q215" s="43"/>
      <c r="R215" s="85">
        <v>110.0</v>
      </c>
      <c r="T215" s="86">
        <v>124.0</v>
      </c>
      <c r="V215" s="86"/>
      <c r="X215" s="86"/>
      <c r="Z215" s="86"/>
      <c r="AB215" s="86"/>
      <c r="AC215" s="43"/>
      <c r="AD215" s="86"/>
      <c r="AF215" s="86"/>
      <c r="AH215" s="86"/>
      <c r="AJ215" s="85"/>
      <c r="AK215" s="43"/>
      <c r="AL215" s="46"/>
      <c r="AM215" s="43"/>
      <c r="AN215" s="41"/>
      <c r="AO215" s="43"/>
      <c r="AP215" s="41"/>
      <c r="AQ215" s="43"/>
      <c r="AR215" s="41"/>
      <c r="AS215" s="43"/>
      <c r="AT215" s="42"/>
      <c r="AV215" s="42"/>
      <c r="AW215" s="43"/>
      <c r="AX215" s="54">
        <f t="shared" si="1"/>
        <v>2602.08</v>
      </c>
      <c r="AY215" s="52">
        <f t="shared" si="2"/>
        <v>234</v>
      </c>
      <c r="AZ215" s="52">
        <f t="shared" si="3"/>
        <v>0</v>
      </c>
      <c r="BA215" s="52">
        <f t="shared" si="4"/>
        <v>234</v>
      </c>
      <c r="BB215" s="49">
        <f t="shared" si="5"/>
        <v>11.12</v>
      </c>
    </row>
    <row r="216" ht="15.75" customHeight="1">
      <c r="A216" s="50" t="s">
        <v>50</v>
      </c>
      <c r="B216" s="51">
        <f t="shared" si="6"/>
        <v>45869</v>
      </c>
      <c r="C216" s="52">
        <v>8.0</v>
      </c>
      <c r="D216" s="52" t="s">
        <v>69</v>
      </c>
      <c r="E216" s="53"/>
      <c r="F216" s="85"/>
      <c r="H216" s="86"/>
      <c r="J216" s="86"/>
      <c r="L216" s="86"/>
      <c r="N216" s="86"/>
      <c r="P216" s="86"/>
      <c r="Q216" s="43"/>
      <c r="R216" s="85">
        <v>83.0</v>
      </c>
      <c r="T216" s="86">
        <v>125.0</v>
      </c>
      <c r="V216" s="86"/>
      <c r="X216" s="86"/>
      <c r="Z216" s="86"/>
      <c r="AB216" s="86"/>
      <c r="AC216" s="43"/>
      <c r="AD216" s="86"/>
      <c r="AF216" s="86"/>
      <c r="AH216" s="86"/>
      <c r="AJ216" s="85"/>
      <c r="AK216" s="43"/>
      <c r="AL216" s="46"/>
      <c r="AM216" s="43"/>
      <c r="AN216" s="41"/>
      <c r="AO216" s="43"/>
      <c r="AP216" s="41"/>
      <c r="AQ216" s="43"/>
      <c r="AR216" s="41"/>
      <c r="AS216" s="43"/>
      <c r="AT216" s="42"/>
      <c r="AV216" s="42"/>
      <c r="AW216" s="43"/>
      <c r="AX216" s="54">
        <f t="shared" si="1"/>
        <v>2312.96</v>
      </c>
      <c r="AY216" s="52">
        <f t="shared" si="2"/>
        <v>208</v>
      </c>
      <c r="AZ216" s="52">
        <f t="shared" si="3"/>
        <v>0</v>
      </c>
      <c r="BA216" s="52">
        <f t="shared" si="4"/>
        <v>208</v>
      </c>
      <c r="BB216" s="49">
        <f t="shared" si="5"/>
        <v>11.12</v>
      </c>
    </row>
    <row r="217" ht="15.75" customHeight="1">
      <c r="A217" s="50" t="s">
        <v>53</v>
      </c>
      <c r="B217" s="51">
        <f t="shared" si="6"/>
        <v>45870</v>
      </c>
      <c r="C217" s="52">
        <v>8.0</v>
      </c>
      <c r="D217" s="52" t="s">
        <v>69</v>
      </c>
      <c r="E217" s="53"/>
      <c r="F217" s="85"/>
      <c r="H217" s="86"/>
      <c r="J217" s="86"/>
      <c r="L217" s="86"/>
      <c r="N217" s="86"/>
      <c r="P217" s="86"/>
      <c r="Q217" s="43"/>
      <c r="R217" s="85">
        <v>108.0</v>
      </c>
      <c r="T217" s="86">
        <v>124.0</v>
      </c>
      <c r="V217" s="86"/>
      <c r="X217" s="86"/>
      <c r="Z217" s="86"/>
      <c r="AB217" s="86"/>
      <c r="AC217" s="43"/>
      <c r="AD217" s="86"/>
      <c r="AF217" s="86"/>
      <c r="AH217" s="86"/>
      <c r="AJ217" s="85"/>
      <c r="AK217" s="43"/>
      <c r="AL217" s="46"/>
      <c r="AM217" s="43"/>
      <c r="AN217" s="41"/>
      <c r="AO217" s="43"/>
      <c r="AP217" s="41"/>
      <c r="AQ217" s="43"/>
      <c r="AR217" s="41"/>
      <c r="AS217" s="43"/>
      <c r="AT217" s="42"/>
      <c r="AV217" s="42"/>
      <c r="AW217" s="43"/>
      <c r="AX217" s="54">
        <f t="shared" si="1"/>
        <v>2579.84</v>
      </c>
      <c r="AY217" s="52">
        <f t="shared" si="2"/>
        <v>232</v>
      </c>
      <c r="AZ217" s="52">
        <f t="shared" si="3"/>
        <v>0</v>
      </c>
      <c r="BA217" s="52">
        <f t="shared" si="4"/>
        <v>232</v>
      </c>
      <c r="BB217" s="49">
        <f t="shared" si="5"/>
        <v>11.12</v>
      </c>
    </row>
    <row r="218" ht="15.75" customHeight="1">
      <c r="A218" s="50" t="s">
        <v>54</v>
      </c>
      <c r="B218" s="51">
        <f t="shared" si="6"/>
        <v>45871</v>
      </c>
      <c r="C218" s="52">
        <v>8.0</v>
      </c>
      <c r="D218" s="52" t="s">
        <v>69</v>
      </c>
      <c r="E218" s="53"/>
      <c r="F218" s="85"/>
      <c r="H218" s="86"/>
      <c r="J218" s="86"/>
      <c r="L218" s="86"/>
      <c r="N218" s="86"/>
      <c r="P218" s="86"/>
      <c r="Q218" s="43"/>
      <c r="R218" s="85">
        <v>61.0</v>
      </c>
      <c r="T218" s="86">
        <v>108.0</v>
      </c>
      <c r="V218" s="86"/>
      <c r="X218" s="86"/>
      <c r="Z218" s="86"/>
      <c r="AB218" s="86"/>
      <c r="AC218" s="43"/>
      <c r="AD218" s="86"/>
      <c r="AF218" s="86"/>
      <c r="AH218" s="86"/>
      <c r="AJ218" s="85"/>
      <c r="AK218" s="43"/>
      <c r="AL218" s="46"/>
      <c r="AM218" s="43"/>
      <c r="AN218" s="41"/>
      <c r="AO218" s="43"/>
      <c r="AP218" s="41"/>
      <c r="AQ218" s="43"/>
      <c r="AR218" s="41"/>
      <c r="AS218" s="43"/>
      <c r="AT218" s="42"/>
      <c r="AV218" s="42"/>
      <c r="AW218" s="43"/>
      <c r="AX218" s="54">
        <f t="shared" si="1"/>
        <v>1879.28</v>
      </c>
      <c r="AY218" s="52">
        <f t="shared" si="2"/>
        <v>169</v>
      </c>
      <c r="AZ218" s="52">
        <f t="shared" si="3"/>
        <v>0</v>
      </c>
      <c r="BA218" s="52">
        <f t="shared" si="4"/>
        <v>169</v>
      </c>
      <c r="BB218" s="49">
        <f t="shared" si="5"/>
        <v>11.12</v>
      </c>
    </row>
    <row r="219" ht="15.75" customHeight="1">
      <c r="A219" s="59" t="s">
        <v>61</v>
      </c>
      <c r="B219" s="61">
        <f t="shared" si="6"/>
        <v>45872</v>
      </c>
      <c r="C219" s="63">
        <v>8.0</v>
      </c>
      <c r="D219" s="63" t="s">
        <v>69</v>
      </c>
      <c r="E219" s="64"/>
      <c r="F219" s="87"/>
      <c r="G219" s="66"/>
      <c r="H219" s="88"/>
      <c r="I219" s="66"/>
      <c r="J219" s="88"/>
      <c r="K219" s="66"/>
      <c r="L219" s="88"/>
      <c r="M219" s="66"/>
      <c r="N219" s="88"/>
      <c r="O219" s="66"/>
      <c r="P219" s="88"/>
      <c r="Q219" s="68"/>
      <c r="R219" s="87">
        <v>85.0</v>
      </c>
      <c r="S219" s="66"/>
      <c r="T219" s="88">
        <v>90.0</v>
      </c>
      <c r="U219" s="66"/>
      <c r="V219" s="88"/>
      <c r="W219" s="66"/>
      <c r="X219" s="88"/>
      <c r="Y219" s="66"/>
      <c r="Z219" s="88"/>
      <c r="AA219" s="66"/>
      <c r="AB219" s="88"/>
      <c r="AC219" s="68"/>
      <c r="AD219" s="88"/>
      <c r="AE219" s="66"/>
      <c r="AF219" s="88"/>
      <c r="AG219" s="66"/>
      <c r="AH219" s="88"/>
      <c r="AI219" s="66"/>
      <c r="AJ219" s="87"/>
      <c r="AK219" s="68"/>
      <c r="AL219" s="71"/>
      <c r="AM219" s="68"/>
      <c r="AN219" s="65"/>
      <c r="AO219" s="68"/>
      <c r="AP219" s="65"/>
      <c r="AQ219" s="68"/>
      <c r="AR219" s="65"/>
      <c r="AS219" s="68"/>
      <c r="AT219" s="67"/>
      <c r="AU219" s="66"/>
      <c r="AV219" s="67"/>
      <c r="AW219" s="68"/>
      <c r="AX219" s="73">
        <f t="shared" si="1"/>
        <v>1946</v>
      </c>
      <c r="AY219" s="63">
        <f t="shared" si="2"/>
        <v>175</v>
      </c>
      <c r="AZ219" s="63">
        <f t="shared" si="3"/>
        <v>0</v>
      </c>
      <c r="BA219" s="63">
        <f t="shared" si="4"/>
        <v>175</v>
      </c>
      <c r="BB219" s="74">
        <f t="shared" si="5"/>
        <v>11.12</v>
      </c>
    </row>
    <row r="220" ht="15.75" customHeight="1">
      <c r="A220" s="36" t="s">
        <v>46</v>
      </c>
      <c r="B220" s="75">
        <f t="shared" si="6"/>
        <v>45873</v>
      </c>
      <c r="C220" s="38">
        <v>8.0</v>
      </c>
      <c r="D220" s="38" t="s">
        <v>72</v>
      </c>
      <c r="E220" s="82"/>
      <c r="F220" s="85"/>
      <c r="H220" s="86"/>
      <c r="J220" s="86"/>
      <c r="L220" s="86"/>
      <c r="N220" s="86"/>
      <c r="P220" s="86"/>
      <c r="Q220" s="43"/>
      <c r="R220" s="85">
        <v>88.0</v>
      </c>
      <c r="T220" s="86">
        <v>143.0</v>
      </c>
      <c r="V220" s="86"/>
      <c r="X220" s="86"/>
      <c r="Z220" s="86"/>
      <c r="AB220" s="86"/>
      <c r="AC220" s="43"/>
      <c r="AD220" s="86"/>
      <c r="AF220" s="86"/>
      <c r="AH220" s="86"/>
      <c r="AJ220" s="85"/>
      <c r="AK220" s="43"/>
      <c r="AL220" s="46"/>
      <c r="AM220" s="43"/>
      <c r="AN220" s="41"/>
      <c r="AO220" s="43"/>
      <c r="AP220" s="41"/>
      <c r="AQ220" s="43"/>
      <c r="AR220" s="41"/>
      <c r="AS220" s="43"/>
      <c r="AT220" s="42"/>
      <c r="AV220" s="42"/>
      <c r="AW220" s="43"/>
      <c r="AX220" s="47">
        <f t="shared" si="1"/>
        <v>2568.72</v>
      </c>
      <c r="AY220" s="38">
        <f t="shared" si="2"/>
        <v>231</v>
      </c>
      <c r="AZ220" s="38">
        <f t="shared" si="3"/>
        <v>0</v>
      </c>
      <c r="BA220" s="38">
        <f t="shared" si="4"/>
        <v>231</v>
      </c>
      <c r="BB220" s="76">
        <f t="shared" si="5"/>
        <v>11.12</v>
      </c>
    </row>
    <row r="221" ht="15.75" customHeight="1">
      <c r="A221" s="50" t="s">
        <v>48</v>
      </c>
      <c r="B221" s="51">
        <f t="shared" si="6"/>
        <v>45874</v>
      </c>
      <c r="C221" s="52">
        <v>8.0</v>
      </c>
      <c r="D221" s="52" t="s">
        <v>72</v>
      </c>
      <c r="E221" s="53"/>
      <c r="F221" s="85"/>
      <c r="H221" s="86"/>
      <c r="J221" s="86"/>
      <c r="L221" s="86"/>
      <c r="N221" s="86"/>
      <c r="P221" s="86"/>
      <c r="Q221" s="43"/>
      <c r="R221" s="85">
        <v>90.0</v>
      </c>
      <c r="T221" s="86">
        <v>145.0</v>
      </c>
      <c r="V221" s="86"/>
      <c r="X221" s="86"/>
      <c r="Z221" s="86"/>
      <c r="AB221" s="86"/>
      <c r="AC221" s="43"/>
      <c r="AD221" s="86"/>
      <c r="AF221" s="86"/>
      <c r="AH221" s="86"/>
      <c r="AJ221" s="85"/>
      <c r="AK221" s="43"/>
      <c r="AL221" s="46"/>
      <c r="AM221" s="43"/>
      <c r="AN221" s="41"/>
      <c r="AO221" s="43"/>
      <c r="AP221" s="41"/>
      <c r="AQ221" s="43"/>
      <c r="AR221" s="41"/>
      <c r="AS221" s="43"/>
      <c r="AT221" s="42"/>
      <c r="AV221" s="42"/>
      <c r="AW221" s="43"/>
      <c r="AX221" s="54">
        <f t="shared" si="1"/>
        <v>2613.2</v>
      </c>
      <c r="AY221" s="52">
        <f t="shared" si="2"/>
        <v>235</v>
      </c>
      <c r="AZ221" s="52">
        <f t="shared" si="3"/>
        <v>0</v>
      </c>
      <c r="BA221" s="52">
        <f t="shared" si="4"/>
        <v>235</v>
      </c>
      <c r="BB221" s="49">
        <f t="shared" si="5"/>
        <v>11.12</v>
      </c>
    </row>
    <row r="222" ht="15.75" customHeight="1">
      <c r="A222" s="50" t="s">
        <v>49</v>
      </c>
      <c r="B222" s="51">
        <f t="shared" si="6"/>
        <v>45875</v>
      </c>
      <c r="C222" s="52">
        <v>8.0</v>
      </c>
      <c r="D222" s="52" t="s">
        <v>72</v>
      </c>
      <c r="E222" s="53"/>
      <c r="F222" s="85"/>
      <c r="H222" s="86"/>
      <c r="J222" s="86"/>
      <c r="L222" s="86"/>
      <c r="N222" s="86"/>
      <c r="P222" s="86"/>
      <c r="Q222" s="43"/>
      <c r="R222" s="85">
        <v>93.0</v>
      </c>
      <c r="T222" s="86">
        <v>148.0</v>
      </c>
      <c r="V222" s="86"/>
      <c r="X222" s="86"/>
      <c r="Z222" s="86"/>
      <c r="AB222" s="86"/>
      <c r="AC222" s="43"/>
      <c r="AD222" s="86"/>
      <c r="AF222" s="86"/>
      <c r="AH222" s="86"/>
      <c r="AJ222" s="85"/>
      <c r="AK222" s="43"/>
      <c r="AL222" s="46"/>
      <c r="AM222" s="43"/>
      <c r="AN222" s="41"/>
      <c r="AO222" s="43"/>
      <c r="AP222" s="41"/>
      <c r="AQ222" s="43"/>
      <c r="AR222" s="41"/>
      <c r="AS222" s="43"/>
      <c r="AT222" s="42"/>
      <c r="AV222" s="42"/>
      <c r="AW222" s="43"/>
      <c r="AX222" s="54">
        <f t="shared" si="1"/>
        <v>2679.92</v>
      </c>
      <c r="AY222" s="52">
        <f t="shared" si="2"/>
        <v>241</v>
      </c>
      <c r="AZ222" s="52">
        <f t="shared" si="3"/>
        <v>0</v>
      </c>
      <c r="BA222" s="52">
        <f t="shared" si="4"/>
        <v>241</v>
      </c>
      <c r="BB222" s="49">
        <f t="shared" si="5"/>
        <v>11.12</v>
      </c>
    </row>
    <row r="223" ht="15.75" customHeight="1">
      <c r="A223" s="50" t="s">
        <v>50</v>
      </c>
      <c r="B223" s="51">
        <f t="shared" si="6"/>
        <v>45876</v>
      </c>
      <c r="C223" s="52">
        <v>8.0</v>
      </c>
      <c r="D223" s="52" t="s">
        <v>72</v>
      </c>
      <c r="E223" s="53"/>
      <c r="F223" s="85"/>
      <c r="H223" s="86"/>
      <c r="J223" s="86"/>
      <c r="L223" s="86"/>
      <c r="N223" s="86"/>
      <c r="P223" s="86"/>
      <c r="Q223" s="43"/>
      <c r="R223" s="85">
        <v>81.0</v>
      </c>
      <c r="T223" s="86">
        <v>140.0</v>
      </c>
      <c r="V223" s="86"/>
      <c r="X223" s="86"/>
      <c r="Z223" s="86"/>
      <c r="AB223" s="86"/>
      <c r="AC223" s="43"/>
      <c r="AD223" s="86"/>
      <c r="AF223" s="86"/>
      <c r="AH223" s="86"/>
      <c r="AJ223" s="85"/>
      <c r="AK223" s="43"/>
      <c r="AL223" s="46"/>
      <c r="AM223" s="43"/>
      <c r="AN223" s="41"/>
      <c r="AO223" s="43"/>
      <c r="AP223" s="41"/>
      <c r="AQ223" s="43"/>
      <c r="AR223" s="41"/>
      <c r="AS223" s="43"/>
      <c r="AT223" s="42"/>
      <c r="AV223" s="42"/>
      <c r="AW223" s="43"/>
      <c r="AX223" s="54">
        <f t="shared" si="1"/>
        <v>2457.52</v>
      </c>
      <c r="AY223" s="52">
        <f t="shared" si="2"/>
        <v>221</v>
      </c>
      <c r="AZ223" s="52">
        <f t="shared" si="3"/>
        <v>0</v>
      </c>
      <c r="BA223" s="52">
        <f t="shared" si="4"/>
        <v>221</v>
      </c>
      <c r="BB223" s="49">
        <f t="shared" si="5"/>
        <v>11.12</v>
      </c>
    </row>
    <row r="224" ht="15.75" customHeight="1">
      <c r="A224" s="50" t="s">
        <v>53</v>
      </c>
      <c r="B224" s="51">
        <f t="shared" si="6"/>
        <v>45877</v>
      </c>
      <c r="C224" s="52">
        <v>8.0</v>
      </c>
      <c r="D224" s="52" t="s">
        <v>72</v>
      </c>
      <c r="E224" s="53"/>
      <c r="F224" s="85"/>
      <c r="H224" s="86"/>
      <c r="J224" s="86"/>
      <c r="L224" s="86"/>
      <c r="N224" s="86"/>
      <c r="P224" s="86"/>
      <c r="Q224" s="43"/>
      <c r="R224" s="85">
        <v>86.0</v>
      </c>
      <c r="T224" s="86">
        <v>120.0</v>
      </c>
      <c r="V224" s="86"/>
      <c r="X224" s="86"/>
      <c r="Z224" s="86"/>
      <c r="AB224" s="86"/>
      <c r="AC224" s="43"/>
      <c r="AD224" s="86"/>
      <c r="AF224" s="86"/>
      <c r="AH224" s="86"/>
      <c r="AJ224" s="85"/>
      <c r="AK224" s="43"/>
      <c r="AL224" s="46"/>
      <c r="AM224" s="43"/>
      <c r="AN224" s="41"/>
      <c r="AO224" s="43"/>
      <c r="AP224" s="41"/>
      <c r="AQ224" s="43"/>
      <c r="AR224" s="41"/>
      <c r="AS224" s="43"/>
      <c r="AT224" s="42"/>
      <c r="AV224" s="42"/>
      <c r="AW224" s="43"/>
      <c r="AX224" s="54">
        <f t="shared" si="1"/>
        <v>2290.72</v>
      </c>
      <c r="AY224" s="52">
        <f t="shared" si="2"/>
        <v>206</v>
      </c>
      <c r="AZ224" s="52">
        <f t="shared" si="3"/>
        <v>0</v>
      </c>
      <c r="BA224" s="52">
        <f t="shared" si="4"/>
        <v>206</v>
      </c>
      <c r="BB224" s="49">
        <f t="shared" si="5"/>
        <v>11.12</v>
      </c>
    </row>
    <row r="225" ht="15.75" customHeight="1">
      <c r="A225" s="50" t="s">
        <v>54</v>
      </c>
      <c r="B225" s="51">
        <f t="shared" si="6"/>
        <v>45878</v>
      </c>
      <c r="C225" s="52">
        <v>8.0</v>
      </c>
      <c r="D225" s="52" t="s">
        <v>72</v>
      </c>
      <c r="E225" s="53"/>
      <c r="F225" s="85"/>
      <c r="H225" s="86"/>
      <c r="J225" s="86"/>
      <c r="L225" s="86"/>
      <c r="N225" s="86"/>
      <c r="P225" s="86"/>
      <c r="Q225" s="43"/>
      <c r="R225" s="85">
        <v>72.0</v>
      </c>
      <c r="T225" s="86">
        <v>120.0</v>
      </c>
      <c r="V225" s="86"/>
      <c r="X225" s="86"/>
      <c r="Z225" s="86"/>
      <c r="AB225" s="86"/>
      <c r="AC225" s="43"/>
      <c r="AD225" s="86"/>
      <c r="AF225" s="86"/>
      <c r="AH225" s="86"/>
      <c r="AJ225" s="85"/>
      <c r="AK225" s="43"/>
      <c r="AL225" s="46"/>
      <c r="AM225" s="43"/>
      <c r="AN225" s="41"/>
      <c r="AO225" s="43"/>
      <c r="AP225" s="41"/>
      <c r="AQ225" s="43"/>
      <c r="AR225" s="41"/>
      <c r="AS225" s="43"/>
      <c r="AT225" s="42"/>
      <c r="AV225" s="42"/>
      <c r="AW225" s="43"/>
      <c r="AX225" s="54">
        <f t="shared" si="1"/>
        <v>2135.04</v>
      </c>
      <c r="AY225" s="52">
        <f t="shared" si="2"/>
        <v>192</v>
      </c>
      <c r="AZ225" s="52">
        <f t="shared" si="3"/>
        <v>0</v>
      </c>
      <c r="BA225" s="52">
        <f t="shared" si="4"/>
        <v>192</v>
      </c>
      <c r="BB225" s="49">
        <f t="shared" si="5"/>
        <v>11.12</v>
      </c>
    </row>
    <row r="226" ht="15.75" customHeight="1">
      <c r="A226" s="59" t="s">
        <v>61</v>
      </c>
      <c r="B226" s="61">
        <f t="shared" si="6"/>
        <v>45879</v>
      </c>
      <c r="C226" s="63">
        <v>8.0</v>
      </c>
      <c r="D226" s="63" t="s">
        <v>72</v>
      </c>
      <c r="E226" s="64"/>
      <c r="F226" s="87"/>
      <c r="G226" s="66"/>
      <c r="H226" s="88"/>
      <c r="I226" s="66"/>
      <c r="J226" s="88"/>
      <c r="K226" s="66"/>
      <c r="L226" s="88"/>
      <c r="M226" s="66"/>
      <c r="N226" s="88"/>
      <c r="O226" s="66"/>
      <c r="P226" s="88"/>
      <c r="Q226" s="68"/>
      <c r="R226" s="87">
        <v>0.0</v>
      </c>
      <c r="S226" s="66"/>
      <c r="T226" s="88">
        <v>0.0</v>
      </c>
      <c r="U226" s="66"/>
      <c r="V226" s="88"/>
      <c r="W226" s="66"/>
      <c r="X226" s="88"/>
      <c r="Y226" s="66"/>
      <c r="Z226" s="88"/>
      <c r="AA226" s="66"/>
      <c r="AB226" s="88"/>
      <c r="AC226" s="68"/>
      <c r="AD226" s="88"/>
      <c r="AE226" s="66"/>
      <c r="AF226" s="88"/>
      <c r="AG226" s="66"/>
      <c r="AH226" s="88"/>
      <c r="AI226" s="66"/>
      <c r="AJ226" s="87"/>
      <c r="AK226" s="68"/>
      <c r="AL226" s="71"/>
      <c r="AM226" s="68"/>
      <c r="AN226" s="65"/>
      <c r="AO226" s="68"/>
      <c r="AP226" s="65"/>
      <c r="AQ226" s="68"/>
      <c r="AR226" s="65"/>
      <c r="AS226" s="68"/>
      <c r="AT226" s="67"/>
      <c r="AU226" s="66"/>
      <c r="AV226" s="67"/>
      <c r="AW226" s="68"/>
      <c r="AX226" s="73">
        <f t="shared" si="1"/>
        <v>0</v>
      </c>
      <c r="AY226" s="63">
        <f t="shared" si="2"/>
        <v>0</v>
      </c>
      <c r="AZ226" s="63">
        <f t="shared" si="3"/>
        <v>0</v>
      </c>
      <c r="BA226" s="63">
        <f t="shared" si="4"/>
        <v>0</v>
      </c>
      <c r="BB226" s="74" t="str">
        <f t="shared" si="5"/>
        <v/>
      </c>
    </row>
    <row r="227" ht="15.75" customHeight="1">
      <c r="A227" s="36" t="s">
        <v>46</v>
      </c>
      <c r="B227" s="75">
        <f t="shared" si="6"/>
        <v>45880</v>
      </c>
      <c r="C227" s="38">
        <v>9.0</v>
      </c>
      <c r="D227" s="38" t="s">
        <v>47</v>
      </c>
      <c r="E227" s="40"/>
      <c r="F227" s="85"/>
      <c r="H227" s="86"/>
      <c r="J227" s="86"/>
      <c r="L227" s="86"/>
      <c r="N227" s="86"/>
      <c r="P227" s="86"/>
      <c r="Q227" s="43"/>
      <c r="R227" s="85">
        <v>91.0</v>
      </c>
      <c r="T227" s="86">
        <v>120.0</v>
      </c>
      <c r="V227" s="86"/>
      <c r="X227" s="86"/>
      <c r="Z227" s="86"/>
      <c r="AB227" s="86"/>
      <c r="AC227" s="43"/>
      <c r="AD227" s="86"/>
      <c r="AF227" s="86"/>
      <c r="AH227" s="86"/>
      <c r="AJ227" s="85"/>
      <c r="AK227" s="43"/>
      <c r="AL227" s="46"/>
      <c r="AM227" s="43"/>
      <c r="AN227" s="41"/>
      <c r="AO227" s="43"/>
      <c r="AP227" s="41"/>
      <c r="AQ227" s="43"/>
      <c r="AR227" s="41"/>
      <c r="AS227" s="43"/>
      <c r="AT227" s="42"/>
      <c r="AV227" s="42"/>
      <c r="AW227" s="43"/>
      <c r="AX227" s="47">
        <f t="shared" si="1"/>
        <v>2346.32</v>
      </c>
      <c r="AY227" s="38">
        <f t="shared" si="2"/>
        <v>211</v>
      </c>
      <c r="AZ227" s="38">
        <f t="shared" si="3"/>
        <v>0</v>
      </c>
      <c r="BA227" s="38">
        <f t="shared" si="4"/>
        <v>211</v>
      </c>
      <c r="BB227" s="76">
        <f t="shared" si="5"/>
        <v>11.12</v>
      </c>
    </row>
    <row r="228" ht="15.75" customHeight="1">
      <c r="A228" s="50" t="s">
        <v>48</v>
      </c>
      <c r="B228" s="51">
        <f t="shared" si="6"/>
        <v>45881</v>
      </c>
      <c r="C228" s="52">
        <v>9.0</v>
      </c>
      <c r="D228" s="52" t="s">
        <v>47</v>
      </c>
      <c r="E228" s="53"/>
      <c r="F228" s="85"/>
      <c r="H228" s="86"/>
      <c r="J228" s="86"/>
      <c r="L228" s="86"/>
      <c r="N228" s="86"/>
      <c r="P228" s="86"/>
      <c r="Q228" s="43"/>
      <c r="R228" s="85">
        <v>97.0</v>
      </c>
      <c r="T228" s="86">
        <v>124.0</v>
      </c>
      <c r="V228" s="86"/>
      <c r="X228" s="86"/>
      <c r="Z228" s="86"/>
      <c r="AB228" s="86"/>
      <c r="AC228" s="43"/>
      <c r="AD228" s="86"/>
      <c r="AF228" s="86"/>
      <c r="AH228" s="86"/>
      <c r="AJ228" s="85"/>
      <c r="AK228" s="43"/>
      <c r="AL228" s="46"/>
      <c r="AM228" s="43"/>
      <c r="AN228" s="41"/>
      <c r="AO228" s="43"/>
      <c r="AP228" s="41"/>
      <c r="AQ228" s="43"/>
      <c r="AR228" s="41"/>
      <c r="AS228" s="43"/>
      <c r="AT228" s="42"/>
      <c r="AV228" s="42"/>
      <c r="AW228" s="43"/>
      <c r="AX228" s="54">
        <f t="shared" si="1"/>
        <v>2457.52</v>
      </c>
      <c r="AY228" s="52">
        <f t="shared" si="2"/>
        <v>221</v>
      </c>
      <c r="AZ228" s="52">
        <f t="shared" si="3"/>
        <v>0</v>
      </c>
      <c r="BA228" s="52">
        <f t="shared" si="4"/>
        <v>221</v>
      </c>
      <c r="BB228" s="49">
        <f t="shared" si="5"/>
        <v>11.12</v>
      </c>
    </row>
    <row r="229" ht="15.75" customHeight="1">
      <c r="A229" s="50" t="s">
        <v>49</v>
      </c>
      <c r="B229" s="51">
        <f t="shared" si="6"/>
        <v>45882</v>
      </c>
      <c r="C229" s="52">
        <v>9.0</v>
      </c>
      <c r="D229" s="52" t="s">
        <v>47</v>
      </c>
      <c r="E229" s="92"/>
      <c r="F229" s="85"/>
      <c r="H229" s="86"/>
      <c r="J229" s="86"/>
      <c r="L229" s="86"/>
      <c r="N229" s="86"/>
      <c r="P229" s="86"/>
      <c r="Q229" s="43"/>
      <c r="R229" s="85">
        <v>91.0</v>
      </c>
      <c r="T229" s="86">
        <v>106.0</v>
      </c>
      <c r="V229" s="86"/>
      <c r="X229" s="86"/>
      <c r="Z229" s="86"/>
      <c r="AB229" s="86"/>
      <c r="AC229" s="43"/>
      <c r="AD229" s="86"/>
      <c r="AF229" s="86"/>
      <c r="AH229" s="86"/>
      <c r="AJ229" s="85"/>
      <c r="AK229" s="43"/>
      <c r="AL229" s="46"/>
      <c r="AM229" s="43"/>
      <c r="AN229" s="41"/>
      <c r="AO229" s="43"/>
      <c r="AP229" s="41"/>
      <c r="AQ229" s="43"/>
      <c r="AR229" s="41"/>
      <c r="AS229" s="43"/>
      <c r="AT229" s="42"/>
      <c r="AV229" s="42"/>
      <c r="AW229" s="43"/>
      <c r="AX229" s="54">
        <f t="shared" si="1"/>
        <v>2190.64</v>
      </c>
      <c r="AY229" s="52">
        <f t="shared" si="2"/>
        <v>197</v>
      </c>
      <c r="AZ229" s="52">
        <f t="shared" si="3"/>
        <v>0</v>
      </c>
      <c r="BA229" s="52">
        <f t="shared" si="4"/>
        <v>197</v>
      </c>
      <c r="BB229" s="49">
        <f t="shared" si="5"/>
        <v>11.12</v>
      </c>
    </row>
    <row r="230" ht="15.75" customHeight="1">
      <c r="A230" s="50" t="s">
        <v>50</v>
      </c>
      <c r="B230" s="51">
        <f t="shared" si="6"/>
        <v>45883</v>
      </c>
      <c r="C230" s="52">
        <v>9.0</v>
      </c>
      <c r="D230" s="52" t="s">
        <v>47</v>
      </c>
      <c r="E230" s="53"/>
      <c r="F230" s="85"/>
      <c r="H230" s="86"/>
      <c r="J230" s="86"/>
      <c r="L230" s="86"/>
      <c r="N230" s="86"/>
      <c r="P230" s="86"/>
      <c r="Q230" s="43"/>
      <c r="R230" s="85">
        <v>92.0</v>
      </c>
      <c r="T230" s="86">
        <v>118.0</v>
      </c>
      <c r="V230" s="86"/>
      <c r="X230" s="86"/>
      <c r="Z230" s="86"/>
      <c r="AB230" s="86"/>
      <c r="AC230" s="43"/>
      <c r="AD230" s="86"/>
      <c r="AF230" s="86"/>
      <c r="AH230" s="86"/>
      <c r="AJ230" s="85"/>
      <c r="AK230" s="43"/>
      <c r="AL230" s="46"/>
      <c r="AM230" s="43"/>
      <c r="AN230" s="41"/>
      <c r="AO230" s="43"/>
      <c r="AP230" s="41"/>
      <c r="AQ230" s="43"/>
      <c r="AR230" s="41"/>
      <c r="AS230" s="43"/>
      <c r="AT230" s="42"/>
      <c r="AV230" s="42"/>
      <c r="AW230" s="43"/>
      <c r="AX230" s="54">
        <f t="shared" si="1"/>
        <v>2335.2</v>
      </c>
      <c r="AY230" s="52">
        <f t="shared" si="2"/>
        <v>210</v>
      </c>
      <c r="AZ230" s="52">
        <f t="shared" si="3"/>
        <v>0</v>
      </c>
      <c r="BA230" s="52">
        <f t="shared" si="4"/>
        <v>210</v>
      </c>
      <c r="BB230" s="49">
        <f t="shared" si="5"/>
        <v>11.12</v>
      </c>
    </row>
    <row r="231" ht="15.75" customHeight="1">
      <c r="A231" s="50" t="s">
        <v>53</v>
      </c>
      <c r="B231" s="51">
        <f t="shared" si="6"/>
        <v>45884</v>
      </c>
      <c r="C231" s="52">
        <v>9.0</v>
      </c>
      <c r="D231" s="52" t="s">
        <v>47</v>
      </c>
      <c r="E231" s="53"/>
      <c r="F231" s="85"/>
      <c r="H231" s="86"/>
      <c r="J231" s="86"/>
      <c r="L231" s="86"/>
      <c r="N231" s="86"/>
      <c r="P231" s="86"/>
      <c r="Q231" s="43"/>
      <c r="R231" s="85">
        <v>85.0</v>
      </c>
      <c r="T231" s="86">
        <v>87.0</v>
      </c>
      <c r="V231" s="86"/>
      <c r="X231" s="86"/>
      <c r="Z231" s="86"/>
      <c r="AB231" s="86"/>
      <c r="AC231" s="43"/>
      <c r="AD231" s="86"/>
      <c r="AF231" s="86"/>
      <c r="AH231" s="86"/>
      <c r="AJ231" s="85"/>
      <c r="AK231" s="43"/>
      <c r="AL231" s="46"/>
      <c r="AM231" s="43"/>
      <c r="AN231" s="41"/>
      <c r="AO231" s="43"/>
      <c r="AP231" s="41"/>
      <c r="AQ231" s="43"/>
      <c r="AR231" s="41"/>
      <c r="AS231" s="43"/>
      <c r="AT231" s="42"/>
      <c r="AV231" s="42"/>
      <c r="AW231" s="43"/>
      <c r="AX231" s="54">
        <f t="shared" si="1"/>
        <v>1912.64</v>
      </c>
      <c r="AY231" s="52">
        <f t="shared" si="2"/>
        <v>172</v>
      </c>
      <c r="AZ231" s="52">
        <f t="shared" si="3"/>
        <v>0</v>
      </c>
      <c r="BA231" s="52">
        <f t="shared" si="4"/>
        <v>172</v>
      </c>
      <c r="BB231" s="49">
        <f t="shared" si="5"/>
        <v>11.12</v>
      </c>
    </row>
    <row r="232" ht="15.75" customHeight="1">
      <c r="A232" s="50" t="s">
        <v>54</v>
      </c>
      <c r="B232" s="51">
        <f t="shared" si="6"/>
        <v>45885</v>
      </c>
      <c r="C232" s="52">
        <v>9.0</v>
      </c>
      <c r="D232" s="52" t="s">
        <v>47</v>
      </c>
      <c r="E232" s="53"/>
      <c r="F232" s="85"/>
      <c r="H232" s="86"/>
      <c r="J232" s="86"/>
      <c r="L232" s="86"/>
      <c r="N232" s="86"/>
      <c r="P232" s="86"/>
      <c r="Q232" s="43"/>
      <c r="R232" s="85">
        <v>69.0</v>
      </c>
      <c r="T232" s="86">
        <v>73.0</v>
      </c>
      <c r="V232" s="86"/>
      <c r="X232" s="86"/>
      <c r="Z232" s="86"/>
      <c r="AB232" s="86"/>
      <c r="AC232" s="43"/>
      <c r="AD232" s="86"/>
      <c r="AF232" s="86"/>
      <c r="AH232" s="86"/>
      <c r="AJ232" s="85"/>
      <c r="AK232" s="43"/>
      <c r="AL232" s="46"/>
      <c r="AM232" s="43"/>
      <c r="AN232" s="41"/>
      <c r="AO232" s="43"/>
      <c r="AP232" s="41"/>
      <c r="AQ232" s="43"/>
      <c r="AR232" s="41"/>
      <c r="AS232" s="43"/>
      <c r="AT232" s="42"/>
      <c r="AV232" s="42"/>
      <c r="AW232" s="43"/>
      <c r="AX232" s="54">
        <f t="shared" si="1"/>
        <v>1579.04</v>
      </c>
      <c r="AY232" s="52">
        <f t="shared" si="2"/>
        <v>142</v>
      </c>
      <c r="AZ232" s="52">
        <f t="shared" si="3"/>
        <v>0</v>
      </c>
      <c r="BA232" s="52">
        <f t="shared" si="4"/>
        <v>142</v>
      </c>
      <c r="BB232" s="49">
        <f t="shared" si="5"/>
        <v>11.12</v>
      </c>
    </row>
    <row r="233" ht="15.75" customHeight="1">
      <c r="A233" s="59" t="s">
        <v>61</v>
      </c>
      <c r="B233" s="61">
        <f t="shared" si="6"/>
        <v>45886</v>
      </c>
      <c r="C233" s="63">
        <v>9.0</v>
      </c>
      <c r="D233" s="63" t="s">
        <v>47</v>
      </c>
      <c r="E233" s="64"/>
      <c r="F233" s="87"/>
      <c r="G233" s="66"/>
      <c r="H233" s="88"/>
      <c r="I233" s="66"/>
      <c r="J233" s="88"/>
      <c r="K233" s="66"/>
      <c r="L233" s="88"/>
      <c r="M233" s="66"/>
      <c r="N233" s="88"/>
      <c r="O233" s="66"/>
      <c r="P233" s="88"/>
      <c r="Q233" s="68"/>
      <c r="R233" s="87">
        <v>0.0</v>
      </c>
      <c r="S233" s="66"/>
      <c r="T233" s="88">
        <v>0.0</v>
      </c>
      <c r="U233" s="66"/>
      <c r="V233" s="88"/>
      <c r="W233" s="66"/>
      <c r="X233" s="88"/>
      <c r="Y233" s="66"/>
      <c r="Z233" s="88"/>
      <c r="AA233" s="66"/>
      <c r="AB233" s="88"/>
      <c r="AC233" s="68"/>
      <c r="AD233" s="88"/>
      <c r="AE233" s="66"/>
      <c r="AF233" s="88"/>
      <c r="AG233" s="66"/>
      <c r="AH233" s="88"/>
      <c r="AI233" s="66"/>
      <c r="AJ233" s="87"/>
      <c r="AK233" s="68"/>
      <c r="AL233" s="71"/>
      <c r="AM233" s="68"/>
      <c r="AN233" s="65"/>
      <c r="AO233" s="68"/>
      <c r="AP233" s="65"/>
      <c r="AQ233" s="68"/>
      <c r="AR233" s="65"/>
      <c r="AS233" s="68"/>
      <c r="AT233" s="67"/>
      <c r="AU233" s="66"/>
      <c r="AV233" s="67"/>
      <c r="AW233" s="68"/>
      <c r="AX233" s="73">
        <f t="shared" si="1"/>
        <v>0</v>
      </c>
      <c r="AY233" s="63">
        <f t="shared" si="2"/>
        <v>0</v>
      </c>
      <c r="AZ233" s="63">
        <f t="shared" si="3"/>
        <v>0</v>
      </c>
      <c r="BA233" s="63">
        <f t="shared" si="4"/>
        <v>0</v>
      </c>
      <c r="BB233" s="74" t="str">
        <f t="shared" si="5"/>
        <v/>
      </c>
    </row>
    <row r="234" ht="15.75" customHeight="1">
      <c r="A234" s="36" t="s">
        <v>46</v>
      </c>
      <c r="B234" s="75">
        <f t="shared" si="6"/>
        <v>45887</v>
      </c>
      <c r="C234" s="38">
        <v>9.0</v>
      </c>
      <c r="D234" s="38" t="s">
        <v>65</v>
      </c>
      <c r="E234" s="40"/>
      <c r="F234" s="85"/>
      <c r="H234" s="86"/>
      <c r="J234" s="86"/>
      <c r="L234" s="86"/>
      <c r="N234" s="86"/>
      <c r="P234" s="86"/>
      <c r="Q234" s="43"/>
      <c r="R234" s="85">
        <v>96.0</v>
      </c>
      <c r="T234" s="86">
        <v>115.0</v>
      </c>
      <c r="V234" s="86"/>
      <c r="X234" s="86"/>
      <c r="Z234" s="86"/>
      <c r="AB234" s="86"/>
      <c r="AC234" s="43"/>
      <c r="AD234" s="86"/>
      <c r="AF234" s="86"/>
      <c r="AH234" s="86"/>
      <c r="AJ234" s="85"/>
      <c r="AK234" s="43"/>
      <c r="AL234" s="46"/>
      <c r="AM234" s="43"/>
      <c r="AN234" s="41"/>
      <c r="AO234" s="43"/>
      <c r="AP234" s="41"/>
      <c r="AQ234" s="43"/>
      <c r="AR234" s="41"/>
      <c r="AS234" s="43"/>
      <c r="AT234" s="42"/>
      <c r="AV234" s="42"/>
      <c r="AW234" s="43"/>
      <c r="AX234" s="54">
        <f t="shared" si="1"/>
        <v>2346.32</v>
      </c>
      <c r="AY234" s="38">
        <f t="shared" si="2"/>
        <v>211</v>
      </c>
      <c r="AZ234" s="38">
        <f t="shared" si="3"/>
        <v>0</v>
      </c>
      <c r="BA234" s="38">
        <f t="shared" si="4"/>
        <v>211</v>
      </c>
      <c r="BB234" s="76">
        <f t="shared" si="5"/>
        <v>11.12</v>
      </c>
    </row>
    <row r="235" ht="15.75" customHeight="1">
      <c r="A235" s="50" t="s">
        <v>48</v>
      </c>
      <c r="B235" s="51">
        <f t="shared" si="6"/>
        <v>45888</v>
      </c>
      <c r="C235" s="52">
        <v>9.0</v>
      </c>
      <c r="D235" s="52" t="s">
        <v>65</v>
      </c>
      <c r="E235" s="53"/>
      <c r="F235" s="85"/>
      <c r="H235" s="86"/>
      <c r="J235" s="86"/>
      <c r="L235" s="86"/>
      <c r="N235" s="86"/>
      <c r="P235" s="86"/>
      <c r="Q235" s="43"/>
      <c r="R235" s="85">
        <v>94.0</v>
      </c>
      <c r="T235" s="86">
        <v>80.0</v>
      </c>
      <c r="V235" s="86"/>
      <c r="X235" s="86"/>
      <c r="Z235" s="86"/>
      <c r="AB235" s="86"/>
      <c r="AC235" s="43"/>
      <c r="AD235" s="86"/>
      <c r="AF235" s="86"/>
      <c r="AH235" s="86"/>
      <c r="AJ235" s="85"/>
      <c r="AK235" s="43"/>
      <c r="AL235" s="46"/>
      <c r="AM235" s="43"/>
      <c r="AN235" s="41"/>
      <c r="AO235" s="43"/>
      <c r="AP235" s="41"/>
      <c r="AQ235" s="43"/>
      <c r="AR235" s="41"/>
      <c r="AS235" s="43"/>
      <c r="AT235" s="42"/>
      <c r="AV235" s="42"/>
      <c r="AW235" s="43"/>
      <c r="AX235" s="54">
        <f t="shared" si="1"/>
        <v>1934.88</v>
      </c>
      <c r="AY235" s="52">
        <f t="shared" si="2"/>
        <v>174</v>
      </c>
      <c r="AZ235" s="52">
        <f t="shared" si="3"/>
        <v>0</v>
      </c>
      <c r="BA235" s="52">
        <f t="shared" si="4"/>
        <v>174</v>
      </c>
      <c r="BB235" s="49">
        <f t="shared" si="5"/>
        <v>11.12</v>
      </c>
    </row>
    <row r="236" ht="15.75" customHeight="1">
      <c r="A236" s="50" t="s">
        <v>49</v>
      </c>
      <c r="B236" s="51">
        <f t="shared" si="6"/>
        <v>45889</v>
      </c>
      <c r="C236" s="52">
        <v>9.0</v>
      </c>
      <c r="D236" s="52" t="s">
        <v>65</v>
      </c>
      <c r="E236" s="53"/>
      <c r="F236" s="85"/>
      <c r="H236" s="86"/>
      <c r="J236" s="86"/>
      <c r="L236" s="86"/>
      <c r="N236" s="86"/>
      <c r="P236" s="86"/>
      <c r="Q236" s="43"/>
      <c r="R236" s="85">
        <v>105.0</v>
      </c>
      <c r="T236" s="86">
        <v>139.0</v>
      </c>
      <c r="V236" s="86"/>
      <c r="X236" s="86"/>
      <c r="Z236" s="86"/>
      <c r="AB236" s="86"/>
      <c r="AC236" s="43"/>
      <c r="AD236" s="86"/>
      <c r="AF236" s="86"/>
      <c r="AH236" s="86"/>
      <c r="AJ236" s="85"/>
      <c r="AK236" s="43"/>
      <c r="AL236" s="46"/>
      <c r="AM236" s="43"/>
      <c r="AN236" s="41"/>
      <c r="AO236" s="43"/>
      <c r="AP236" s="41"/>
      <c r="AQ236" s="43"/>
      <c r="AR236" s="41"/>
      <c r="AS236" s="43"/>
      <c r="AT236" s="42"/>
      <c r="AV236" s="42"/>
      <c r="AW236" s="43"/>
      <c r="AX236" s="54">
        <f t="shared" si="1"/>
        <v>2713.28</v>
      </c>
      <c r="AY236" s="52">
        <f t="shared" si="2"/>
        <v>244</v>
      </c>
      <c r="AZ236" s="52">
        <f t="shared" si="3"/>
        <v>0</v>
      </c>
      <c r="BA236" s="52">
        <f t="shared" si="4"/>
        <v>244</v>
      </c>
      <c r="BB236" s="49">
        <f t="shared" si="5"/>
        <v>11.12</v>
      </c>
    </row>
    <row r="237" ht="15.75" customHeight="1">
      <c r="A237" s="50" t="s">
        <v>50</v>
      </c>
      <c r="B237" s="51">
        <f t="shared" si="6"/>
        <v>45890</v>
      </c>
      <c r="C237" s="52">
        <v>9.0</v>
      </c>
      <c r="D237" s="52" t="s">
        <v>65</v>
      </c>
      <c r="E237" s="53"/>
      <c r="F237" s="85"/>
      <c r="H237" s="86"/>
      <c r="J237" s="86"/>
      <c r="L237" s="86"/>
      <c r="N237" s="86"/>
      <c r="P237" s="86"/>
      <c r="Q237" s="43"/>
      <c r="R237" s="85">
        <v>89.0</v>
      </c>
      <c r="T237" s="86">
        <v>119.0</v>
      </c>
      <c r="V237" s="86"/>
      <c r="X237" s="86"/>
      <c r="Z237" s="86"/>
      <c r="AB237" s="86"/>
      <c r="AC237" s="43"/>
      <c r="AD237" s="86"/>
      <c r="AF237" s="86"/>
      <c r="AH237" s="86"/>
      <c r="AJ237" s="85"/>
      <c r="AK237" s="43"/>
      <c r="AL237" s="46"/>
      <c r="AM237" s="43"/>
      <c r="AN237" s="41"/>
      <c r="AO237" s="43"/>
      <c r="AP237" s="41"/>
      <c r="AQ237" s="43"/>
      <c r="AR237" s="41"/>
      <c r="AS237" s="43"/>
      <c r="AT237" s="42"/>
      <c r="AV237" s="42"/>
      <c r="AW237" s="43"/>
      <c r="AX237" s="54">
        <f t="shared" si="1"/>
        <v>2312.96</v>
      </c>
      <c r="AY237" s="52">
        <f t="shared" si="2"/>
        <v>208</v>
      </c>
      <c r="AZ237" s="52">
        <f t="shared" si="3"/>
        <v>0</v>
      </c>
      <c r="BA237" s="52">
        <f t="shared" si="4"/>
        <v>208</v>
      </c>
      <c r="BB237" s="49">
        <f t="shared" si="5"/>
        <v>11.12</v>
      </c>
    </row>
    <row r="238" ht="15.75" customHeight="1">
      <c r="A238" s="50" t="s">
        <v>53</v>
      </c>
      <c r="B238" s="51">
        <f t="shared" si="6"/>
        <v>45891</v>
      </c>
      <c r="C238" s="52">
        <v>9.0</v>
      </c>
      <c r="D238" s="52" t="s">
        <v>65</v>
      </c>
      <c r="E238" s="53"/>
      <c r="F238" s="85"/>
      <c r="H238" s="86"/>
      <c r="J238" s="86"/>
      <c r="L238" s="86"/>
      <c r="N238" s="86"/>
      <c r="P238" s="86"/>
      <c r="Q238" s="43"/>
      <c r="R238" s="85">
        <v>95.0</v>
      </c>
      <c r="T238" s="86">
        <v>115.0</v>
      </c>
      <c r="V238" s="86"/>
      <c r="X238" s="86"/>
      <c r="Z238" s="86"/>
      <c r="AB238" s="86"/>
      <c r="AC238" s="43"/>
      <c r="AD238" s="86"/>
      <c r="AF238" s="86"/>
      <c r="AH238" s="86"/>
      <c r="AJ238" s="85"/>
      <c r="AK238" s="43"/>
      <c r="AL238" s="46"/>
      <c r="AM238" s="43"/>
      <c r="AN238" s="41"/>
      <c r="AO238" s="43"/>
      <c r="AP238" s="41"/>
      <c r="AQ238" s="43"/>
      <c r="AR238" s="41"/>
      <c r="AS238" s="43"/>
      <c r="AT238" s="42"/>
      <c r="AV238" s="42"/>
      <c r="AW238" s="43"/>
      <c r="AX238" s="54">
        <f t="shared" si="1"/>
        <v>2335.2</v>
      </c>
      <c r="AY238" s="52">
        <f t="shared" si="2"/>
        <v>210</v>
      </c>
      <c r="AZ238" s="52">
        <f t="shared" si="3"/>
        <v>0</v>
      </c>
      <c r="BA238" s="52">
        <f t="shared" si="4"/>
        <v>210</v>
      </c>
      <c r="BB238" s="49">
        <f t="shared" si="5"/>
        <v>11.12</v>
      </c>
    </row>
    <row r="239" ht="15.75" customHeight="1">
      <c r="A239" s="50" t="s">
        <v>54</v>
      </c>
      <c r="B239" s="51">
        <f t="shared" si="6"/>
        <v>45892</v>
      </c>
      <c r="C239" s="52">
        <v>9.0</v>
      </c>
      <c r="D239" s="52" t="s">
        <v>65</v>
      </c>
      <c r="E239" s="53"/>
      <c r="F239" s="85"/>
      <c r="H239" s="86"/>
      <c r="J239" s="86"/>
      <c r="L239" s="86"/>
      <c r="N239" s="86"/>
      <c r="P239" s="86"/>
      <c r="Q239" s="43"/>
      <c r="R239" s="85">
        <v>80.0</v>
      </c>
      <c r="T239" s="86">
        <v>95.0</v>
      </c>
      <c r="V239" s="86"/>
      <c r="X239" s="86"/>
      <c r="Z239" s="86"/>
      <c r="AB239" s="86"/>
      <c r="AC239" s="43"/>
      <c r="AD239" s="86"/>
      <c r="AF239" s="86"/>
      <c r="AH239" s="86"/>
      <c r="AJ239" s="85"/>
      <c r="AK239" s="43"/>
      <c r="AL239" s="46"/>
      <c r="AM239" s="43"/>
      <c r="AN239" s="41"/>
      <c r="AO239" s="43"/>
      <c r="AP239" s="41"/>
      <c r="AQ239" s="43"/>
      <c r="AR239" s="41"/>
      <c r="AS239" s="43"/>
      <c r="AT239" s="42"/>
      <c r="AV239" s="42"/>
      <c r="AW239" s="43"/>
      <c r="AX239" s="54">
        <f t="shared" si="1"/>
        <v>1946</v>
      </c>
      <c r="AY239" s="52">
        <f t="shared" si="2"/>
        <v>175</v>
      </c>
      <c r="AZ239" s="52">
        <f t="shared" si="3"/>
        <v>0</v>
      </c>
      <c r="BA239" s="52">
        <f t="shared" si="4"/>
        <v>175</v>
      </c>
      <c r="BB239" s="49">
        <f t="shared" si="5"/>
        <v>11.12</v>
      </c>
    </row>
    <row r="240" ht="15.75" customHeight="1">
      <c r="A240" s="59" t="s">
        <v>61</v>
      </c>
      <c r="B240" s="61">
        <f t="shared" si="6"/>
        <v>45893</v>
      </c>
      <c r="C240" s="63">
        <v>9.0</v>
      </c>
      <c r="D240" s="63" t="s">
        <v>65</v>
      </c>
      <c r="E240" s="64"/>
      <c r="F240" s="87"/>
      <c r="G240" s="66"/>
      <c r="H240" s="88"/>
      <c r="I240" s="66"/>
      <c r="J240" s="88"/>
      <c r="K240" s="66"/>
      <c r="L240" s="88"/>
      <c r="M240" s="66"/>
      <c r="N240" s="88"/>
      <c r="O240" s="66"/>
      <c r="P240" s="88"/>
      <c r="Q240" s="68"/>
      <c r="R240" s="87">
        <v>0.0</v>
      </c>
      <c r="S240" s="66"/>
      <c r="T240" s="88">
        <v>0.0</v>
      </c>
      <c r="U240" s="66"/>
      <c r="V240" s="88"/>
      <c r="W240" s="66"/>
      <c r="X240" s="88"/>
      <c r="Y240" s="66"/>
      <c r="Z240" s="88"/>
      <c r="AA240" s="66"/>
      <c r="AB240" s="88"/>
      <c r="AC240" s="68"/>
      <c r="AD240" s="88"/>
      <c r="AE240" s="66"/>
      <c r="AF240" s="88"/>
      <c r="AG240" s="66"/>
      <c r="AH240" s="88"/>
      <c r="AI240" s="66"/>
      <c r="AJ240" s="87"/>
      <c r="AK240" s="68"/>
      <c r="AL240" s="71"/>
      <c r="AM240" s="68"/>
      <c r="AN240" s="65"/>
      <c r="AO240" s="68"/>
      <c r="AP240" s="65"/>
      <c r="AQ240" s="68"/>
      <c r="AR240" s="65"/>
      <c r="AS240" s="68"/>
      <c r="AT240" s="67"/>
      <c r="AU240" s="66"/>
      <c r="AV240" s="67"/>
      <c r="AW240" s="68"/>
      <c r="AX240" s="73">
        <f t="shared" si="1"/>
        <v>0</v>
      </c>
      <c r="AY240" s="63">
        <f t="shared" si="2"/>
        <v>0</v>
      </c>
      <c r="AZ240" s="63">
        <f t="shared" si="3"/>
        <v>0</v>
      </c>
      <c r="BA240" s="63">
        <f t="shared" si="4"/>
        <v>0</v>
      </c>
      <c r="BB240" s="74" t="str">
        <f t="shared" si="5"/>
        <v/>
      </c>
    </row>
    <row r="241" ht="15.75" customHeight="1">
      <c r="A241" s="36" t="s">
        <v>46</v>
      </c>
      <c r="B241" s="75">
        <f t="shared" si="6"/>
        <v>45894</v>
      </c>
      <c r="C241" s="38">
        <v>9.0</v>
      </c>
      <c r="D241" s="38" t="s">
        <v>69</v>
      </c>
      <c r="E241" s="40"/>
      <c r="F241" s="85"/>
      <c r="H241" s="86"/>
      <c r="J241" s="86"/>
      <c r="L241" s="86"/>
      <c r="N241" s="86"/>
      <c r="P241" s="86"/>
      <c r="Q241" s="43"/>
      <c r="R241" s="85">
        <v>99.0</v>
      </c>
      <c r="T241" s="86">
        <v>118.0</v>
      </c>
      <c r="V241" s="86"/>
      <c r="X241" s="86"/>
      <c r="Z241" s="86"/>
      <c r="AB241" s="86"/>
      <c r="AC241" s="43"/>
      <c r="AD241" s="86"/>
      <c r="AF241" s="86"/>
      <c r="AH241" s="86"/>
      <c r="AJ241" s="85"/>
      <c r="AK241" s="43"/>
      <c r="AL241" s="46"/>
      <c r="AM241" s="43"/>
      <c r="AN241" s="41"/>
      <c r="AO241" s="43"/>
      <c r="AP241" s="41"/>
      <c r="AQ241" s="43"/>
      <c r="AR241" s="41"/>
      <c r="AS241" s="43"/>
      <c r="AT241" s="42"/>
      <c r="AV241" s="42"/>
      <c r="AW241" s="43"/>
      <c r="AX241" s="47">
        <f t="shared" si="1"/>
        <v>2413.04</v>
      </c>
      <c r="AY241" s="38">
        <f t="shared" si="2"/>
        <v>217</v>
      </c>
      <c r="AZ241" s="38">
        <f t="shared" si="3"/>
        <v>0</v>
      </c>
      <c r="BA241" s="38">
        <f t="shared" si="4"/>
        <v>217</v>
      </c>
      <c r="BB241" s="76">
        <f t="shared" si="5"/>
        <v>11.12</v>
      </c>
    </row>
    <row r="242" ht="15.75" customHeight="1">
      <c r="A242" s="50" t="s">
        <v>48</v>
      </c>
      <c r="B242" s="51">
        <f t="shared" si="6"/>
        <v>45895</v>
      </c>
      <c r="C242" s="52">
        <v>9.0</v>
      </c>
      <c r="D242" s="52" t="s">
        <v>69</v>
      </c>
      <c r="E242" s="53"/>
      <c r="F242" s="85"/>
      <c r="H242" s="86"/>
      <c r="J242" s="86"/>
      <c r="L242" s="86"/>
      <c r="N242" s="86"/>
      <c r="P242" s="86"/>
      <c r="Q242" s="43"/>
      <c r="R242" s="85">
        <v>94.0</v>
      </c>
      <c r="T242" s="86">
        <v>117.0</v>
      </c>
      <c r="V242" s="86"/>
      <c r="X242" s="86"/>
      <c r="Z242" s="86"/>
      <c r="AB242" s="86"/>
      <c r="AC242" s="43"/>
      <c r="AD242" s="86"/>
      <c r="AF242" s="86"/>
      <c r="AH242" s="86"/>
      <c r="AJ242" s="85"/>
      <c r="AK242" s="43"/>
      <c r="AL242" s="46"/>
      <c r="AM242" s="43"/>
      <c r="AN242" s="41"/>
      <c r="AO242" s="43"/>
      <c r="AP242" s="41"/>
      <c r="AQ242" s="43"/>
      <c r="AR242" s="41"/>
      <c r="AS242" s="43"/>
      <c r="AT242" s="42"/>
      <c r="AV242" s="42"/>
      <c r="AW242" s="43"/>
      <c r="AX242" s="54">
        <f t="shared" si="1"/>
        <v>2346.32</v>
      </c>
      <c r="AY242" s="52">
        <f t="shared" si="2"/>
        <v>211</v>
      </c>
      <c r="AZ242" s="52">
        <f t="shared" si="3"/>
        <v>0</v>
      </c>
      <c r="BA242" s="52">
        <f t="shared" si="4"/>
        <v>211</v>
      </c>
      <c r="BB242" s="49">
        <f t="shared" si="5"/>
        <v>11.12</v>
      </c>
    </row>
    <row r="243" ht="15.75" customHeight="1">
      <c r="A243" s="50" t="s">
        <v>49</v>
      </c>
      <c r="B243" s="51">
        <f t="shared" si="6"/>
        <v>45896</v>
      </c>
      <c r="C243" s="52">
        <v>9.0</v>
      </c>
      <c r="D243" s="52" t="s">
        <v>69</v>
      </c>
      <c r="E243" s="53"/>
      <c r="F243" s="85"/>
      <c r="H243" s="86"/>
      <c r="J243" s="86"/>
      <c r="L243" s="86"/>
      <c r="N243" s="86"/>
      <c r="P243" s="86"/>
      <c r="Q243" s="43"/>
      <c r="R243" s="85">
        <v>111.0</v>
      </c>
      <c r="T243" s="86">
        <v>124.0</v>
      </c>
      <c r="V243" s="86"/>
      <c r="X243" s="86"/>
      <c r="Z243" s="86"/>
      <c r="AB243" s="86"/>
      <c r="AC243" s="43"/>
      <c r="AD243" s="86"/>
      <c r="AF243" s="86"/>
      <c r="AH243" s="86"/>
      <c r="AJ243" s="85"/>
      <c r="AK243" s="43"/>
      <c r="AL243" s="46"/>
      <c r="AM243" s="43"/>
      <c r="AN243" s="41"/>
      <c r="AO243" s="43"/>
      <c r="AP243" s="41"/>
      <c r="AQ243" s="43"/>
      <c r="AR243" s="41"/>
      <c r="AS243" s="43"/>
      <c r="AT243" s="42"/>
      <c r="AV243" s="42"/>
      <c r="AW243" s="43"/>
      <c r="AX243" s="54">
        <f t="shared" si="1"/>
        <v>2613.2</v>
      </c>
      <c r="AY243" s="52">
        <f t="shared" si="2"/>
        <v>235</v>
      </c>
      <c r="AZ243" s="52">
        <f t="shared" si="3"/>
        <v>0</v>
      </c>
      <c r="BA243" s="52">
        <f t="shared" si="4"/>
        <v>235</v>
      </c>
      <c r="BB243" s="49">
        <f t="shared" si="5"/>
        <v>11.12</v>
      </c>
    </row>
    <row r="244" ht="15.75" customHeight="1">
      <c r="A244" s="50" t="s">
        <v>50</v>
      </c>
      <c r="B244" s="51">
        <f t="shared" si="6"/>
        <v>45897</v>
      </c>
      <c r="C244" s="52">
        <v>9.0</v>
      </c>
      <c r="D244" s="52" t="s">
        <v>69</v>
      </c>
      <c r="E244" s="53"/>
      <c r="F244" s="85"/>
      <c r="H244" s="86"/>
      <c r="J244" s="86"/>
      <c r="L244" s="86"/>
      <c r="N244" s="86"/>
      <c r="P244" s="86"/>
      <c r="Q244" s="43"/>
      <c r="R244" s="85">
        <v>101.0</v>
      </c>
      <c r="T244" s="86">
        <v>116.0</v>
      </c>
      <c r="V244" s="86"/>
      <c r="X244" s="86"/>
      <c r="Z244" s="86"/>
      <c r="AB244" s="86"/>
      <c r="AC244" s="43"/>
      <c r="AD244" s="86"/>
      <c r="AF244" s="86"/>
      <c r="AH244" s="86"/>
      <c r="AJ244" s="85"/>
      <c r="AK244" s="43"/>
      <c r="AL244" s="46"/>
      <c r="AM244" s="43"/>
      <c r="AN244" s="41"/>
      <c r="AO244" s="43"/>
      <c r="AP244" s="41"/>
      <c r="AQ244" s="43"/>
      <c r="AR244" s="41"/>
      <c r="AS244" s="43"/>
      <c r="AT244" s="42"/>
      <c r="AV244" s="42"/>
      <c r="AW244" s="43"/>
      <c r="AX244" s="54">
        <f t="shared" si="1"/>
        <v>2413.04</v>
      </c>
      <c r="AY244" s="52">
        <f t="shared" si="2"/>
        <v>217</v>
      </c>
      <c r="AZ244" s="52">
        <f t="shared" si="3"/>
        <v>0</v>
      </c>
      <c r="BA244" s="52">
        <f t="shared" si="4"/>
        <v>217</v>
      </c>
      <c r="BB244" s="49">
        <f t="shared" si="5"/>
        <v>11.12</v>
      </c>
    </row>
    <row r="245" ht="15.75" customHeight="1">
      <c r="A245" s="50" t="s">
        <v>53</v>
      </c>
      <c r="B245" s="51">
        <f t="shared" si="6"/>
        <v>45898</v>
      </c>
      <c r="C245" s="52">
        <v>9.0</v>
      </c>
      <c r="D245" s="52" t="s">
        <v>69</v>
      </c>
      <c r="E245" s="53"/>
      <c r="F245" s="85"/>
      <c r="H245" s="86"/>
      <c r="J245" s="86"/>
      <c r="L245" s="86"/>
      <c r="N245" s="86"/>
      <c r="P245" s="86"/>
      <c r="Q245" s="43"/>
      <c r="R245" s="85">
        <v>119.0</v>
      </c>
      <c r="T245" s="86">
        <v>89.0</v>
      </c>
      <c r="V245" s="86"/>
      <c r="X245" s="86"/>
      <c r="Z245" s="86"/>
      <c r="AB245" s="86"/>
      <c r="AC245" s="43"/>
      <c r="AD245" s="86"/>
      <c r="AF245" s="86"/>
      <c r="AH245" s="86"/>
      <c r="AJ245" s="85"/>
      <c r="AK245" s="43"/>
      <c r="AL245" s="46"/>
      <c r="AM245" s="43"/>
      <c r="AN245" s="41"/>
      <c r="AO245" s="43"/>
      <c r="AP245" s="41"/>
      <c r="AQ245" s="43"/>
      <c r="AR245" s="41"/>
      <c r="AS245" s="43"/>
      <c r="AT245" s="42"/>
      <c r="AV245" s="42"/>
      <c r="AW245" s="43"/>
      <c r="AX245" s="54">
        <f t="shared" si="1"/>
        <v>2312.96</v>
      </c>
      <c r="AY245" s="52">
        <f t="shared" si="2"/>
        <v>208</v>
      </c>
      <c r="AZ245" s="52">
        <f t="shared" si="3"/>
        <v>0</v>
      </c>
      <c r="BA245" s="52">
        <f t="shared" si="4"/>
        <v>208</v>
      </c>
      <c r="BB245" s="49">
        <f t="shared" si="5"/>
        <v>11.12</v>
      </c>
    </row>
    <row r="246" ht="15.75" customHeight="1">
      <c r="A246" s="50" t="s">
        <v>54</v>
      </c>
      <c r="B246" s="51">
        <f t="shared" si="6"/>
        <v>45899</v>
      </c>
      <c r="C246" s="52">
        <v>9.0</v>
      </c>
      <c r="D246" s="52" t="s">
        <v>69</v>
      </c>
      <c r="E246" s="53"/>
      <c r="F246" s="85"/>
      <c r="H246" s="86"/>
      <c r="J246" s="86"/>
      <c r="L246" s="86"/>
      <c r="N246" s="86"/>
      <c r="P246" s="86"/>
      <c r="Q246" s="43"/>
      <c r="R246" s="85">
        <v>94.0</v>
      </c>
      <c r="T246" s="86">
        <v>81.0</v>
      </c>
      <c r="V246" s="86"/>
      <c r="X246" s="86"/>
      <c r="Z246" s="86"/>
      <c r="AB246" s="86"/>
      <c r="AC246" s="43"/>
      <c r="AD246" s="86"/>
      <c r="AF246" s="86"/>
      <c r="AH246" s="86"/>
      <c r="AJ246" s="85"/>
      <c r="AK246" s="43"/>
      <c r="AL246" s="46"/>
      <c r="AM246" s="43"/>
      <c r="AN246" s="41"/>
      <c r="AO246" s="43"/>
      <c r="AP246" s="41"/>
      <c r="AQ246" s="43"/>
      <c r="AR246" s="41"/>
      <c r="AS246" s="43"/>
      <c r="AT246" s="42"/>
      <c r="AV246" s="42"/>
      <c r="AW246" s="43"/>
      <c r="AX246" s="54">
        <f t="shared" si="1"/>
        <v>1946</v>
      </c>
      <c r="AY246" s="52">
        <f t="shared" si="2"/>
        <v>175</v>
      </c>
      <c r="AZ246" s="52">
        <f t="shared" si="3"/>
        <v>0</v>
      </c>
      <c r="BA246" s="52">
        <f t="shared" si="4"/>
        <v>175</v>
      </c>
      <c r="BB246" s="49">
        <f t="shared" si="5"/>
        <v>11.12</v>
      </c>
    </row>
    <row r="247" ht="15.75" customHeight="1">
      <c r="A247" s="59" t="s">
        <v>61</v>
      </c>
      <c r="B247" s="61">
        <f t="shared" si="6"/>
        <v>45900</v>
      </c>
      <c r="C247" s="63">
        <v>9.0</v>
      </c>
      <c r="D247" s="63" t="s">
        <v>69</v>
      </c>
      <c r="E247" s="64"/>
      <c r="F247" s="87"/>
      <c r="G247" s="66"/>
      <c r="H247" s="88"/>
      <c r="I247" s="66"/>
      <c r="J247" s="88"/>
      <c r="K247" s="66"/>
      <c r="L247" s="88"/>
      <c r="M247" s="66"/>
      <c r="N247" s="88"/>
      <c r="O247" s="66"/>
      <c r="P247" s="88"/>
      <c r="Q247" s="68"/>
      <c r="R247" s="87">
        <v>0.0</v>
      </c>
      <c r="S247" s="66"/>
      <c r="T247" s="88">
        <v>0.0</v>
      </c>
      <c r="U247" s="66"/>
      <c r="V247" s="88"/>
      <c r="W247" s="66"/>
      <c r="X247" s="88"/>
      <c r="Y247" s="66"/>
      <c r="Z247" s="88"/>
      <c r="AA247" s="66"/>
      <c r="AB247" s="88"/>
      <c r="AC247" s="68"/>
      <c r="AD247" s="88"/>
      <c r="AE247" s="66"/>
      <c r="AF247" s="88"/>
      <c r="AG247" s="66"/>
      <c r="AH247" s="88"/>
      <c r="AI247" s="66"/>
      <c r="AJ247" s="87"/>
      <c r="AK247" s="68"/>
      <c r="AL247" s="71"/>
      <c r="AM247" s="68"/>
      <c r="AN247" s="65"/>
      <c r="AO247" s="68"/>
      <c r="AP247" s="65"/>
      <c r="AQ247" s="68"/>
      <c r="AR247" s="65"/>
      <c r="AS247" s="68"/>
      <c r="AT247" s="67"/>
      <c r="AU247" s="66"/>
      <c r="AV247" s="67"/>
      <c r="AW247" s="68"/>
      <c r="AX247" s="73">
        <f t="shared" si="1"/>
        <v>0</v>
      </c>
      <c r="AY247" s="63">
        <f t="shared" si="2"/>
        <v>0</v>
      </c>
      <c r="AZ247" s="63">
        <f t="shared" si="3"/>
        <v>0</v>
      </c>
      <c r="BA247" s="63">
        <f t="shared" si="4"/>
        <v>0</v>
      </c>
      <c r="BB247" s="74" t="str">
        <f t="shared" si="5"/>
        <v/>
      </c>
    </row>
    <row r="248" ht="15.75" customHeight="1">
      <c r="A248" s="36" t="s">
        <v>46</v>
      </c>
      <c r="B248" s="75">
        <f t="shared" si="6"/>
        <v>45901</v>
      </c>
      <c r="C248" s="38">
        <v>9.0</v>
      </c>
      <c r="D248" s="38" t="s">
        <v>72</v>
      </c>
      <c r="E248" s="82"/>
      <c r="F248" s="85"/>
      <c r="H248" s="86"/>
      <c r="J248" s="86"/>
      <c r="L248" s="86"/>
      <c r="N248" s="86"/>
      <c r="P248" s="86"/>
      <c r="Q248" s="43"/>
      <c r="R248" s="85">
        <v>93.0</v>
      </c>
      <c r="T248" s="86">
        <v>112.0</v>
      </c>
      <c r="V248" s="86"/>
      <c r="X248" s="86"/>
      <c r="Z248" s="86"/>
      <c r="AB248" s="86"/>
      <c r="AC248" s="43"/>
      <c r="AD248" s="86"/>
      <c r="AF248" s="86"/>
      <c r="AH248" s="86"/>
      <c r="AJ248" s="85"/>
      <c r="AK248" s="43"/>
      <c r="AL248" s="46"/>
      <c r="AM248" s="43"/>
      <c r="AN248" s="41"/>
      <c r="AO248" s="43"/>
      <c r="AP248" s="41"/>
      <c r="AQ248" s="43"/>
      <c r="AR248" s="41"/>
      <c r="AS248" s="43"/>
      <c r="AT248" s="42"/>
      <c r="AV248" s="42"/>
      <c r="AW248" s="43"/>
      <c r="AX248" s="47">
        <f t="shared" si="1"/>
        <v>2279.6</v>
      </c>
      <c r="AY248" s="38">
        <f t="shared" si="2"/>
        <v>205</v>
      </c>
      <c r="AZ248" s="38">
        <f t="shared" si="3"/>
        <v>0</v>
      </c>
      <c r="BA248" s="38">
        <f t="shared" si="4"/>
        <v>205</v>
      </c>
      <c r="BB248" s="76">
        <f t="shared" si="5"/>
        <v>11.12</v>
      </c>
    </row>
    <row r="249" ht="15.75" customHeight="1">
      <c r="A249" s="50" t="s">
        <v>48</v>
      </c>
      <c r="B249" s="51">
        <f t="shared" si="6"/>
        <v>45902</v>
      </c>
      <c r="C249" s="52">
        <v>9.0</v>
      </c>
      <c r="D249" s="52" t="s">
        <v>72</v>
      </c>
      <c r="E249" s="92"/>
      <c r="F249" s="85"/>
      <c r="H249" s="86"/>
      <c r="J249" s="86"/>
      <c r="L249" s="86"/>
      <c r="N249" s="86"/>
      <c r="P249" s="86"/>
      <c r="Q249" s="43"/>
      <c r="R249" s="85">
        <v>98.0</v>
      </c>
      <c r="T249" s="86">
        <v>106.0</v>
      </c>
      <c r="V249" s="86"/>
      <c r="X249" s="86"/>
      <c r="Z249" s="86"/>
      <c r="AB249" s="86"/>
      <c r="AC249" s="43"/>
      <c r="AD249" s="86"/>
      <c r="AF249" s="86"/>
      <c r="AH249" s="86"/>
      <c r="AJ249" s="85"/>
      <c r="AK249" s="43"/>
      <c r="AL249" s="46"/>
      <c r="AM249" s="43"/>
      <c r="AN249" s="41"/>
      <c r="AO249" s="43"/>
      <c r="AP249" s="41"/>
      <c r="AQ249" s="43"/>
      <c r="AR249" s="41"/>
      <c r="AS249" s="43"/>
      <c r="AT249" s="42"/>
      <c r="AV249" s="42"/>
      <c r="AW249" s="43"/>
      <c r="AX249" s="54">
        <f t="shared" si="1"/>
        <v>2268.48</v>
      </c>
      <c r="AY249" s="52">
        <f t="shared" si="2"/>
        <v>204</v>
      </c>
      <c r="AZ249" s="52">
        <f t="shared" si="3"/>
        <v>0</v>
      </c>
      <c r="BA249" s="52">
        <f t="shared" si="4"/>
        <v>204</v>
      </c>
      <c r="BB249" s="49">
        <f t="shared" si="5"/>
        <v>11.12</v>
      </c>
    </row>
    <row r="250" ht="15.75" customHeight="1">
      <c r="A250" s="50" t="s">
        <v>49</v>
      </c>
      <c r="B250" s="51">
        <f t="shared" si="6"/>
        <v>45903</v>
      </c>
      <c r="C250" s="52">
        <v>9.0</v>
      </c>
      <c r="D250" s="52" t="s">
        <v>72</v>
      </c>
      <c r="E250" s="53"/>
      <c r="F250" s="85"/>
      <c r="H250" s="86"/>
      <c r="J250" s="86"/>
      <c r="L250" s="86"/>
      <c r="N250" s="86"/>
      <c r="P250" s="86"/>
      <c r="Q250" s="43"/>
      <c r="R250" s="85">
        <v>99.0</v>
      </c>
      <c r="T250" s="86">
        <v>107.0</v>
      </c>
      <c r="V250" s="86"/>
      <c r="X250" s="86"/>
      <c r="Z250" s="86"/>
      <c r="AB250" s="86"/>
      <c r="AC250" s="43"/>
      <c r="AD250" s="86"/>
      <c r="AF250" s="86"/>
      <c r="AH250" s="86"/>
      <c r="AJ250" s="85"/>
      <c r="AK250" s="43"/>
      <c r="AL250" s="46"/>
      <c r="AM250" s="43"/>
      <c r="AN250" s="41"/>
      <c r="AO250" s="43"/>
      <c r="AP250" s="41"/>
      <c r="AQ250" s="43"/>
      <c r="AR250" s="41"/>
      <c r="AS250" s="43"/>
      <c r="AT250" s="42"/>
      <c r="AV250" s="42"/>
      <c r="AW250" s="43"/>
      <c r="AX250" s="54">
        <f t="shared" si="1"/>
        <v>2290.72</v>
      </c>
      <c r="AY250" s="52">
        <f t="shared" si="2"/>
        <v>206</v>
      </c>
      <c r="AZ250" s="52">
        <f t="shared" si="3"/>
        <v>0</v>
      </c>
      <c r="BA250" s="52">
        <f t="shared" si="4"/>
        <v>206</v>
      </c>
      <c r="BB250" s="49">
        <f t="shared" si="5"/>
        <v>11.12</v>
      </c>
    </row>
    <row r="251" ht="15.75" customHeight="1">
      <c r="A251" s="50" t="s">
        <v>50</v>
      </c>
      <c r="B251" s="51">
        <f t="shared" si="6"/>
        <v>45904</v>
      </c>
      <c r="C251" s="52">
        <v>9.0</v>
      </c>
      <c r="D251" s="52" t="s">
        <v>72</v>
      </c>
      <c r="E251" s="53"/>
      <c r="F251" s="85"/>
      <c r="H251" s="86"/>
      <c r="J251" s="86"/>
      <c r="L251" s="86"/>
      <c r="N251" s="86"/>
      <c r="P251" s="86"/>
      <c r="Q251" s="43"/>
      <c r="R251" s="85">
        <v>95.0</v>
      </c>
      <c r="T251" s="86">
        <v>118.0</v>
      </c>
      <c r="V251" s="86"/>
      <c r="X251" s="86"/>
      <c r="Z251" s="86"/>
      <c r="AB251" s="86"/>
      <c r="AC251" s="43"/>
      <c r="AD251" s="86"/>
      <c r="AF251" s="86"/>
      <c r="AH251" s="86"/>
      <c r="AJ251" s="85"/>
      <c r="AK251" s="43"/>
      <c r="AL251" s="46"/>
      <c r="AM251" s="43"/>
      <c r="AN251" s="41"/>
      <c r="AO251" s="43"/>
      <c r="AP251" s="41"/>
      <c r="AQ251" s="43"/>
      <c r="AR251" s="41"/>
      <c r="AS251" s="43"/>
      <c r="AT251" s="42"/>
      <c r="AV251" s="42"/>
      <c r="AW251" s="43"/>
      <c r="AX251" s="54">
        <f t="shared" si="1"/>
        <v>2368.56</v>
      </c>
      <c r="AY251" s="52">
        <f t="shared" si="2"/>
        <v>213</v>
      </c>
      <c r="AZ251" s="52">
        <f t="shared" si="3"/>
        <v>0</v>
      </c>
      <c r="BA251" s="52">
        <f t="shared" si="4"/>
        <v>213</v>
      </c>
      <c r="BB251" s="49">
        <f t="shared" si="5"/>
        <v>11.12</v>
      </c>
    </row>
    <row r="252" ht="15.75" customHeight="1">
      <c r="A252" s="50" t="s">
        <v>53</v>
      </c>
      <c r="B252" s="51">
        <f t="shared" si="6"/>
        <v>45905</v>
      </c>
      <c r="C252" s="52">
        <v>9.0</v>
      </c>
      <c r="D252" s="52" t="s">
        <v>72</v>
      </c>
      <c r="E252" s="53"/>
      <c r="F252" s="85"/>
      <c r="H252" s="86"/>
      <c r="J252" s="86"/>
      <c r="L252" s="86"/>
      <c r="N252" s="86"/>
      <c r="P252" s="86"/>
      <c r="Q252" s="43"/>
      <c r="R252" s="85">
        <v>97.0</v>
      </c>
      <c r="T252" s="86">
        <v>111.0</v>
      </c>
      <c r="V252" s="86"/>
      <c r="X252" s="86"/>
      <c r="Z252" s="86"/>
      <c r="AB252" s="86"/>
      <c r="AC252" s="43"/>
      <c r="AD252" s="86"/>
      <c r="AF252" s="86"/>
      <c r="AH252" s="86"/>
      <c r="AJ252" s="85"/>
      <c r="AK252" s="43"/>
      <c r="AL252" s="46"/>
      <c r="AM252" s="43"/>
      <c r="AN252" s="41"/>
      <c r="AO252" s="43"/>
      <c r="AP252" s="41"/>
      <c r="AQ252" s="43"/>
      <c r="AR252" s="41"/>
      <c r="AS252" s="43"/>
      <c r="AT252" s="42"/>
      <c r="AV252" s="42"/>
      <c r="AW252" s="43"/>
      <c r="AX252" s="54">
        <f t="shared" si="1"/>
        <v>2312.96</v>
      </c>
      <c r="AY252" s="52">
        <f t="shared" si="2"/>
        <v>208</v>
      </c>
      <c r="AZ252" s="52">
        <f t="shared" si="3"/>
        <v>0</v>
      </c>
      <c r="BA252" s="52">
        <f t="shared" si="4"/>
        <v>208</v>
      </c>
      <c r="BB252" s="49">
        <f t="shared" si="5"/>
        <v>11.12</v>
      </c>
    </row>
    <row r="253" ht="15.75" customHeight="1">
      <c r="A253" s="50" t="s">
        <v>54</v>
      </c>
      <c r="B253" s="51">
        <f t="shared" si="6"/>
        <v>45906</v>
      </c>
      <c r="C253" s="52">
        <v>9.0</v>
      </c>
      <c r="D253" s="52" t="s">
        <v>72</v>
      </c>
      <c r="E253" s="53"/>
      <c r="F253" s="85"/>
      <c r="H253" s="86"/>
      <c r="J253" s="86"/>
      <c r="L253" s="86"/>
      <c r="N253" s="86"/>
      <c r="P253" s="86"/>
      <c r="Q253" s="43"/>
      <c r="R253" s="85">
        <v>65.0</v>
      </c>
      <c r="T253" s="86">
        <v>60.0</v>
      </c>
      <c r="V253" s="86"/>
      <c r="X253" s="86"/>
      <c r="Z253" s="86"/>
      <c r="AB253" s="86"/>
      <c r="AC253" s="43"/>
      <c r="AD253" s="86"/>
      <c r="AF253" s="86"/>
      <c r="AH253" s="86"/>
      <c r="AJ253" s="85"/>
      <c r="AK253" s="43"/>
      <c r="AL253" s="46"/>
      <c r="AM253" s="43"/>
      <c r="AN253" s="41"/>
      <c r="AO253" s="43"/>
      <c r="AP253" s="41"/>
      <c r="AQ253" s="43"/>
      <c r="AR253" s="41"/>
      <c r="AS253" s="43"/>
      <c r="AT253" s="42"/>
      <c r="AV253" s="42"/>
      <c r="AW253" s="43"/>
      <c r="AX253" s="54">
        <f t="shared" si="1"/>
        <v>1390</v>
      </c>
      <c r="AY253" s="52">
        <f t="shared" si="2"/>
        <v>125</v>
      </c>
      <c r="AZ253" s="52">
        <f t="shared" si="3"/>
        <v>0</v>
      </c>
      <c r="BA253" s="52">
        <f t="shared" si="4"/>
        <v>125</v>
      </c>
      <c r="BB253" s="49">
        <f t="shared" si="5"/>
        <v>11.12</v>
      </c>
    </row>
    <row r="254" ht="15.75" customHeight="1">
      <c r="A254" s="59" t="s">
        <v>61</v>
      </c>
      <c r="B254" s="61">
        <f t="shared" si="6"/>
        <v>45907</v>
      </c>
      <c r="C254" s="63">
        <v>9.0</v>
      </c>
      <c r="D254" s="63" t="s">
        <v>72</v>
      </c>
      <c r="E254" s="64"/>
      <c r="F254" s="87"/>
      <c r="G254" s="66"/>
      <c r="H254" s="88"/>
      <c r="I254" s="66"/>
      <c r="J254" s="88"/>
      <c r="K254" s="66"/>
      <c r="L254" s="88"/>
      <c r="M254" s="66"/>
      <c r="N254" s="88"/>
      <c r="O254" s="66"/>
      <c r="P254" s="88"/>
      <c r="Q254" s="68"/>
      <c r="R254" s="87">
        <v>0.0</v>
      </c>
      <c r="S254" s="66"/>
      <c r="T254" s="88">
        <v>0.0</v>
      </c>
      <c r="U254" s="66"/>
      <c r="V254" s="88"/>
      <c r="W254" s="66"/>
      <c r="X254" s="88"/>
      <c r="Y254" s="66"/>
      <c r="Z254" s="88"/>
      <c r="AA254" s="66"/>
      <c r="AB254" s="88"/>
      <c r="AC254" s="68"/>
      <c r="AD254" s="88"/>
      <c r="AE254" s="66"/>
      <c r="AF254" s="88"/>
      <c r="AG254" s="66"/>
      <c r="AH254" s="88"/>
      <c r="AI254" s="66"/>
      <c r="AJ254" s="87"/>
      <c r="AK254" s="68"/>
      <c r="AL254" s="71"/>
      <c r="AM254" s="68"/>
      <c r="AN254" s="65"/>
      <c r="AO254" s="68"/>
      <c r="AP254" s="65"/>
      <c r="AQ254" s="68"/>
      <c r="AR254" s="65"/>
      <c r="AS254" s="68"/>
      <c r="AT254" s="67"/>
      <c r="AU254" s="66"/>
      <c r="AV254" s="67"/>
      <c r="AW254" s="68"/>
      <c r="AX254" s="73">
        <f t="shared" si="1"/>
        <v>0</v>
      </c>
      <c r="AY254" s="63">
        <f t="shared" si="2"/>
        <v>0</v>
      </c>
      <c r="AZ254" s="63">
        <f t="shared" si="3"/>
        <v>0</v>
      </c>
      <c r="BA254" s="63">
        <f t="shared" si="4"/>
        <v>0</v>
      </c>
      <c r="BB254" s="74" t="str">
        <f t="shared" si="5"/>
        <v/>
      </c>
    </row>
    <row r="255" ht="15.75" customHeight="1">
      <c r="A255" s="36" t="s">
        <v>46</v>
      </c>
      <c r="B255" s="75">
        <f t="shared" si="6"/>
        <v>45908</v>
      </c>
      <c r="C255" s="38">
        <v>10.0</v>
      </c>
      <c r="D255" s="38" t="s">
        <v>47</v>
      </c>
      <c r="F255" s="85"/>
      <c r="H255" s="86"/>
      <c r="J255" s="86"/>
      <c r="L255" s="86"/>
      <c r="N255" s="86"/>
      <c r="P255" s="86"/>
      <c r="Q255" s="43"/>
      <c r="R255" s="85">
        <v>74.0</v>
      </c>
      <c r="T255" s="86">
        <v>78.0</v>
      </c>
      <c r="V255" s="86"/>
      <c r="X255" s="86"/>
      <c r="Z255" s="86"/>
      <c r="AB255" s="86"/>
      <c r="AC255" s="43"/>
      <c r="AD255" s="86"/>
      <c r="AF255" s="86"/>
      <c r="AH255" s="86"/>
      <c r="AJ255" s="85"/>
      <c r="AK255" s="43"/>
      <c r="AL255" s="46"/>
      <c r="AM255" s="43"/>
      <c r="AN255" s="41"/>
      <c r="AO255" s="43"/>
      <c r="AP255" s="41"/>
      <c r="AQ255" s="43"/>
      <c r="AR255" s="41"/>
      <c r="AS255" s="43"/>
      <c r="AT255" s="42"/>
      <c r="AV255" s="42"/>
      <c r="AW255" s="43"/>
      <c r="AX255" s="47">
        <f t="shared" si="1"/>
        <v>1690.24</v>
      </c>
      <c r="AY255" s="38">
        <f t="shared" si="2"/>
        <v>152</v>
      </c>
      <c r="AZ255" s="38">
        <f t="shared" si="3"/>
        <v>0</v>
      </c>
      <c r="BA255" s="38">
        <f t="shared" si="4"/>
        <v>152</v>
      </c>
      <c r="BB255" s="76">
        <f t="shared" si="5"/>
        <v>11.12</v>
      </c>
    </row>
    <row r="256" ht="15.75" customHeight="1">
      <c r="A256" s="50" t="s">
        <v>48</v>
      </c>
      <c r="B256" s="51">
        <f t="shared" si="6"/>
        <v>45909</v>
      </c>
      <c r="C256" s="52">
        <v>10.0</v>
      </c>
      <c r="D256" s="52" t="s">
        <v>47</v>
      </c>
      <c r="F256" s="85"/>
      <c r="H256" s="86"/>
      <c r="J256" s="86"/>
      <c r="L256" s="86"/>
      <c r="N256" s="86"/>
      <c r="P256" s="86"/>
      <c r="Q256" s="43"/>
      <c r="R256" s="85">
        <v>105.0</v>
      </c>
      <c r="T256" s="86">
        <v>119.0</v>
      </c>
      <c r="V256" s="86"/>
      <c r="X256" s="86"/>
      <c r="Z256" s="86"/>
      <c r="AB256" s="86"/>
      <c r="AC256" s="43"/>
      <c r="AD256" s="86"/>
      <c r="AF256" s="86"/>
      <c r="AH256" s="86"/>
      <c r="AJ256" s="85"/>
      <c r="AK256" s="43"/>
      <c r="AL256" s="46"/>
      <c r="AM256" s="43"/>
      <c r="AN256" s="41"/>
      <c r="AO256" s="43"/>
      <c r="AP256" s="41"/>
      <c r="AQ256" s="43"/>
      <c r="AR256" s="41"/>
      <c r="AS256" s="43"/>
      <c r="AT256" s="42"/>
      <c r="AV256" s="42"/>
      <c r="AW256" s="43"/>
      <c r="AX256" s="54">
        <f t="shared" si="1"/>
        <v>2490.88</v>
      </c>
      <c r="AY256" s="52">
        <f t="shared" si="2"/>
        <v>224</v>
      </c>
      <c r="AZ256" s="52">
        <f t="shared" si="3"/>
        <v>0</v>
      </c>
      <c r="BA256" s="52">
        <f t="shared" si="4"/>
        <v>224</v>
      </c>
      <c r="BB256" s="49">
        <f t="shared" si="5"/>
        <v>11.12</v>
      </c>
    </row>
    <row r="257" ht="15.75" customHeight="1">
      <c r="A257" s="50" t="s">
        <v>49</v>
      </c>
      <c r="B257" s="51">
        <f t="shared" si="6"/>
        <v>45910</v>
      </c>
      <c r="C257" s="52">
        <v>10.0</v>
      </c>
      <c r="D257" s="52" t="s">
        <v>47</v>
      </c>
      <c r="E257" s="92"/>
      <c r="F257" s="85"/>
      <c r="H257" s="86"/>
      <c r="J257" s="86"/>
      <c r="L257" s="86"/>
      <c r="N257" s="86"/>
      <c r="P257" s="86"/>
      <c r="Q257" s="43"/>
      <c r="R257" s="85">
        <v>115.0</v>
      </c>
      <c r="T257" s="86">
        <v>115.0</v>
      </c>
      <c r="V257" s="86"/>
      <c r="X257" s="86"/>
      <c r="Z257" s="86"/>
      <c r="AB257" s="86"/>
      <c r="AC257" s="43"/>
      <c r="AD257" s="86"/>
      <c r="AF257" s="86"/>
      <c r="AH257" s="86"/>
      <c r="AJ257" s="85"/>
      <c r="AK257" s="43"/>
      <c r="AL257" s="46"/>
      <c r="AM257" s="43"/>
      <c r="AN257" s="41"/>
      <c r="AO257" s="43"/>
      <c r="AP257" s="41"/>
      <c r="AQ257" s="43"/>
      <c r="AR257" s="41"/>
      <c r="AS257" s="43"/>
      <c r="AT257" s="42"/>
      <c r="AV257" s="42"/>
      <c r="AW257" s="43"/>
      <c r="AX257" s="54">
        <f t="shared" si="1"/>
        <v>2557.6</v>
      </c>
      <c r="AY257" s="52">
        <f t="shared" si="2"/>
        <v>230</v>
      </c>
      <c r="AZ257" s="52">
        <f t="shared" si="3"/>
        <v>0</v>
      </c>
      <c r="BA257" s="52">
        <f t="shared" si="4"/>
        <v>230</v>
      </c>
      <c r="BB257" s="49">
        <f t="shared" si="5"/>
        <v>11.12</v>
      </c>
    </row>
    <row r="258" ht="15.75" customHeight="1">
      <c r="A258" s="50" t="s">
        <v>50</v>
      </c>
      <c r="B258" s="51">
        <f t="shared" si="6"/>
        <v>45911</v>
      </c>
      <c r="C258" s="52">
        <v>10.0</v>
      </c>
      <c r="D258" s="52" t="s">
        <v>47</v>
      </c>
      <c r="E258" s="53"/>
      <c r="F258" s="85"/>
      <c r="H258" s="86"/>
      <c r="J258" s="86"/>
      <c r="L258" s="86"/>
      <c r="N258" s="86"/>
      <c r="P258" s="86"/>
      <c r="Q258" s="43"/>
      <c r="R258" s="85">
        <v>110.0</v>
      </c>
      <c r="T258" s="86">
        <v>117.0</v>
      </c>
      <c r="V258" s="86"/>
      <c r="X258" s="86"/>
      <c r="Z258" s="86"/>
      <c r="AB258" s="86"/>
      <c r="AC258" s="43"/>
      <c r="AD258" s="86"/>
      <c r="AF258" s="86"/>
      <c r="AH258" s="86"/>
      <c r="AJ258" s="85"/>
      <c r="AK258" s="43"/>
      <c r="AL258" s="46"/>
      <c r="AM258" s="43"/>
      <c r="AN258" s="41"/>
      <c r="AO258" s="43"/>
      <c r="AP258" s="41"/>
      <c r="AQ258" s="43"/>
      <c r="AR258" s="41"/>
      <c r="AS258" s="43"/>
      <c r="AT258" s="42"/>
      <c r="AV258" s="42"/>
      <c r="AW258" s="43"/>
      <c r="AX258" s="54">
        <f t="shared" si="1"/>
        <v>2524.24</v>
      </c>
      <c r="AY258" s="52">
        <f t="shared" si="2"/>
        <v>227</v>
      </c>
      <c r="AZ258" s="52">
        <f t="shared" si="3"/>
        <v>0</v>
      </c>
      <c r="BA258" s="52">
        <f t="shared" si="4"/>
        <v>227</v>
      </c>
      <c r="BB258" s="49">
        <f t="shared" si="5"/>
        <v>11.12</v>
      </c>
    </row>
    <row r="259" ht="15.75" customHeight="1">
      <c r="A259" s="50" t="s">
        <v>53</v>
      </c>
      <c r="B259" s="51">
        <f t="shared" si="6"/>
        <v>45912</v>
      </c>
      <c r="C259" s="52">
        <v>10.0</v>
      </c>
      <c r="D259" s="52" t="s">
        <v>47</v>
      </c>
      <c r="E259" s="53"/>
      <c r="F259" s="85"/>
      <c r="H259" s="86"/>
      <c r="J259" s="86"/>
      <c r="L259" s="86"/>
      <c r="N259" s="86"/>
      <c r="P259" s="86"/>
      <c r="Q259" s="43"/>
      <c r="R259" s="85">
        <v>100.0</v>
      </c>
      <c r="T259" s="86">
        <v>111.0</v>
      </c>
      <c r="V259" s="86"/>
      <c r="X259" s="86"/>
      <c r="Z259" s="86"/>
      <c r="AB259" s="86"/>
      <c r="AC259" s="43"/>
      <c r="AD259" s="86"/>
      <c r="AF259" s="86"/>
      <c r="AH259" s="86"/>
      <c r="AJ259" s="85"/>
      <c r="AK259" s="43"/>
      <c r="AL259" s="46"/>
      <c r="AM259" s="43"/>
      <c r="AN259" s="41"/>
      <c r="AO259" s="43"/>
      <c r="AP259" s="41"/>
      <c r="AQ259" s="43"/>
      <c r="AR259" s="41"/>
      <c r="AS259" s="43"/>
      <c r="AT259" s="42"/>
      <c r="AV259" s="42"/>
      <c r="AW259" s="43"/>
      <c r="AX259" s="54">
        <f t="shared" si="1"/>
        <v>2346.32</v>
      </c>
      <c r="AY259" s="52">
        <f t="shared" si="2"/>
        <v>211</v>
      </c>
      <c r="AZ259" s="52">
        <f t="shared" si="3"/>
        <v>0</v>
      </c>
      <c r="BA259" s="52">
        <f t="shared" si="4"/>
        <v>211</v>
      </c>
      <c r="BB259" s="49">
        <f t="shared" si="5"/>
        <v>11.12</v>
      </c>
    </row>
    <row r="260" ht="15.75" customHeight="1">
      <c r="A260" s="50" t="s">
        <v>54</v>
      </c>
      <c r="B260" s="51">
        <f t="shared" si="6"/>
        <v>45913</v>
      </c>
      <c r="C260" s="52">
        <v>10.0</v>
      </c>
      <c r="D260" s="52" t="s">
        <v>47</v>
      </c>
      <c r="E260" s="53"/>
      <c r="F260" s="85"/>
      <c r="H260" s="86"/>
      <c r="J260" s="86"/>
      <c r="L260" s="86"/>
      <c r="N260" s="86"/>
      <c r="P260" s="86"/>
      <c r="Q260" s="43"/>
      <c r="R260" s="85">
        <v>89.0</v>
      </c>
      <c r="T260" s="86">
        <v>80.0</v>
      </c>
      <c r="V260" s="86"/>
      <c r="X260" s="86"/>
      <c r="Z260" s="86"/>
      <c r="AB260" s="86"/>
      <c r="AC260" s="43"/>
      <c r="AD260" s="86"/>
      <c r="AF260" s="86"/>
      <c r="AH260" s="86"/>
      <c r="AJ260" s="85"/>
      <c r="AK260" s="43"/>
      <c r="AL260" s="46"/>
      <c r="AM260" s="43"/>
      <c r="AN260" s="41"/>
      <c r="AO260" s="43"/>
      <c r="AP260" s="41"/>
      <c r="AQ260" s="43"/>
      <c r="AR260" s="41"/>
      <c r="AS260" s="43"/>
      <c r="AT260" s="42"/>
      <c r="AV260" s="42"/>
      <c r="AW260" s="43"/>
      <c r="AX260" s="54">
        <f t="shared" si="1"/>
        <v>1879.28</v>
      </c>
      <c r="AY260" s="52">
        <f t="shared" si="2"/>
        <v>169</v>
      </c>
      <c r="AZ260" s="52">
        <f t="shared" si="3"/>
        <v>0</v>
      </c>
      <c r="BA260" s="52">
        <f t="shared" si="4"/>
        <v>169</v>
      </c>
      <c r="BB260" s="49">
        <f t="shared" si="5"/>
        <v>11.12</v>
      </c>
    </row>
    <row r="261" ht="15.75" customHeight="1">
      <c r="A261" s="59" t="s">
        <v>61</v>
      </c>
      <c r="B261" s="61">
        <f t="shared" si="6"/>
        <v>45914</v>
      </c>
      <c r="C261" s="63">
        <v>10.0</v>
      </c>
      <c r="D261" s="63" t="s">
        <v>47</v>
      </c>
      <c r="E261" s="64"/>
      <c r="F261" s="87"/>
      <c r="G261" s="66"/>
      <c r="H261" s="88"/>
      <c r="I261" s="66"/>
      <c r="J261" s="88"/>
      <c r="K261" s="66"/>
      <c r="L261" s="88"/>
      <c r="M261" s="66"/>
      <c r="N261" s="88"/>
      <c r="O261" s="66"/>
      <c r="P261" s="88"/>
      <c r="Q261" s="68"/>
      <c r="R261" s="87">
        <v>0.0</v>
      </c>
      <c r="S261" s="66"/>
      <c r="T261" s="88">
        <v>0.0</v>
      </c>
      <c r="U261" s="66"/>
      <c r="V261" s="88"/>
      <c r="W261" s="66"/>
      <c r="X261" s="88"/>
      <c r="Y261" s="66"/>
      <c r="Z261" s="88"/>
      <c r="AA261" s="66"/>
      <c r="AB261" s="88"/>
      <c r="AC261" s="68"/>
      <c r="AD261" s="88"/>
      <c r="AE261" s="66"/>
      <c r="AF261" s="88"/>
      <c r="AG261" s="66"/>
      <c r="AH261" s="88"/>
      <c r="AI261" s="66"/>
      <c r="AJ261" s="87"/>
      <c r="AK261" s="68"/>
      <c r="AL261" s="71"/>
      <c r="AM261" s="68"/>
      <c r="AN261" s="65"/>
      <c r="AO261" s="68"/>
      <c r="AP261" s="65"/>
      <c r="AQ261" s="68"/>
      <c r="AR261" s="65"/>
      <c r="AS261" s="68"/>
      <c r="AT261" s="67"/>
      <c r="AU261" s="66"/>
      <c r="AV261" s="67"/>
      <c r="AW261" s="68"/>
      <c r="AX261" s="73">
        <f t="shared" si="1"/>
        <v>0</v>
      </c>
      <c r="AY261" s="63">
        <f t="shared" si="2"/>
        <v>0</v>
      </c>
      <c r="AZ261" s="63">
        <f t="shared" si="3"/>
        <v>0</v>
      </c>
      <c r="BA261" s="63">
        <f t="shared" si="4"/>
        <v>0</v>
      </c>
      <c r="BB261" s="74" t="str">
        <f t="shared" si="5"/>
        <v/>
      </c>
    </row>
    <row r="262" ht="15.75" customHeight="1">
      <c r="A262" s="36" t="s">
        <v>46</v>
      </c>
      <c r="B262" s="75">
        <f t="shared" si="6"/>
        <v>45915</v>
      </c>
      <c r="C262" s="38">
        <v>10.0</v>
      </c>
      <c r="D262" s="38" t="s">
        <v>65</v>
      </c>
      <c r="E262" s="82"/>
      <c r="F262" s="85"/>
      <c r="H262" s="86"/>
      <c r="J262" s="86"/>
      <c r="L262" s="86"/>
      <c r="N262" s="86"/>
      <c r="P262" s="86"/>
      <c r="Q262" s="43"/>
      <c r="R262" s="85">
        <v>95.0</v>
      </c>
      <c r="T262" s="86">
        <v>98.0</v>
      </c>
      <c r="V262" s="86"/>
      <c r="X262" s="86"/>
      <c r="Z262" s="86"/>
      <c r="AB262" s="86"/>
      <c r="AC262" s="43"/>
      <c r="AD262" s="86"/>
      <c r="AF262" s="86"/>
      <c r="AH262" s="86"/>
      <c r="AJ262" s="85"/>
      <c r="AK262" s="43"/>
      <c r="AL262" s="46"/>
      <c r="AM262" s="43"/>
      <c r="AN262" s="41"/>
      <c r="AO262" s="43"/>
      <c r="AP262" s="41"/>
      <c r="AQ262" s="43"/>
      <c r="AR262" s="41"/>
      <c r="AS262" s="43"/>
      <c r="AT262" s="42"/>
      <c r="AV262" s="42"/>
      <c r="AW262" s="43"/>
      <c r="AX262" s="47">
        <f t="shared" si="1"/>
        <v>2146.16</v>
      </c>
      <c r="AY262" s="38">
        <f t="shared" si="2"/>
        <v>193</v>
      </c>
      <c r="AZ262" s="38">
        <f t="shared" si="3"/>
        <v>0</v>
      </c>
      <c r="BA262" s="38">
        <f t="shared" si="4"/>
        <v>193</v>
      </c>
      <c r="BB262" s="76">
        <f t="shared" si="5"/>
        <v>11.12</v>
      </c>
    </row>
    <row r="263" ht="15.75" customHeight="1">
      <c r="A263" s="50" t="s">
        <v>48</v>
      </c>
      <c r="B263" s="51">
        <f t="shared" si="6"/>
        <v>45916</v>
      </c>
      <c r="C263" s="52">
        <v>10.0</v>
      </c>
      <c r="D263" s="52" t="s">
        <v>65</v>
      </c>
      <c r="E263" s="92"/>
      <c r="F263" s="85"/>
      <c r="H263" s="86"/>
      <c r="J263" s="86"/>
      <c r="L263" s="86"/>
      <c r="N263" s="86"/>
      <c r="P263" s="86"/>
      <c r="Q263" s="43"/>
      <c r="R263" s="85">
        <v>90.0</v>
      </c>
      <c r="T263" s="86">
        <v>115.0</v>
      </c>
      <c r="V263" s="86"/>
      <c r="X263" s="86"/>
      <c r="Z263" s="86"/>
      <c r="AB263" s="86"/>
      <c r="AC263" s="43"/>
      <c r="AD263" s="86"/>
      <c r="AF263" s="86"/>
      <c r="AH263" s="86"/>
      <c r="AJ263" s="85"/>
      <c r="AK263" s="43"/>
      <c r="AL263" s="46"/>
      <c r="AM263" s="43"/>
      <c r="AN263" s="41"/>
      <c r="AO263" s="43"/>
      <c r="AP263" s="41"/>
      <c r="AQ263" s="43"/>
      <c r="AR263" s="41"/>
      <c r="AS263" s="43"/>
      <c r="AT263" s="42"/>
      <c r="AV263" s="42"/>
      <c r="AW263" s="43"/>
      <c r="AX263" s="54">
        <f t="shared" si="1"/>
        <v>2279.6</v>
      </c>
      <c r="AY263" s="52">
        <f t="shared" si="2"/>
        <v>205</v>
      </c>
      <c r="AZ263" s="52">
        <f t="shared" si="3"/>
        <v>0</v>
      </c>
      <c r="BA263" s="52">
        <f t="shared" si="4"/>
        <v>205</v>
      </c>
      <c r="BB263" s="49">
        <f t="shared" si="5"/>
        <v>11.12</v>
      </c>
    </row>
    <row r="264" ht="15.75" customHeight="1">
      <c r="A264" s="50" t="s">
        <v>49</v>
      </c>
      <c r="B264" s="51">
        <f t="shared" si="6"/>
        <v>45917</v>
      </c>
      <c r="C264" s="52">
        <v>10.0</v>
      </c>
      <c r="D264" s="52" t="s">
        <v>65</v>
      </c>
      <c r="E264" s="53"/>
      <c r="F264" s="85"/>
      <c r="H264" s="86"/>
      <c r="J264" s="86"/>
      <c r="L264" s="86"/>
      <c r="N264" s="86"/>
      <c r="P264" s="86"/>
      <c r="Q264" s="43"/>
      <c r="R264" s="85">
        <v>90.0</v>
      </c>
      <c r="T264" s="86">
        <v>112.0</v>
      </c>
      <c r="V264" s="86"/>
      <c r="X264" s="86"/>
      <c r="Z264" s="86"/>
      <c r="AB264" s="86"/>
      <c r="AC264" s="43"/>
      <c r="AD264" s="86"/>
      <c r="AF264" s="86"/>
      <c r="AH264" s="86"/>
      <c r="AJ264" s="85"/>
      <c r="AK264" s="43"/>
      <c r="AL264" s="46"/>
      <c r="AM264" s="43"/>
      <c r="AN264" s="41"/>
      <c r="AO264" s="43"/>
      <c r="AP264" s="41"/>
      <c r="AQ264" s="43"/>
      <c r="AR264" s="41"/>
      <c r="AS264" s="43"/>
      <c r="AT264" s="42"/>
      <c r="AV264" s="42"/>
      <c r="AW264" s="43"/>
      <c r="AX264" s="54">
        <f t="shared" si="1"/>
        <v>2246.24</v>
      </c>
      <c r="AY264" s="52">
        <f t="shared" si="2"/>
        <v>202</v>
      </c>
      <c r="AZ264" s="52">
        <f t="shared" si="3"/>
        <v>0</v>
      </c>
      <c r="BA264" s="52">
        <f t="shared" si="4"/>
        <v>202</v>
      </c>
      <c r="BB264" s="49">
        <f t="shared" si="5"/>
        <v>11.12</v>
      </c>
    </row>
    <row r="265" ht="15.75" customHeight="1">
      <c r="A265" s="50" t="s">
        <v>50</v>
      </c>
      <c r="B265" s="51">
        <f t="shared" si="6"/>
        <v>45918</v>
      </c>
      <c r="C265" s="52">
        <v>10.0</v>
      </c>
      <c r="D265" s="52" t="s">
        <v>65</v>
      </c>
      <c r="E265" s="53"/>
      <c r="F265" s="85"/>
      <c r="H265" s="86"/>
      <c r="J265" s="86"/>
      <c r="L265" s="86"/>
      <c r="N265" s="86"/>
      <c r="P265" s="86"/>
      <c r="Q265" s="43"/>
      <c r="R265" s="85">
        <v>92.0</v>
      </c>
      <c r="T265" s="86">
        <v>118.0</v>
      </c>
      <c r="V265" s="86"/>
      <c r="X265" s="86"/>
      <c r="Z265" s="86"/>
      <c r="AB265" s="86"/>
      <c r="AC265" s="43"/>
      <c r="AD265" s="86"/>
      <c r="AF265" s="86"/>
      <c r="AH265" s="86"/>
      <c r="AJ265" s="85"/>
      <c r="AK265" s="43"/>
      <c r="AL265" s="46"/>
      <c r="AM265" s="43"/>
      <c r="AN265" s="41"/>
      <c r="AO265" s="43"/>
      <c r="AP265" s="41"/>
      <c r="AQ265" s="43"/>
      <c r="AR265" s="41"/>
      <c r="AS265" s="43"/>
      <c r="AT265" s="42"/>
      <c r="AV265" s="42"/>
      <c r="AW265" s="43"/>
      <c r="AX265" s="54">
        <f t="shared" si="1"/>
        <v>2335.2</v>
      </c>
      <c r="AY265" s="52">
        <f t="shared" si="2"/>
        <v>210</v>
      </c>
      <c r="AZ265" s="52">
        <f t="shared" si="3"/>
        <v>0</v>
      </c>
      <c r="BA265" s="52">
        <f t="shared" si="4"/>
        <v>210</v>
      </c>
      <c r="BB265" s="49">
        <f t="shared" si="5"/>
        <v>11.12</v>
      </c>
    </row>
    <row r="266" ht="15.75" customHeight="1">
      <c r="A266" s="50" t="s">
        <v>53</v>
      </c>
      <c r="B266" s="51">
        <f t="shared" si="6"/>
        <v>45919</v>
      </c>
      <c r="C266" s="52">
        <v>10.0</v>
      </c>
      <c r="D266" s="52" t="s">
        <v>65</v>
      </c>
      <c r="E266" s="53"/>
      <c r="F266" s="85"/>
      <c r="H266" s="86"/>
      <c r="J266" s="86"/>
      <c r="L266" s="86"/>
      <c r="N266" s="86"/>
      <c r="P266" s="86"/>
      <c r="Q266" s="43"/>
      <c r="R266" s="85">
        <v>101.0</v>
      </c>
      <c r="T266" s="86">
        <v>116.0</v>
      </c>
      <c r="V266" s="86"/>
      <c r="X266" s="86"/>
      <c r="Z266" s="86"/>
      <c r="AB266" s="86"/>
      <c r="AC266" s="43"/>
      <c r="AD266" s="86"/>
      <c r="AF266" s="86"/>
      <c r="AH266" s="86"/>
      <c r="AJ266" s="85"/>
      <c r="AK266" s="43"/>
      <c r="AL266" s="46"/>
      <c r="AM266" s="43"/>
      <c r="AN266" s="41"/>
      <c r="AO266" s="43"/>
      <c r="AP266" s="41"/>
      <c r="AQ266" s="43"/>
      <c r="AR266" s="41"/>
      <c r="AS266" s="43"/>
      <c r="AT266" s="42"/>
      <c r="AV266" s="42"/>
      <c r="AW266" s="43"/>
      <c r="AX266" s="54">
        <f t="shared" si="1"/>
        <v>2413.04</v>
      </c>
      <c r="AY266" s="52">
        <f t="shared" si="2"/>
        <v>217</v>
      </c>
      <c r="AZ266" s="52">
        <f t="shared" si="3"/>
        <v>0</v>
      </c>
      <c r="BA266" s="52">
        <f t="shared" si="4"/>
        <v>217</v>
      </c>
      <c r="BB266" s="49">
        <f t="shared" si="5"/>
        <v>11.12</v>
      </c>
    </row>
    <row r="267" ht="15.75" customHeight="1">
      <c r="A267" s="50" t="s">
        <v>54</v>
      </c>
      <c r="B267" s="51">
        <f t="shared" si="6"/>
        <v>45920</v>
      </c>
      <c r="C267" s="52">
        <v>10.0</v>
      </c>
      <c r="D267" s="52" t="s">
        <v>65</v>
      </c>
      <c r="E267" s="53"/>
      <c r="F267" s="85"/>
      <c r="H267" s="86"/>
      <c r="J267" s="86"/>
      <c r="L267" s="86"/>
      <c r="N267" s="86"/>
      <c r="P267" s="86"/>
      <c r="Q267" s="43"/>
      <c r="R267" s="85">
        <v>77.0</v>
      </c>
      <c r="T267" s="86">
        <v>80.0</v>
      </c>
      <c r="V267" s="86"/>
      <c r="X267" s="86"/>
      <c r="Z267" s="86"/>
      <c r="AB267" s="86"/>
      <c r="AC267" s="43"/>
      <c r="AD267" s="86"/>
      <c r="AF267" s="86"/>
      <c r="AH267" s="86"/>
      <c r="AJ267" s="85"/>
      <c r="AK267" s="43"/>
      <c r="AL267" s="46"/>
      <c r="AM267" s="43"/>
      <c r="AN267" s="41"/>
      <c r="AO267" s="43"/>
      <c r="AP267" s="41"/>
      <c r="AQ267" s="43"/>
      <c r="AR267" s="41"/>
      <c r="AS267" s="43"/>
      <c r="AT267" s="42"/>
      <c r="AV267" s="42"/>
      <c r="AW267" s="43"/>
      <c r="AX267" s="54">
        <f t="shared" si="1"/>
        <v>1745.84</v>
      </c>
      <c r="AY267" s="52">
        <f t="shared" si="2"/>
        <v>157</v>
      </c>
      <c r="AZ267" s="52">
        <f t="shared" si="3"/>
        <v>0</v>
      </c>
      <c r="BA267" s="52">
        <f t="shared" si="4"/>
        <v>157</v>
      </c>
      <c r="BB267" s="49">
        <f t="shared" si="5"/>
        <v>11.12</v>
      </c>
    </row>
    <row r="268" ht="15.75" customHeight="1">
      <c r="A268" s="59" t="s">
        <v>61</v>
      </c>
      <c r="B268" s="61">
        <f t="shared" si="6"/>
        <v>45921</v>
      </c>
      <c r="C268" s="63">
        <v>10.0</v>
      </c>
      <c r="D268" s="63" t="s">
        <v>65</v>
      </c>
      <c r="E268" s="64"/>
      <c r="F268" s="87"/>
      <c r="G268" s="66"/>
      <c r="H268" s="88"/>
      <c r="I268" s="66"/>
      <c r="J268" s="88"/>
      <c r="K268" s="66"/>
      <c r="L268" s="88"/>
      <c r="M268" s="66"/>
      <c r="N268" s="88"/>
      <c r="O268" s="66"/>
      <c r="P268" s="88"/>
      <c r="Q268" s="68"/>
      <c r="R268" s="87">
        <v>0.0</v>
      </c>
      <c r="S268" s="66"/>
      <c r="T268" s="88">
        <v>0.0</v>
      </c>
      <c r="U268" s="66"/>
      <c r="V268" s="88"/>
      <c r="W268" s="66"/>
      <c r="X268" s="88"/>
      <c r="Y268" s="66"/>
      <c r="Z268" s="88"/>
      <c r="AA268" s="66"/>
      <c r="AB268" s="88"/>
      <c r="AC268" s="68"/>
      <c r="AD268" s="88"/>
      <c r="AE268" s="66"/>
      <c r="AF268" s="88"/>
      <c r="AG268" s="66"/>
      <c r="AH268" s="88"/>
      <c r="AI268" s="66"/>
      <c r="AJ268" s="87"/>
      <c r="AK268" s="68"/>
      <c r="AL268" s="71"/>
      <c r="AM268" s="68"/>
      <c r="AN268" s="65"/>
      <c r="AO268" s="68"/>
      <c r="AP268" s="65"/>
      <c r="AQ268" s="68"/>
      <c r="AR268" s="65"/>
      <c r="AS268" s="68"/>
      <c r="AT268" s="67"/>
      <c r="AU268" s="66"/>
      <c r="AV268" s="67"/>
      <c r="AW268" s="68"/>
      <c r="AX268" s="73">
        <f t="shared" si="1"/>
        <v>0</v>
      </c>
      <c r="AY268" s="63">
        <f t="shared" si="2"/>
        <v>0</v>
      </c>
      <c r="AZ268" s="63">
        <f t="shared" si="3"/>
        <v>0</v>
      </c>
      <c r="BA268" s="63">
        <f t="shared" si="4"/>
        <v>0</v>
      </c>
      <c r="BB268" s="74" t="str">
        <f t="shared" si="5"/>
        <v/>
      </c>
    </row>
    <row r="269" ht="15.75" customHeight="1">
      <c r="A269" s="36" t="s">
        <v>46</v>
      </c>
      <c r="B269" s="75">
        <f t="shared" si="6"/>
        <v>45922</v>
      </c>
      <c r="C269" s="38">
        <v>10.0</v>
      </c>
      <c r="D269" s="38" t="s">
        <v>69</v>
      </c>
      <c r="E269" s="40"/>
      <c r="F269" s="85"/>
      <c r="H269" s="86"/>
      <c r="J269" s="86"/>
      <c r="L269" s="86"/>
      <c r="N269" s="86"/>
      <c r="P269" s="86"/>
      <c r="Q269" s="43"/>
      <c r="R269" s="85">
        <v>99.0</v>
      </c>
      <c r="T269" s="86">
        <v>87.0</v>
      </c>
      <c r="V269" s="86"/>
      <c r="X269" s="86"/>
      <c r="Z269" s="86"/>
      <c r="AB269" s="86"/>
      <c r="AC269" s="43"/>
      <c r="AD269" s="86"/>
      <c r="AF269" s="86"/>
      <c r="AH269" s="86"/>
      <c r="AJ269" s="85"/>
      <c r="AK269" s="43"/>
      <c r="AL269" s="46"/>
      <c r="AM269" s="43"/>
      <c r="AN269" s="41"/>
      <c r="AO269" s="43"/>
      <c r="AP269" s="41"/>
      <c r="AQ269" s="43"/>
      <c r="AR269" s="41"/>
      <c r="AS269" s="43"/>
      <c r="AT269" s="42"/>
      <c r="AV269" s="42"/>
      <c r="AW269" s="43"/>
      <c r="AX269" s="47">
        <f t="shared" si="1"/>
        <v>2068.32</v>
      </c>
      <c r="AY269" s="38">
        <f t="shared" si="2"/>
        <v>186</v>
      </c>
      <c r="AZ269" s="38">
        <f t="shared" si="3"/>
        <v>0</v>
      </c>
      <c r="BA269" s="38">
        <f t="shared" si="4"/>
        <v>186</v>
      </c>
      <c r="BB269" s="76">
        <f t="shared" si="5"/>
        <v>11.12</v>
      </c>
    </row>
    <row r="270" ht="15.75" customHeight="1">
      <c r="A270" s="50" t="s">
        <v>48</v>
      </c>
      <c r="B270" s="51">
        <f t="shared" si="6"/>
        <v>45923</v>
      </c>
      <c r="C270" s="52">
        <v>10.0</v>
      </c>
      <c r="D270" s="52" t="s">
        <v>69</v>
      </c>
      <c r="E270" s="53"/>
      <c r="F270" s="85"/>
      <c r="H270" s="86"/>
      <c r="J270" s="86"/>
      <c r="L270" s="86"/>
      <c r="N270" s="86"/>
      <c r="P270" s="86"/>
      <c r="Q270" s="43"/>
      <c r="R270" s="85">
        <v>119.0</v>
      </c>
      <c r="T270" s="86">
        <v>133.0</v>
      </c>
      <c r="V270" s="86"/>
      <c r="X270" s="86"/>
      <c r="Z270" s="86"/>
      <c r="AB270" s="86"/>
      <c r="AC270" s="43"/>
      <c r="AD270" s="86"/>
      <c r="AF270" s="86"/>
      <c r="AH270" s="86"/>
      <c r="AJ270" s="85"/>
      <c r="AK270" s="43"/>
      <c r="AL270" s="46"/>
      <c r="AM270" s="43"/>
      <c r="AN270" s="41"/>
      <c r="AO270" s="43"/>
      <c r="AP270" s="41"/>
      <c r="AQ270" s="43"/>
      <c r="AR270" s="41"/>
      <c r="AS270" s="43"/>
      <c r="AT270" s="42"/>
      <c r="AV270" s="42"/>
      <c r="AW270" s="43"/>
      <c r="AX270" s="54">
        <f t="shared" si="1"/>
        <v>2802.24</v>
      </c>
      <c r="AY270" s="52">
        <f t="shared" si="2"/>
        <v>252</v>
      </c>
      <c r="AZ270" s="52">
        <f t="shared" si="3"/>
        <v>0</v>
      </c>
      <c r="BA270" s="52">
        <f t="shared" si="4"/>
        <v>252</v>
      </c>
      <c r="BB270" s="49">
        <f t="shared" si="5"/>
        <v>11.12</v>
      </c>
    </row>
    <row r="271" ht="15.75" customHeight="1">
      <c r="A271" s="50" t="s">
        <v>49</v>
      </c>
      <c r="B271" s="51">
        <f t="shared" si="6"/>
        <v>45924</v>
      </c>
      <c r="C271" s="52">
        <v>10.0</v>
      </c>
      <c r="D271" s="52" t="s">
        <v>69</v>
      </c>
      <c r="E271" s="53"/>
      <c r="F271" s="85"/>
      <c r="H271" s="86"/>
      <c r="J271" s="86"/>
      <c r="L271" s="86"/>
      <c r="N271" s="86"/>
      <c r="P271" s="86"/>
      <c r="Q271" s="43"/>
      <c r="R271" s="85">
        <v>104.0</v>
      </c>
      <c r="T271" s="86">
        <v>120.0</v>
      </c>
      <c r="V271" s="86"/>
      <c r="X271" s="86"/>
      <c r="Z271" s="86"/>
      <c r="AB271" s="86"/>
      <c r="AC271" s="43"/>
      <c r="AD271" s="86"/>
      <c r="AF271" s="86"/>
      <c r="AH271" s="86"/>
      <c r="AJ271" s="85"/>
      <c r="AK271" s="43"/>
      <c r="AL271" s="46"/>
      <c r="AM271" s="43"/>
      <c r="AN271" s="41"/>
      <c r="AO271" s="43"/>
      <c r="AP271" s="41"/>
      <c r="AQ271" s="43"/>
      <c r="AR271" s="41"/>
      <c r="AS271" s="43"/>
      <c r="AT271" s="42"/>
      <c r="AV271" s="42"/>
      <c r="AW271" s="43"/>
      <c r="AX271" s="54">
        <f t="shared" si="1"/>
        <v>2490.88</v>
      </c>
      <c r="AY271" s="52">
        <f t="shared" si="2"/>
        <v>224</v>
      </c>
      <c r="AZ271" s="52">
        <f t="shared" si="3"/>
        <v>0</v>
      </c>
      <c r="BA271" s="52">
        <f t="shared" si="4"/>
        <v>224</v>
      </c>
      <c r="BB271" s="49">
        <f t="shared" si="5"/>
        <v>11.12</v>
      </c>
    </row>
    <row r="272" ht="15.75" customHeight="1">
      <c r="A272" s="50" t="s">
        <v>50</v>
      </c>
      <c r="B272" s="51">
        <f t="shared" si="6"/>
        <v>45925</v>
      </c>
      <c r="C272" s="52">
        <v>10.0</v>
      </c>
      <c r="D272" s="52" t="s">
        <v>69</v>
      </c>
      <c r="E272" s="53"/>
      <c r="F272" s="85"/>
      <c r="H272" s="86"/>
      <c r="J272" s="86"/>
      <c r="L272" s="86"/>
      <c r="N272" s="86"/>
      <c r="P272" s="86"/>
      <c r="Q272" s="43"/>
      <c r="R272" s="85">
        <v>96.0</v>
      </c>
      <c r="T272" s="86">
        <v>116.0</v>
      </c>
      <c r="V272" s="86"/>
      <c r="X272" s="86"/>
      <c r="Z272" s="86"/>
      <c r="AB272" s="86"/>
      <c r="AC272" s="43"/>
      <c r="AD272" s="86"/>
      <c r="AF272" s="86"/>
      <c r="AH272" s="86"/>
      <c r="AJ272" s="85"/>
      <c r="AK272" s="43"/>
      <c r="AL272" s="46"/>
      <c r="AM272" s="43"/>
      <c r="AN272" s="41"/>
      <c r="AO272" s="43"/>
      <c r="AP272" s="41"/>
      <c r="AQ272" s="43"/>
      <c r="AR272" s="41"/>
      <c r="AS272" s="43"/>
      <c r="AT272" s="42"/>
      <c r="AV272" s="42"/>
      <c r="AW272" s="43"/>
      <c r="AX272" s="54">
        <f t="shared" si="1"/>
        <v>2357.44</v>
      </c>
      <c r="AY272" s="52">
        <f t="shared" si="2"/>
        <v>212</v>
      </c>
      <c r="AZ272" s="52">
        <f t="shared" si="3"/>
        <v>0</v>
      </c>
      <c r="BA272" s="52">
        <f t="shared" si="4"/>
        <v>212</v>
      </c>
      <c r="BB272" s="49">
        <f t="shared" si="5"/>
        <v>11.12</v>
      </c>
    </row>
    <row r="273" ht="15.75" customHeight="1">
      <c r="A273" s="50" t="s">
        <v>53</v>
      </c>
      <c r="B273" s="51">
        <f t="shared" si="6"/>
        <v>45926</v>
      </c>
      <c r="C273" s="52">
        <v>10.0</v>
      </c>
      <c r="D273" s="52" t="s">
        <v>69</v>
      </c>
      <c r="E273" s="53"/>
      <c r="F273" s="85"/>
      <c r="H273" s="86"/>
      <c r="J273" s="86"/>
      <c r="L273" s="86"/>
      <c r="N273" s="86"/>
      <c r="P273" s="86"/>
      <c r="Q273" s="43"/>
      <c r="R273" s="85">
        <v>93.0</v>
      </c>
      <c r="T273" s="86">
        <v>124.0</v>
      </c>
      <c r="V273" s="86"/>
      <c r="X273" s="86"/>
      <c r="Z273" s="86"/>
      <c r="AB273" s="86"/>
      <c r="AC273" s="43"/>
      <c r="AD273" s="86"/>
      <c r="AF273" s="86"/>
      <c r="AH273" s="86"/>
      <c r="AJ273" s="85"/>
      <c r="AK273" s="43"/>
      <c r="AL273" s="46"/>
      <c r="AM273" s="43"/>
      <c r="AN273" s="41"/>
      <c r="AO273" s="43"/>
      <c r="AP273" s="41"/>
      <c r="AQ273" s="43"/>
      <c r="AR273" s="41"/>
      <c r="AS273" s="43"/>
      <c r="AT273" s="42"/>
      <c r="AV273" s="42"/>
      <c r="AW273" s="43"/>
      <c r="AX273" s="54">
        <f t="shared" si="1"/>
        <v>2413.04</v>
      </c>
      <c r="AY273" s="52">
        <f t="shared" si="2"/>
        <v>217</v>
      </c>
      <c r="AZ273" s="52">
        <f t="shared" si="3"/>
        <v>0</v>
      </c>
      <c r="BA273" s="52">
        <f t="shared" si="4"/>
        <v>217</v>
      </c>
      <c r="BB273" s="49">
        <f t="shared" si="5"/>
        <v>11.12</v>
      </c>
    </row>
    <row r="274" ht="15.75" customHeight="1">
      <c r="A274" s="50" t="s">
        <v>54</v>
      </c>
      <c r="B274" s="51">
        <f t="shared" si="6"/>
        <v>45927</v>
      </c>
      <c r="C274" s="52">
        <v>10.0</v>
      </c>
      <c r="D274" s="52" t="s">
        <v>69</v>
      </c>
      <c r="E274" s="53"/>
      <c r="F274" s="85"/>
      <c r="H274" s="86"/>
      <c r="J274" s="86"/>
      <c r="L274" s="86"/>
      <c r="N274" s="86"/>
      <c r="P274" s="86"/>
      <c r="Q274" s="43"/>
      <c r="R274" s="85">
        <v>72.0</v>
      </c>
      <c r="T274" s="86">
        <v>80.0</v>
      </c>
      <c r="V274" s="86"/>
      <c r="X274" s="86"/>
      <c r="Z274" s="86"/>
      <c r="AB274" s="86"/>
      <c r="AC274" s="43"/>
      <c r="AD274" s="86"/>
      <c r="AF274" s="86"/>
      <c r="AH274" s="86"/>
      <c r="AJ274" s="85"/>
      <c r="AK274" s="43"/>
      <c r="AL274" s="46"/>
      <c r="AM274" s="43"/>
      <c r="AN274" s="41"/>
      <c r="AO274" s="43"/>
      <c r="AP274" s="41"/>
      <c r="AQ274" s="43"/>
      <c r="AR274" s="41"/>
      <c r="AS274" s="43"/>
      <c r="AT274" s="42"/>
      <c r="AV274" s="42"/>
      <c r="AW274" s="43"/>
      <c r="AX274" s="54">
        <f t="shared" si="1"/>
        <v>1690.24</v>
      </c>
      <c r="AY274" s="52">
        <f t="shared" si="2"/>
        <v>152</v>
      </c>
      <c r="AZ274" s="52">
        <f t="shared" si="3"/>
        <v>0</v>
      </c>
      <c r="BA274" s="52">
        <f t="shared" si="4"/>
        <v>152</v>
      </c>
      <c r="BB274" s="49">
        <f t="shared" si="5"/>
        <v>11.12</v>
      </c>
    </row>
    <row r="275" ht="15.75" customHeight="1">
      <c r="A275" s="59" t="s">
        <v>61</v>
      </c>
      <c r="B275" s="61">
        <f t="shared" si="6"/>
        <v>45928</v>
      </c>
      <c r="C275" s="63">
        <v>10.0</v>
      </c>
      <c r="D275" s="63" t="s">
        <v>69</v>
      </c>
      <c r="E275" s="64"/>
      <c r="F275" s="87"/>
      <c r="G275" s="66"/>
      <c r="H275" s="88"/>
      <c r="I275" s="66"/>
      <c r="J275" s="88"/>
      <c r="K275" s="66"/>
      <c r="L275" s="88"/>
      <c r="M275" s="66"/>
      <c r="N275" s="88"/>
      <c r="O275" s="66"/>
      <c r="P275" s="88"/>
      <c r="Q275" s="68"/>
      <c r="R275" s="87">
        <v>0.0</v>
      </c>
      <c r="S275" s="66"/>
      <c r="T275" s="88">
        <v>0.0</v>
      </c>
      <c r="U275" s="66"/>
      <c r="V275" s="88"/>
      <c r="W275" s="66"/>
      <c r="X275" s="88"/>
      <c r="Y275" s="66"/>
      <c r="Z275" s="88"/>
      <c r="AA275" s="66"/>
      <c r="AB275" s="88"/>
      <c r="AC275" s="68"/>
      <c r="AD275" s="88"/>
      <c r="AE275" s="66"/>
      <c r="AF275" s="88"/>
      <c r="AG275" s="66"/>
      <c r="AH275" s="88"/>
      <c r="AI275" s="66"/>
      <c r="AJ275" s="87"/>
      <c r="AK275" s="68"/>
      <c r="AL275" s="71"/>
      <c r="AM275" s="68"/>
      <c r="AN275" s="65"/>
      <c r="AO275" s="68"/>
      <c r="AP275" s="65"/>
      <c r="AQ275" s="68"/>
      <c r="AR275" s="65"/>
      <c r="AS275" s="68"/>
      <c r="AT275" s="67"/>
      <c r="AU275" s="66"/>
      <c r="AV275" s="67"/>
      <c r="AW275" s="68"/>
      <c r="AX275" s="73">
        <f t="shared" si="1"/>
        <v>0</v>
      </c>
      <c r="AY275" s="63">
        <f t="shared" si="2"/>
        <v>0</v>
      </c>
      <c r="AZ275" s="63">
        <f t="shared" si="3"/>
        <v>0</v>
      </c>
      <c r="BA275" s="63">
        <f t="shared" si="4"/>
        <v>0</v>
      </c>
      <c r="BB275" s="74" t="str">
        <f t="shared" si="5"/>
        <v/>
      </c>
    </row>
    <row r="276" ht="15.75" customHeight="1">
      <c r="A276" s="36" t="s">
        <v>46</v>
      </c>
      <c r="B276" s="75">
        <f t="shared" si="6"/>
        <v>45929</v>
      </c>
      <c r="C276" s="38">
        <v>10.0</v>
      </c>
      <c r="D276" s="38" t="s">
        <v>72</v>
      </c>
      <c r="E276" s="40"/>
      <c r="F276" s="85"/>
      <c r="H276" s="86"/>
      <c r="J276" s="86"/>
      <c r="L276" s="86"/>
      <c r="N276" s="86"/>
      <c r="P276" s="86"/>
      <c r="Q276" s="43"/>
      <c r="R276" s="85">
        <v>81.0</v>
      </c>
      <c r="T276" s="86">
        <v>121.0</v>
      </c>
      <c r="V276" s="86"/>
      <c r="X276" s="86"/>
      <c r="Z276" s="86"/>
      <c r="AB276" s="86"/>
      <c r="AC276" s="43"/>
      <c r="AD276" s="86"/>
      <c r="AF276" s="86"/>
      <c r="AH276" s="86"/>
      <c r="AJ276" s="85"/>
      <c r="AK276" s="43"/>
      <c r="AL276" s="46"/>
      <c r="AM276" s="43"/>
      <c r="AN276" s="110"/>
      <c r="AO276" s="43"/>
      <c r="AP276" s="110"/>
      <c r="AQ276" s="43"/>
      <c r="AR276" s="110"/>
      <c r="AS276" s="43"/>
      <c r="AT276" s="91"/>
      <c r="AV276" s="91"/>
      <c r="AW276" s="43"/>
      <c r="AX276" s="47">
        <f t="shared" si="1"/>
        <v>2246.24</v>
      </c>
      <c r="AY276" s="38">
        <f t="shared" si="2"/>
        <v>202</v>
      </c>
      <c r="AZ276" s="38">
        <f t="shared" si="3"/>
        <v>0</v>
      </c>
      <c r="BA276" s="38">
        <f t="shared" si="4"/>
        <v>202</v>
      </c>
      <c r="BB276" s="76">
        <f t="shared" si="5"/>
        <v>11.12</v>
      </c>
    </row>
    <row r="277" ht="15.75" customHeight="1">
      <c r="A277" s="50" t="s">
        <v>48</v>
      </c>
      <c r="B277" s="51">
        <f t="shared" si="6"/>
        <v>45930</v>
      </c>
      <c r="C277" s="52">
        <v>10.0</v>
      </c>
      <c r="D277" s="52" t="s">
        <v>72</v>
      </c>
      <c r="E277" s="53"/>
      <c r="F277" s="85"/>
      <c r="H277" s="86"/>
      <c r="J277" s="86"/>
      <c r="L277" s="86"/>
      <c r="N277" s="86"/>
      <c r="P277" s="86"/>
      <c r="Q277" s="43"/>
      <c r="R277" s="85">
        <v>83.0</v>
      </c>
      <c r="T277" s="86">
        <v>102.0</v>
      </c>
      <c r="V277" s="86"/>
      <c r="X277" s="86"/>
      <c r="Z277" s="86"/>
      <c r="AB277" s="86"/>
      <c r="AC277" s="43"/>
      <c r="AD277" s="86"/>
      <c r="AF277" s="86"/>
      <c r="AH277" s="86"/>
      <c r="AJ277" s="85"/>
      <c r="AK277" s="43"/>
      <c r="AL277" s="46"/>
      <c r="AM277" s="43"/>
      <c r="AN277" s="110"/>
      <c r="AO277" s="43"/>
      <c r="AP277" s="110"/>
      <c r="AQ277" s="43"/>
      <c r="AR277" s="110"/>
      <c r="AS277" s="43"/>
      <c r="AT277" s="91"/>
      <c r="AV277" s="91"/>
      <c r="AW277" s="43"/>
      <c r="AX277" s="54">
        <f t="shared" si="1"/>
        <v>2057.2</v>
      </c>
      <c r="AY277" s="52">
        <f t="shared" si="2"/>
        <v>185</v>
      </c>
      <c r="AZ277" s="52">
        <f t="shared" si="3"/>
        <v>0</v>
      </c>
      <c r="BA277" s="52">
        <f t="shared" si="4"/>
        <v>185</v>
      </c>
      <c r="BB277" s="49">
        <f t="shared" si="5"/>
        <v>11.12</v>
      </c>
    </row>
    <row r="278" ht="15.75" customHeight="1">
      <c r="A278" s="50" t="s">
        <v>49</v>
      </c>
      <c r="B278" s="51">
        <f t="shared" si="6"/>
        <v>45931</v>
      </c>
      <c r="C278" s="52">
        <v>10.0</v>
      </c>
      <c r="D278" s="52" t="s">
        <v>72</v>
      </c>
      <c r="E278" s="53"/>
      <c r="F278" s="85"/>
      <c r="H278" s="86"/>
      <c r="J278" s="86"/>
      <c r="L278" s="86"/>
      <c r="N278" s="86"/>
      <c r="P278" s="86"/>
      <c r="Q278" s="43"/>
      <c r="R278" s="85">
        <v>83.0</v>
      </c>
      <c r="T278" s="86">
        <v>105.0</v>
      </c>
      <c r="V278" s="86"/>
      <c r="X278" s="86"/>
      <c r="Z278" s="86"/>
      <c r="AB278" s="86"/>
      <c r="AC278" s="43"/>
      <c r="AD278" s="86"/>
      <c r="AF278" s="86"/>
      <c r="AH278" s="86"/>
      <c r="AJ278" s="85"/>
      <c r="AK278" s="43"/>
      <c r="AL278" s="46"/>
      <c r="AM278" s="43"/>
      <c r="AN278" s="110"/>
      <c r="AO278" s="43"/>
      <c r="AP278" s="110"/>
      <c r="AQ278" s="43"/>
      <c r="AR278" s="110"/>
      <c r="AS278" s="43"/>
      <c r="AT278" s="91"/>
      <c r="AV278" s="91"/>
      <c r="AW278" s="43"/>
      <c r="AX278" s="54">
        <f t="shared" si="1"/>
        <v>2090.56</v>
      </c>
      <c r="AY278" s="52">
        <f t="shared" si="2"/>
        <v>188</v>
      </c>
      <c r="AZ278" s="52">
        <f t="shared" si="3"/>
        <v>0</v>
      </c>
      <c r="BA278" s="52">
        <f t="shared" si="4"/>
        <v>188</v>
      </c>
      <c r="BB278" s="49">
        <f t="shared" si="5"/>
        <v>11.12</v>
      </c>
    </row>
    <row r="279" ht="15.75" customHeight="1">
      <c r="A279" s="50" t="s">
        <v>50</v>
      </c>
      <c r="B279" s="51">
        <f t="shared" si="6"/>
        <v>45932</v>
      </c>
      <c r="C279" s="52">
        <v>10.0</v>
      </c>
      <c r="D279" s="52" t="s">
        <v>72</v>
      </c>
      <c r="E279" s="53"/>
      <c r="F279" s="85"/>
      <c r="H279" s="86"/>
      <c r="J279" s="86"/>
      <c r="L279" s="86"/>
      <c r="N279" s="86"/>
      <c r="P279" s="86"/>
      <c r="Q279" s="43"/>
      <c r="R279" s="85">
        <v>84.0</v>
      </c>
      <c r="T279" s="86">
        <v>106.0</v>
      </c>
      <c r="V279" s="86"/>
      <c r="X279" s="86"/>
      <c r="Z279" s="86"/>
      <c r="AB279" s="86"/>
      <c r="AC279" s="43"/>
      <c r="AD279" s="86"/>
      <c r="AF279" s="86"/>
      <c r="AH279" s="86"/>
      <c r="AJ279" s="85"/>
      <c r="AK279" s="43"/>
      <c r="AL279" s="46"/>
      <c r="AM279" s="43"/>
      <c r="AN279" s="110"/>
      <c r="AO279" s="43"/>
      <c r="AP279" s="110"/>
      <c r="AQ279" s="43"/>
      <c r="AR279" s="110"/>
      <c r="AS279" s="43"/>
      <c r="AT279" s="91"/>
      <c r="AV279" s="91"/>
      <c r="AW279" s="43"/>
      <c r="AX279" s="54">
        <f t="shared" si="1"/>
        <v>2112.8</v>
      </c>
      <c r="AY279" s="52">
        <f t="shared" si="2"/>
        <v>190</v>
      </c>
      <c r="AZ279" s="52">
        <f t="shared" si="3"/>
        <v>0</v>
      </c>
      <c r="BA279" s="52">
        <f t="shared" si="4"/>
        <v>190</v>
      </c>
      <c r="BB279" s="49">
        <f t="shared" si="5"/>
        <v>11.12</v>
      </c>
    </row>
    <row r="280" ht="15.75" customHeight="1">
      <c r="A280" s="50" t="s">
        <v>53</v>
      </c>
      <c r="B280" s="51">
        <f t="shared" si="6"/>
        <v>45933</v>
      </c>
      <c r="C280" s="52">
        <v>10.0</v>
      </c>
      <c r="D280" s="52" t="s">
        <v>72</v>
      </c>
      <c r="E280" s="53"/>
      <c r="F280" s="85"/>
      <c r="H280" s="86"/>
      <c r="J280" s="86"/>
      <c r="L280" s="86"/>
      <c r="N280" s="86"/>
      <c r="P280" s="86"/>
      <c r="Q280" s="43"/>
      <c r="R280" s="85">
        <v>85.0</v>
      </c>
      <c r="T280" s="86">
        <v>97.0</v>
      </c>
      <c r="V280" s="86"/>
      <c r="X280" s="86"/>
      <c r="Z280" s="86"/>
      <c r="AB280" s="86"/>
      <c r="AC280" s="43"/>
      <c r="AD280" s="86"/>
      <c r="AF280" s="86"/>
      <c r="AH280" s="86"/>
      <c r="AJ280" s="85"/>
      <c r="AK280" s="43"/>
      <c r="AL280" s="46"/>
      <c r="AM280" s="43"/>
      <c r="AN280" s="110"/>
      <c r="AO280" s="43"/>
      <c r="AP280" s="110"/>
      <c r="AQ280" s="43"/>
      <c r="AR280" s="110"/>
      <c r="AS280" s="43"/>
      <c r="AT280" s="91"/>
      <c r="AV280" s="91"/>
      <c r="AW280" s="43"/>
      <c r="AX280" s="54">
        <f t="shared" si="1"/>
        <v>2023.84</v>
      </c>
      <c r="AY280" s="52">
        <f t="shared" si="2"/>
        <v>182</v>
      </c>
      <c r="AZ280" s="52">
        <f t="shared" si="3"/>
        <v>0</v>
      </c>
      <c r="BA280" s="52">
        <f t="shared" si="4"/>
        <v>182</v>
      </c>
      <c r="BB280" s="49">
        <f t="shared" si="5"/>
        <v>11.12</v>
      </c>
    </row>
    <row r="281" ht="15.75" customHeight="1">
      <c r="A281" s="50" t="s">
        <v>54</v>
      </c>
      <c r="B281" s="51">
        <f t="shared" si="6"/>
        <v>45934</v>
      </c>
      <c r="C281" s="52">
        <v>10.0</v>
      </c>
      <c r="D281" s="52" t="s">
        <v>72</v>
      </c>
      <c r="E281" s="53"/>
      <c r="F281" s="85"/>
      <c r="H281" s="86"/>
      <c r="J281" s="86"/>
      <c r="L281" s="86"/>
      <c r="N281" s="86"/>
      <c r="P281" s="86"/>
      <c r="Q281" s="43"/>
      <c r="R281" s="85">
        <v>54.0</v>
      </c>
      <c r="T281" s="86">
        <v>33.0</v>
      </c>
      <c r="V281" s="86"/>
      <c r="X281" s="86"/>
      <c r="Z281" s="86"/>
      <c r="AB281" s="86"/>
      <c r="AC281" s="43"/>
      <c r="AD281" s="86"/>
      <c r="AF281" s="86"/>
      <c r="AH281" s="86"/>
      <c r="AJ281" s="85"/>
      <c r="AK281" s="43"/>
      <c r="AL281" s="46"/>
      <c r="AM281" s="43"/>
      <c r="AN281" s="110"/>
      <c r="AO281" s="43"/>
      <c r="AP281" s="110"/>
      <c r="AQ281" s="43"/>
      <c r="AR281" s="110"/>
      <c r="AS281" s="43"/>
      <c r="AT281" s="91"/>
      <c r="AV281" s="91"/>
      <c r="AW281" s="43"/>
      <c r="AX281" s="54">
        <f t="shared" si="1"/>
        <v>967.44</v>
      </c>
      <c r="AY281" s="52">
        <f t="shared" si="2"/>
        <v>87</v>
      </c>
      <c r="AZ281" s="52">
        <f t="shared" si="3"/>
        <v>0</v>
      </c>
      <c r="BA281" s="52">
        <f t="shared" si="4"/>
        <v>87</v>
      </c>
      <c r="BB281" s="49">
        <f t="shared" si="5"/>
        <v>11.12</v>
      </c>
    </row>
    <row r="282" ht="15.75" customHeight="1">
      <c r="A282" s="59" t="s">
        <v>61</v>
      </c>
      <c r="B282" s="61">
        <f t="shared" si="6"/>
        <v>45935</v>
      </c>
      <c r="C282" s="63">
        <v>10.0</v>
      </c>
      <c r="D282" s="63" t="s">
        <v>72</v>
      </c>
      <c r="E282" s="64"/>
      <c r="F282" s="87"/>
      <c r="G282" s="66"/>
      <c r="H282" s="88"/>
      <c r="I282" s="66"/>
      <c r="J282" s="88"/>
      <c r="K282" s="66"/>
      <c r="L282" s="88"/>
      <c r="M282" s="66"/>
      <c r="N282" s="88"/>
      <c r="O282" s="66"/>
      <c r="P282" s="88"/>
      <c r="Q282" s="68"/>
      <c r="R282" s="87">
        <v>0.0</v>
      </c>
      <c r="S282" s="66"/>
      <c r="T282" s="88">
        <v>0.0</v>
      </c>
      <c r="U282" s="66"/>
      <c r="V282" s="88"/>
      <c r="W282" s="66"/>
      <c r="X282" s="88"/>
      <c r="Y282" s="66"/>
      <c r="Z282" s="88"/>
      <c r="AA282" s="66"/>
      <c r="AB282" s="88"/>
      <c r="AC282" s="68"/>
      <c r="AD282" s="88"/>
      <c r="AE282" s="66"/>
      <c r="AF282" s="88"/>
      <c r="AG282" s="66"/>
      <c r="AH282" s="88"/>
      <c r="AI282" s="66"/>
      <c r="AJ282" s="87"/>
      <c r="AK282" s="68"/>
      <c r="AL282" s="71"/>
      <c r="AM282" s="68"/>
      <c r="AN282" s="111"/>
      <c r="AO282" s="68"/>
      <c r="AP282" s="111"/>
      <c r="AQ282" s="68"/>
      <c r="AR282" s="111"/>
      <c r="AS282" s="68"/>
      <c r="AT282" s="112"/>
      <c r="AU282" s="66"/>
      <c r="AV282" s="112"/>
      <c r="AW282" s="68"/>
      <c r="AX282" s="73">
        <f t="shared" si="1"/>
        <v>0</v>
      </c>
      <c r="AY282" s="63">
        <f t="shared" si="2"/>
        <v>0</v>
      </c>
      <c r="AZ282" s="63">
        <f t="shared" si="3"/>
        <v>0</v>
      </c>
      <c r="BA282" s="63">
        <f t="shared" si="4"/>
        <v>0</v>
      </c>
      <c r="BB282" s="74" t="str">
        <f t="shared" si="5"/>
        <v/>
      </c>
    </row>
    <row r="283" ht="15.75" customHeight="1">
      <c r="A283" s="36" t="s">
        <v>46</v>
      </c>
      <c r="B283" s="75">
        <f t="shared" si="6"/>
        <v>45936</v>
      </c>
      <c r="C283" s="38">
        <v>11.0</v>
      </c>
      <c r="D283" s="38" t="s">
        <v>47</v>
      </c>
      <c r="E283" s="40"/>
      <c r="F283" s="85"/>
      <c r="H283" s="86"/>
      <c r="J283" s="86"/>
      <c r="L283" s="86"/>
      <c r="N283" s="86"/>
      <c r="P283" s="86"/>
      <c r="Q283" s="43"/>
      <c r="R283" s="85">
        <v>70.0</v>
      </c>
      <c r="T283" s="86">
        <v>72.0</v>
      </c>
      <c r="V283" s="86"/>
      <c r="X283" s="86"/>
      <c r="Z283" s="86"/>
      <c r="AB283" s="86"/>
      <c r="AC283" s="43"/>
      <c r="AD283" s="86"/>
      <c r="AF283" s="86"/>
      <c r="AH283" s="86"/>
      <c r="AJ283" s="85"/>
      <c r="AK283" s="43"/>
      <c r="AL283" s="46"/>
      <c r="AM283" s="43"/>
      <c r="AN283" s="110"/>
      <c r="AO283" s="43"/>
      <c r="AP283" s="110"/>
      <c r="AQ283" s="43"/>
      <c r="AR283" s="110"/>
      <c r="AS283" s="43"/>
      <c r="AT283" s="91"/>
      <c r="AV283" s="91"/>
      <c r="AW283" s="43"/>
      <c r="AX283" s="47">
        <f t="shared" si="1"/>
        <v>1579.04</v>
      </c>
      <c r="AY283" s="38">
        <f t="shared" si="2"/>
        <v>142</v>
      </c>
      <c r="AZ283" s="38">
        <f t="shared" si="3"/>
        <v>0</v>
      </c>
      <c r="BA283" s="38">
        <f t="shared" si="4"/>
        <v>142</v>
      </c>
      <c r="BB283" s="76">
        <f t="shared" si="5"/>
        <v>11.12</v>
      </c>
    </row>
    <row r="284" ht="15.75" customHeight="1">
      <c r="A284" s="50" t="s">
        <v>48</v>
      </c>
      <c r="B284" s="51">
        <f t="shared" si="6"/>
        <v>45937</v>
      </c>
      <c r="C284" s="52">
        <v>11.0</v>
      </c>
      <c r="D284" s="52" t="s">
        <v>47</v>
      </c>
      <c r="E284" s="53"/>
      <c r="F284" s="85"/>
      <c r="H284" s="86"/>
      <c r="J284" s="86"/>
      <c r="L284" s="86"/>
      <c r="N284" s="86"/>
      <c r="P284" s="86"/>
      <c r="Q284" s="43"/>
      <c r="R284" s="85">
        <v>63.0</v>
      </c>
      <c r="T284" s="86">
        <v>71.0</v>
      </c>
      <c r="V284" s="86"/>
      <c r="X284" s="86"/>
      <c r="Z284" s="86"/>
      <c r="AB284" s="86"/>
      <c r="AC284" s="43"/>
      <c r="AD284" s="86"/>
      <c r="AF284" s="86"/>
      <c r="AH284" s="86"/>
      <c r="AJ284" s="85"/>
      <c r="AK284" s="43"/>
      <c r="AL284" s="46"/>
      <c r="AM284" s="43"/>
      <c r="AN284" s="110"/>
      <c r="AO284" s="43"/>
      <c r="AP284" s="110"/>
      <c r="AQ284" s="43"/>
      <c r="AR284" s="110"/>
      <c r="AS284" s="43"/>
      <c r="AT284" s="91"/>
      <c r="AV284" s="91"/>
      <c r="AW284" s="43"/>
      <c r="AX284" s="54">
        <f t="shared" si="1"/>
        <v>1490.08</v>
      </c>
      <c r="AY284" s="52">
        <f t="shared" si="2"/>
        <v>134</v>
      </c>
      <c r="AZ284" s="52">
        <f t="shared" si="3"/>
        <v>0</v>
      </c>
      <c r="BA284" s="52">
        <f t="shared" si="4"/>
        <v>134</v>
      </c>
      <c r="BB284" s="49">
        <f t="shared" si="5"/>
        <v>11.12</v>
      </c>
    </row>
    <row r="285" ht="15.75" customHeight="1">
      <c r="A285" s="50" t="s">
        <v>49</v>
      </c>
      <c r="B285" s="51">
        <f t="shared" si="6"/>
        <v>45938</v>
      </c>
      <c r="C285" s="52">
        <v>11.0</v>
      </c>
      <c r="D285" s="52" t="s">
        <v>47</v>
      </c>
      <c r="E285" s="53"/>
      <c r="F285" s="85"/>
      <c r="H285" s="86"/>
      <c r="J285" s="86"/>
      <c r="L285" s="86"/>
      <c r="N285" s="86"/>
      <c r="P285" s="86"/>
      <c r="Q285" s="43"/>
      <c r="R285" s="85">
        <v>68.0</v>
      </c>
      <c r="T285" s="86">
        <v>68.0</v>
      </c>
      <c r="V285" s="86"/>
      <c r="X285" s="86"/>
      <c r="Z285" s="86"/>
      <c r="AB285" s="86"/>
      <c r="AC285" s="43"/>
      <c r="AD285" s="86"/>
      <c r="AF285" s="86"/>
      <c r="AH285" s="86"/>
      <c r="AJ285" s="85"/>
      <c r="AK285" s="43"/>
      <c r="AL285" s="46"/>
      <c r="AM285" s="43"/>
      <c r="AN285" s="114"/>
      <c r="AO285" s="43"/>
      <c r="AP285" s="114"/>
      <c r="AQ285" s="43"/>
      <c r="AR285" s="114"/>
      <c r="AS285" s="43"/>
      <c r="AT285" s="115"/>
      <c r="AV285" s="115"/>
      <c r="AW285" s="43"/>
      <c r="AX285" s="54">
        <f t="shared" si="1"/>
        <v>1512.32</v>
      </c>
      <c r="AY285" s="52">
        <f t="shared" si="2"/>
        <v>136</v>
      </c>
      <c r="AZ285" s="52">
        <f t="shared" si="3"/>
        <v>0</v>
      </c>
      <c r="BA285" s="52">
        <f t="shared" si="4"/>
        <v>136</v>
      </c>
      <c r="BB285" s="49">
        <f t="shared" si="5"/>
        <v>11.12</v>
      </c>
    </row>
    <row r="286" ht="15.75" customHeight="1">
      <c r="A286" s="50" t="s">
        <v>50</v>
      </c>
      <c r="B286" s="51">
        <f t="shared" si="6"/>
        <v>45939</v>
      </c>
      <c r="C286" s="52">
        <v>11.0</v>
      </c>
      <c r="D286" s="52" t="s">
        <v>47</v>
      </c>
      <c r="E286" s="53"/>
      <c r="F286" s="85"/>
      <c r="H286" s="86"/>
      <c r="J286" s="86"/>
      <c r="L286" s="86"/>
      <c r="N286" s="86"/>
      <c r="P286" s="86"/>
      <c r="Q286" s="43"/>
      <c r="R286" s="85">
        <v>57.0</v>
      </c>
      <c r="T286" s="86">
        <v>60.0</v>
      </c>
      <c r="V286" s="86"/>
      <c r="X286" s="86"/>
      <c r="Z286" s="86"/>
      <c r="AB286" s="86"/>
      <c r="AC286" s="43"/>
      <c r="AD286" s="86"/>
      <c r="AF286" s="86"/>
      <c r="AH286" s="86"/>
      <c r="AJ286" s="85"/>
      <c r="AK286" s="43"/>
      <c r="AL286" s="46"/>
      <c r="AM286" s="43"/>
      <c r="AN286" s="114"/>
      <c r="AO286" s="43"/>
      <c r="AP286" s="114"/>
      <c r="AQ286" s="43"/>
      <c r="AR286" s="114"/>
      <c r="AS286" s="43"/>
      <c r="AT286" s="115"/>
      <c r="AV286" s="115"/>
      <c r="AW286" s="43"/>
      <c r="AX286" s="54">
        <f t="shared" si="1"/>
        <v>1301.04</v>
      </c>
      <c r="AY286" s="52">
        <f t="shared" si="2"/>
        <v>117</v>
      </c>
      <c r="AZ286" s="52">
        <f t="shared" si="3"/>
        <v>0</v>
      </c>
      <c r="BA286" s="52">
        <f t="shared" si="4"/>
        <v>117</v>
      </c>
      <c r="BB286" s="49">
        <f t="shared" si="5"/>
        <v>11.12</v>
      </c>
    </row>
    <row r="287" ht="15.75" customHeight="1">
      <c r="A287" s="50" t="s">
        <v>53</v>
      </c>
      <c r="B287" s="51">
        <f t="shared" si="6"/>
        <v>45940</v>
      </c>
      <c r="C287" s="52">
        <v>11.0</v>
      </c>
      <c r="D287" s="52" t="s">
        <v>47</v>
      </c>
      <c r="E287" s="53"/>
      <c r="F287" s="85"/>
      <c r="H287" s="86"/>
      <c r="J287" s="86"/>
      <c r="L287" s="86"/>
      <c r="N287" s="86"/>
      <c r="P287" s="86"/>
      <c r="Q287" s="43"/>
      <c r="R287" s="85">
        <v>50.0</v>
      </c>
      <c r="T287" s="86">
        <v>52.0</v>
      </c>
      <c r="V287" s="86"/>
      <c r="X287" s="86"/>
      <c r="Z287" s="86"/>
      <c r="AB287" s="86"/>
      <c r="AC287" s="43"/>
      <c r="AD287" s="86"/>
      <c r="AF287" s="86"/>
      <c r="AH287" s="86"/>
      <c r="AJ287" s="85"/>
      <c r="AK287" s="43"/>
      <c r="AL287" s="46"/>
      <c r="AM287" s="43"/>
      <c r="AN287" s="114"/>
      <c r="AO287" s="43"/>
      <c r="AP287" s="114"/>
      <c r="AQ287" s="43"/>
      <c r="AR287" s="114"/>
      <c r="AS287" s="43"/>
      <c r="AT287" s="115"/>
      <c r="AV287" s="115"/>
      <c r="AW287" s="43"/>
      <c r="AX287" s="54">
        <f t="shared" si="1"/>
        <v>1134.24</v>
      </c>
      <c r="AY287" s="52">
        <f t="shared" si="2"/>
        <v>102</v>
      </c>
      <c r="AZ287" s="52">
        <f t="shared" si="3"/>
        <v>0</v>
      </c>
      <c r="BA287" s="52">
        <f t="shared" si="4"/>
        <v>102</v>
      </c>
      <c r="BB287" s="49">
        <f t="shared" si="5"/>
        <v>11.12</v>
      </c>
    </row>
    <row r="288" ht="15.75" customHeight="1">
      <c r="A288" s="50" t="s">
        <v>54</v>
      </c>
      <c r="B288" s="51">
        <f t="shared" si="6"/>
        <v>45941</v>
      </c>
      <c r="C288" s="52">
        <v>11.0</v>
      </c>
      <c r="D288" s="52" t="s">
        <v>47</v>
      </c>
      <c r="E288" s="53"/>
      <c r="F288" s="85"/>
      <c r="H288" s="86"/>
      <c r="J288" s="86"/>
      <c r="L288" s="86"/>
      <c r="N288" s="86"/>
      <c r="P288" s="86"/>
      <c r="Q288" s="43"/>
      <c r="R288" s="85">
        <v>0.0</v>
      </c>
      <c r="T288" s="86">
        <v>0.0</v>
      </c>
      <c r="V288" s="86"/>
      <c r="X288" s="86"/>
      <c r="Z288" s="86"/>
      <c r="AB288" s="86"/>
      <c r="AC288" s="43"/>
      <c r="AD288" s="86"/>
      <c r="AF288" s="86"/>
      <c r="AH288" s="86"/>
      <c r="AJ288" s="85"/>
      <c r="AK288" s="43"/>
      <c r="AL288" s="46"/>
      <c r="AM288" s="43"/>
      <c r="AN288" s="114"/>
      <c r="AO288" s="43"/>
      <c r="AP288" s="114"/>
      <c r="AQ288" s="43"/>
      <c r="AR288" s="114"/>
      <c r="AS288" s="43"/>
      <c r="AT288" s="115"/>
      <c r="AV288" s="115"/>
      <c r="AW288" s="43"/>
      <c r="AX288" s="54">
        <f t="shared" si="1"/>
        <v>0</v>
      </c>
      <c r="AY288" s="52">
        <f t="shared" si="2"/>
        <v>0</v>
      </c>
      <c r="AZ288" s="52">
        <f t="shared" si="3"/>
        <v>0</v>
      </c>
      <c r="BA288" s="52">
        <f t="shared" si="4"/>
        <v>0</v>
      </c>
      <c r="BB288" s="49" t="str">
        <f t="shared" si="5"/>
        <v/>
      </c>
    </row>
    <row r="289" ht="15.75" customHeight="1">
      <c r="A289" s="59" t="s">
        <v>61</v>
      </c>
      <c r="B289" s="61">
        <f t="shared" si="6"/>
        <v>45942</v>
      </c>
      <c r="C289" s="63">
        <v>11.0</v>
      </c>
      <c r="D289" s="63" t="s">
        <v>47</v>
      </c>
      <c r="E289" s="64"/>
      <c r="F289" s="87"/>
      <c r="G289" s="66"/>
      <c r="H289" s="88"/>
      <c r="I289" s="66"/>
      <c r="J289" s="88"/>
      <c r="K289" s="66"/>
      <c r="L289" s="88"/>
      <c r="M289" s="66"/>
      <c r="N289" s="88"/>
      <c r="O289" s="66"/>
      <c r="P289" s="88"/>
      <c r="Q289" s="68"/>
      <c r="R289" s="87">
        <v>0.0</v>
      </c>
      <c r="S289" s="66"/>
      <c r="T289" s="88">
        <v>0.0</v>
      </c>
      <c r="U289" s="66"/>
      <c r="V289" s="88"/>
      <c r="W289" s="66"/>
      <c r="X289" s="88"/>
      <c r="Y289" s="66"/>
      <c r="Z289" s="88"/>
      <c r="AA289" s="66"/>
      <c r="AB289" s="88"/>
      <c r="AC289" s="68"/>
      <c r="AD289" s="88"/>
      <c r="AE289" s="66"/>
      <c r="AF289" s="88"/>
      <c r="AG289" s="66"/>
      <c r="AH289" s="88"/>
      <c r="AI289" s="66"/>
      <c r="AJ289" s="87"/>
      <c r="AK289" s="68"/>
      <c r="AL289" s="71"/>
      <c r="AM289" s="68"/>
      <c r="AN289" s="119"/>
      <c r="AO289" s="68"/>
      <c r="AP289" s="119"/>
      <c r="AQ289" s="68"/>
      <c r="AR289" s="119"/>
      <c r="AS289" s="68"/>
      <c r="AT289" s="120"/>
      <c r="AU289" s="66"/>
      <c r="AV289" s="120"/>
      <c r="AW289" s="68"/>
      <c r="AX289" s="73">
        <f t="shared" si="1"/>
        <v>0</v>
      </c>
      <c r="AY289" s="63">
        <f t="shared" si="2"/>
        <v>0</v>
      </c>
      <c r="AZ289" s="63">
        <f t="shared" si="3"/>
        <v>0</v>
      </c>
      <c r="BA289" s="63">
        <f t="shared" si="4"/>
        <v>0</v>
      </c>
      <c r="BB289" s="74" t="str">
        <f t="shared" si="5"/>
        <v/>
      </c>
    </row>
    <row r="290" ht="15.75" customHeight="1">
      <c r="A290" s="36" t="s">
        <v>46</v>
      </c>
      <c r="B290" s="75">
        <f t="shared" si="6"/>
        <v>45943</v>
      </c>
      <c r="C290" s="38">
        <v>11.0</v>
      </c>
      <c r="D290" s="38" t="s">
        <v>65</v>
      </c>
      <c r="E290" s="40"/>
      <c r="F290" s="85"/>
      <c r="H290" s="86"/>
      <c r="J290" s="86"/>
      <c r="L290" s="86"/>
      <c r="N290" s="86"/>
      <c r="P290" s="86"/>
      <c r="Q290" s="43"/>
      <c r="R290" s="85">
        <v>98.0</v>
      </c>
      <c r="T290" s="86">
        <v>116.0</v>
      </c>
      <c r="V290" s="86"/>
      <c r="X290" s="86"/>
      <c r="Z290" s="86"/>
      <c r="AB290" s="86"/>
      <c r="AC290" s="43"/>
      <c r="AD290" s="86"/>
      <c r="AF290" s="86"/>
      <c r="AH290" s="86"/>
      <c r="AJ290" s="85"/>
      <c r="AK290" s="43"/>
      <c r="AL290" s="46"/>
      <c r="AM290" s="43"/>
      <c r="AN290" s="114"/>
      <c r="AO290" s="43"/>
      <c r="AP290" s="114"/>
      <c r="AQ290" s="43"/>
      <c r="AR290" s="114"/>
      <c r="AS290" s="43"/>
      <c r="AT290" s="115"/>
      <c r="AV290" s="115"/>
      <c r="AW290" s="43"/>
      <c r="AX290" s="47">
        <f t="shared" si="1"/>
        <v>2379.68</v>
      </c>
      <c r="AY290" s="38">
        <f t="shared" si="2"/>
        <v>214</v>
      </c>
      <c r="AZ290" s="38">
        <f t="shared" si="3"/>
        <v>0</v>
      </c>
      <c r="BA290" s="38">
        <f t="shared" si="4"/>
        <v>214</v>
      </c>
      <c r="BB290" s="76">
        <f t="shared" si="5"/>
        <v>11.12</v>
      </c>
    </row>
    <row r="291" ht="15.75" customHeight="1">
      <c r="A291" s="50" t="s">
        <v>48</v>
      </c>
      <c r="B291" s="51">
        <f t="shared" si="6"/>
        <v>45944</v>
      </c>
      <c r="C291" s="52">
        <v>11.0</v>
      </c>
      <c r="D291" s="52" t="s">
        <v>65</v>
      </c>
      <c r="E291" s="53"/>
      <c r="F291" s="85"/>
      <c r="H291" s="86"/>
      <c r="J291" s="86"/>
      <c r="L291" s="86"/>
      <c r="N291" s="86"/>
      <c r="P291" s="86"/>
      <c r="Q291" s="43"/>
      <c r="R291" s="85">
        <v>97.0</v>
      </c>
      <c r="T291" s="86">
        <v>118.0</v>
      </c>
      <c r="V291" s="86"/>
      <c r="X291" s="86"/>
      <c r="Z291" s="86"/>
      <c r="AB291" s="86"/>
      <c r="AC291" s="43"/>
      <c r="AD291" s="86"/>
      <c r="AF291" s="86"/>
      <c r="AH291" s="86"/>
      <c r="AJ291" s="85"/>
      <c r="AK291" s="43"/>
      <c r="AL291" s="46"/>
      <c r="AM291" s="43"/>
      <c r="AN291" s="114"/>
      <c r="AO291" s="43"/>
      <c r="AP291" s="114"/>
      <c r="AQ291" s="43"/>
      <c r="AR291" s="114"/>
      <c r="AS291" s="43"/>
      <c r="AT291" s="115"/>
      <c r="AV291" s="115"/>
      <c r="AW291" s="43"/>
      <c r="AX291" s="54">
        <f t="shared" si="1"/>
        <v>2390.8</v>
      </c>
      <c r="AY291" s="52">
        <f t="shared" si="2"/>
        <v>215</v>
      </c>
      <c r="AZ291" s="52">
        <f t="shared" si="3"/>
        <v>0</v>
      </c>
      <c r="BA291" s="52">
        <f t="shared" si="4"/>
        <v>215</v>
      </c>
      <c r="BB291" s="49">
        <f t="shared" si="5"/>
        <v>11.12</v>
      </c>
    </row>
    <row r="292" ht="15.75" customHeight="1">
      <c r="A292" s="50" t="s">
        <v>49</v>
      </c>
      <c r="B292" s="51">
        <f t="shared" si="6"/>
        <v>45945</v>
      </c>
      <c r="C292" s="52">
        <v>11.0</v>
      </c>
      <c r="D292" s="52" t="s">
        <v>65</v>
      </c>
      <c r="E292" s="53"/>
      <c r="F292" s="85"/>
      <c r="H292" s="86"/>
      <c r="J292" s="86"/>
      <c r="L292" s="86"/>
      <c r="N292" s="86"/>
      <c r="P292" s="86"/>
      <c r="Q292" s="43"/>
      <c r="R292" s="85">
        <v>111.0</v>
      </c>
      <c r="T292" s="86">
        <v>165.0</v>
      </c>
      <c r="V292" s="86"/>
      <c r="X292" s="86"/>
      <c r="Z292" s="86"/>
      <c r="AB292" s="86"/>
      <c r="AC292" s="43"/>
      <c r="AD292" s="86"/>
      <c r="AF292" s="86"/>
      <c r="AH292" s="86"/>
      <c r="AJ292" s="85"/>
      <c r="AK292" s="43"/>
      <c r="AL292" s="46"/>
      <c r="AM292" s="43"/>
      <c r="AN292" s="114"/>
      <c r="AO292" s="43"/>
      <c r="AP292" s="114"/>
      <c r="AQ292" s="43"/>
      <c r="AR292" s="114"/>
      <c r="AS292" s="43"/>
      <c r="AT292" s="115"/>
      <c r="AV292" s="115"/>
      <c r="AW292" s="43"/>
      <c r="AX292" s="54">
        <f t="shared" si="1"/>
        <v>3069.12</v>
      </c>
      <c r="AY292" s="52">
        <f t="shared" si="2"/>
        <v>276</v>
      </c>
      <c r="AZ292" s="52">
        <f t="shared" si="3"/>
        <v>0</v>
      </c>
      <c r="BA292" s="52">
        <f t="shared" si="4"/>
        <v>276</v>
      </c>
      <c r="BB292" s="49">
        <f t="shared" si="5"/>
        <v>11.12</v>
      </c>
    </row>
    <row r="293" ht="15.75" customHeight="1">
      <c r="A293" s="50" t="s">
        <v>50</v>
      </c>
      <c r="B293" s="51">
        <f t="shared" si="6"/>
        <v>45946</v>
      </c>
      <c r="C293" s="52">
        <v>11.0</v>
      </c>
      <c r="D293" s="52" t="s">
        <v>65</v>
      </c>
      <c r="E293" s="53"/>
      <c r="F293" s="85"/>
      <c r="H293" s="86"/>
      <c r="J293" s="86"/>
      <c r="L293" s="86"/>
      <c r="N293" s="86"/>
      <c r="P293" s="86"/>
      <c r="Q293" s="43"/>
      <c r="R293" s="85">
        <v>117.0</v>
      </c>
      <c r="T293" s="86">
        <v>128.0</v>
      </c>
      <c r="V293" s="86"/>
      <c r="X293" s="86"/>
      <c r="Z293" s="86"/>
      <c r="AB293" s="86"/>
      <c r="AC293" s="43"/>
      <c r="AD293" s="86"/>
      <c r="AF293" s="86"/>
      <c r="AH293" s="86"/>
      <c r="AJ293" s="85"/>
      <c r="AK293" s="43"/>
      <c r="AL293" s="46"/>
      <c r="AM293" s="43"/>
      <c r="AN293" s="114"/>
      <c r="AO293" s="43"/>
      <c r="AP293" s="114"/>
      <c r="AQ293" s="43"/>
      <c r="AR293" s="114"/>
      <c r="AS293" s="43"/>
      <c r="AT293" s="115"/>
      <c r="AV293" s="115"/>
      <c r="AW293" s="43"/>
      <c r="AX293" s="54">
        <f t="shared" si="1"/>
        <v>2724.4</v>
      </c>
      <c r="AY293" s="52">
        <f t="shared" si="2"/>
        <v>245</v>
      </c>
      <c r="AZ293" s="52">
        <f t="shared" si="3"/>
        <v>0</v>
      </c>
      <c r="BA293" s="52">
        <f t="shared" si="4"/>
        <v>245</v>
      </c>
      <c r="BB293" s="49">
        <f t="shared" si="5"/>
        <v>11.12</v>
      </c>
    </row>
    <row r="294" ht="15.75" customHeight="1">
      <c r="A294" s="50" t="s">
        <v>53</v>
      </c>
      <c r="B294" s="51">
        <f t="shared" si="6"/>
        <v>45947</v>
      </c>
      <c r="C294" s="52">
        <v>11.0</v>
      </c>
      <c r="D294" s="52" t="s">
        <v>65</v>
      </c>
      <c r="E294" s="53"/>
      <c r="F294" s="85"/>
      <c r="H294" s="86"/>
      <c r="J294" s="86"/>
      <c r="L294" s="86"/>
      <c r="N294" s="86"/>
      <c r="P294" s="86"/>
      <c r="Q294" s="43"/>
      <c r="R294" s="85">
        <v>118.0</v>
      </c>
      <c r="T294" s="86">
        <v>131.0</v>
      </c>
      <c r="V294" s="86"/>
      <c r="X294" s="86"/>
      <c r="Z294" s="86"/>
      <c r="AB294" s="86"/>
      <c r="AC294" s="43"/>
      <c r="AD294" s="86"/>
      <c r="AF294" s="86"/>
      <c r="AH294" s="86"/>
      <c r="AJ294" s="85"/>
      <c r="AK294" s="43"/>
      <c r="AL294" s="46"/>
      <c r="AM294" s="43"/>
      <c r="AN294" s="114"/>
      <c r="AO294" s="43"/>
      <c r="AP294" s="114"/>
      <c r="AQ294" s="43"/>
      <c r="AR294" s="114"/>
      <c r="AS294" s="43"/>
      <c r="AT294" s="115"/>
      <c r="AV294" s="115"/>
      <c r="AW294" s="43"/>
      <c r="AX294" s="54">
        <f t="shared" si="1"/>
        <v>2768.88</v>
      </c>
      <c r="AY294" s="52">
        <f t="shared" si="2"/>
        <v>249</v>
      </c>
      <c r="AZ294" s="52">
        <f t="shared" si="3"/>
        <v>0</v>
      </c>
      <c r="BA294" s="52">
        <f t="shared" si="4"/>
        <v>249</v>
      </c>
      <c r="BB294" s="49">
        <f t="shared" si="5"/>
        <v>11.12</v>
      </c>
    </row>
    <row r="295" ht="15.75" customHeight="1">
      <c r="A295" s="50" t="s">
        <v>54</v>
      </c>
      <c r="B295" s="51">
        <f t="shared" si="6"/>
        <v>45948</v>
      </c>
      <c r="C295" s="52">
        <v>11.0</v>
      </c>
      <c r="D295" s="52" t="s">
        <v>65</v>
      </c>
      <c r="E295" s="53"/>
      <c r="F295" s="85"/>
      <c r="H295" s="86"/>
      <c r="J295" s="86"/>
      <c r="L295" s="86"/>
      <c r="N295" s="86"/>
      <c r="P295" s="86"/>
      <c r="Q295" s="43"/>
      <c r="R295" s="85">
        <v>0.0</v>
      </c>
      <c r="T295" s="86">
        <v>0.0</v>
      </c>
      <c r="V295" s="86"/>
      <c r="X295" s="86"/>
      <c r="Z295" s="86"/>
      <c r="AB295" s="86"/>
      <c r="AC295" s="43"/>
      <c r="AD295" s="86"/>
      <c r="AF295" s="86"/>
      <c r="AH295" s="86"/>
      <c r="AJ295" s="85"/>
      <c r="AK295" s="43"/>
      <c r="AL295" s="46"/>
      <c r="AM295" s="43"/>
      <c r="AN295" s="114"/>
      <c r="AO295" s="43"/>
      <c r="AP295" s="114"/>
      <c r="AQ295" s="43"/>
      <c r="AR295" s="114"/>
      <c r="AS295" s="43"/>
      <c r="AT295" s="115"/>
      <c r="AV295" s="115"/>
      <c r="AW295" s="43"/>
      <c r="AX295" s="54">
        <f t="shared" si="1"/>
        <v>0</v>
      </c>
      <c r="AY295" s="52">
        <f t="shared" si="2"/>
        <v>0</v>
      </c>
      <c r="AZ295" s="52">
        <f t="shared" si="3"/>
        <v>0</v>
      </c>
      <c r="BA295" s="52">
        <f t="shared" si="4"/>
        <v>0</v>
      </c>
      <c r="BB295" s="49" t="str">
        <f t="shared" si="5"/>
        <v/>
      </c>
    </row>
    <row r="296" ht="15.75" customHeight="1">
      <c r="A296" s="59" t="s">
        <v>61</v>
      </c>
      <c r="B296" s="61">
        <f t="shared" si="6"/>
        <v>45949</v>
      </c>
      <c r="C296" s="63">
        <v>11.0</v>
      </c>
      <c r="D296" s="63" t="s">
        <v>65</v>
      </c>
      <c r="E296" s="64"/>
      <c r="F296" s="87"/>
      <c r="G296" s="66"/>
      <c r="H296" s="88"/>
      <c r="I296" s="66"/>
      <c r="J296" s="88"/>
      <c r="K296" s="66"/>
      <c r="L296" s="88"/>
      <c r="M296" s="66"/>
      <c r="N296" s="88"/>
      <c r="O296" s="66"/>
      <c r="P296" s="88"/>
      <c r="Q296" s="68"/>
      <c r="R296" s="87">
        <v>0.0</v>
      </c>
      <c r="S296" s="66"/>
      <c r="T296" s="88">
        <v>0.0</v>
      </c>
      <c r="U296" s="66"/>
      <c r="V296" s="88"/>
      <c r="W296" s="66"/>
      <c r="X296" s="88"/>
      <c r="Y296" s="66"/>
      <c r="Z296" s="88"/>
      <c r="AA296" s="66"/>
      <c r="AB296" s="88"/>
      <c r="AC296" s="68"/>
      <c r="AD296" s="88"/>
      <c r="AE296" s="66"/>
      <c r="AF296" s="88"/>
      <c r="AG296" s="66"/>
      <c r="AH296" s="88"/>
      <c r="AI296" s="66"/>
      <c r="AJ296" s="87"/>
      <c r="AK296" s="68"/>
      <c r="AL296" s="71"/>
      <c r="AM296" s="68"/>
      <c r="AN296" s="119"/>
      <c r="AO296" s="68"/>
      <c r="AP296" s="119"/>
      <c r="AQ296" s="68"/>
      <c r="AR296" s="119"/>
      <c r="AS296" s="68"/>
      <c r="AT296" s="120"/>
      <c r="AU296" s="66"/>
      <c r="AV296" s="120"/>
      <c r="AW296" s="68"/>
      <c r="AX296" s="73">
        <f t="shared" si="1"/>
        <v>0</v>
      </c>
      <c r="AY296" s="63">
        <f t="shared" si="2"/>
        <v>0</v>
      </c>
      <c r="AZ296" s="63">
        <f t="shared" si="3"/>
        <v>0</v>
      </c>
      <c r="BA296" s="63">
        <f t="shared" si="4"/>
        <v>0</v>
      </c>
      <c r="BB296" s="74" t="str">
        <f t="shared" si="5"/>
        <v/>
      </c>
    </row>
    <row r="297" ht="15.75" customHeight="1">
      <c r="A297" s="36" t="s">
        <v>46</v>
      </c>
      <c r="B297" s="75">
        <f t="shared" si="6"/>
        <v>45950</v>
      </c>
      <c r="C297" s="38">
        <v>11.0</v>
      </c>
      <c r="D297" s="38" t="s">
        <v>69</v>
      </c>
      <c r="E297" s="40"/>
      <c r="F297" s="85"/>
      <c r="H297" s="86"/>
      <c r="J297" s="86"/>
      <c r="L297" s="86"/>
      <c r="N297" s="86"/>
      <c r="P297" s="86"/>
      <c r="Q297" s="43"/>
      <c r="R297" s="85">
        <v>137.0</v>
      </c>
      <c r="T297" s="86">
        <v>146.0</v>
      </c>
      <c r="V297" s="86"/>
      <c r="X297" s="86"/>
      <c r="Z297" s="86"/>
      <c r="AB297" s="86"/>
      <c r="AC297" s="43"/>
      <c r="AD297" s="86"/>
      <c r="AF297" s="86"/>
      <c r="AH297" s="86"/>
      <c r="AJ297" s="85"/>
      <c r="AK297" s="43"/>
      <c r="AL297" s="46"/>
      <c r="AM297" s="43"/>
      <c r="AN297" s="114"/>
      <c r="AO297" s="43"/>
      <c r="AP297" s="114"/>
      <c r="AQ297" s="43"/>
      <c r="AR297" s="114"/>
      <c r="AS297" s="43"/>
      <c r="AT297" s="115"/>
      <c r="AV297" s="115"/>
      <c r="AW297" s="43"/>
      <c r="AX297" s="47">
        <f t="shared" si="1"/>
        <v>3146.96</v>
      </c>
      <c r="AY297" s="38">
        <f t="shared" si="2"/>
        <v>283</v>
      </c>
      <c r="AZ297" s="38">
        <f t="shared" si="3"/>
        <v>0</v>
      </c>
      <c r="BA297" s="38">
        <f t="shared" si="4"/>
        <v>283</v>
      </c>
      <c r="BB297" s="76">
        <f t="shared" si="5"/>
        <v>11.12</v>
      </c>
    </row>
    <row r="298" ht="15.75" customHeight="1">
      <c r="A298" s="50" t="s">
        <v>48</v>
      </c>
      <c r="B298" s="51">
        <f t="shared" si="6"/>
        <v>45951</v>
      </c>
      <c r="C298" s="52">
        <v>11.0</v>
      </c>
      <c r="D298" s="52" t="s">
        <v>69</v>
      </c>
      <c r="E298" s="53"/>
      <c r="F298" s="85"/>
      <c r="H298" s="86"/>
      <c r="J298" s="86"/>
      <c r="L298" s="86"/>
      <c r="N298" s="86"/>
      <c r="P298" s="86"/>
      <c r="Q298" s="43"/>
      <c r="R298" s="85">
        <v>127.0</v>
      </c>
      <c r="T298" s="86">
        <v>144.0</v>
      </c>
      <c r="V298" s="86"/>
      <c r="X298" s="86"/>
      <c r="Z298" s="86"/>
      <c r="AB298" s="86"/>
      <c r="AC298" s="43"/>
      <c r="AD298" s="86"/>
      <c r="AF298" s="86"/>
      <c r="AH298" s="86"/>
      <c r="AJ298" s="85"/>
      <c r="AK298" s="43"/>
      <c r="AL298" s="46"/>
      <c r="AM298" s="43"/>
      <c r="AN298" s="114"/>
      <c r="AO298" s="43"/>
      <c r="AP298" s="114"/>
      <c r="AQ298" s="43"/>
      <c r="AR298" s="114"/>
      <c r="AS298" s="43"/>
      <c r="AT298" s="115"/>
      <c r="AV298" s="115"/>
      <c r="AW298" s="43"/>
      <c r="AX298" s="54">
        <f t="shared" si="1"/>
        <v>3013.52</v>
      </c>
      <c r="AY298" s="52">
        <f t="shared" si="2"/>
        <v>271</v>
      </c>
      <c r="AZ298" s="52">
        <f t="shared" si="3"/>
        <v>0</v>
      </c>
      <c r="BA298" s="52">
        <f t="shared" si="4"/>
        <v>271</v>
      </c>
      <c r="BB298" s="49">
        <f t="shared" si="5"/>
        <v>11.12</v>
      </c>
    </row>
    <row r="299" ht="15.75" customHeight="1">
      <c r="A299" s="50" t="s">
        <v>49</v>
      </c>
      <c r="B299" s="51">
        <f t="shared" si="6"/>
        <v>45952</v>
      </c>
      <c r="C299" s="52">
        <v>11.0</v>
      </c>
      <c r="D299" s="52" t="s">
        <v>69</v>
      </c>
      <c r="E299" s="53"/>
      <c r="F299" s="85"/>
      <c r="H299" s="86"/>
      <c r="J299" s="86"/>
      <c r="L299" s="86"/>
      <c r="N299" s="86"/>
      <c r="P299" s="86"/>
      <c r="Q299" s="43"/>
      <c r="R299" s="85">
        <v>115.0</v>
      </c>
      <c r="T299" s="86">
        <v>201.0</v>
      </c>
      <c r="V299" s="86"/>
      <c r="X299" s="86"/>
      <c r="Z299" s="86"/>
      <c r="AB299" s="86"/>
      <c r="AC299" s="43"/>
      <c r="AD299" s="86"/>
      <c r="AF299" s="86"/>
      <c r="AH299" s="86"/>
      <c r="AJ299" s="85"/>
      <c r="AK299" s="43"/>
      <c r="AL299" s="46"/>
      <c r="AM299" s="43"/>
      <c r="AN299" s="114"/>
      <c r="AO299" s="43"/>
      <c r="AP299" s="114"/>
      <c r="AQ299" s="43"/>
      <c r="AR299" s="114"/>
      <c r="AS299" s="43"/>
      <c r="AT299" s="115"/>
      <c r="AV299" s="115"/>
      <c r="AW299" s="43"/>
      <c r="AX299" s="54">
        <f t="shared" si="1"/>
        <v>3513.92</v>
      </c>
      <c r="AY299" s="52">
        <f t="shared" si="2"/>
        <v>316</v>
      </c>
      <c r="AZ299" s="52">
        <f t="shared" si="3"/>
        <v>0</v>
      </c>
      <c r="BA299" s="52">
        <f t="shared" si="4"/>
        <v>316</v>
      </c>
      <c r="BB299" s="49">
        <f t="shared" si="5"/>
        <v>11.12</v>
      </c>
    </row>
    <row r="300" ht="15.75" customHeight="1">
      <c r="A300" s="50" t="s">
        <v>50</v>
      </c>
      <c r="B300" s="51">
        <f t="shared" si="6"/>
        <v>45953</v>
      </c>
      <c r="C300" s="52">
        <v>11.0</v>
      </c>
      <c r="D300" s="52" t="s">
        <v>69</v>
      </c>
      <c r="E300" s="53"/>
      <c r="F300" s="85"/>
      <c r="H300" s="86"/>
      <c r="J300" s="86"/>
      <c r="L300" s="86"/>
      <c r="N300" s="86"/>
      <c r="P300" s="86"/>
      <c r="Q300" s="43"/>
      <c r="R300" s="85">
        <v>110.0</v>
      </c>
      <c r="T300" s="86">
        <v>131.0</v>
      </c>
      <c r="V300" s="86"/>
      <c r="X300" s="86"/>
      <c r="Z300" s="86"/>
      <c r="AB300" s="86"/>
      <c r="AC300" s="43"/>
      <c r="AD300" s="86"/>
      <c r="AF300" s="86"/>
      <c r="AH300" s="86"/>
      <c r="AJ300" s="85"/>
      <c r="AK300" s="43"/>
      <c r="AL300" s="46"/>
      <c r="AM300" s="43"/>
      <c r="AN300" s="114"/>
      <c r="AO300" s="43"/>
      <c r="AP300" s="114"/>
      <c r="AQ300" s="43"/>
      <c r="AR300" s="114"/>
      <c r="AS300" s="43"/>
      <c r="AT300" s="115"/>
      <c r="AV300" s="115"/>
      <c r="AW300" s="43"/>
      <c r="AX300" s="54">
        <f t="shared" si="1"/>
        <v>2679.92</v>
      </c>
      <c r="AY300" s="52">
        <f t="shared" si="2"/>
        <v>241</v>
      </c>
      <c r="AZ300" s="52">
        <f t="shared" si="3"/>
        <v>0</v>
      </c>
      <c r="BA300" s="52">
        <f t="shared" si="4"/>
        <v>241</v>
      </c>
      <c r="BB300" s="49">
        <f t="shared" si="5"/>
        <v>11.12</v>
      </c>
    </row>
    <row r="301" ht="15.75" customHeight="1">
      <c r="A301" s="50" t="s">
        <v>53</v>
      </c>
      <c r="B301" s="51">
        <f t="shared" si="6"/>
        <v>45954</v>
      </c>
      <c r="C301" s="52">
        <v>11.0</v>
      </c>
      <c r="D301" s="52" t="s">
        <v>69</v>
      </c>
      <c r="E301" s="53"/>
      <c r="F301" s="85"/>
      <c r="H301" s="86"/>
      <c r="J301" s="86"/>
      <c r="L301" s="86"/>
      <c r="N301" s="86"/>
      <c r="P301" s="86"/>
      <c r="Q301" s="43"/>
      <c r="R301" s="85">
        <v>111.0</v>
      </c>
      <c r="T301" s="86">
        <v>118.0</v>
      </c>
      <c r="V301" s="86"/>
      <c r="X301" s="86"/>
      <c r="Z301" s="86"/>
      <c r="AB301" s="86"/>
      <c r="AC301" s="43"/>
      <c r="AD301" s="86"/>
      <c r="AF301" s="86"/>
      <c r="AH301" s="86"/>
      <c r="AJ301" s="85"/>
      <c r="AK301" s="43"/>
      <c r="AL301" s="46"/>
      <c r="AM301" s="43"/>
      <c r="AN301" s="114"/>
      <c r="AO301" s="43"/>
      <c r="AP301" s="114"/>
      <c r="AQ301" s="43"/>
      <c r="AR301" s="114"/>
      <c r="AS301" s="43"/>
      <c r="AT301" s="115"/>
      <c r="AV301" s="115"/>
      <c r="AW301" s="43"/>
      <c r="AX301" s="54">
        <f t="shared" si="1"/>
        <v>2546.48</v>
      </c>
      <c r="AY301" s="52">
        <f t="shared" si="2"/>
        <v>229</v>
      </c>
      <c r="AZ301" s="52">
        <f t="shared" si="3"/>
        <v>0</v>
      </c>
      <c r="BA301" s="52">
        <f t="shared" si="4"/>
        <v>229</v>
      </c>
      <c r="BB301" s="49">
        <f t="shared" si="5"/>
        <v>11.12</v>
      </c>
    </row>
    <row r="302" ht="15.75" customHeight="1">
      <c r="A302" s="50" t="s">
        <v>54</v>
      </c>
      <c r="B302" s="51">
        <f t="shared" si="6"/>
        <v>45955</v>
      </c>
      <c r="C302" s="52">
        <v>11.0</v>
      </c>
      <c r="D302" s="52" t="s">
        <v>69</v>
      </c>
      <c r="E302" s="53"/>
      <c r="F302" s="85"/>
      <c r="H302" s="86"/>
      <c r="J302" s="86"/>
      <c r="L302" s="86"/>
      <c r="N302" s="86"/>
      <c r="P302" s="86"/>
      <c r="Q302" s="43"/>
      <c r="R302" s="85">
        <v>0.0</v>
      </c>
      <c r="T302" s="86">
        <v>0.0</v>
      </c>
      <c r="V302" s="86"/>
      <c r="X302" s="86"/>
      <c r="Z302" s="86"/>
      <c r="AB302" s="86"/>
      <c r="AC302" s="43"/>
      <c r="AD302" s="86"/>
      <c r="AF302" s="86"/>
      <c r="AH302" s="86"/>
      <c r="AJ302" s="85"/>
      <c r="AK302" s="43"/>
      <c r="AL302" s="46"/>
      <c r="AM302" s="43"/>
      <c r="AN302" s="114"/>
      <c r="AO302" s="43"/>
      <c r="AP302" s="114"/>
      <c r="AQ302" s="43"/>
      <c r="AR302" s="114"/>
      <c r="AS302" s="43"/>
      <c r="AT302" s="115"/>
      <c r="AV302" s="115"/>
      <c r="AW302" s="43"/>
      <c r="AX302" s="54">
        <f t="shared" si="1"/>
        <v>0</v>
      </c>
      <c r="AY302" s="52">
        <f t="shared" si="2"/>
        <v>0</v>
      </c>
      <c r="AZ302" s="52">
        <f t="shared" si="3"/>
        <v>0</v>
      </c>
      <c r="BA302" s="52">
        <f t="shared" si="4"/>
        <v>0</v>
      </c>
      <c r="BB302" s="49" t="str">
        <f t="shared" si="5"/>
        <v/>
      </c>
    </row>
    <row r="303" ht="15.75" customHeight="1">
      <c r="A303" s="59" t="s">
        <v>61</v>
      </c>
      <c r="B303" s="61">
        <f t="shared" si="6"/>
        <v>45956</v>
      </c>
      <c r="C303" s="63">
        <v>11.0</v>
      </c>
      <c r="D303" s="63" t="s">
        <v>69</v>
      </c>
      <c r="E303" s="64"/>
      <c r="F303" s="87"/>
      <c r="G303" s="66"/>
      <c r="H303" s="88"/>
      <c r="I303" s="66"/>
      <c r="J303" s="88"/>
      <c r="K303" s="66"/>
      <c r="L303" s="88"/>
      <c r="M303" s="66"/>
      <c r="N303" s="88"/>
      <c r="O303" s="66"/>
      <c r="P303" s="88"/>
      <c r="Q303" s="68"/>
      <c r="R303" s="87">
        <v>0.0</v>
      </c>
      <c r="S303" s="66"/>
      <c r="T303" s="88">
        <v>0.0</v>
      </c>
      <c r="U303" s="66"/>
      <c r="V303" s="88"/>
      <c r="W303" s="66"/>
      <c r="X303" s="88"/>
      <c r="Y303" s="66"/>
      <c r="Z303" s="88"/>
      <c r="AA303" s="66"/>
      <c r="AB303" s="88"/>
      <c r="AC303" s="68"/>
      <c r="AD303" s="88"/>
      <c r="AE303" s="66"/>
      <c r="AF303" s="88"/>
      <c r="AG303" s="66"/>
      <c r="AH303" s="88"/>
      <c r="AI303" s="66"/>
      <c r="AJ303" s="87"/>
      <c r="AK303" s="68"/>
      <c r="AL303" s="71"/>
      <c r="AM303" s="68"/>
      <c r="AN303" s="119"/>
      <c r="AO303" s="68"/>
      <c r="AP303" s="119"/>
      <c r="AQ303" s="68"/>
      <c r="AR303" s="119"/>
      <c r="AS303" s="68"/>
      <c r="AT303" s="120"/>
      <c r="AU303" s="66"/>
      <c r="AV303" s="120"/>
      <c r="AW303" s="68"/>
      <c r="AX303" s="73">
        <f t="shared" si="1"/>
        <v>0</v>
      </c>
      <c r="AY303" s="63">
        <f t="shared" si="2"/>
        <v>0</v>
      </c>
      <c r="AZ303" s="63">
        <f t="shared" si="3"/>
        <v>0</v>
      </c>
      <c r="BA303" s="63">
        <f t="shared" si="4"/>
        <v>0</v>
      </c>
      <c r="BB303" s="74" t="str">
        <f t="shared" si="5"/>
        <v/>
      </c>
    </row>
    <row r="304" ht="15.75" customHeight="1">
      <c r="A304" s="36" t="s">
        <v>46</v>
      </c>
      <c r="B304" s="75">
        <f t="shared" si="6"/>
        <v>45957</v>
      </c>
      <c r="C304" s="38">
        <v>11.0</v>
      </c>
      <c r="D304" s="38" t="s">
        <v>72</v>
      </c>
      <c r="E304" s="40"/>
      <c r="F304" s="41"/>
      <c r="H304" s="42"/>
      <c r="J304" s="42"/>
      <c r="L304" s="42"/>
      <c r="N304" s="42"/>
      <c r="P304" s="42"/>
      <c r="Q304" s="43"/>
      <c r="R304" s="41">
        <v>103.0</v>
      </c>
      <c r="T304" s="42">
        <v>128.0</v>
      </c>
      <c r="V304" s="42"/>
      <c r="X304" s="42"/>
      <c r="Z304" s="42"/>
      <c r="AB304" s="42"/>
      <c r="AC304" s="43"/>
      <c r="AD304" s="42"/>
      <c r="AF304" s="42"/>
      <c r="AH304" s="42"/>
      <c r="AJ304" s="41"/>
      <c r="AK304" s="43"/>
      <c r="AL304" s="46"/>
      <c r="AM304" s="43"/>
      <c r="AN304" s="114"/>
      <c r="AO304" s="43"/>
      <c r="AP304" s="114"/>
      <c r="AQ304" s="43"/>
      <c r="AR304" s="114"/>
      <c r="AS304" s="43"/>
      <c r="AT304" s="115"/>
      <c r="AV304" s="115"/>
      <c r="AW304" s="43"/>
      <c r="AX304" s="47">
        <f t="shared" si="1"/>
        <v>2568.72</v>
      </c>
      <c r="AY304" s="38">
        <f t="shared" si="2"/>
        <v>231</v>
      </c>
      <c r="AZ304" s="38">
        <f t="shared" si="3"/>
        <v>0</v>
      </c>
      <c r="BA304" s="38">
        <f t="shared" si="4"/>
        <v>231</v>
      </c>
      <c r="BB304" s="76">
        <f t="shared" si="5"/>
        <v>11.12</v>
      </c>
    </row>
    <row r="305" ht="15.75" customHeight="1">
      <c r="A305" s="50" t="s">
        <v>48</v>
      </c>
      <c r="B305" s="51">
        <f t="shared" si="6"/>
        <v>45958</v>
      </c>
      <c r="C305" s="52">
        <v>11.0</v>
      </c>
      <c r="D305" s="52" t="s">
        <v>72</v>
      </c>
      <c r="E305" s="53"/>
      <c r="F305" s="41"/>
      <c r="H305" s="42"/>
      <c r="J305" s="42"/>
      <c r="L305" s="42"/>
      <c r="N305" s="42"/>
      <c r="P305" s="42"/>
      <c r="Q305" s="43"/>
      <c r="R305" s="41">
        <v>113.0</v>
      </c>
      <c r="T305" s="42">
        <v>135.0</v>
      </c>
      <c r="V305" s="42"/>
      <c r="X305" s="42"/>
      <c r="Z305" s="42"/>
      <c r="AB305" s="42"/>
      <c r="AC305" s="43"/>
      <c r="AD305" s="42"/>
      <c r="AF305" s="42"/>
      <c r="AH305" s="42"/>
      <c r="AJ305" s="41"/>
      <c r="AK305" s="43"/>
      <c r="AL305" s="46"/>
      <c r="AM305" s="43"/>
      <c r="AN305" s="114"/>
      <c r="AO305" s="43"/>
      <c r="AP305" s="114"/>
      <c r="AQ305" s="43"/>
      <c r="AR305" s="114"/>
      <c r="AS305" s="43"/>
      <c r="AT305" s="115"/>
      <c r="AV305" s="115"/>
      <c r="AW305" s="43"/>
      <c r="AX305" s="54">
        <f t="shared" si="1"/>
        <v>2757.76</v>
      </c>
      <c r="AY305" s="52">
        <f t="shared" si="2"/>
        <v>248</v>
      </c>
      <c r="AZ305" s="52">
        <f t="shared" si="3"/>
        <v>0</v>
      </c>
      <c r="BA305" s="52">
        <f t="shared" si="4"/>
        <v>248</v>
      </c>
      <c r="BB305" s="49">
        <f t="shared" si="5"/>
        <v>11.12</v>
      </c>
    </row>
    <row r="306" ht="15.75" customHeight="1">
      <c r="A306" s="50" t="s">
        <v>49</v>
      </c>
      <c r="B306" s="51">
        <f t="shared" si="6"/>
        <v>45959</v>
      </c>
      <c r="C306" s="52">
        <v>11.0</v>
      </c>
      <c r="D306" s="52" t="s">
        <v>72</v>
      </c>
      <c r="E306" s="53"/>
      <c r="F306" s="41"/>
      <c r="H306" s="42"/>
      <c r="J306" s="42"/>
      <c r="L306" s="42"/>
      <c r="N306" s="42"/>
      <c r="P306" s="42"/>
      <c r="Q306" s="43"/>
      <c r="R306" s="41">
        <v>111.0</v>
      </c>
      <c r="T306" s="42">
        <v>143.0</v>
      </c>
      <c r="V306" s="42"/>
      <c r="X306" s="42"/>
      <c r="Z306" s="42"/>
      <c r="AB306" s="42"/>
      <c r="AC306" s="43"/>
      <c r="AD306" s="42"/>
      <c r="AF306" s="42"/>
      <c r="AH306" s="42"/>
      <c r="AJ306" s="41"/>
      <c r="AK306" s="43"/>
      <c r="AL306" s="46"/>
      <c r="AM306" s="43"/>
      <c r="AN306" s="114"/>
      <c r="AO306" s="43"/>
      <c r="AP306" s="114"/>
      <c r="AQ306" s="43"/>
      <c r="AR306" s="114"/>
      <c r="AS306" s="43"/>
      <c r="AT306" s="115"/>
      <c r="AV306" s="115"/>
      <c r="AW306" s="43"/>
      <c r="AX306" s="54">
        <f t="shared" si="1"/>
        <v>2824.48</v>
      </c>
      <c r="AY306" s="52">
        <f t="shared" si="2"/>
        <v>254</v>
      </c>
      <c r="AZ306" s="52">
        <f t="shared" si="3"/>
        <v>0</v>
      </c>
      <c r="BA306" s="52">
        <f t="shared" si="4"/>
        <v>254</v>
      </c>
      <c r="BB306" s="49">
        <f t="shared" si="5"/>
        <v>11.12</v>
      </c>
    </row>
    <row r="307" ht="15.75" customHeight="1">
      <c r="A307" s="50" t="s">
        <v>50</v>
      </c>
      <c r="B307" s="51">
        <f t="shared" si="6"/>
        <v>45960</v>
      </c>
      <c r="C307" s="52">
        <v>11.0</v>
      </c>
      <c r="D307" s="52" t="s">
        <v>72</v>
      </c>
      <c r="E307" s="53"/>
      <c r="F307" s="41"/>
      <c r="H307" s="42"/>
      <c r="J307" s="42"/>
      <c r="L307" s="42"/>
      <c r="N307" s="42"/>
      <c r="P307" s="42"/>
      <c r="Q307" s="43"/>
      <c r="R307" s="41">
        <v>117.0</v>
      </c>
      <c r="T307" s="42">
        <v>122.0</v>
      </c>
      <c r="V307" s="42"/>
      <c r="X307" s="42"/>
      <c r="Z307" s="42"/>
      <c r="AB307" s="42"/>
      <c r="AC307" s="43"/>
      <c r="AD307" s="42"/>
      <c r="AF307" s="42"/>
      <c r="AH307" s="42"/>
      <c r="AJ307" s="41"/>
      <c r="AK307" s="43"/>
      <c r="AL307" s="46"/>
      <c r="AM307" s="43"/>
      <c r="AN307" s="114"/>
      <c r="AO307" s="43"/>
      <c r="AP307" s="114"/>
      <c r="AQ307" s="43"/>
      <c r="AR307" s="114"/>
      <c r="AS307" s="43"/>
      <c r="AT307" s="115"/>
      <c r="AV307" s="115"/>
      <c r="AW307" s="43"/>
      <c r="AX307" s="54">
        <f t="shared" si="1"/>
        <v>2657.68</v>
      </c>
      <c r="AY307" s="52">
        <f t="shared" si="2"/>
        <v>239</v>
      </c>
      <c r="AZ307" s="52">
        <f t="shared" si="3"/>
        <v>0</v>
      </c>
      <c r="BA307" s="52">
        <f t="shared" si="4"/>
        <v>239</v>
      </c>
      <c r="BB307" s="49">
        <f t="shared" si="5"/>
        <v>11.12</v>
      </c>
    </row>
    <row r="308" ht="15.75" customHeight="1">
      <c r="A308" s="50" t="s">
        <v>53</v>
      </c>
      <c r="B308" s="51">
        <f t="shared" si="6"/>
        <v>45961</v>
      </c>
      <c r="C308" s="52">
        <v>11.0</v>
      </c>
      <c r="D308" s="52" t="s">
        <v>72</v>
      </c>
      <c r="E308" s="53"/>
      <c r="F308" s="41"/>
      <c r="H308" s="42"/>
      <c r="J308" s="42"/>
      <c r="L308" s="42"/>
      <c r="N308" s="42"/>
      <c r="P308" s="42"/>
      <c r="Q308" s="43"/>
      <c r="R308" s="41"/>
      <c r="T308" s="42"/>
      <c r="V308" s="42"/>
      <c r="X308" s="42"/>
      <c r="Z308" s="42"/>
      <c r="AB308" s="42"/>
      <c r="AC308" s="43"/>
      <c r="AD308" s="42"/>
      <c r="AF308" s="42"/>
      <c r="AH308" s="42"/>
      <c r="AJ308" s="41"/>
      <c r="AK308" s="43"/>
      <c r="AL308" s="46"/>
      <c r="AM308" s="43"/>
      <c r="AN308" s="114"/>
      <c r="AO308" s="43"/>
      <c r="AP308" s="114"/>
      <c r="AQ308" s="43"/>
      <c r="AR308" s="114"/>
      <c r="AS308" s="43"/>
      <c r="AT308" s="115"/>
      <c r="AV308" s="115"/>
      <c r="AW308" s="43"/>
      <c r="AX308" s="54">
        <f t="shared" si="1"/>
        <v>0</v>
      </c>
      <c r="AY308" s="52">
        <f t="shared" si="2"/>
        <v>0</v>
      </c>
      <c r="AZ308" s="52">
        <f t="shared" si="3"/>
        <v>0</v>
      </c>
      <c r="BA308" s="52">
        <f t="shared" si="4"/>
        <v>0</v>
      </c>
      <c r="BB308" s="49" t="str">
        <f t="shared" si="5"/>
        <v/>
      </c>
    </row>
    <row r="309" ht="15.75" customHeight="1">
      <c r="A309" s="50" t="s">
        <v>54</v>
      </c>
      <c r="B309" s="51">
        <f t="shared" si="6"/>
        <v>45962</v>
      </c>
      <c r="C309" s="52">
        <v>11.0</v>
      </c>
      <c r="D309" s="52" t="s">
        <v>72</v>
      </c>
      <c r="E309" s="53"/>
      <c r="F309" s="41"/>
      <c r="H309" s="42"/>
      <c r="J309" s="42"/>
      <c r="L309" s="42"/>
      <c r="N309" s="42"/>
      <c r="P309" s="42"/>
      <c r="Q309" s="43"/>
      <c r="R309" s="41"/>
      <c r="T309" s="42"/>
      <c r="V309" s="42"/>
      <c r="X309" s="42"/>
      <c r="Z309" s="42"/>
      <c r="AB309" s="42"/>
      <c r="AC309" s="43"/>
      <c r="AD309" s="42"/>
      <c r="AF309" s="42"/>
      <c r="AH309" s="42"/>
      <c r="AJ309" s="41"/>
      <c r="AK309" s="43"/>
      <c r="AL309" s="46"/>
      <c r="AM309" s="43"/>
      <c r="AN309" s="114"/>
      <c r="AO309" s="43"/>
      <c r="AP309" s="114"/>
      <c r="AQ309" s="43"/>
      <c r="AR309" s="114"/>
      <c r="AS309" s="43"/>
      <c r="AT309" s="115"/>
      <c r="AV309" s="115"/>
      <c r="AW309" s="43"/>
      <c r="AX309" s="54">
        <f t="shared" si="1"/>
        <v>0</v>
      </c>
      <c r="AY309" s="52">
        <f t="shared" si="2"/>
        <v>0</v>
      </c>
      <c r="AZ309" s="52">
        <f t="shared" si="3"/>
        <v>0</v>
      </c>
      <c r="BA309" s="52">
        <f t="shared" si="4"/>
        <v>0</v>
      </c>
      <c r="BB309" s="49" t="str">
        <f t="shared" si="5"/>
        <v/>
      </c>
    </row>
    <row r="310" ht="15.75" customHeight="1">
      <c r="A310" s="59" t="s">
        <v>61</v>
      </c>
      <c r="B310" s="61">
        <f t="shared" si="6"/>
        <v>45963</v>
      </c>
      <c r="C310" s="63">
        <v>11.0</v>
      </c>
      <c r="D310" s="63" t="s">
        <v>72</v>
      </c>
      <c r="E310" s="64"/>
      <c r="F310" s="65"/>
      <c r="G310" s="66"/>
      <c r="H310" s="67"/>
      <c r="I310" s="66"/>
      <c r="J310" s="67"/>
      <c r="K310" s="66"/>
      <c r="L310" s="67"/>
      <c r="M310" s="66"/>
      <c r="N310" s="67"/>
      <c r="O310" s="66"/>
      <c r="P310" s="67"/>
      <c r="Q310" s="68"/>
      <c r="R310" s="65"/>
      <c r="S310" s="66"/>
      <c r="T310" s="67"/>
      <c r="U310" s="66"/>
      <c r="V310" s="67"/>
      <c r="W310" s="66"/>
      <c r="X310" s="67"/>
      <c r="Y310" s="66"/>
      <c r="Z310" s="67"/>
      <c r="AA310" s="66"/>
      <c r="AB310" s="67"/>
      <c r="AC310" s="68"/>
      <c r="AD310" s="67"/>
      <c r="AE310" s="66"/>
      <c r="AF310" s="67"/>
      <c r="AG310" s="66"/>
      <c r="AH310" s="67"/>
      <c r="AI310" s="66"/>
      <c r="AJ310" s="65"/>
      <c r="AK310" s="68"/>
      <c r="AL310" s="71"/>
      <c r="AM310" s="68"/>
      <c r="AN310" s="119"/>
      <c r="AO310" s="68"/>
      <c r="AP310" s="119"/>
      <c r="AQ310" s="68"/>
      <c r="AR310" s="119"/>
      <c r="AS310" s="68"/>
      <c r="AT310" s="120"/>
      <c r="AU310" s="66"/>
      <c r="AV310" s="120"/>
      <c r="AW310" s="68"/>
      <c r="AX310" s="73">
        <f t="shared" si="1"/>
        <v>0</v>
      </c>
      <c r="AY310" s="63">
        <f t="shared" si="2"/>
        <v>0</v>
      </c>
      <c r="AZ310" s="63">
        <f t="shared" si="3"/>
        <v>0</v>
      </c>
      <c r="BA310" s="63">
        <f t="shared" si="4"/>
        <v>0</v>
      </c>
      <c r="BB310" s="74" t="str">
        <f t="shared" si="5"/>
        <v/>
      </c>
    </row>
    <row r="311" ht="15.75" customHeight="1">
      <c r="A311" s="36" t="s">
        <v>46</v>
      </c>
      <c r="B311" s="75">
        <f t="shared" si="6"/>
        <v>45964</v>
      </c>
      <c r="C311" s="38">
        <v>12.0</v>
      </c>
      <c r="D311" s="38" t="s">
        <v>47</v>
      </c>
      <c r="E311" s="40"/>
      <c r="F311" s="41"/>
      <c r="H311" s="42"/>
      <c r="J311" s="42"/>
      <c r="L311" s="42"/>
      <c r="N311" s="42"/>
      <c r="P311" s="42"/>
      <c r="Q311" s="43"/>
      <c r="R311" s="41"/>
      <c r="T311" s="42"/>
      <c r="V311" s="42"/>
      <c r="X311" s="42"/>
      <c r="Z311" s="42"/>
      <c r="AB311" s="42"/>
      <c r="AC311" s="43"/>
      <c r="AD311" s="42"/>
      <c r="AF311" s="42"/>
      <c r="AH311" s="42"/>
      <c r="AJ311" s="41"/>
      <c r="AK311" s="43"/>
      <c r="AL311" s="46"/>
      <c r="AM311" s="43"/>
      <c r="AN311" s="114"/>
      <c r="AO311" s="43"/>
      <c r="AP311" s="114"/>
      <c r="AQ311" s="43"/>
      <c r="AR311" s="114"/>
      <c r="AS311" s="43"/>
      <c r="AT311" s="115"/>
      <c r="AV311" s="115"/>
      <c r="AW311" s="43"/>
      <c r="AX311" s="47">
        <f t="shared" si="1"/>
        <v>0</v>
      </c>
      <c r="AY311" s="38">
        <f t="shared" si="2"/>
        <v>0</v>
      </c>
      <c r="AZ311" s="38">
        <f t="shared" si="3"/>
        <v>0</v>
      </c>
      <c r="BA311" s="38">
        <f t="shared" si="4"/>
        <v>0</v>
      </c>
      <c r="BB311" s="76" t="str">
        <f t="shared" si="5"/>
        <v/>
      </c>
    </row>
    <row r="312" ht="15.75" customHeight="1">
      <c r="A312" s="50" t="s">
        <v>48</v>
      </c>
      <c r="B312" s="51">
        <f t="shared" si="6"/>
        <v>45965</v>
      </c>
      <c r="C312" s="52">
        <v>12.0</v>
      </c>
      <c r="D312" s="52" t="s">
        <v>47</v>
      </c>
      <c r="E312" s="53"/>
      <c r="F312" s="41"/>
      <c r="H312" s="42"/>
      <c r="J312" s="42"/>
      <c r="L312" s="42"/>
      <c r="N312" s="42"/>
      <c r="P312" s="42"/>
      <c r="Q312" s="43"/>
      <c r="R312" s="41"/>
      <c r="T312" s="42"/>
      <c r="V312" s="42"/>
      <c r="X312" s="42"/>
      <c r="Z312" s="42"/>
      <c r="AB312" s="42"/>
      <c r="AC312" s="43"/>
      <c r="AD312" s="42"/>
      <c r="AF312" s="42"/>
      <c r="AH312" s="42"/>
      <c r="AJ312" s="41"/>
      <c r="AK312" s="43"/>
      <c r="AL312" s="46"/>
      <c r="AM312" s="43"/>
      <c r="AN312" s="114"/>
      <c r="AO312" s="43"/>
      <c r="AP312" s="114"/>
      <c r="AQ312" s="43"/>
      <c r="AR312" s="114"/>
      <c r="AS312" s="43"/>
      <c r="AT312" s="115"/>
      <c r="AV312" s="115"/>
      <c r="AW312" s="43"/>
      <c r="AX312" s="54">
        <f t="shared" si="1"/>
        <v>0</v>
      </c>
      <c r="AY312" s="52">
        <f t="shared" si="2"/>
        <v>0</v>
      </c>
      <c r="AZ312" s="52">
        <f t="shared" si="3"/>
        <v>0</v>
      </c>
      <c r="BA312" s="52">
        <f t="shared" si="4"/>
        <v>0</v>
      </c>
      <c r="BB312" s="49" t="str">
        <f t="shared" si="5"/>
        <v/>
      </c>
    </row>
    <row r="313" ht="15.75" customHeight="1">
      <c r="A313" s="50" t="s">
        <v>49</v>
      </c>
      <c r="B313" s="51">
        <f t="shared" si="6"/>
        <v>45966</v>
      </c>
      <c r="C313" s="52">
        <v>12.0</v>
      </c>
      <c r="D313" s="52" t="s">
        <v>47</v>
      </c>
      <c r="E313" s="53"/>
      <c r="F313" s="41"/>
      <c r="H313" s="42"/>
      <c r="J313" s="42"/>
      <c r="L313" s="42"/>
      <c r="N313" s="42"/>
      <c r="P313" s="42"/>
      <c r="Q313" s="43"/>
      <c r="R313" s="41"/>
      <c r="T313" s="42"/>
      <c r="V313" s="42"/>
      <c r="X313" s="42"/>
      <c r="Z313" s="42"/>
      <c r="AB313" s="42"/>
      <c r="AC313" s="43"/>
      <c r="AD313" s="42"/>
      <c r="AF313" s="42"/>
      <c r="AH313" s="42"/>
      <c r="AJ313" s="41"/>
      <c r="AK313" s="43"/>
      <c r="AL313" s="46"/>
      <c r="AM313" s="43"/>
      <c r="AN313" s="114"/>
      <c r="AO313" s="43"/>
      <c r="AP313" s="114"/>
      <c r="AQ313" s="43"/>
      <c r="AR313" s="114"/>
      <c r="AS313" s="43"/>
      <c r="AT313" s="115"/>
      <c r="AV313" s="115"/>
      <c r="AW313" s="43"/>
      <c r="AX313" s="54">
        <f t="shared" si="1"/>
        <v>0</v>
      </c>
      <c r="AY313" s="52">
        <f t="shared" si="2"/>
        <v>0</v>
      </c>
      <c r="AZ313" s="52">
        <f t="shared" si="3"/>
        <v>0</v>
      </c>
      <c r="BA313" s="52">
        <f t="shared" si="4"/>
        <v>0</v>
      </c>
      <c r="BB313" s="49" t="str">
        <f t="shared" si="5"/>
        <v/>
      </c>
    </row>
    <row r="314" ht="15.75" customHeight="1">
      <c r="A314" s="50" t="s">
        <v>50</v>
      </c>
      <c r="B314" s="51">
        <f t="shared" si="6"/>
        <v>45967</v>
      </c>
      <c r="C314" s="52">
        <v>12.0</v>
      </c>
      <c r="D314" s="52" t="s">
        <v>47</v>
      </c>
      <c r="E314" s="53"/>
      <c r="F314" s="41"/>
      <c r="H314" s="42"/>
      <c r="J314" s="42"/>
      <c r="L314" s="42"/>
      <c r="N314" s="42"/>
      <c r="P314" s="42"/>
      <c r="Q314" s="43"/>
      <c r="R314" s="41"/>
      <c r="T314" s="42"/>
      <c r="V314" s="42"/>
      <c r="X314" s="42"/>
      <c r="Z314" s="42"/>
      <c r="AB314" s="42"/>
      <c r="AC314" s="43"/>
      <c r="AD314" s="42"/>
      <c r="AF314" s="42"/>
      <c r="AH314" s="42"/>
      <c r="AJ314" s="41"/>
      <c r="AK314" s="43"/>
      <c r="AL314" s="46"/>
      <c r="AM314" s="43"/>
      <c r="AN314" s="114"/>
      <c r="AO314" s="43"/>
      <c r="AP314" s="114"/>
      <c r="AQ314" s="43"/>
      <c r="AR314" s="114"/>
      <c r="AS314" s="43"/>
      <c r="AT314" s="115"/>
      <c r="AV314" s="115"/>
      <c r="AW314" s="43"/>
      <c r="AX314" s="54">
        <f t="shared" si="1"/>
        <v>0</v>
      </c>
      <c r="AY314" s="52">
        <f t="shared" si="2"/>
        <v>0</v>
      </c>
      <c r="AZ314" s="52">
        <f t="shared" si="3"/>
        <v>0</v>
      </c>
      <c r="BA314" s="52">
        <f t="shared" si="4"/>
        <v>0</v>
      </c>
      <c r="BB314" s="49" t="str">
        <f t="shared" si="5"/>
        <v/>
      </c>
    </row>
    <row r="315" ht="15.75" customHeight="1">
      <c r="A315" s="50" t="s">
        <v>53</v>
      </c>
      <c r="B315" s="51">
        <f t="shared" si="6"/>
        <v>45968</v>
      </c>
      <c r="C315" s="52">
        <v>12.0</v>
      </c>
      <c r="D315" s="52" t="s">
        <v>47</v>
      </c>
      <c r="E315" s="53"/>
      <c r="F315" s="41"/>
      <c r="H315" s="42"/>
      <c r="J315" s="42"/>
      <c r="L315" s="42"/>
      <c r="N315" s="42"/>
      <c r="P315" s="42"/>
      <c r="Q315" s="43"/>
      <c r="R315" s="41"/>
      <c r="T315" s="42"/>
      <c r="V315" s="42"/>
      <c r="X315" s="42"/>
      <c r="Z315" s="42"/>
      <c r="AB315" s="42"/>
      <c r="AC315" s="43"/>
      <c r="AD315" s="42"/>
      <c r="AF315" s="42"/>
      <c r="AH315" s="42"/>
      <c r="AJ315" s="41"/>
      <c r="AK315" s="43"/>
      <c r="AL315" s="46"/>
      <c r="AM315" s="43"/>
      <c r="AN315" s="114"/>
      <c r="AO315" s="43"/>
      <c r="AP315" s="114"/>
      <c r="AQ315" s="43"/>
      <c r="AR315" s="114"/>
      <c r="AS315" s="43"/>
      <c r="AT315" s="115"/>
      <c r="AV315" s="115"/>
      <c r="AW315" s="43"/>
      <c r="AX315" s="54">
        <f t="shared" si="1"/>
        <v>0</v>
      </c>
      <c r="AY315" s="52">
        <f t="shared" si="2"/>
        <v>0</v>
      </c>
      <c r="AZ315" s="52">
        <f t="shared" si="3"/>
        <v>0</v>
      </c>
      <c r="BA315" s="52">
        <f t="shared" si="4"/>
        <v>0</v>
      </c>
      <c r="BB315" s="49" t="str">
        <f t="shared" si="5"/>
        <v/>
      </c>
    </row>
    <row r="316" ht="15.75" customHeight="1">
      <c r="A316" s="50" t="s">
        <v>54</v>
      </c>
      <c r="B316" s="51">
        <f t="shared" si="6"/>
        <v>45969</v>
      </c>
      <c r="C316" s="52">
        <v>12.0</v>
      </c>
      <c r="D316" s="52" t="s">
        <v>47</v>
      </c>
      <c r="E316" s="53"/>
      <c r="F316" s="41"/>
      <c r="H316" s="42"/>
      <c r="J316" s="42"/>
      <c r="L316" s="42"/>
      <c r="N316" s="42"/>
      <c r="P316" s="42"/>
      <c r="Q316" s="43"/>
      <c r="R316" s="41"/>
      <c r="T316" s="42"/>
      <c r="V316" s="42"/>
      <c r="X316" s="42"/>
      <c r="Z316" s="42"/>
      <c r="AB316" s="42"/>
      <c r="AC316" s="43"/>
      <c r="AD316" s="42"/>
      <c r="AF316" s="42"/>
      <c r="AH316" s="42"/>
      <c r="AJ316" s="41"/>
      <c r="AK316" s="43"/>
      <c r="AL316" s="46"/>
      <c r="AM316" s="43"/>
      <c r="AN316" s="114"/>
      <c r="AO316" s="43"/>
      <c r="AP316" s="114"/>
      <c r="AQ316" s="43"/>
      <c r="AR316" s="114"/>
      <c r="AS316" s="43"/>
      <c r="AT316" s="115"/>
      <c r="AV316" s="115"/>
      <c r="AW316" s="43"/>
      <c r="AX316" s="54">
        <f t="shared" si="1"/>
        <v>0</v>
      </c>
      <c r="AY316" s="52">
        <f t="shared" si="2"/>
        <v>0</v>
      </c>
      <c r="AZ316" s="52">
        <f t="shared" si="3"/>
        <v>0</v>
      </c>
      <c r="BA316" s="52">
        <f t="shared" si="4"/>
        <v>0</v>
      </c>
      <c r="BB316" s="49" t="str">
        <f t="shared" si="5"/>
        <v/>
      </c>
    </row>
    <row r="317" ht="15.75" customHeight="1">
      <c r="A317" s="59" t="s">
        <v>61</v>
      </c>
      <c r="B317" s="61">
        <f t="shared" si="6"/>
        <v>45970</v>
      </c>
      <c r="C317" s="63">
        <v>12.0</v>
      </c>
      <c r="D317" s="63" t="s">
        <v>47</v>
      </c>
      <c r="E317" s="64"/>
      <c r="F317" s="65"/>
      <c r="G317" s="66"/>
      <c r="H317" s="67"/>
      <c r="I317" s="66"/>
      <c r="J317" s="67"/>
      <c r="K317" s="66"/>
      <c r="L317" s="67"/>
      <c r="M317" s="66"/>
      <c r="N317" s="67"/>
      <c r="O317" s="66"/>
      <c r="P317" s="67"/>
      <c r="Q317" s="68"/>
      <c r="R317" s="65"/>
      <c r="S317" s="66"/>
      <c r="T317" s="67"/>
      <c r="U317" s="66"/>
      <c r="V317" s="67"/>
      <c r="W317" s="66"/>
      <c r="X317" s="67"/>
      <c r="Y317" s="66"/>
      <c r="Z317" s="67"/>
      <c r="AA317" s="66"/>
      <c r="AB317" s="67"/>
      <c r="AC317" s="68"/>
      <c r="AD317" s="67"/>
      <c r="AE317" s="66"/>
      <c r="AF317" s="67"/>
      <c r="AG317" s="66"/>
      <c r="AH317" s="67"/>
      <c r="AI317" s="66"/>
      <c r="AJ317" s="65"/>
      <c r="AK317" s="68"/>
      <c r="AL317" s="71"/>
      <c r="AM317" s="68"/>
      <c r="AN317" s="119"/>
      <c r="AO317" s="68"/>
      <c r="AP317" s="119"/>
      <c r="AQ317" s="68"/>
      <c r="AR317" s="119"/>
      <c r="AS317" s="68"/>
      <c r="AT317" s="120"/>
      <c r="AU317" s="66"/>
      <c r="AV317" s="120"/>
      <c r="AW317" s="68"/>
      <c r="AX317" s="73">
        <f t="shared" si="1"/>
        <v>0</v>
      </c>
      <c r="AY317" s="63">
        <f t="shared" si="2"/>
        <v>0</v>
      </c>
      <c r="AZ317" s="63">
        <f t="shared" si="3"/>
        <v>0</v>
      </c>
      <c r="BA317" s="63">
        <f t="shared" si="4"/>
        <v>0</v>
      </c>
      <c r="BB317" s="74" t="str">
        <f t="shared" si="5"/>
        <v/>
      </c>
    </row>
    <row r="318" ht="15.75" customHeight="1">
      <c r="A318" s="36" t="s">
        <v>46</v>
      </c>
      <c r="B318" s="75">
        <f t="shared" si="6"/>
        <v>45971</v>
      </c>
      <c r="C318" s="38">
        <v>12.0</v>
      </c>
      <c r="D318" s="38" t="s">
        <v>65</v>
      </c>
      <c r="E318" s="40"/>
      <c r="F318" s="41"/>
      <c r="H318" s="42"/>
      <c r="J318" s="42"/>
      <c r="L318" s="42"/>
      <c r="N318" s="42"/>
      <c r="P318" s="42"/>
      <c r="Q318" s="43"/>
      <c r="R318" s="41"/>
      <c r="T318" s="42"/>
      <c r="V318" s="42"/>
      <c r="X318" s="42"/>
      <c r="Z318" s="42"/>
      <c r="AB318" s="42"/>
      <c r="AC318" s="43"/>
      <c r="AD318" s="42"/>
      <c r="AF318" s="42"/>
      <c r="AH318" s="42"/>
      <c r="AJ318" s="41"/>
      <c r="AK318" s="43"/>
      <c r="AL318" s="46"/>
      <c r="AM318" s="43"/>
      <c r="AN318" s="114"/>
      <c r="AO318" s="43"/>
      <c r="AP318" s="114"/>
      <c r="AQ318" s="43"/>
      <c r="AR318" s="114"/>
      <c r="AS318" s="43"/>
      <c r="AT318" s="115"/>
      <c r="AV318" s="115"/>
      <c r="AW318" s="43"/>
      <c r="AX318" s="47">
        <f t="shared" si="1"/>
        <v>0</v>
      </c>
      <c r="AY318" s="38">
        <f t="shared" si="2"/>
        <v>0</v>
      </c>
      <c r="AZ318" s="38">
        <f t="shared" si="3"/>
        <v>0</v>
      </c>
      <c r="BA318" s="38">
        <f t="shared" si="4"/>
        <v>0</v>
      </c>
      <c r="BB318" s="76" t="str">
        <f t="shared" si="5"/>
        <v/>
      </c>
    </row>
    <row r="319" ht="15.75" customHeight="1">
      <c r="A319" s="50" t="s">
        <v>48</v>
      </c>
      <c r="B319" s="51">
        <f t="shared" si="6"/>
        <v>45972</v>
      </c>
      <c r="C319" s="52">
        <v>12.0</v>
      </c>
      <c r="D319" s="52" t="s">
        <v>65</v>
      </c>
      <c r="E319" s="53"/>
      <c r="F319" s="41"/>
      <c r="H319" s="42"/>
      <c r="J319" s="42"/>
      <c r="L319" s="42"/>
      <c r="N319" s="42"/>
      <c r="P319" s="42"/>
      <c r="Q319" s="43"/>
      <c r="R319" s="41"/>
      <c r="T319" s="42"/>
      <c r="V319" s="42"/>
      <c r="X319" s="42"/>
      <c r="Z319" s="42"/>
      <c r="AB319" s="42"/>
      <c r="AC319" s="43"/>
      <c r="AD319" s="42"/>
      <c r="AF319" s="42"/>
      <c r="AH319" s="42"/>
      <c r="AJ319" s="41"/>
      <c r="AK319" s="43"/>
      <c r="AL319" s="46"/>
      <c r="AM319" s="43"/>
      <c r="AN319" s="114"/>
      <c r="AO319" s="43"/>
      <c r="AP319" s="114"/>
      <c r="AQ319" s="43"/>
      <c r="AR319" s="114"/>
      <c r="AS319" s="43"/>
      <c r="AT319" s="115"/>
      <c r="AV319" s="115"/>
      <c r="AW319" s="43"/>
      <c r="AX319" s="54">
        <f t="shared" si="1"/>
        <v>0</v>
      </c>
      <c r="AY319" s="52">
        <f t="shared" si="2"/>
        <v>0</v>
      </c>
      <c r="AZ319" s="52">
        <f t="shared" si="3"/>
        <v>0</v>
      </c>
      <c r="BA319" s="52">
        <f t="shared" si="4"/>
        <v>0</v>
      </c>
      <c r="BB319" s="49" t="str">
        <f t="shared" si="5"/>
        <v/>
      </c>
    </row>
    <row r="320" ht="15.75" customHeight="1">
      <c r="A320" s="50" t="s">
        <v>49</v>
      </c>
      <c r="B320" s="51">
        <f t="shared" si="6"/>
        <v>45973</v>
      </c>
      <c r="C320" s="52">
        <v>12.0</v>
      </c>
      <c r="D320" s="52" t="s">
        <v>65</v>
      </c>
      <c r="E320" s="53"/>
      <c r="F320" s="41"/>
      <c r="H320" s="42"/>
      <c r="J320" s="42"/>
      <c r="L320" s="42"/>
      <c r="N320" s="42"/>
      <c r="P320" s="42"/>
      <c r="Q320" s="43"/>
      <c r="R320" s="41"/>
      <c r="T320" s="42"/>
      <c r="V320" s="42"/>
      <c r="X320" s="42"/>
      <c r="Z320" s="42"/>
      <c r="AB320" s="42"/>
      <c r="AC320" s="43"/>
      <c r="AD320" s="42"/>
      <c r="AF320" s="42"/>
      <c r="AH320" s="42"/>
      <c r="AJ320" s="41"/>
      <c r="AK320" s="43"/>
      <c r="AL320" s="46"/>
      <c r="AM320" s="43"/>
      <c r="AN320" s="114"/>
      <c r="AO320" s="43"/>
      <c r="AP320" s="114"/>
      <c r="AQ320" s="43"/>
      <c r="AR320" s="114"/>
      <c r="AS320" s="43"/>
      <c r="AT320" s="115"/>
      <c r="AV320" s="115"/>
      <c r="AW320" s="43"/>
      <c r="AX320" s="54">
        <f t="shared" si="1"/>
        <v>0</v>
      </c>
      <c r="AY320" s="52">
        <f t="shared" si="2"/>
        <v>0</v>
      </c>
      <c r="AZ320" s="52">
        <f t="shared" si="3"/>
        <v>0</v>
      </c>
      <c r="BA320" s="52">
        <f t="shared" si="4"/>
        <v>0</v>
      </c>
      <c r="BB320" s="49" t="str">
        <f t="shared" si="5"/>
        <v/>
      </c>
    </row>
    <row r="321" ht="15.75" customHeight="1">
      <c r="A321" s="50" t="s">
        <v>50</v>
      </c>
      <c r="B321" s="51">
        <f t="shared" si="6"/>
        <v>45974</v>
      </c>
      <c r="C321" s="52">
        <v>12.0</v>
      </c>
      <c r="D321" s="52" t="s">
        <v>65</v>
      </c>
      <c r="E321" s="53"/>
      <c r="F321" s="41"/>
      <c r="H321" s="42"/>
      <c r="J321" s="42"/>
      <c r="L321" s="42"/>
      <c r="N321" s="42"/>
      <c r="P321" s="42"/>
      <c r="Q321" s="43"/>
      <c r="R321" s="41"/>
      <c r="T321" s="42"/>
      <c r="V321" s="42"/>
      <c r="X321" s="42"/>
      <c r="Z321" s="42"/>
      <c r="AB321" s="42"/>
      <c r="AC321" s="43"/>
      <c r="AD321" s="42"/>
      <c r="AF321" s="42"/>
      <c r="AH321" s="42"/>
      <c r="AJ321" s="41"/>
      <c r="AK321" s="43"/>
      <c r="AL321" s="46"/>
      <c r="AM321" s="43"/>
      <c r="AN321" s="114"/>
      <c r="AO321" s="43"/>
      <c r="AP321" s="114"/>
      <c r="AQ321" s="43"/>
      <c r="AR321" s="114"/>
      <c r="AS321" s="43"/>
      <c r="AT321" s="115"/>
      <c r="AV321" s="115"/>
      <c r="AW321" s="43"/>
      <c r="AX321" s="54">
        <f t="shared" si="1"/>
        <v>0</v>
      </c>
      <c r="AY321" s="52">
        <f t="shared" si="2"/>
        <v>0</v>
      </c>
      <c r="AZ321" s="52">
        <f t="shared" si="3"/>
        <v>0</v>
      </c>
      <c r="BA321" s="52">
        <f t="shared" si="4"/>
        <v>0</v>
      </c>
      <c r="BB321" s="49" t="str">
        <f t="shared" si="5"/>
        <v/>
      </c>
    </row>
    <row r="322" ht="15.75" customHeight="1">
      <c r="A322" s="50" t="s">
        <v>53</v>
      </c>
      <c r="B322" s="51">
        <f t="shared" si="6"/>
        <v>45975</v>
      </c>
      <c r="C322" s="52">
        <v>12.0</v>
      </c>
      <c r="D322" s="52" t="s">
        <v>65</v>
      </c>
      <c r="E322" s="53"/>
      <c r="F322" s="41"/>
      <c r="H322" s="42"/>
      <c r="J322" s="42"/>
      <c r="L322" s="42"/>
      <c r="N322" s="42"/>
      <c r="P322" s="42"/>
      <c r="Q322" s="43"/>
      <c r="R322" s="41"/>
      <c r="T322" s="42"/>
      <c r="V322" s="42"/>
      <c r="X322" s="42"/>
      <c r="Z322" s="42"/>
      <c r="AB322" s="42"/>
      <c r="AC322" s="43"/>
      <c r="AD322" s="42"/>
      <c r="AF322" s="42"/>
      <c r="AH322" s="42"/>
      <c r="AJ322" s="41"/>
      <c r="AK322" s="43"/>
      <c r="AL322" s="46"/>
      <c r="AM322" s="43"/>
      <c r="AN322" s="114"/>
      <c r="AO322" s="43"/>
      <c r="AP322" s="114"/>
      <c r="AQ322" s="43"/>
      <c r="AR322" s="114"/>
      <c r="AS322" s="43"/>
      <c r="AT322" s="115"/>
      <c r="AV322" s="115"/>
      <c r="AW322" s="43"/>
      <c r="AX322" s="54">
        <f t="shared" si="1"/>
        <v>0</v>
      </c>
      <c r="AY322" s="52">
        <f t="shared" si="2"/>
        <v>0</v>
      </c>
      <c r="AZ322" s="52">
        <f t="shared" si="3"/>
        <v>0</v>
      </c>
      <c r="BA322" s="52">
        <f t="shared" si="4"/>
        <v>0</v>
      </c>
      <c r="BB322" s="49" t="str">
        <f t="shared" si="5"/>
        <v/>
      </c>
    </row>
    <row r="323" ht="15.75" customHeight="1">
      <c r="A323" s="50" t="s">
        <v>54</v>
      </c>
      <c r="B323" s="51">
        <f t="shared" si="6"/>
        <v>45976</v>
      </c>
      <c r="C323" s="52">
        <v>12.0</v>
      </c>
      <c r="D323" s="52" t="s">
        <v>65</v>
      </c>
      <c r="E323" s="53"/>
      <c r="F323" s="41"/>
      <c r="H323" s="42"/>
      <c r="J323" s="42"/>
      <c r="L323" s="42"/>
      <c r="N323" s="42"/>
      <c r="P323" s="42"/>
      <c r="Q323" s="43"/>
      <c r="R323" s="41"/>
      <c r="T323" s="42"/>
      <c r="V323" s="42"/>
      <c r="X323" s="42"/>
      <c r="Z323" s="42"/>
      <c r="AB323" s="42"/>
      <c r="AC323" s="43"/>
      <c r="AD323" s="42"/>
      <c r="AF323" s="42"/>
      <c r="AH323" s="42"/>
      <c r="AJ323" s="41"/>
      <c r="AK323" s="43"/>
      <c r="AL323" s="46"/>
      <c r="AM323" s="43"/>
      <c r="AN323" s="114"/>
      <c r="AO323" s="43"/>
      <c r="AP323" s="114"/>
      <c r="AQ323" s="43"/>
      <c r="AR323" s="114"/>
      <c r="AS323" s="43"/>
      <c r="AT323" s="115"/>
      <c r="AV323" s="115"/>
      <c r="AW323" s="43"/>
      <c r="AX323" s="54">
        <f t="shared" si="1"/>
        <v>0</v>
      </c>
      <c r="AY323" s="52">
        <f t="shared" si="2"/>
        <v>0</v>
      </c>
      <c r="AZ323" s="52">
        <f t="shared" si="3"/>
        <v>0</v>
      </c>
      <c r="BA323" s="52">
        <f t="shared" si="4"/>
        <v>0</v>
      </c>
      <c r="BB323" s="49" t="str">
        <f t="shared" si="5"/>
        <v/>
      </c>
    </row>
    <row r="324" ht="15.75" customHeight="1">
      <c r="A324" s="59" t="s">
        <v>61</v>
      </c>
      <c r="B324" s="61">
        <f t="shared" si="6"/>
        <v>45977</v>
      </c>
      <c r="C324" s="63">
        <v>12.0</v>
      </c>
      <c r="D324" s="63" t="s">
        <v>65</v>
      </c>
      <c r="E324" s="64"/>
      <c r="F324" s="65"/>
      <c r="G324" s="66"/>
      <c r="H324" s="67"/>
      <c r="I324" s="66"/>
      <c r="J324" s="67"/>
      <c r="K324" s="66"/>
      <c r="L324" s="67"/>
      <c r="M324" s="66"/>
      <c r="N324" s="67"/>
      <c r="O324" s="66"/>
      <c r="P324" s="67"/>
      <c r="Q324" s="68"/>
      <c r="R324" s="65"/>
      <c r="S324" s="66"/>
      <c r="T324" s="67"/>
      <c r="U324" s="66"/>
      <c r="V324" s="67"/>
      <c r="W324" s="66"/>
      <c r="X324" s="67"/>
      <c r="Y324" s="66"/>
      <c r="Z324" s="67"/>
      <c r="AA324" s="66"/>
      <c r="AB324" s="67"/>
      <c r="AC324" s="68"/>
      <c r="AD324" s="67"/>
      <c r="AE324" s="66"/>
      <c r="AF324" s="67"/>
      <c r="AG324" s="66"/>
      <c r="AH324" s="67"/>
      <c r="AI324" s="66"/>
      <c r="AJ324" s="65"/>
      <c r="AK324" s="68"/>
      <c r="AL324" s="71"/>
      <c r="AM324" s="68"/>
      <c r="AN324" s="119"/>
      <c r="AO324" s="68"/>
      <c r="AP324" s="119"/>
      <c r="AQ324" s="68"/>
      <c r="AR324" s="119"/>
      <c r="AS324" s="68"/>
      <c r="AT324" s="120"/>
      <c r="AU324" s="66"/>
      <c r="AV324" s="120"/>
      <c r="AW324" s="68"/>
      <c r="AX324" s="73">
        <f t="shared" si="1"/>
        <v>0</v>
      </c>
      <c r="AY324" s="63">
        <f t="shared" si="2"/>
        <v>0</v>
      </c>
      <c r="AZ324" s="63">
        <f t="shared" si="3"/>
        <v>0</v>
      </c>
      <c r="BA324" s="63">
        <f t="shared" si="4"/>
        <v>0</v>
      </c>
      <c r="BB324" s="74" t="str">
        <f t="shared" si="5"/>
        <v/>
      </c>
    </row>
    <row r="325" ht="15.75" customHeight="1">
      <c r="A325" s="36" t="s">
        <v>46</v>
      </c>
      <c r="B325" s="75">
        <f t="shared" si="6"/>
        <v>45978</v>
      </c>
      <c r="C325" s="38">
        <v>12.0</v>
      </c>
      <c r="D325" s="38" t="s">
        <v>69</v>
      </c>
      <c r="E325" s="40"/>
      <c r="F325" s="41"/>
      <c r="H325" s="42"/>
      <c r="J325" s="42"/>
      <c r="L325" s="42"/>
      <c r="N325" s="42"/>
      <c r="P325" s="42"/>
      <c r="Q325" s="43"/>
      <c r="R325" s="41"/>
      <c r="T325" s="42"/>
      <c r="V325" s="42"/>
      <c r="X325" s="42"/>
      <c r="Z325" s="42"/>
      <c r="AB325" s="42"/>
      <c r="AC325" s="43"/>
      <c r="AD325" s="42"/>
      <c r="AF325" s="42"/>
      <c r="AH325" s="42"/>
      <c r="AJ325" s="41"/>
      <c r="AK325" s="43"/>
      <c r="AL325" s="46"/>
      <c r="AM325" s="43"/>
      <c r="AN325" s="114"/>
      <c r="AO325" s="43"/>
      <c r="AP325" s="114"/>
      <c r="AQ325" s="43"/>
      <c r="AR325" s="114"/>
      <c r="AS325" s="43"/>
      <c r="AT325" s="115"/>
      <c r="AV325" s="115"/>
      <c r="AW325" s="43"/>
      <c r="AX325" s="47">
        <f t="shared" si="1"/>
        <v>0</v>
      </c>
      <c r="AY325" s="38">
        <f t="shared" si="2"/>
        <v>0</v>
      </c>
      <c r="AZ325" s="38">
        <f t="shared" si="3"/>
        <v>0</v>
      </c>
      <c r="BA325" s="38">
        <f t="shared" si="4"/>
        <v>0</v>
      </c>
      <c r="BB325" s="76" t="str">
        <f t="shared" si="5"/>
        <v/>
      </c>
    </row>
    <row r="326" ht="15.75" customHeight="1">
      <c r="A326" s="50" t="s">
        <v>48</v>
      </c>
      <c r="B326" s="51">
        <f t="shared" si="6"/>
        <v>45979</v>
      </c>
      <c r="C326" s="52">
        <v>12.0</v>
      </c>
      <c r="D326" s="52" t="s">
        <v>69</v>
      </c>
      <c r="E326" s="53"/>
      <c r="F326" s="41"/>
      <c r="H326" s="42"/>
      <c r="J326" s="42"/>
      <c r="L326" s="42"/>
      <c r="N326" s="42"/>
      <c r="P326" s="42"/>
      <c r="Q326" s="43"/>
      <c r="R326" s="41"/>
      <c r="T326" s="42"/>
      <c r="V326" s="42"/>
      <c r="X326" s="42"/>
      <c r="Z326" s="42"/>
      <c r="AB326" s="42"/>
      <c r="AC326" s="43"/>
      <c r="AD326" s="42"/>
      <c r="AF326" s="42"/>
      <c r="AH326" s="42"/>
      <c r="AJ326" s="41"/>
      <c r="AK326" s="43"/>
      <c r="AL326" s="46"/>
      <c r="AM326" s="43"/>
      <c r="AN326" s="114"/>
      <c r="AO326" s="43"/>
      <c r="AP326" s="114"/>
      <c r="AQ326" s="43"/>
      <c r="AR326" s="114"/>
      <c r="AS326" s="43"/>
      <c r="AT326" s="115"/>
      <c r="AV326" s="115"/>
      <c r="AW326" s="43"/>
      <c r="AX326" s="54">
        <f t="shared" si="1"/>
        <v>0</v>
      </c>
      <c r="AY326" s="52">
        <f t="shared" si="2"/>
        <v>0</v>
      </c>
      <c r="AZ326" s="52">
        <f t="shared" si="3"/>
        <v>0</v>
      </c>
      <c r="BA326" s="52">
        <f t="shared" si="4"/>
        <v>0</v>
      </c>
      <c r="BB326" s="49" t="str">
        <f t="shared" si="5"/>
        <v/>
      </c>
    </row>
    <row r="327" ht="15.75" customHeight="1">
      <c r="A327" s="50" t="s">
        <v>49</v>
      </c>
      <c r="B327" s="51">
        <f t="shared" si="6"/>
        <v>45980</v>
      </c>
      <c r="C327" s="52">
        <v>12.0</v>
      </c>
      <c r="D327" s="52" t="s">
        <v>69</v>
      </c>
      <c r="E327" s="53"/>
      <c r="F327" s="41"/>
      <c r="H327" s="42"/>
      <c r="J327" s="42"/>
      <c r="L327" s="42"/>
      <c r="N327" s="42"/>
      <c r="P327" s="42"/>
      <c r="Q327" s="43"/>
      <c r="R327" s="41"/>
      <c r="T327" s="42"/>
      <c r="V327" s="42"/>
      <c r="X327" s="42"/>
      <c r="Z327" s="42"/>
      <c r="AB327" s="42"/>
      <c r="AC327" s="43"/>
      <c r="AD327" s="42"/>
      <c r="AF327" s="42"/>
      <c r="AH327" s="42"/>
      <c r="AJ327" s="41"/>
      <c r="AK327" s="43"/>
      <c r="AL327" s="46"/>
      <c r="AM327" s="43"/>
      <c r="AN327" s="114"/>
      <c r="AO327" s="43"/>
      <c r="AP327" s="114"/>
      <c r="AQ327" s="43"/>
      <c r="AR327" s="114"/>
      <c r="AS327" s="43"/>
      <c r="AT327" s="115"/>
      <c r="AV327" s="115"/>
      <c r="AW327" s="43"/>
      <c r="AX327" s="54">
        <f t="shared" si="1"/>
        <v>0</v>
      </c>
      <c r="AY327" s="52">
        <f t="shared" si="2"/>
        <v>0</v>
      </c>
      <c r="AZ327" s="52">
        <f t="shared" si="3"/>
        <v>0</v>
      </c>
      <c r="BA327" s="52">
        <f t="shared" si="4"/>
        <v>0</v>
      </c>
      <c r="BB327" s="49" t="str">
        <f t="shared" si="5"/>
        <v/>
      </c>
    </row>
    <row r="328" ht="15.75" customHeight="1">
      <c r="A328" s="50" t="s">
        <v>50</v>
      </c>
      <c r="B328" s="51">
        <f t="shared" si="6"/>
        <v>45981</v>
      </c>
      <c r="C328" s="52">
        <v>12.0</v>
      </c>
      <c r="D328" s="52" t="s">
        <v>69</v>
      </c>
      <c r="E328" s="53"/>
      <c r="F328" s="41"/>
      <c r="H328" s="42"/>
      <c r="J328" s="42"/>
      <c r="L328" s="42"/>
      <c r="N328" s="42"/>
      <c r="P328" s="42"/>
      <c r="Q328" s="43"/>
      <c r="R328" s="41"/>
      <c r="T328" s="42"/>
      <c r="V328" s="42"/>
      <c r="X328" s="42"/>
      <c r="Z328" s="42"/>
      <c r="AB328" s="42"/>
      <c r="AC328" s="43"/>
      <c r="AD328" s="42"/>
      <c r="AF328" s="42"/>
      <c r="AH328" s="42"/>
      <c r="AJ328" s="41"/>
      <c r="AK328" s="43"/>
      <c r="AL328" s="46"/>
      <c r="AM328" s="43"/>
      <c r="AN328" s="114"/>
      <c r="AO328" s="43"/>
      <c r="AP328" s="114"/>
      <c r="AQ328" s="43"/>
      <c r="AR328" s="114"/>
      <c r="AS328" s="43"/>
      <c r="AT328" s="115"/>
      <c r="AV328" s="115"/>
      <c r="AW328" s="43"/>
      <c r="AX328" s="54">
        <f t="shared" si="1"/>
        <v>0</v>
      </c>
      <c r="AY328" s="52">
        <f t="shared" si="2"/>
        <v>0</v>
      </c>
      <c r="AZ328" s="52">
        <f t="shared" si="3"/>
        <v>0</v>
      </c>
      <c r="BA328" s="52">
        <f t="shared" si="4"/>
        <v>0</v>
      </c>
      <c r="BB328" s="49" t="str">
        <f t="shared" si="5"/>
        <v/>
      </c>
    </row>
    <row r="329" ht="15.75" customHeight="1">
      <c r="A329" s="50" t="s">
        <v>53</v>
      </c>
      <c r="B329" s="51">
        <f t="shared" si="6"/>
        <v>45982</v>
      </c>
      <c r="C329" s="52">
        <v>12.0</v>
      </c>
      <c r="D329" s="52" t="s">
        <v>69</v>
      </c>
      <c r="E329" s="53"/>
      <c r="F329" s="41"/>
      <c r="H329" s="42"/>
      <c r="J329" s="42"/>
      <c r="L329" s="42"/>
      <c r="N329" s="42"/>
      <c r="P329" s="42"/>
      <c r="Q329" s="43"/>
      <c r="R329" s="41"/>
      <c r="T329" s="42"/>
      <c r="V329" s="42"/>
      <c r="X329" s="42"/>
      <c r="Z329" s="42"/>
      <c r="AB329" s="42"/>
      <c r="AC329" s="43"/>
      <c r="AD329" s="42"/>
      <c r="AF329" s="42"/>
      <c r="AH329" s="42"/>
      <c r="AJ329" s="41"/>
      <c r="AK329" s="43"/>
      <c r="AL329" s="46"/>
      <c r="AM329" s="43"/>
      <c r="AN329" s="114"/>
      <c r="AO329" s="43"/>
      <c r="AP329" s="114"/>
      <c r="AQ329" s="43"/>
      <c r="AR329" s="114"/>
      <c r="AS329" s="43"/>
      <c r="AT329" s="115"/>
      <c r="AV329" s="115"/>
      <c r="AW329" s="43"/>
      <c r="AX329" s="54">
        <f t="shared" si="1"/>
        <v>0</v>
      </c>
      <c r="AY329" s="52">
        <f t="shared" si="2"/>
        <v>0</v>
      </c>
      <c r="AZ329" s="52">
        <f t="shared" si="3"/>
        <v>0</v>
      </c>
      <c r="BA329" s="52">
        <f t="shared" si="4"/>
        <v>0</v>
      </c>
      <c r="BB329" s="49" t="str">
        <f t="shared" si="5"/>
        <v/>
      </c>
    </row>
    <row r="330" ht="15.75" customHeight="1">
      <c r="A330" s="50" t="s">
        <v>54</v>
      </c>
      <c r="B330" s="51">
        <f t="shared" si="6"/>
        <v>45983</v>
      </c>
      <c r="C330" s="52">
        <v>12.0</v>
      </c>
      <c r="D330" s="52" t="s">
        <v>69</v>
      </c>
      <c r="E330" s="53"/>
      <c r="F330" s="41"/>
      <c r="H330" s="42"/>
      <c r="J330" s="42"/>
      <c r="L330" s="42"/>
      <c r="N330" s="42"/>
      <c r="P330" s="42"/>
      <c r="Q330" s="43"/>
      <c r="R330" s="41"/>
      <c r="T330" s="42"/>
      <c r="V330" s="42"/>
      <c r="X330" s="42"/>
      <c r="Z330" s="42"/>
      <c r="AB330" s="42"/>
      <c r="AC330" s="43"/>
      <c r="AD330" s="42"/>
      <c r="AF330" s="42"/>
      <c r="AH330" s="42"/>
      <c r="AJ330" s="41"/>
      <c r="AK330" s="43"/>
      <c r="AL330" s="46"/>
      <c r="AM330" s="43"/>
      <c r="AN330" s="114"/>
      <c r="AO330" s="43"/>
      <c r="AP330" s="114"/>
      <c r="AQ330" s="43"/>
      <c r="AR330" s="114"/>
      <c r="AS330" s="43"/>
      <c r="AT330" s="115"/>
      <c r="AV330" s="115"/>
      <c r="AW330" s="43"/>
      <c r="AX330" s="54">
        <f t="shared" si="1"/>
        <v>0</v>
      </c>
      <c r="AY330" s="52">
        <f t="shared" si="2"/>
        <v>0</v>
      </c>
      <c r="AZ330" s="52">
        <f t="shared" si="3"/>
        <v>0</v>
      </c>
      <c r="BA330" s="52">
        <f t="shared" si="4"/>
        <v>0</v>
      </c>
      <c r="BB330" s="49" t="str">
        <f t="shared" si="5"/>
        <v/>
      </c>
    </row>
    <row r="331" ht="15.75" customHeight="1">
      <c r="A331" s="59" t="s">
        <v>61</v>
      </c>
      <c r="B331" s="61">
        <f t="shared" si="6"/>
        <v>45984</v>
      </c>
      <c r="C331" s="63">
        <v>12.0</v>
      </c>
      <c r="D331" s="63" t="s">
        <v>69</v>
      </c>
      <c r="E331" s="64"/>
      <c r="F331" s="65"/>
      <c r="G331" s="66"/>
      <c r="H331" s="67"/>
      <c r="I331" s="66"/>
      <c r="J331" s="67"/>
      <c r="K331" s="66"/>
      <c r="L331" s="67"/>
      <c r="M331" s="66"/>
      <c r="N331" s="67"/>
      <c r="O331" s="66"/>
      <c r="P331" s="67"/>
      <c r="Q331" s="68"/>
      <c r="R331" s="65"/>
      <c r="S331" s="66"/>
      <c r="T331" s="67"/>
      <c r="U331" s="66"/>
      <c r="V331" s="67"/>
      <c r="W331" s="66"/>
      <c r="X331" s="67"/>
      <c r="Y331" s="66"/>
      <c r="Z331" s="67"/>
      <c r="AA331" s="66"/>
      <c r="AB331" s="67"/>
      <c r="AC331" s="68"/>
      <c r="AD331" s="67"/>
      <c r="AE331" s="66"/>
      <c r="AF331" s="67"/>
      <c r="AG331" s="66"/>
      <c r="AH331" s="67"/>
      <c r="AI331" s="66"/>
      <c r="AJ331" s="65"/>
      <c r="AK331" s="68"/>
      <c r="AL331" s="71"/>
      <c r="AM331" s="68"/>
      <c r="AN331" s="119"/>
      <c r="AO331" s="68"/>
      <c r="AP331" s="119"/>
      <c r="AQ331" s="68"/>
      <c r="AR331" s="119"/>
      <c r="AS331" s="68"/>
      <c r="AT331" s="120"/>
      <c r="AU331" s="66"/>
      <c r="AV331" s="120"/>
      <c r="AW331" s="68"/>
      <c r="AX331" s="73">
        <f t="shared" si="1"/>
        <v>0</v>
      </c>
      <c r="AY331" s="63">
        <f t="shared" si="2"/>
        <v>0</v>
      </c>
      <c r="AZ331" s="63">
        <f t="shared" si="3"/>
        <v>0</v>
      </c>
      <c r="BA331" s="63">
        <f t="shared" si="4"/>
        <v>0</v>
      </c>
      <c r="BB331" s="74" t="str">
        <f t="shared" si="5"/>
        <v/>
      </c>
    </row>
    <row r="332" ht="15.75" customHeight="1">
      <c r="A332" s="36" t="s">
        <v>46</v>
      </c>
      <c r="B332" s="75">
        <f t="shared" si="6"/>
        <v>45985</v>
      </c>
      <c r="C332" s="38">
        <v>12.0</v>
      </c>
      <c r="D332" s="38" t="s">
        <v>72</v>
      </c>
      <c r="E332" s="82" t="s">
        <v>79</v>
      </c>
      <c r="F332" s="41"/>
      <c r="H332" s="42"/>
      <c r="J332" s="42"/>
      <c r="L332" s="42"/>
      <c r="N332" s="42"/>
      <c r="P332" s="42"/>
      <c r="Q332" s="43"/>
      <c r="R332" s="41"/>
      <c r="T332" s="42"/>
      <c r="V332" s="42"/>
      <c r="X332" s="42"/>
      <c r="Z332" s="42"/>
      <c r="AB332" s="42"/>
      <c r="AC332" s="43"/>
      <c r="AD332" s="42"/>
      <c r="AF332" s="42"/>
      <c r="AH332" s="42"/>
      <c r="AJ332" s="41"/>
      <c r="AK332" s="43"/>
      <c r="AL332" s="46"/>
      <c r="AM332" s="43"/>
      <c r="AN332" s="114"/>
      <c r="AO332" s="43"/>
      <c r="AP332" s="114"/>
      <c r="AQ332" s="43"/>
      <c r="AR332" s="114"/>
      <c r="AS332" s="43"/>
      <c r="AT332" s="115"/>
      <c r="AV332" s="115"/>
      <c r="AW332" s="43"/>
      <c r="AX332" s="47">
        <f t="shared" si="1"/>
        <v>0</v>
      </c>
      <c r="AY332" s="38">
        <f t="shared" si="2"/>
        <v>0</v>
      </c>
      <c r="AZ332" s="38">
        <f t="shared" si="3"/>
        <v>0</v>
      </c>
      <c r="BA332" s="38">
        <f t="shared" si="4"/>
        <v>0</v>
      </c>
      <c r="BB332" s="76" t="str">
        <f t="shared" si="5"/>
        <v/>
      </c>
    </row>
    <row r="333" ht="15.75" customHeight="1">
      <c r="A333" s="50" t="s">
        <v>48</v>
      </c>
      <c r="B333" s="51">
        <f t="shared" si="6"/>
        <v>45986</v>
      </c>
      <c r="C333" s="52">
        <v>12.0</v>
      </c>
      <c r="D333" s="52" t="s">
        <v>72</v>
      </c>
      <c r="E333" s="92" t="s">
        <v>80</v>
      </c>
      <c r="F333" s="41"/>
      <c r="H333" s="42"/>
      <c r="J333" s="42"/>
      <c r="L333" s="42"/>
      <c r="N333" s="42"/>
      <c r="P333" s="42"/>
      <c r="Q333" s="43"/>
      <c r="R333" s="41"/>
      <c r="T333" s="42"/>
      <c r="V333" s="42"/>
      <c r="X333" s="42"/>
      <c r="Z333" s="42"/>
      <c r="AB333" s="42"/>
      <c r="AC333" s="43"/>
      <c r="AD333" s="42"/>
      <c r="AF333" s="42"/>
      <c r="AH333" s="42"/>
      <c r="AJ333" s="41"/>
      <c r="AK333" s="43"/>
      <c r="AL333" s="46"/>
      <c r="AM333" s="43"/>
      <c r="AN333" s="114"/>
      <c r="AO333" s="43"/>
      <c r="AP333" s="114"/>
      <c r="AQ333" s="43"/>
      <c r="AR333" s="114"/>
      <c r="AS333" s="43"/>
      <c r="AT333" s="115"/>
      <c r="AV333" s="115"/>
      <c r="AW333" s="43"/>
      <c r="AX333" s="54">
        <f t="shared" si="1"/>
        <v>0</v>
      </c>
      <c r="AY333" s="52">
        <f t="shared" si="2"/>
        <v>0</v>
      </c>
      <c r="AZ333" s="52">
        <f t="shared" si="3"/>
        <v>0</v>
      </c>
      <c r="BA333" s="52">
        <f t="shared" si="4"/>
        <v>0</v>
      </c>
      <c r="BB333" s="49" t="str">
        <f t="shared" si="5"/>
        <v/>
      </c>
    </row>
    <row r="334" ht="15.75" customHeight="1">
      <c r="A334" s="50" t="s">
        <v>49</v>
      </c>
      <c r="B334" s="51">
        <f t="shared" si="6"/>
        <v>45987</v>
      </c>
      <c r="C334" s="52">
        <v>12.0</v>
      </c>
      <c r="D334" s="52" t="s">
        <v>72</v>
      </c>
      <c r="E334" s="92" t="s">
        <v>81</v>
      </c>
      <c r="F334" s="41"/>
      <c r="H334" s="42"/>
      <c r="J334" s="42"/>
      <c r="L334" s="42"/>
      <c r="N334" s="42"/>
      <c r="P334" s="42"/>
      <c r="Q334" s="43"/>
      <c r="R334" s="41"/>
      <c r="T334" s="42"/>
      <c r="V334" s="42"/>
      <c r="X334" s="42"/>
      <c r="Z334" s="42"/>
      <c r="AB334" s="42"/>
      <c r="AC334" s="43"/>
      <c r="AD334" s="42"/>
      <c r="AF334" s="42"/>
      <c r="AH334" s="42"/>
      <c r="AJ334" s="41"/>
      <c r="AK334" s="43"/>
      <c r="AL334" s="46"/>
      <c r="AM334" s="43"/>
      <c r="AN334" s="114"/>
      <c r="AO334" s="43"/>
      <c r="AP334" s="114"/>
      <c r="AQ334" s="43"/>
      <c r="AR334" s="114"/>
      <c r="AS334" s="43"/>
      <c r="AT334" s="115"/>
      <c r="AV334" s="115"/>
      <c r="AW334" s="43"/>
      <c r="AX334" s="54">
        <f t="shared" si="1"/>
        <v>0</v>
      </c>
      <c r="AY334" s="52">
        <f t="shared" si="2"/>
        <v>0</v>
      </c>
      <c r="AZ334" s="52">
        <f t="shared" si="3"/>
        <v>0</v>
      </c>
      <c r="BA334" s="52">
        <f t="shared" si="4"/>
        <v>0</v>
      </c>
      <c r="BB334" s="49" t="str">
        <f t="shared" si="5"/>
        <v/>
      </c>
    </row>
    <row r="335" ht="15.75" customHeight="1">
      <c r="A335" s="50" t="s">
        <v>50</v>
      </c>
      <c r="B335" s="51">
        <f t="shared" si="6"/>
        <v>45988</v>
      </c>
      <c r="C335" s="52">
        <v>12.0</v>
      </c>
      <c r="D335" s="52" t="s">
        <v>72</v>
      </c>
      <c r="E335" s="53"/>
      <c r="F335" s="41"/>
      <c r="H335" s="42"/>
      <c r="J335" s="42"/>
      <c r="L335" s="42"/>
      <c r="N335" s="42"/>
      <c r="P335" s="42"/>
      <c r="Q335" s="43"/>
      <c r="R335" s="41"/>
      <c r="T335" s="42"/>
      <c r="V335" s="42"/>
      <c r="X335" s="42"/>
      <c r="Z335" s="42"/>
      <c r="AB335" s="42"/>
      <c r="AC335" s="43"/>
      <c r="AD335" s="42"/>
      <c r="AF335" s="42"/>
      <c r="AH335" s="42"/>
      <c r="AJ335" s="41"/>
      <c r="AK335" s="43"/>
      <c r="AL335" s="46"/>
      <c r="AM335" s="43"/>
      <c r="AN335" s="114"/>
      <c r="AO335" s="43"/>
      <c r="AP335" s="114"/>
      <c r="AQ335" s="43"/>
      <c r="AR335" s="114"/>
      <c r="AS335" s="43"/>
      <c r="AT335" s="115"/>
      <c r="AV335" s="115"/>
      <c r="AW335" s="43"/>
      <c r="AX335" s="54">
        <f t="shared" si="1"/>
        <v>0</v>
      </c>
      <c r="AY335" s="52">
        <f t="shared" si="2"/>
        <v>0</v>
      </c>
      <c r="AZ335" s="52">
        <f t="shared" si="3"/>
        <v>0</v>
      </c>
      <c r="BA335" s="52">
        <f t="shared" si="4"/>
        <v>0</v>
      </c>
      <c r="BB335" s="49" t="str">
        <f t="shared" si="5"/>
        <v/>
      </c>
    </row>
    <row r="336" ht="15.75" customHeight="1">
      <c r="A336" s="50" t="s">
        <v>53</v>
      </c>
      <c r="B336" s="51">
        <f t="shared" si="6"/>
        <v>45989</v>
      </c>
      <c r="C336" s="52">
        <v>12.0</v>
      </c>
      <c r="D336" s="52" t="s">
        <v>72</v>
      </c>
      <c r="E336" s="53"/>
      <c r="F336" s="41"/>
      <c r="H336" s="42"/>
      <c r="J336" s="42"/>
      <c r="L336" s="42"/>
      <c r="N336" s="42"/>
      <c r="P336" s="42"/>
      <c r="Q336" s="43"/>
      <c r="R336" s="41"/>
      <c r="T336" s="42"/>
      <c r="V336" s="42"/>
      <c r="X336" s="42"/>
      <c r="Z336" s="42"/>
      <c r="AB336" s="42"/>
      <c r="AC336" s="43"/>
      <c r="AD336" s="42"/>
      <c r="AF336" s="42"/>
      <c r="AH336" s="42"/>
      <c r="AJ336" s="41"/>
      <c r="AK336" s="43"/>
      <c r="AL336" s="46"/>
      <c r="AM336" s="43"/>
      <c r="AN336" s="114"/>
      <c r="AO336" s="43"/>
      <c r="AP336" s="114"/>
      <c r="AQ336" s="43"/>
      <c r="AR336" s="114"/>
      <c r="AS336" s="43"/>
      <c r="AT336" s="115"/>
      <c r="AV336" s="115"/>
      <c r="AW336" s="43"/>
      <c r="AX336" s="54">
        <f t="shared" si="1"/>
        <v>0</v>
      </c>
      <c r="AY336" s="52">
        <f t="shared" si="2"/>
        <v>0</v>
      </c>
      <c r="AZ336" s="52">
        <f t="shared" si="3"/>
        <v>0</v>
      </c>
      <c r="BA336" s="52">
        <f t="shared" si="4"/>
        <v>0</v>
      </c>
      <c r="BB336" s="49" t="str">
        <f t="shared" si="5"/>
        <v/>
      </c>
    </row>
    <row r="337" ht="15.75" customHeight="1">
      <c r="A337" s="50" t="s">
        <v>54</v>
      </c>
      <c r="B337" s="51">
        <f t="shared" si="6"/>
        <v>45990</v>
      </c>
      <c r="C337" s="52">
        <v>12.0</v>
      </c>
      <c r="D337" s="52" t="s">
        <v>72</v>
      </c>
      <c r="E337" s="53"/>
      <c r="F337" s="41"/>
      <c r="H337" s="42"/>
      <c r="J337" s="42"/>
      <c r="L337" s="42"/>
      <c r="N337" s="42"/>
      <c r="P337" s="42"/>
      <c r="Q337" s="43"/>
      <c r="R337" s="41"/>
      <c r="T337" s="42"/>
      <c r="V337" s="42"/>
      <c r="X337" s="42"/>
      <c r="Z337" s="42"/>
      <c r="AB337" s="42"/>
      <c r="AC337" s="43"/>
      <c r="AD337" s="42"/>
      <c r="AF337" s="42"/>
      <c r="AH337" s="42"/>
      <c r="AJ337" s="41"/>
      <c r="AK337" s="43"/>
      <c r="AL337" s="46"/>
      <c r="AM337" s="43"/>
      <c r="AN337" s="114"/>
      <c r="AO337" s="43"/>
      <c r="AP337" s="114"/>
      <c r="AQ337" s="43"/>
      <c r="AR337" s="114"/>
      <c r="AS337" s="43"/>
      <c r="AT337" s="115"/>
      <c r="AV337" s="115"/>
      <c r="AW337" s="43"/>
      <c r="AX337" s="54">
        <f t="shared" si="1"/>
        <v>0</v>
      </c>
      <c r="AY337" s="52">
        <f t="shared" si="2"/>
        <v>0</v>
      </c>
      <c r="AZ337" s="52">
        <f t="shared" si="3"/>
        <v>0</v>
      </c>
      <c r="BA337" s="52">
        <f t="shared" si="4"/>
        <v>0</v>
      </c>
      <c r="BB337" s="49" t="str">
        <f t="shared" si="5"/>
        <v/>
      </c>
    </row>
    <row r="338" ht="15.75" customHeight="1">
      <c r="A338" s="59" t="s">
        <v>61</v>
      </c>
      <c r="B338" s="61">
        <f t="shared" si="6"/>
        <v>45991</v>
      </c>
      <c r="C338" s="63">
        <v>12.0</v>
      </c>
      <c r="D338" s="63" t="s">
        <v>72</v>
      </c>
      <c r="E338" s="64"/>
      <c r="F338" s="65"/>
      <c r="G338" s="66"/>
      <c r="H338" s="67"/>
      <c r="I338" s="66"/>
      <c r="J338" s="67"/>
      <c r="K338" s="66"/>
      <c r="L338" s="67"/>
      <c r="M338" s="66"/>
      <c r="N338" s="67"/>
      <c r="O338" s="66"/>
      <c r="P338" s="67"/>
      <c r="Q338" s="68"/>
      <c r="R338" s="65"/>
      <c r="S338" s="66"/>
      <c r="T338" s="67"/>
      <c r="U338" s="66"/>
      <c r="V338" s="67"/>
      <c r="W338" s="66"/>
      <c r="X338" s="67"/>
      <c r="Y338" s="66"/>
      <c r="Z338" s="67"/>
      <c r="AA338" s="66"/>
      <c r="AB338" s="67"/>
      <c r="AC338" s="68"/>
      <c r="AD338" s="67"/>
      <c r="AE338" s="66"/>
      <c r="AF338" s="67"/>
      <c r="AG338" s="66"/>
      <c r="AH338" s="67"/>
      <c r="AI338" s="66"/>
      <c r="AJ338" s="65"/>
      <c r="AK338" s="68"/>
      <c r="AL338" s="71"/>
      <c r="AM338" s="68"/>
      <c r="AN338" s="119"/>
      <c r="AO338" s="68"/>
      <c r="AP338" s="119"/>
      <c r="AQ338" s="68"/>
      <c r="AR338" s="119"/>
      <c r="AS338" s="68"/>
      <c r="AT338" s="120"/>
      <c r="AU338" s="66"/>
      <c r="AV338" s="120"/>
      <c r="AW338" s="68"/>
      <c r="AX338" s="73">
        <f t="shared" si="1"/>
        <v>0</v>
      </c>
      <c r="AY338" s="63">
        <f t="shared" si="2"/>
        <v>0</v>
      </c>
      <c r="AZ338" s="63">
        <f t="shared" si="3"/>
        <v>0</v>
      </c>
      <c r="BA338" s="63">
        <f t="shared" si="4"/>
        <v>0</v>
      </c>
      <c r="BB338" s="74" t="str">
        <f t="shared" si="5"/>
        <v/>
      </c>
    </row>
    <row r="339" ht="15.75" customHeight="1">
      <c r="A339" s="36" t="s">
        <v>46</v>
      </c>
      <c r="B339" s="75">
        <f t="shared" si="6"/>
        <v>45992</v>
      </c>
      <c r="C339" s="38">
        <v>13.0</v>
      </c>
      <c r="D339" s="38" t="s">
        <v>65</v>
      </c>
      <c r="E339" s="40"/>
      <c r="F339" s="41"/>
      <c r="H339" s="42"/>
      <c r="J339" s="42"/>
      <c r="L339" s="42"/>
      <c r="N339" s="42"/>
      <c r="P339" s="42"/>
      <c r="Q339" s="43"/>
      <c r="R339" s="41"/>
      <c r="T339" s="42"/>
      <c r="V339" s="42"/>
      <c r="X339" s="42"/>
      <c r="Z339" s="42"/>
      <c r="AB339" s="42"/>
      <c r="AC339" s="43"/>
      <c r="AD339" s="42"/>
      <c r="AF339" s="42"/>
      <c r="AH339" s="42"/>
      <c r="AJ339" s="41"/>
      <c r="AK339" s="43"/>
      <c r="AL339" s="46"/>
      <c r="AM339" s="43"/>
      <c r="AN339" s="114"/>
      <c r="AO339" s="43"/>
      <c r="AP339" s="114"/>
      <c r="AQ339" s="43"/>
      <c r="AR339" s="114"/>
      <c r="AS339" s="43"/>
      <c r="AT339" s="115"/>
      <c r="AV339" s="115"/>
      <c r="AW339" s="43"/>
      <c r="AX339" s="47">
        <f t="shared" si="1"/>
        <v>0</v>
      </c>
      <c r="AY339" s="38">
        <f t="shared" si="2"/>
        <v>0</v>
      </c>
      <c r="AZ339" s="38">
        <f t="shared" si="3"/>
        <v>0</v>
      </c>
      <c r="BA339" s="38">
        <f t="shared" si="4"/>
        <v>0</v>
      </c>
      <c r="BB339" s="76" t="str">
        <f t="shared" si="5"/>
        <v/>
      </c>
    </row>
    <row r="340" ht="15.75" customHeight="1">
      <c r="A340" s="50" t="s">
        <v>48</v>
      </c>
      <c r="B340" s="51">
        <f t="shared" si="6"/>
        <v>45993</v>
      </c>
      <c r="C340" s="52">
        <v>13.0</v>
      </c>
      <c r="D340" s="52" t="s">
        <v>65</v>
      </c>
      <c r="E340" s="53"/>
      <c r="F340" s="41"/>
      <c r="H340" s="42"/>
      <c r="J340" s="42"/>
      <c r="L340" s="42"/>
      <c r="N340" s="42"/>
      <c r="P340" s="42"/>
      <c r="Q340" s="43"/>
      <c r="R340" s="41"/>
      <c r="T340" s="42"/>
      <c r="V340" s="42"/>
      <c r="X340" s="42"/>
      <c r="Z340" s="42"/>
      <c r="AB340" s="42"/>
      <c r="AC340" s="43"/>
      <c r="AD340" s="42"/>
      <c r="AF340" s="42"/>
      <c r="AH340" s="42"/>
      <c r="AJ340" s="41"/>
      <c r="AK340" s="43"/>
      <c r="AL340" s="46"/>
      <c r="AM340" s="43"/>
      <c r="AN340" s="114"/>
      <c r="AO340" s="43"/>
      <c r="AP340" s="114"/>
      <c r="AQ340" s="43"/>
      <c r="AR340" s="114"/>
      <c r="AS340" s="43"/>
      <c r="AT340" s="115"/>
      <c r="AV340" s="115"/>
      <c r="AW340" s="43"/>
      <c r="AX340" s="54">
        <f t="shared" si="1"/>
        <v>0</v>
      </c>
      <c r="AY340" s="52">
        <f t="shared" si="2"/>
        <v>0</v>
      </c>
      <c r="AZ340" s="52">
        <f t="shared" si="3"/>
        <v>0</v>
      </c>
      <c r="BA340" s="52">
        <f t="shared" si="4"/>
        <v>0</v>
      </c>
      <c r="BB340" s="49" t="str">
        <f t="shared" si="5"/>
        <v/>
      </c>
    </row>
    <row r="341" ht="15.75" customHeight="1">
      <c r="A341" s="50" t="s">
        <v>49</v>
      </c>
      <c r="B341" s="51">
        <f t="shared" si="6"/>
        <v>45994</v>
      </c>
      <c r="C341" s="52">
        <v>13.0</v>
      </c>
      <c r="D341" s="52" t="s">
        <v>65</v>
      </c>
      <c r="E341" s="53"/>
      <c r="F341" s="41"/>
      <c r="H341" s="42"/>
      <c r="J341" s="42"/>
      <c r="L341" s="42"/>
      <c r="N341" s="42"/>
      <c r="P341" s="42"/>
      <c r="Q341" s="43"/>
      <c r="R341" s="41"/>
      <c r="T341" s="42"/>
      <c r="V341" s="42"/>
      <c r="X341" s="42"/>
      <c r="Z341" s="42"/>
      <c r="AB341" s="42"/>
      <c r="AC341" s="43"/>
      <c r="AD341" s="42"/>
      <c r="AF341" s="42"/>
      <c r="AH341" s="42"/>
      <c r="AJ341" s="41"/>
      <c r="AK341" s="43"/>
      <c r="AL341" s="46"/>
      <c r="AM341" s="43"/>
      <c r="AN341" s="114"/>
      <c r="AO341" s="43"/>
      <c r="AP341" s="114"/>
      <c r="AQ341" s="43"/>
      <c r="AR341" s="114"/>
      <c r="AS341" s="43"/>
      <c r="AT341" s="115"/>
      <c r="AV341" s="115"/>
      <c r="AW341" s="43"/>
      <c r="AX341" s="54">
        <f t="shared" si="1"/>
        <v>0</v>
      </c>
      <c r="AY341" s="52">
        <f t="shared" si="2"/>
        <v>0</v>
      </c>
      <c r="AZ341" s="52">
        <f t="shared" si="3"/>
        <v>0</v>
      </c>
      <c r="BA341" s="52">
        <f t="shared" si="4"/>
        <v>0</v>
      </c>
      <c r="BB341" s="49" t="str">
        <f t="shared" si="5"/>
        <v/>
      </c>
    </row>
    <row r="342" ht="15.75" customHeight="1">
      <c r="A342" s="50" t="s">
        <v>50</v>
      </c>
      <c r="B342" s="51">
        <f t="shared" si="6"/>
        <v>45995</v>
      </c>
      <c r="C342" s="52">
        <v>13.0</v>
      </c>
      <c r="D342" s="52" t="s">
        <v>65</v>
      </c>
      <c r="E342" s="53"/>
      <c r="F342" s="41"/>
      <c r="H342" s="42"/>
      <c r="J342" s="42"/>
      <c r="L342" s="42"/>
      <c r="N342" s="42"/>
      <c r="P342" s="42"/>
      <c r="Q342" s="43"/>
      <c r="R342" s="41"/>
      <c r="T342" s="42"/>
      <c r="V342" s="42"/>
      <c r="X342" s="42"/>
      <c r="Z342" s="42"/>
      <c r="AB342" s="42"/>
      <c r="AC342" s="43"/>
      <c r="AD342" s="42"/>
      <c r="AF342" s="42"/>
      <c r="AH342" s="42"/>
      <c r="AJ342" s="41"/>
      <c r="AK342" s="43"/>
      <c r="AL342" s="46"/>
      <c r="AM342" s="43"/>
      <c r="AN342" s="114"/>
      <c r="AO342" s="43"/>
      <c r="AP342" s="114"/>
      <c r="AQ342" s="43"/>
      <c r="AR342" s="114"/>
      <c r="AS342" s="43"/>
      <c r="AT342" s="115"/>
      <c r="AV342" s="115"/>
      <c r="AW342" s="43"/>
      <c r="AX342" s="54">
        <f t="shared" si="1"/>
        <v>0</v>
      </c>
      <c r="AY342" s="52">
        <f t="shared" si="2"/>
        <v>0</v>
      </c>
      <c r="AZ342" s="52">
        <f t="shared" si="3"/>
        <v>0</v>
      </c>
      <c r="BA342" s="52">
        <f t="shared" si="4"/>
        <v>0</v>
      </c>
      <c r="BB342" s="49" t="str">
        <f t="shared" si="5"/>
        <v/>
      </c>
    </row>
    <row r="343" ht="15.75" customHeight="1">
      <c r="A343" s="50" t="s">
        <v>53</v>
      </c>
      <c r="B343" s="51">
        <f t="shared" si="6"/>
        <v>45996</v>
      </c>
      <c r="C343" s="52">
        <v>13.0</v>
      </c>
      <c r="D343" s="52" t="s">
        <v>65</v>
      </c>
      <c r="E343" s="53"/>
      <c r="F343" s="41"/>
      <c r="H343" s="42"/>
      <c r="J343" s="42"/>
      <c r="L343" s="42"/>
      <c r="N343" s="42"/>
      <c r="P343" s="42"/>
      <c r="Q343" s="43"/>
      <c r="R343" s="41"/>
      <c r="T343" s="42"/>
      <c r="V343" s="42"/>
      <c r="X343" s="42"/>
      <c r="Z343" s="42"/>
      <c r="AB343" s="42"/>
      <c r="AC343" s="43"/>
      <c r="AD343" s="42"/>
      <c r="AF343" s="42"/>
      <c r="AH343" s="42"/>
      <c r="AJ343" s="41"/>
      <c r="AK343" s="43"/>
      <c r="AL343" s="46"/>
      <c r="AM343" s="43"/>
      <c r="AN343" s="114"/>
      <c r="AO343" s="43"/>
      <c r="AP343" s="114"/>
      <c r="AQ343" s="43"/>
      <c r="AR343" s="114"/>
      <c r="AS343" s="43"/>
      <c r="AT343" s="115"/>
      <c r="AV343" s="115"/>
      <c r="AW343" s="43"/>
      <c r="AX343" s="54">
        <f t="shared" si="1"/>
        <v>0</v>
      </c>
      <c r="AY343" s="52">
        <f t="shared" si="2"/>
        <v>0</v>
      </c>
      <c r="AZ343" s="52">
        <f t="shared" si="3"/>
        <v>0</v>
      </c>
      <c r="BA343" s="52">
        <f t="shared" si="4"/>
        <v>0</v>
      </c>
      <c r="BB343" s="49" t="str">
        <f t="shared" si="5"/>
        <v/>
      </c>
    </row>
    <row r="344" ht="15.75" customHeight="1">
      <c r="A344" s="50" t="s">
        <v>54</v>
      </c>
      <c r="B344" s="51">
        <f t="shared" si="6"/>
        <v>45997</v>
      </c>
      <c r="C344" s="52">
        <v>13.0</v>
      </c>
      <c r="D344" s="52" t="s">
        <v>65</v>
      </c>
      <c r="E344" s="53"/>
      <c r="F344" s="41"/>
      <c r="H344" s="42"/>
      <c r="J344" s="42"/>
      <c r="L344" s="42"/>
      <c r="N344" s="42"/>
      <c r="P344" s="42"/>
      <c r="Q344" s="43"/>
      <c r="R344" s="41"/>
      <c r="T344" s="42"/>
      <c r="V344" s="42"/>
      <c r="X344" s="42"/>
      <c r="Z344" s="42"/>
      <c r="AB344" s="42"/>
      <c r="AC344" s="43"/>
      <c r="AD344" s="42"/>
      <c r="AF344" s="42"/>
      <c r="AH344" s="42"/>
      <c r="AJ344" s="41"/>
      <c r="AK344" s="43"/>
      <c r="AL344" s="46"/>
      <c r="AM344" s="43"/>
      <c r="AN344" s="114"/>
      <c r="AO344" s="43"/>
      <c r="AP344" s="114"/>
      <c r="AQ344" s="43"/>
      <c r="AR344" s="114"/>
      <c r="AS344" s="43"/>
      <c r="AT344" s="115"/>
      <c r="AV344" s="115"/>
      <c r="AW344" s="43"/>
      <c r="AX344" s="54">
        <f t="shared" si="1"/>
        <v>0</v>
      </c>
      <c r="AY344" s="52">
        <f t="shared" si="2"/>
        <v>0</v>
      </c>
      <c r="AZ344" s="52">
        <f t="shared" si="3"/>
        <v>0</v>
      </c>
      <c r="BA344" s="52">
        <f t="shared" si="4"/>
        <v>0</v>
      </c>
      <c r="BB344" s="49" t="str">
        <f t="shared" si="5"/>
        <v/>
      </c>
    </row>
    <row r="345" ht="15.75" customHeight="1">
      <c r="A345" s="59" t="s">
        <v>61</v>
      </c>
      <c r="B345" s="61">
        <f t="shared" si="6"/>
        <v>45998</v>
      </c>
      <c r="C345" s="63">
        <v>13.0</v>
      </c>
      <c r="D345" s="63" t="s">
        <v>65</v>
      </c>
      <c r="E345" s="64"/>
      <c r="F345" s="65"/>
      <c r="G345" s="66"/>
      <c r="H345" s="67"/>
      <c r="I345" s="66"/>
      <c r="J345" s="67"/>
      <c r="K345" s="66"/>
      <c r="L345" s="67"/>
      <c r="M345" s="66"/>
      <c r="N345" s="67"/>
      <c r="O345" s="66"/>
      <c r="P345" s="67"/>
      <c r="Q345" s="68"/>
      <c r="R345" s="65"/>
      <c r="S345" s="66"/>
      <c r="T345" s="67"/>
      <c r="U345" s="66"/>
      <c r="V345" s="67"/>
      <c r="W345" s="66"/>
      <c r="X345" s="67"/>
      <c r="Y345" s="66"/>
      <c r="Z345" s="67"/>
      <c r="AA345" s="66"/>
      <c r="AB345" s="67"/>
      <c r="AC345" s="68"/>
      <c r="AD345" s="67"/>
      <c r="AE345" s="66"/>
      <c r="AF345" s="67"/>
      <c r="AG345" s="66"/>
      <c r="AH345" s="67"/>
      <c r="AI345" s="66"/>
      <c r="AJ345" s="65"/>
      <c r="AK345" s="68"/>
      <c r="AL345" s="71"/>
      <c r="AM345" s="68"/>
      <c r="AN345" s="119"/>
      <c r="AO345" s="68"/>
      <c r="AP345" s="119"/>
      <c r="AQ345" s="68"/>
      <c r="AR345" s="119"/>
      <c r="AS345" s="68"/>
      <c r="AT345" s="120"/>
      <c r="AU345" s="66"/>
      <c r="AV345" s="120"/>
      <c r="AW345" s="68"/>
      <c r="AX345" s="73">
        <f t="shared" si="1"/>
        <v>0</v>
      </c>
      <c r="AY345" s="63">
        <f t="shared" si="2"/>
        <v>0</v>
      </c>
      <c r="AZ345" s="63">
        <f t="shared" si="3"/>
        <v>0</v>
      </c>
      <c r="BA345" s="63">
        <f t="shared" si="4"/>
        <v>0</v>
      </c>
      <c r="BB345" s="74" t="str">
        <f t="shared" si="5"/>
        <v/>
      </c>
    </row>
    <row r="346" ht="15.75" customHeight="1">
      <c r="A346" s="36" t="s">
        <v>46</v>
      </c>
      <c r="B346" s="75">
        <f t="shared" si="6"/>
        <v>45999</v>
      </c>
      <c r="C346" s="38">
        <v>13.0</v>
      </c>
      <c r="D346" s="38" t="s">
        <v>69</v>
      </c>
      <c r="E346" s="40"/>
      <c r="F346" s="41"/>
      <c r="H346" s="42"/>
      <c r="J346" s="42"/>
      <c r="L346" s="42"/>
      <c r="N346" s="42"/>
      <c r="P346" s="42"/>
      <c r="Q346" s="43"/>
      <c r="R346" s="41"/>
      <c r="T346" s="42"/>
      <c r="V346" s="42"/>
      <c r="X346" s="42"/>
      <c r="Z346" s="42"/>
      <c r="AB346" s="42"/>
      <c r="AC346" s="43"/>
      <c r="AD346" s="42"/>
      <c r="AF346" s="42"/>
      <c r="AH346" s="42"/>
      <c r="AJ346" s="41"/>
      <c r="AK346" s="43"/>
      <c r="AL346" s="46"/>
      <c r="AM346" s="43"/>
      <c r="AN346" s="114"/>
      <c r="AO346" s="43"/>
      <c r="AP346" s="114"/>
      <c r="AQ346" s="43"/>
      <c r="AR346" s="114"/>
      <c r="AS346" s="43"/>
      <c r="AT346" s="115"/>
      <c r="AV346" s="115"/>
      <c r="AW346" s="43"/>
      <c r="AX346" s="47">
        <f t="shared" si="1"/>
        <v>0</v>
      </c>
      <c r="AY346" s="38">
        <f t="shared" si="2"/>
        <v>0</v>
      </c>
      <c r="AZ346" s="38">
        <f t="shared" si="3"/>
        <v>0</v>
      </c>
      <c r="BA346" s="38">
        <f t="shared" si="4"/>
        <v>0</v>
      </c>
      <c r="BB346" s="76" t="str">
        <f t="shared" si="5"/>
        <v/>
      </c>
    </row>
    <row r="347" ht="15.75" customHeight="1">
      <c r="A347" s="50" t="s">
        <v>48</v>
      </c>
      <c r="B347" s="51">
        <f t="shared" si="6"/>
        <v>46000</v>
      </c>
      <c r="C347" s="52">
        <v>13.0</v>
      </c>
      <c r="D347" s="52" t="s">
        <v>69</v>
      </c>
      <c r="E347" s="53"/>
      <c r="F347" s="41"/>
      <c r="H347" s="42"/>
      <c r="J347" s="42"/>
      <c r="L347" s="42"/>
      <c r="N347" s="42"/>
      <c r="P347" s="42"/>
      <c r="Q347" s="43"/>
      <c r="R347" s="41"/>
      <c r="T347" s="42"/>
      <c r="V347" s="42"/>
      <c r="X347" s="42"/>
      <c r="Z347" s="42"/>
      <c r="AB347" s="42"/>
      <c r="AC347" s="43"/>
      <c r="AD347" s="42"/>
      <c r="AF347" s="42"/>
      <c r="AH347" s="42"/>
      <c r="AJ347" s="41"/>
      <c r="AK347" s="43"/>
      <c r="AL347" s="46"/>
      <c r="AM347" s="43"/>
      <c r="AN347" s="114"/>
      <c r="AO347" s="43"/>
      <c r="AP347" s="114"/>
      <c r="AQ347" s="43"/>
      <c r="AR347" s="114"/>
      <c r="AS347" s="43"/>
      <c r="AT347" s="115"/>
      <c r="AV347" s="115"/>
      <c r="AW347" s="43"/>
      <c r="AX347" s="54">
        <f t="shared" si="1"/>
        <v>0</v>
      </c>
      <c r="AY347" s="52">
        <f t="shared" si="2"/>
        <v>0</v>
      </c>
      <c r="AZ347" s="52">
        <f t="shared" si="3"/>
        <v>0</v>
      </c>
      <c r="BA347" s="52">
        <f t="shared" si="4"/>
        <v>0</v>
      </c>
      <c r="BB347" s="49" t="str">
        <f t="shared" si="5"/>
        <v/>
      </c>
    </row>
    <row r="348" ht="15.75" customHeight="1">
      <c r="A348" s="50" t="s">
        <v>49</v>
      </c>
      <c r="B348" s="51">
        <f t="shared" si="6"/>
        <v>46001</v>
      </c>
      <c r="C348" s="52">
        <v>13.0</v>
      </c>
      <c r="D348" s="52" t="s">
        <v>69</v>
      </c>
      <c r="E348" s="53"/>
      <c r="F348" s="41"/>
      <c r="H348" s="42"/>
      <c r="J348" s="42"/>
      <c r="L348" s="42"/>
      <c r="N348" s="42"/>
      <c r="P348" s="42"/>
      <c r="Q348" s="43"/>
      <c r="R348" s="41"/>
      <c r="T348" s="42"/>
      <c r="V348" s="42"/>
      <c r="X348" s="42"/>
      <c r="Z348" s="42"/>
      <c r="AB348" s="42"/>
      <c r="AC348" s="43"/>
      <c r="AD348" s="42"/>
      <c r="AF348" s="42"/>
      <c r="AH348" s="42"/>
      <c r="AJ348" s="41"/>
      <c r="AK348" s="43"/>
      <c r="AL348" s="46"/>
      <c r="AM348" s="43"/>
      <c r="AN348" s="114"/>
      <c r="AO348" s="43"/>
      <c r="AP348" s="114"/>
      <c r="AQ348" s="43"/>
      <c r="AR348" s="114"/>
      <c r="AS348" s="43"/>
      <c r="AT348" s="115"/>
      <c r="AV348" s="115"/>
      <c r="AW348" s="43"/>
      <c r="AX348" s="54">
        <f t="shared" si="1"/>
        <v>0</v>
      </c>
      <c r="AY348" s="52">
        <f t="shared" si="2"/>
        <v>0</v>
      </c>
      <c r="AZ348" s="52">
        <f t="shared" si="3"/>
        <v>0</v>
      </c>
      <c r="BA348" s="52">
        <f t="shared" si="4"/>
        <v>0</v>
      </c>
      <c r="BB348" s="49" t="str">
        <f t="shared" si="5"/>
        <v/>
      </c>
    </row>
    <row r="349" ht="15.75" customHeight="1">
      <c r="A349" s="50" t="s">
        <v>50</v>
      </c>
      <c r="B349" s="51">
        <f t="shared" si="6"/>
        <v>46002</v>
      </c>
      <c r="C349" s="52">
        <v>13.0</v>
      </c>
      <c r="D349" s="52" t="s">
        <v>69</v>
      </c>
      <c r="E349" s="53"/>
      <c r="F349" s="41"/>
      <c r="H349" s="42"/>
      <c r="J349" s="42"/>
      <c r="L349" s="42"/>
      <c r="N349" s="42"/>
      <c r="P349" s="42"/>
      <c r="Q349" s="43"/>
      <c r="R349" s="41"/>
      <c r="T349" s="42"/>
      <c r="V349" s="42"/>
      <c r="X349" s="42"/>
      <c r="Z349" s="42"/>
      <c r="AB349" s="42"/>
      <c r="AC349" s="43"/>
      <c r="AD349" s="42"/>
      <c r="AF349" s="42"/>
      <c r="AH349" s="42"/>
      <c r="AJ349" s="41"/>
      <c r="AK349" s="43"/>
      <c r="AL349" s="46"/>
      <c r="AM349" s="43"/>
      <c r="AN349" s="114"/>
      <c r="AO349" s="43"/>
      <c r="AP349" s="114"/>
      <c r="AQ349" s="43"/>
      <c r="AR349" s="114"/>
      <c r="AS349" s="43"/>
      <c r="AT349" s="115"/>
      <c r="AV349" s="115"/>
      <c r="AW349" s="43"/>
      <c r="AX349" s="54">
        <f t="shared" si="1"/>
        <v>0</v>
      </c>
      <c r="AY349" s="52">
        <f t="shared" si="2"/>
        <v>0</v>
      </c>
      <c r="AZ349" s="52">
        <f t="shared" si="3"/>
        <v>0</v>
      </c>
      <c r="BA349" s="52">
        <f t="shared" si="4"/>
        <v>0</v>
      </c>
      <c r="BB349" s="49" t="str">
        <f t="shared" si="5"/>
        <v/>
      </c>
    </row>
    <row r="350" ht="15.75" customHeight="1">
      <c r="A350" s="50" t="s">
        <v>53</v>
      </c>
      <c r="B350" s="51">
        <f t="shared" si="6"/>
        <v>46003</v>
      </c>
      <c r="C350" s="52">
        <v>13.0</v>
      </c>
      <c r="D350" s="52" t="s">
        <v>69</v>
      </c>
      <c r="E350" s="53"/>
      <c r="F350" s="41"/>
      <c r="H350" s="42"/>
      <c r="J350" s="42"/>
      <c r="L350" s="42"/>
      <c r="N350" s="42"/>
      <c r="P350" s="42"/>
      <c r="Q350" s="43"/>
      <c r="R350" s="41"/>
      <c r="T350" s="42"/>
      <c r="V350" s="42"/>
      <c r="X350" s="42"/>
      <c r="Z350" s="42"/>
      <c r="AB350" s="42"/>
      <c r="AC350" s="43"/>
      <c r="AD350" s="42"/>
      <c r="AF350" s="42"/>
      <c r="AH350" s="42"/>
      <c r="AJ350" s="41"/>
      <c r="AK350" s="43"/>
      <c r="AL350" s="46"/>
      <c r="AM350" s="43"/>
      <c r="AN350" s="114"/>
      <c r="AO350" s="43"/>
      <c r="AP350" s="114"/>
      <c r="AQ350" s="43"/>
      <c r="AR350" s="114"/>
      <c r="AS350" s="43"/>
      <c r="AT350" s="115"/>
      <c r="AV350" s="115"/>
      <c r="AW350" s="43"/>
      <c r="AX350" s="54">
        <f t="shared" si="1"/>
        <v>0</v>
      </c>
      <c r="AY350" s="52">
        <f t="shared" si="2"/>
        <v>0</v>
      </c>
      <c r="AZ350" s="52">
        <f t="shared" si="3"/>
        <v>0</v>
      </c>
      <c r="BA350" s="52">
        <f t="shared" si="4"/>
        <v>0</v>
      </c>
      <c r="BB350" s="49" t="str">
        <f t="shared" si="5"/>
        <v/>
      </c>
    </row>
    <row r="351" ht="15.75" customHeight="1">
      <c r="A351" s="50" t="s">
        <v>54</v>
      </c>
      <c r="B351" s="51">
        <f t="shared" si="6"/>
        <v>46004</v>
      </c>
      <c r="C351" s="52">
        <v>13.0</v>
      </c>
      <c r="D351" s="52" t="s">
        <v>69</v>
      </c>
      <c r="E351" s="53"/>
      <c r="F351" s="41"/>
      <c r="H351" s="42"/>
      <c r="J351" s="42"/>
      <c r="L351" s="42"/>
      <c r="N351" s="42"/>
      <c r="P351" s="42"/>
      <c r="Q351" s="43"/>
      <c r="R351" s="41"/>
      <c r="T351" s="42"/>
      <c r="V351" s="42"/>
      <c r="X351" s="42"/>
      <c r="Z351" s="42"/>
      <c r="AB351" s="42"/>
      <c r="AC351" s="43"/>
      <c r="AD351" s="42"/>
      <c r="AF351" s="42"/>
      <c r="AH351" s="42"/>
      <c r="AJ351" s="41"/>
      <c r="AK351" s="43"/>
      <c r="AL351" s="46"/>
      <c r="AM351" s="43"/>
      <c r="AN351" s="114"/>
      <c r="AO351" s="43"/>
      <c r="AP351" s="114"/>
      <c r="AQ351" s="43"/>
      <c r="AR351" s="114"/>
      <c r="AS351" s="43"/>
      <c r="AT351" s="115"/>
      <c r="AV351" s="115"/>
      <c r="AW351" s="43"/>
      <c r="AX351" s="54">
        <f t="shared" si="1"/>
        <v>0</v>
      </c>
      <c r="AY351" s="52">
        <f t="shared" si="2"/>
        <v>0</v>
      </c>
      <c r="AZ351" s="52">
        <f t="shared" si="3"/>
        <v>0</v>
      </c>
      <c r="BA351" s="52">
        <f t="shared" si="4"/>
        <v>0</v>
      </c>
      <c r="BB351" s="49" t="str">
        <f t="shared" si="5"/>
        <v/>
      </c>
    </row>
    <row r="352" ht="15.75" customHeight="1">
      <c r="A352" s="59" t="s">
        <v>61</v>
      </c>
      <c r="B352" s="61">
        <f t="shared" si="6"/>
        <v>46005</v>
      </c>
      <c r="C352" s="63">
        <v>13.0</v>
      </c>
      <c r="D352" s="63" t="s">
        <v>69</v>
      </c>
      <c r="E352" s="64"/>
      <c r="F352" s="65"/>
      <c r="G352" s="66"/>
      <c r="H352" s="67"/>
      <c r="I352" s="66"/>
      <c r="J352" s="67"/>
      <c r="K352" s="66"/>
      <c r="L352" s="67"/>
      <c r="M352" s="66"/>
      <c r="N352" s="67"/>
      <c r="O352" s="66"/>
      <c r="P352" s="67"/>
      <c r="Q352" s="68"/>
      <c r="R352" s="65"/>
      <c r="S352" s="66"/>
      <c r="T352" s="67"/>
      <c r="U352" s="66"/>
      <c r="V352" s="67"/>
      <c r="W352" s="66"/>
      <c r="X352" s="67"/>
      <c r="Y352" s="66"/>
      <c r="Z352" s="67"/>
      <c r="AA352" s="66"/>
      <c r="AB352" s="67"/>
      <c r="AC352" s="68"/>
      <c r="AD352" s="67"/>
      <c r="AE352" s="66"/>
      <c r="AF352" s="67"/>
      <c r="AG352" s="66"/>
      <c r="AH352" s="67"/>
      <c r="AI352" s="66"/>
      <c r="AJ352" s="65"/>
      <c r="AK352" s="68"/>
      <c r="AL352" s="71"/>
      <c r="AM352" s="68"/>
      <c r="AN352" s="119"/>
      <c r="AO352" s="68"/>
      <c r="AP352" s="119"/>
      <c r="AQ352" s="68"/>
      <c r="AR352" s="119"/>
      <c r="AS352" s="68"/>
      <c r="AT352" s="120"/>
      <c r="AU352" s="66"/>
      <c r="AV352" s="120"/>
      <c r="AW352" s="68"/>
      <c r="AX352" s="73">
        <f t="shared" si="1"/>
        <v>0</v>
      </c>
      <c r="AY352" s="63">
        <f t="shared" si="2"/>
        <v>0</v>
      </c>
      <c r="AZ352" s="63">
        <f t="shared" si="3"/>
        <v>0</v>
      </c>
      <c r="BA352" s="63">
        <f t="shared" si="4"/>
        <v>0</v>
      </c>
      <c r="BB352" s="74" t="str">
        <f t="shared" si="5"/>
        <v/>
      </c>
    </row>
    <row r="353" ht="15.75" customHeight="1">
      <c r="A353" s="36" t="s">
        <v>46</v>
      </c>
      <c r="B353" s="75">
        <f t="shared" si="6"/>
        <v>46006</v>
      </c>
      <c r="C353" s="38">
        <v>13.0</v>
      </c>
      <c r="D353" s="38" t="s">
        <v>72</v>
      </c>
      <c r="E353" s="40"/>
      <c r="F353" s="41"/>
      <c r="H353" s="42"/>
      <c r="J353" s="42"/>
      <c r="L353" s="42"/>
      <c r="N353" s="42"/>
      <c r="P353" s="42"/>
      <c r="Q353" s="43"/>
      <c r="R353" s="41"/>
      <c r="T353" s="42"/>
      <c r="V353" s="42"/>
      <c r="X353" s="42"/>
      <c r="Z353" s="42"/>
      <c r="AB353" s="42"/>
      <c r="AC353" s="43"/>
      <c r="AD353" s="42"/>
      <c r="AF353" s="42"/>
      <c r="AH353" s="42"/>
      <c r="AJ353" s="41"/>
      <c r="AK353" s="43"/>
      <c r="AL353" s="46"/>
      <c r="AM353" s="43"/>
      <c r="AN353" s="114"/>
      <c r="AO353" s="43"/>
      <c r="AP353" s="114"/>
      <c r="AQ353" s="43"/>
      <c r="AR353" s="114"/>
      <c r="AS353" s="43"/>
      <c r="AT353" s="115"/>
      <c r="AV353" s="115"/>
      <c r="AW353" s="43"/>
      <c r="AX353" s="47">
        <f t="shared" si="1"/>
        <v>0</v>
      </c>
      <c r="AY353" s="38">
        <f t="shared" si="2"/>
        <v>0</v>
      </c>
      <c r="AZ353" s="38">
        <f t="shared" si="3"/>
        <v>0</v>
      </c>
      <c r="BA353" s="38">
        <f t="shared" si="4"/>
        <v>0</v>
      </c>
      <c r="BB353" s="76" t="str">
        <f t="shared" si="5"/>
        <v/>
      </c>
    </row>
    <row r="354" ht="15.75" customHeight="1">
      <c r="A354" s="50" t="s">
        <v>48</v>
      </c>
      <c r="B354" s="51">
        <f t="shared" si="6"/>
        <v>46007</v>
      </c>
      <c r="C354" s="52">
        <v>13.0</v>
      </c>
      <c r="D354" s="52" t="s">
        <v>72</v>
      </c>
      <c r="E354" s="126" t="s">
        <v>79</v>
      </c>
      <c r="F354" s="41"/>
      <c r="H354" s="42"/>
      <c r="J354" s="42"/>
      <c r="L354" s="42"/>
      <c r="N354" s="42"/>
      <c r="P354" s="42"/>
      <c r="Q354" s="43"/>
      <c r="R354" s="41"/>
      <c r="T354" s="42"/>
      <c r="V354" s="42"/>
      <c r="X354" s="42"/>
      <c r="Z354" s="42"/>
      <c r="AB354" s="42"/>
      <c r="AC354" s="43"/>
      <c r="AD354" s="42"/>
      <c r="AF354" s="42"/>
      <c r="AH354" s="42"/>
      <c r="AJ354" s="41"/>
      <c r="AK354" s="43"/>
      <c r="AL354" s="46"/>
      <c r="AM354" s="43"/>
      <c r="AN354" s="114"/>
      <c r="AO354" s="43"/>
      <c r="AP354" s="114"/>
      <c r="AQ354" s="43"/>
      <c r="AR354" s="114"/>
      <c r="AS354" s="43"/>
      <c r="AT354" s="115"/>
      <c r="AV354" s="115"/>
      <c r="AW354" s="43"/>
      <c r="AX354" s="54">
        <f t="shared" si="1"/>
        <v>0</v>
      </c>
      <c r="AY354" s="52">
        <f t="shared" si="2"/>
        <v>0</v>
      </c>
      <c r="AZ354" s="52">
        <f t="shared" si="3"/>
        <v>0</v>
      </c>
      <c r="BA354" s="52">
        <f t="shared" si="4"/>
        <v>0</v>
      </c>
      <c r="BB354" s="49" t="str">
        <f t="shared" si="5"/>
        <v/>
      </c>
    </row>
    <row r="355" ht="15.75" customHeight="1">
      <c r="A355" s="50" t="s">
        <v>49</v>
      </c>
      <c r="B355" s="51">
        <f t="shared" si="6"/>
        <v>46008</v>
      </c>
      <c r="C355" s="52">
        <v>13.0</v>
      </c>
      <c r="D355" s="52" t="s">
        <v>72</v>
      </c>
      <c r="E355" s="126" t="s">
        <v>82</v>
      </c>
      <c r="F355" s="41"/>
      <c r="H355" s="42"/>
      <c r="J355" s="42"/>
      <c r="L355" s="42"/>
      <c r="N355" s="42"/>
      <c r="P355" s="42"/>
      <c r="Q355" s="43"/>
      <c r="R355" s="41"/>
      <c r="T355" s="42"/>
      <c r="V355" s="42"/>
      <c r="X355" s="42"/>
      <c r="Z355" s="42"/>
      <c r="AB355" s="42"/>
      <c r="AC355" s="43"/>
      <c r="AD355" s="42"/>
      <c r="AF355" s="42"/>
      <c r="AH355" s="42"/>
      <c r="AJ355" s="41"/>
      <c r="AK355" s="43"/>
      <c r="AL355" s="46"/>
      <c r="AM355" s="43"/>
      <c r="AN355" s="114"/>
      <c r="AO355" s="43"/>
      <c r="AP355" s="114"/>
      <c r="AQ355" s="43"/>
      <c r="AR355" s="114"/>
      <c r="AS355" s="43"/>
      <c r="AT355" s="115"/>
      <c r="AV355" s="115"/>
      <c r="AW355" s="43"/>
      <c r="AX355" s="54">
        <f t="shared" si="1"/>
        <v>0</v>
      </c>
      <c r="AY355" s="52">
        <f t="shared" si="2"/>
        <v>0</v>
      </c>
      <c r="AZ355" s="52">
        <f t="shared" si="3"/>
        <v>0</v>
      </c>
      <c r="BA355" s="52">
        <f t="shared" si="4"/>
        <v>0</v>
      </c>
      <c r="BB355" s="49" t="str">
        <f t="shared" si="5"/>
        <v/>
      </c>
    </row>
    <row r="356" ht="15.75" customHeight="1">
      <c r="A356" s="50" t="s">
        <v>50</v>
      </c>
      <c r="B356" s="51">
        <f t="shared" si="6"/>
        <v>46009</v>
      </c>
      <c r="C356" s="52">
        <v>13.0</v>
      </c>
      <c r="D356" s="52" t="s">
        <v>72</v>
      </c>
      <c r="E356" s="126" t="s">
        <v>83</v>
      </c>
      <c r="F356" s="41"/>
      <c r="H356" s="42"/>
      <c r="J356" s="42"/>
      <c r="L356" s="42"/>
      <c r="N356" s="42"/>
      <c r="P356" s="42"/>
      <c r="Q356" s="43"/>
      <c r="R356" s="41"/>
      <c r="T356" s="42"/>
      <c r="V356" s="42"/>
      <c r="X356" s="42"/>
      <c r="Z356" s="42"/>
      <c r="AB356" s="42"/>
      <c r="AC356" s="43"/>
      <c r="AD356" s="42"/>
      <c r="AF356" s="42"/>
      <c r="AH356" s="42"/>
      <c r="AJ356" s="41"/>
      <c r="AK356" s="43"/>
      <c r="AL356" s="46"/>
      <c r="AM356" s="43"/>
      <c r="AN356" s="114"/>
      <c r="AO356" s="43"/>
      <c r="AP356" s="114"/>
      <c r="AQ356" s="43"/>
      <c r="AR356" s="114"/>
      <c r="AS356" s="43"/>
      <c r="AT356" s="115"/>
      <c r="AV356" s="115"/>
      <c r="AW356" s="43"/>
      <c r="AX356" s="54">
        <f t="shared" si="1"/>
        <v>0</v>
      </c>
      <c r="AY356" s="52">
        <f t="shared" si="2"/>
        <v>0</v>
      </c>
      <c r="AZ356" s="52">
        <f t="shared" si="3"/>
        <v>0</v>
      </c>
      <c r="BA356" s="52">
        <f t="shared" si="4"/>
        <v>0</v>
      </c>
      <c r="BB356" s="49" t="str">
        <f t="shared" si="5"/>
        <v/>
      </c>
    </row>
    <row r="357" ht="15.75" customHeight="1">
      <c r="A357" s="50" t="s">
        <v>53</v>
      </c>
      <c r="B357" s="51">
        <f t="shared" si="6"/>
        <v>46010</v>
      </c>
      <c r="C357" s="52">
        <v>13.0</v>
      </c>
      <c r="D357" s="52" t="s">
        <v>72</v>
      </c>
      <c r="E357" s="53"/>
      <c r="F357" s="41"/>
      <c r="H357" s="42"/>
      <c r="J357" s="42"/>
      <c r="L357" s="42"/>
      <c r="N357" s="42"/>
      <c r="P357" s="42"/>
      <c r="Q357" s="43"/>
      <c r="R357" s="41"/>
      <c r="T357" s="42"/>
      <c r="V357" s="42"/>
      <c r="X357" s="42"/>
      <c r="Z357" s="42"/>
      <c r="AB357" s="42"/>
      <c r="AC357" s="43"/>
      <c r="AD357" s="42"/>
      <c r="AF357" s="42"/>
      <c r="AH357" s="42"/>
      <c r="AJ357" s="41"/>
      <c r="AK357" s="43"/>
      <c r="AL357" s="46"/>
      <c r="AM357" s="43"/>
      <c r="AN357" s="114"/>
      <c r="AO357" s="43"/>
      <c r="AP357" s="114"/>
      <c r="AQ357" s="43"/>
      <c r="AR357" s="114"/>
      <c r="AS357" s="43"/>
      <c r="AT357" s="115"/>
      <c r="AV357" s="115"/>
      <c r="AW357" s="43"/>
      <c r="AX357" s="54">
        <f t="shared" si="1"/>
        <v>0</v>
      </c>
      <c r="AY357" s="52">
        <f t="shared" si="2"/>
        <v>0</v>
      </c>
      <c r="AZ357" s="52">
        <f t="shared" si="3"/>
        <v>0</v>
      </c>
      <c r="BA357" s="52">
        <f t="shared" si="4"/>
        <v>0</v>
      </c>
      <c r="BB357" s="49" t="str">
        <f t="shared" si="5"/>
        <v/>
      </c>
    </row>
    <row r="358" ht="15.75" customHeight="1">
      <c r="A358" s="50" t="s">
        <v>54</v>
      </c>
      <c r="B358" s="51">
        <f t="shared" si="6"/>
        <v>46011</v>
      </c>
      <c r="C358" s="52">
        <v>13.0</v>
      </c>
      <c r="D358" s="52" t="s">
        <v>72</v>
      </c>
      <c r="E358" s="53"/>
      <c r="F358" s="41"/>
      <c r="H358" s="42"/>
      <c r="J358" s="42"/>
      <c r="L358" s="42"/>
      <c r="N358" s="42"/>
      <c r="P358" s="42"/>
      <c r="Q358" s="43"/>
      <c r="R358" s="41"/>
      <c r="T358" s="42"/>
      <c r="V358" s="42"/>
      <c r="X358" s="42"/>
      <c r="Z358" s="42"/>
      <c r="AB358" s="42"/>
      <c r="AC358" s="43"/>
      <c r="AD358" s="42"/>
      <c r="AF358" s="42"/>
      <c r="AH358" s="42"/>
      <c r="AJ358" s="41"/>
      <c r="AK358" s="43"/>
      <c r="AL358" s="46"/>
      <c r="AM358" s="43"/>
      <c r="AN358" s="114"/>
      <c r="AO358" s="43"/>
      <c r="AP358" s="114"/>
      <c r="AQ358" s="43"/>
      <c r="AR358" s="114"/>
      <c r="AS358" s="43"/>
      <c r="AT358" s="115"/>
      <c r="AV358" s="115"/>
      <c r="AW358" s="43"/>
      <c r="AX358" s="54">
        <f t="shared" si="1"/>
        <v>0</v>
      </c>
      <c r="AY358" s="52">
        <f t="shared" si="2"/>
        <v>0</v>
      </c>
      <c r="AZ358" s="52">
        <f t="shared" si="3"/>
        <v>0</v>
      </c>
      <c r="BA358" s="52">
        <f t="shared" si="4"/>
        <v>0</v>
      </c>
      <c r="BB358" s="49" t="str">
        <f t="shared" si="5"/>
        <v/>
      </c>
    </row>
    <row r="359" ht="15.75" customHeight="1">
      <c r="A359" s="59" t="s">
        <v>61</v>
      </c>
      <c r="B359" s="61">
        <f t="shared" si="6"/>
        <v>46012</v>
      </c>
      <c r="C359" s="63">
        <v>13.0</v>
      </c>
      <c r="D359" s="63" t="s">
        <v>72</v>
      </c>
      <c r="E359" s="64"/>
      <c r="F359" s="65"/>
      <c r="G359" s="66"/>
      <c r="H359" s="67"/>
      <c r="I359" s="66"/>
      <c r="J359" s="67"/>
      <c r="K359" s="66"/>
      <c r="L359" s="67"/>
      <c r="M359" s="66"/>
      <c r="N359" s="67"/>
      <c r="O359" s="66"/>
      <c r="P359" s="67"/>
      <c r="Q359" s="68"/>
      <c r="R359" s="65"/>
      <c r="S359" s="66"/>
      <c r="T359" s="67"/>
      <c r="U359" s="66"/>
      <c r="V359" s="67"/>
      <c r="W359" s="66"/>
      <c r="X359" s="67"/>
      <c r="Y359" s="66"/>
      <c r="Z359" s="67"/>
      <c r="AA359" s="66"/>
      <c r="AB359" s="67"/>
      <c r="AC359" s="68"/>
      <c r="AD359" s="67"/>
      <c r="AE359" s="66"/>
      <c r="AF359" s="67"/>
      <c r="AG359" s="66"/>
      <c r="AH359" s="67"/>
      <c r="AI359" s="66"/>
      <c r="AJ359" s="65"/>
      <c r="AK359" s="68"/>
      <c r="AL359" s="71"/>
      <c r="AM359" s="68"/>
      <c r="AN359" s="119"/>
      <c r="AO359" s="68"/>
      <c r="AP359" s="119"/>
      <c r="AQ359" s="68"/>
      <c r="AR359" s="119"/>
      <c r="AS359" s="68"/>
      <c r="AT359" s="120"/>
      <c r="AU359" s="66"/>
      <c r="AV359" s="120"/>
      <c r="AW359" s="68"/>
      <c r="AX359" s="73">
        <f t="shared" si="1"/>
        <v>0</v>
      </c>
      <c r="AY359" s="63">
        <f t="shared" si="2"/>
        <v>0</v>
      </c>
      <c r="AZ359" s="63">
        <f t="shared" si="3"/>
        <v>0</v>
      </c>
      <c r="BA359" s="63">
        <f t="shared" si="4"/>
        <v>0</v>
      </c>
      <c r="BB359" s="74" t="str">
        <f t="shared" si="5"/>
        <v/>
      </c>
    </row>
    <row r="360" ht="15.75" customHeight="1">
      <c r="A360" s="127"/>
      <c r="B360" s="128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29"/>
      <c r="AW360" s="129"/>
      <c r="AX360" s="129"/>
      <c r="AY360" s="129"/>
      <c r="AZ360" s="129"/>
      <c r="BA360" s="129"/>
      <c r="BB360" s="129"/>
    </row>
    <row r="361" ht="15.75" customHeight="1">
      <c r="A361" s="127"/>
      <c r="B361" s="128"/>
      <c r="C361" s="129"/>
      <c r="D361" s="131"/>
      <c r="E361" s="132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30"/>
      <c r="AM361" s="130"/>
      <c r="AN361" s="130"/>
      <c r="AO361" s="130"/>
      <c r="AP361" s="130"/>
      <c r="AQ361" s="130"/>
      <c r="AR361" s="130"/>
      <c r="AS361" s="142"/>
      <c r="AT361" s="142"/>
      <c r="AU361" s="142"/>
      <c r="AV361" s="133"/>
      <c r="AW361" s="133"/>
      <c r="AX361" s="143">
        <f>SUM(AX3:AX359)</f>
        <v>891626.13</v>
      </c>
      <c r="AY361" s="135" t="s">
        <v>84</v>
      </c>
      <c r="AZ361" s="133"/>
      <c r="BA361" s="136">
        <f>SUM(BA3:BA359)</f>
        <v>72162</v>
      </c>
      <c r="BB361" s="129"/>
    </row>
    <row r="362" ht="15.75" customHeight="1">
      <c r="A362" s="127"/>
      <c r="B362" s="128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30"/>
      <c r="AM362" s="130"/>
      <c r="AN362" s="130"/>
      <c r="AO362" s="130"/>
      <c r="AP362" s="130"/>
      <c r="AQ362" s="130"/>
      <c r="AR362" s="130"/>
      <c r="AS362" s="142"/>
      <c r="AT362" s="142"/>
      <c r="AU362" s="142"/>
      <c r="AV362" s="133"/>
      <c r="AW362" s="133"/>
      <c r="AX362" s="137">
        <v>496354.4</v>
      </c>
      <c r="AY362" s="135" t="s">
        <v>85</v>
      </c>
      <c r="AZ362" s="133"/>
      <c r="BA362" s="133"/>
      <c r="BB362" s="129"/>
    </row>
    <row r="363" ht="15.75" customHeight="1">
      <c r="A363" s="127"/>
      <c r="B363" s="128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30"/>
      <c r="AM363" s="130"/>
      <c r="AN363" s="130"/>
      <c r="AO363" s="130"/>
      <c r="AP363" s="130"/>
      <c r="AQ363" s="130"/>
      <c r="AR363" s="130"/>
      <c r="AS363" s="142"/>
      <c r="AT363" s="142"/>
      <c r="AU363" s="142"/>
      <c r="AV363" s="133"/>
      <c r="AW363" s="133"/>
      <c r="AX363" s="143">
        <f>sum(AX361:AX362)</f>
        <v>1387980.53</v>
      </c>
      <c r="AY363" s="135" t="s">
        <v>86</v>
      </c>
      <c r="AZ363" s="133"/>
      <c r="BA363" s="133"/>
      <c r="BB363" s="129"/>
    </row>
    <row r="364" ht="15.75" customHeight="1">
      <c r="A364" s="127"/>
      <c r="B364" s="128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30"/>
      <c r="AM364" s="130"/>
      <c r="AN364" s="130"/>
      <c r="AO364" s="130"/>
      <c r="AP364" s="130"/>
      <c r="AQ364" s="130"/>
      <c r="AR364" s="130"/>
      <c r="AS364" s="142"/>
      <c r="AT364" s="142"/>
      <c r="AU364" s="142"/>
      <c r="AV364" s="133"/>
      <c r="AW364" s="133"/>
      <c r="AX364" s="133"/>
      <c r="AY364" s="133"/>
      <c r="AZ364" s="133"/>
      <c r="BA364" s="133"/>
      <c r="BB364" s="129"/>
    </row>
    <row r="365" ht="15.75" customHeight="1">
      <c r="A365" s="127"/>
      <c r="B365" s="128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30"/>
      <c r="AM365" s="130"/>
      <c r="AN365" s="130"/>
      <c r="AO365" s="130"/>
      <c r="AP365" s="130"/>
      <c r="AQ365" s="130"/>
      <c r="AR365" s="130"/>
      <c r="AS365" s="142"/>
      <c r="AT365" s="142"/>
      <c r="AU365" s="142"/>
      <c r="AV365" s="133"/>
      <c r="AW365" s="138"/>
      <c r="AX365" s="139" t="s">
        <v>88</v>
      </c>
      <c r="AY365" s="139" t="s">
        <v>89</v>
      </c>
      <c r="AZ365" s="139" t="s">
        <v>90</v>
      </c>
      <c r="BA365" s="135" t="s">
        <v>91</v>
      </c>
      <c r="BB365" s="129"/>
    </row>
    <row r="366" ht="15.75" customHeight="1">
      <c r="A366" s="127"/>
      <c r="B366" s="128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30"/>
      <c r="AM366" s="130"/>
      <c r="AN366" s="130"/>
      <c r="AO366" s="130"/>
      <c r="AP366" s="130"/>
      <c r="AQ366" s="130"/>
      <c r="AR366" s="130"/>
      <c r="AS366" s="142"/>
      <c r="AT366" s="142"/>
      <c r="AU366" s="142"/>
      <c r="AV366" s="133"/>
      <c r="AW366" s="138"/>
      <c r="AX366" s="140">
        <f t="shared" ref="AX366:AX378" si="7">SUMIF($C$3:$C$359, AW366, $AX$3:$AX$359)</f>
        <v>0</v>
      </c>
      <c r="AY366" s="138">
        <f>sum(R3:AC30)</f>
        <v>3409</v>
      </c>
      <c r="AZ366" s="139">
        <v>0.0</v>
      </c>
      <c r="BA366" s="135">
        <v>0.0</v>
      </c>
      <c r="BB366" s="129"/>
    </row>
    <row r="367" ht="15.75" customHeight="1">
      <c r="A367" s="127"/>
      <c r="B367" s="128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30"/>
      <c r="AM367" s="130"/>
      <c r="AN367" s="130"/>
      <c r="AO367" s="130"/>
      <c r="AP367" s="130"/>
      <c r="AQ367" s="130"/>
      <c r="AR367" s="130"/>
      <c r="AS367" s="142"/>
      <c r="AT367" s="142"/>
      <c r="AU367" s="142"/>
      <c r="AV367" s="133"/>
      <c r="AW367" s="138"/>
      <c r="AX367" s="140">
        <f t="shared" si="7"/>
        <v>0</v>
      </c>
      <c r="AY367" s="138">
        <f>sum(R31:AC58)</f>
        <v>8389</v>
      </c>
      <c r="AZ367" s="138">
        <f>sum(F31:Q58)</f>
        <v>3290</v>
      </c>
      <c r="BA367" s="135">
        <v>0.0</v>
      </c>
      <c r="BB367" s="129"/>
    </row>
    <row r="368" ht="15.75" customHeight="1">
      <c r="A368" s="141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30"/>
      <c r="AM368" s="130"/>
      <c r="AN368" s="130"/>
      <c r="AO368" s="130"/>
      <c r="AP368" s="130"/>
      <c r="AQ368" s="130"/>
      <c r="AR368" s="130"/>
      <c r="AS368" s="142"/>
      <c r="AT368" s="142"/>
      <c r="AU368" s="142"/>
      <c r="AV368" s="133"/>
      <c r="AW368" s="138"/>
      <c r="AX368" s="140">
        <f t="shared" si="7"/>
        <v>0</v>
      </c>
      <c r="AY368" s="138">
        <f>sum(R59:AC86)</f>
        <v>12055</v>
      </c>
      <c r="AZ368" s="138">
        <f>sum(F59:Q86)</f>
        <v>4439</v>
      </c>
      <c r="BA368" s="135">
        <v>0.0</v>
      </c>
      <c r="BB368" s="129"/>
    </row>
    <row r="369" ht="15.75" customHeight="1">
      <c r="A369" s="141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30"/>
      <c r="AM369" s="130"/>
      <c r="AN369" s="130"/>
      <c r="AO369" s="130"/>
      <c r="AP369" s="130"/>
      <c r="AQ369" s="130"/>
      <c r="AR369" s="130"/>
      <c r="AS369" s="142"/>
      <c r="AT369" s="142"/>
      <c r="AU369" s="142"/>
      <c r="AV369" s="133"/>
      <c r="AW369" s="138"/>
      <c r="AX369" s="140">
        <f t="shared" si="7"/>
        <v>0</v>
      </c>
      <c r="AY369" s="138">
        <f>sum(R87:AC114)</f>
        <v>6610</v>
      </c>
      <c r="AZ369" s="138">
        <v>0.0</v>
      </c>
      <c r="BA369" s="133">
        <f>sum(AD87:AI114)</f>
        <v>0</v>
      </c>
      <c r="BB369" s="129"/>
    </row>
    <row r="370" ht="15.75" customHeight="1">
      <c r="A370" s="141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30"/>
      <c r="AM370" s="130"/>
      <c r="AN370" s="130"/>
      <c r="AO370" s="130"/>
      <c r="AP370" s="130"/>
      <c r="AQ370" s="130"/>
      <c r="AR370" s="130"/>
      <c r="AS370" s="142"/>
      <c r="AT370" s="142"/>
      <c r="AU370" s="142"/>
      <c r="AV370" s="133"/>
      <c r="AW370" s="138"/>
      <c r="AX370" s="140">
        <f t="shared" si="7"/>
        <v>0</v>
      </c>
      <c r="AY370" s="138">
        <f>sum(R115:AC142)</f>
        <v>4671</v>
      </c>
      <c r="AZ370" s="138">
        <v>0.0</v>
      </c>
      <c r="BA370" s="133">
        <f>sum(AD115:AI142)</f>
        <v>0</v>
      </c>
      <c r="BB370" s="129"/>
    </row>
    <row r="371" ht="15.75" customHeight="1">
      <c r="A371" s="141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30"/>
      <c r="AM371" s="130"/>
      <c r="AN371" s="130"/>
      <c r="AO371" s="130"/>
      <c r="AP371" s="130"/>
      <c r="AQ371" s="130"/>
      <c r="AR371" s="130"/>
      <c r="AS371" s="142"/>
      <c r="AT371" s="142"/>
      <c r="AU371" s="142"/>
      <c r="AV371" s="133"/>
      <c r="AW371" s="138"/>
      <c r="AX371" s="140">
        <f t="shared" si="7"/>
        <v>0</v>
      </c>
      <c r="AY371" s="138">
        <f>sum(R143:AC170)</f>
        <v>4478</v>
      </c>
      <c r="AZ371" s="138">
        <v>0.0</v>
      </c>
      <c r="BA371" s="133">
        <f>sum(AD143:AI170)</f>
        <v>0</v>
      </c>
      <c r="BB371" s="129"/>
    </row>
    <row r="372" ht="15.75" customHeight="1">
      <c r="A372" s="141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30"/>
      <c r="AM372" s="130"/>
      <c r="AN372" s="130"/>
      <c r="AO372" s="130"/>
      <c r="AP372" s="130"/>
      <c r="AQ372" s="130"/>
      <c r="AR372" s="130"/>
      <c r="AS372" s="142"/>
      <c r="AT372" s="142"/>
      <c r="AU372" s="142"/>
      <c r="AV372" s="133"/>
      <c r="AW372" s="138"/>
      <c r="AX372" s="140">
        <f t="shared" si="7"/>
        <v>0</v>
      </c>
      <c r="AY372" s="138">
        <f>sum(R171:AC198)</f>
        <v>4876</v>
      </c>
      <c r="AZ372" s="138">
        <v>0.0</v>
      </c>
      <c r="BA372" s="133">
        <f>sum(AD171:AI198)</f>
        <v>0</v>
      </c>
      <c r="BB372" s="129"/>
    </row>
    <row r="373" ht="15.75" customHeight="1">
      <c r="A373" s="141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30"/>
      <c r="AM373" s="130"/>
      <c r="AN373" s="130"/>
      <c r="AO373" s="130"/>
      <c r="AP373" s="130"/>
      <c r="AQ373" s="130"/>
      <c r="AR373" s="130"/>
      <c r="AS373" s="142"/>
      <c r="AT373" s="142"/>
      <c r="AU373" s="142"/>
      <c r="AV373" s="133"/>
      <c r="AW373" s="138"/>
      <c r="AX373" s="140">
        <f t="shared" si="7"/>
        <v>0</v>
      </c>
      <c r="AY373" s="138">
        <f>sum(R199:AC226)</f>
        <v>6046</v>
      </c>
      <c r="AZ373" s="138">
        <v>0.0</v>
      </c>
      <c r="BA373" s="133">
        <f>sum(AD199:AI226)</f>
        <v>0</v>
      </c>
      <c r="BB373" s="129"/>
    </row>
    <row r="374" ht="15.75" customHeight="1">
      <c r="A374" s="141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30"/>
      <c r="AM374" s="130"/>
      <c r="AN374" s="130"/>
      <c r="AO374" s="130"/>
      <c r="AP374" s="130"/>
      <c r="AQ374" s="130"/>
      <c r="AR374" s="130"/>
      <c r="AS374" s="142"/>
      <c r="AT374" s="142"/>
      <c r="AU374" s="142"/>
      <c r="AV374" s="133"/>
      <c r="AW374" s="138"/>
      <c r="AX374" s="140">
        <f t="shared" si="7"/>
        <v>0</v>
      </c>
      <c r="AY374" s="138">
        <f>sum(R227:AC254)</f>
        <v>4799</v>
      </c>
      <c r="AZ374" s="138">
        <v>0.0</v>
      </c>
      <c r="BA374" s="133">
        <f>sum(AD227:AI254)</f>
        <v>0</v>
      </c>
      <c r="BB374" s="129"/>
    </row>
    <row r="375" ht="15.75" customHeight="1">
      <c r="A375" s="141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30"/>
      <c r="AM375" s="130"/>
      <c r="AN375" s="130"/>
      <c r="AO375" s="130"/>
      <c r="AP375" s="130"/>
      <c r="AQ375" s="130"/>
      <c r="AR375" s="130"/>
      <c r="AS375" s="142"/>
      <c r="AT375" s="142"/>
      <c r="AU375" s="142"/>
      <c r="AV375" s="133"/>
      <c r="AW375" s="138"/>
      <c r="AX375" s="140">
        <f t="shared" si="7"/>
        <v>0</v>
      </c>
      <c r="AY375" s="138">
        <f>sum(R255:AC282)</f>
        <v>4674</v>
      </c>
      <c r="AZ375" s="138">
        <v>0.0</v>
      </c>
      <c r="BA375" s="133">
        <f>sum(AD255:AI282)</f>
        <v>0</v>
      </c>
      <c r="BB375" s="129"/>
    </row>
    <row r="376" ht="15.75" customHeight="1">
      <c r="A376" s="141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30"/>
      <c r="AM376" s="130"/>
      <c r="AN376" s="130"/>
      <c r="AO376" s="130"/>
      <c r="AP376" s="130"/>
      <c r="AQ376" s="130"/>
      <c r="AR376" s="130"/>
      <c r="AS376" s="142"/>
      <c r="AT376" s="142"/>
      <c r="AU376" s="142"/>
      <c r="AV376" s="133"/>
      <c r="AW376" s="138"/>
      <c r="AX376" s="140">
        <f t="shared" si="7"/>
        <v>0</v>
      </c>
      <c r="AY376" s="138">
        <f>sum(R283:AC310)</f>
        <v>4142</v>
      </c>
      <c r="AZ376" s="138">
        <v>0.0</v>
      </c>
      <c r="BA376" s="135">
        <v>0.0</v>
      </c>
      <c r="BB376" s="129"/>
    </row>
    <row r="377" ht="15.75" customHeight="1">
      <c r="A377" s="141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30"/>
      <c r="AM377" s="130"/>
      <c r="AN377" s="130"/>
      <c r="AO377" s="130"/>
      <c r="AP377" s="130"/>
      <c r="AQ377" s="130"/>
      <c r="AR377" s="130"/>
      <c r="AS377" s="142"/>
      <c r="AT377" s="142"/>
      <c r="AU377" s="142"/>
      <c r="AV377" s="133"/>
      <c r="AW377" s="138"/>
      <c r="AX377" s="140">
        <f t="shared" si="7"/>
        <v>0</v>
      </c>
      <c r="AY377" s="138">
        <f>sum(R311:AC338)</f>
        <v>0</v>
      </c>
      <c r="AZ377" s="138">
        <v>0.0</v>
      </c>
      <c r="BA377" s="135">
        <v>0.0</v>
      </c>
      <c r="BB377" s="129"/>
    </row>
    <row r="378" ht="15.75" customHeight="1">
      <c r="A378" s="141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30"/>
      <c r="AM378" s="130"/>
      <c r="AN378" s="130"/>
      <c r="AO378" s="130"/>
      <c r="AP378" s="130"/>
      <c r="AQ378" s="130"/>
      <c r="AR378" s="130"/>
      <c r="AS378" s="142"/>
      <c r="AT378" s="142"/>
      <c r="AU378" s="142"/>
      <c r="AV378" s="133"/>
      <c r="AW378" s="138"/>
      <c r="AX378" s="140">
        <f t="shared" si="7"/>
        <v>0</v>
      </c>
      <c r="AY378" s="138">
        <f>sum(R339:AC359)</f>
        <v>0</v>
      </c>
      <c r="AZ378" s="138">
        <v>0.0</v>
      </c>
      <c r="BA378" s="135">
        <v>0.0</v>
      </c>
      <c r="BB378" s="129"/>
    </row>
    <row r="379" ht="15.75" customHeight="1">
      <c r="A379" s="141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30"/>
      <c r="AM379" s="130"/>
      <c r="AN379" s="130"/>
      <c r="AO379" s="130"/>
      <c r="AP379" s="130"/>
      <c r="AQ379" s="130"/>
      <c r="AR379" s="130"/>
      <c r="AS379" s="142"/>
      <c r="AT379" s="142"/>
      <c r="AU379" s="142"/>
      <c r="AV379" s="133"/>
      <c r="AW379" s="133"/>
      <c r="AX379" s="133"/>
      <c r="AY379" s="133"/>
      <c r="AZ379" s="133"/>
      <c r="BA379" s="133"/>
      <c r="BB379" s="129"/>
    </row>
    <row r="380" ht="15.75" customHeight="1">
      <c r="A380" s="141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30"/>
      <c r="AM380" s="130"/>
      <c r="AN380" s="130"/>
      <c r="AO380" s="130"/>
      <c r="AP380" s="130"/>
      <c r="AQ380" s="130"/>
      <c r="AR380" s="130"/>
      <c r="AS380" s="130"/>
      <c r="AT380" s="130"/>
      <c r="AU380" s="130"/>
      <c r="AV380" s="129"/>
      <c r="AW380" s="129"/>
      <c r="AX380" s="129"/>
      <c r="AY380" s="129"/>
      <c r="AZ380" s="129"/>
      <c r="BA380" s="129"/>
      <c r="BB380" s="129"/>
    </row>
    <row r="381" ht="15.75" customHeight="1">
      <c r="A381" s="141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30"/>
      <c r="AM381" s="130"/>
      <c r="AN381" s="130"/>
      <c r="AO381" s="130"/>
      <c r="AP381" s="130"/>
      <c r="AQ381" s="130"/>
      <c r="AR381" s="130"/>
      <c r="AS381" s="130"/>
      <c r="AT381" s="130"/>
      <c r="AU381" s="130"/>
      <c r="AV381" s="129"/>
      <c r="AW381" s="129"/>
      <c r="AX381" s="129"/>
      <c r="AY381" s="129">
        <f>sum(AY366:AY378)*U2</f>
        <v>713336.88</v>
      </c>
      <c r="AZ381" s="129">
        <f>sum(AZ366:AZ378)*I2</f>
        <v>171970.25</v>
      </c>
      <c r="BA381" s="129">
        <f>sum(BA366:BA378)*AG2</f>
        <v>0</v>
      </c>
      <c r="BB381" s="129"/>
    </row>
    <row r="382" ht="15.75" customHeight="1">
      <c r="A382" s="141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30"/>
      <c r="AM382" s="130"/>
      <c r="AN382" s="130"/>
      <c r="AO382" s="130"/>
      <c r="AP382" s="130"/>
      <c r="AQ382" s="130"/>
      <c r="AR382" s="130"/>
      <c r="AS382" s="130"/>
      <c r="AT382" s="130"/>
      <c r="AU382" s="130"/>
      <c r="AV382" s="129"/>
      <c r="AW382" s="129"/>
      <c r="AX382" s="129"/>
      <c r="AY382" s="129"/>
      <c r="AZ382" s="129"/>
      <c r="BA382" s="129"/>
      <c r="BB382" s="129"/>
    </row>
    <row r="383" ht="15.75" customHeight="1">
      <c r="A383" s="141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30"/>
      <c r="AM383" s="130"/>
      <c r="AN383" s="130"/>
      <c r="AO383" s="130"/>
      <c r="AP383" s="130"/>
      <c r="AQ383" s="130"/>
      <c r="AR383" s="130"/>
      <c r="AS383" s="130"/>
      <c r="AT383" s="130"/>
      <c r="AU383" s="130"/>
      <c r="AV383" s="129"/>
      <c r="AW383" s="129"/>
      <c r="AX383" s="129"/>
      <c r="AY383" s="129"/>
      <c r="AZ383" s="129"/>
      <c r="BA383" s="129"/>
      <c r="BB383" s="129"/>
    </row>
    <row r="384" ht="15.75" customHeight="1">
      <c r="A384" s="141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30"/>
      <c r="AM384" s="130"/>
      <c r="AN384" s="130"/>
      <c r="AO384" s="130"/>
      <c r="AP384" s="130"/>
      <c r="AQ384" s="130"/>
      <c r="AR384" s="130"/>
      <c r="AS384" s="130"/>
      <c r="AT384" s="130"/>
      <c r="AU384" s="130"/>
      <c r="AV384" s="129"/>
      <c r="AW384" s="129"/>
      <c r="AX384" s="129"/>
      <c r="AY384" s="129"/>
      <c r="AZ384" s="129"/>
      <c r="BA384" s="129"/>
      <c r="BB384" s="129"/>
    </row>
    <row r="385" ht="15.75" customHeight="1">
      <c r="A385" s="141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30"/>
      <c r="AM385" s="130"/>
      <c r="AN385" s="130"/>
      <c r="AO385" s="130"/>
      <c r="AP385" s="130"/>
      <c r="AQ385" s="130"/>
      <c r="AR385" s="130"/>
      <c r="AS385" s="130"/>
      <c r="AT385" s="130"/>
      <c r="AU385" s="130"/>
      <c r="AV385" s="129"/>
      <c r="AW385" s="129"/>
      <c r="AX385" s="129"/>
      <c r="AY385" s="129"/>
      <c r="AZ385" s="129"/>
      <c r="BA385" s="129"/>
      <c r="BB385" s="129"/>
    </row>
    <row r="386" ht="15.75" customHeight="1">
      <c r="A386" s="141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30"/>
      <c r="AM386" s="130"/>
      <c r="AN386" s="130"/>
      <c r="AO386" s="130"/>
      <c r="AP386" s="130"/>
      <c r="AQ386" s="130"/>
      <c r="AR386" s="130"/>
      <c r="AS386" s="130"/>
      <c r="AT386" s="130"/>
      <c r="AU386" s="130"/>
      <c r="AV386" s="129"/>
      <c r="AW386" s="129"/>
      <c r="AX386" s="129"/>
      <c r="AY386" s="129"/>
      <c r="AZ386" s="129"/>
      <c r="BA386" s="129"/>
      <c r="BB386" s="129"/>
    </row>
    <row r="387" ht="15.75" customHeight="1">
      <c r="A387" s="141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30"/>
      <c r="AM387" s="130"/>
      <c r="AN387" s="130"/>
      <c r="AO387" s="130"/>
      <c r="AP387" s="130"/>
      <c r="AQ387" s="130"/>
      <c r="AR387" s="130"/>
      <c r="AS387" s="130"/>
      <c r="AT387" s="130"/>
      <c r="AU387" s="130"/>
      <c r="AV387" s="129"/>
      <c r="AW387" s="129"/>
      <c r="AX387" s="129"/>
      <c r="AY387" s="129"/>
      <c r="AZ387" s="129"/>
      <c r="BA387" s="129"/>
      <c r="BB387" s="129"/>
    </row>
    <row r="388" ht="15.75" customHeight="1">
      <c r="A388" s="141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30"/>
      <c r="AM388" s="130"/>
      <c r="AN388" s="130"/>
      <c r="AO388" s="130"/>
      <c r="AP388" s="130"/>
      <c r="AQ388" s="130"/>
      <c r="AR388" s="130"/>
      <c r="AS388" s="130"/>
      <c r="AT388" s="130"/>
      <c r="AU388" s="130"/>
      <c r="AV388" s="129"/>
      <c r="AW388" s="129"/>
      <c r="AX388" s="129"/>
      <c r="AY388" s="129"/>
      <c r="AZ388" s="129"/>
      <c r="BA388" s="129"/>
      <c r="BB388" s="129"/>
    </row>
    <row r="389" ht="15.75" customHeight="1">
      <c r="A389" s="141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30"/>
      <c r="AM389" s="130"/>
      <c r="AN389" s="130"/>
      <c r="AO389" s="130"/>
      <c r="AP389" s="130"/>
      <c r="AQ389" s="130"/>
      <c r="AR389" s="130"/>
      <c r="AS389" s="130"/>
      <c r="AT389" s="130"/>
      <c r="AU389" s="130"/>
      <c r="AV389" s="129"/>
      <c r="AW389" s="129"/>
      <c r="AX389" s="129"/>
      <c r="AY389" s="129"/>
      <c r="AZ389" s="129"/>
      <c r="BA389" s="129"/>
      <c r="BB389" s="129"/>
    </row>
    <row r="390" ht="15.75" customHeight="1">
      <c r="A390" s="141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30"/>
      <c r="AM390" s="130"/>
      <c r="AN390" s="130"/>
      <c r="AO390" s="130"/>
      <c r="AP390" s="130"/>
      <c r="AQ390" s="130"/>
      <c r="AR390" s="130"/>
      <c r="AS390" s="130"/>
      <c r="AT390" s="130"/>
      <c r="AU390" s="130"/>
      <c r="AV390" s="129"/>
      <c r="AW390" s="129"/>
      <c r="AX390" s="129"/>
      <c r="AY390" s="129"/>
      <c r="AZ390" s="129"/>
      <c r="BA390" s="129"/>
      <c r="BB390" s="129"/>
    </row>
    <row r="391" ht="15.75" customHeight="1">
      <c r="A391" s="141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30"/>
      <c r="AM391" s="130"/>
      <c r="AN391" s="130"/>
      <c r="AO391" s="130"/>
      <c r="AP391" s="130"/>
      <c r="AQ391" s="130"/>
      <c r="AR391" s="130"/>
      <c r="AS391" s="130"/>
      <c r="AT391" s="130"/>
      <c r="AU391" s="130"/>
      <c r="AV391" s="129"/>
      <c r="AW391" s="129"/>
      <c r="AX391" s="129"/>
      <c r="AY391" s="129"/>
      <c r="AZ391" s="129"/>
      <c r="BA391" s="129"/>
      <c r="BB391" s="129"/>
    </row>
    <row r="392" ht="15.75" customHeight="1">
      <c r="A392" s="141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30"/>
      <c r="AM392" s="130"/>
      <c r="AN392" s="130"/>
      <c r="AO392" s="130"/>
      <c r="AP392" s="130"/>
      <c r="AQ392" s="130"/>
      <c r="AR392" s="130"/>
      <c r="AS392" s="130"/>
      <c r="AT392" s="130"/>
      <c r="AU392" s="130"/>
      <c r="AV392" s="129"/>
      <c r="AW392" s="129"/>
      <c r="AX392" s="129"/>
      <c r="AY392" s="129"/>
      <c r="AZ392" s="129"/>
      <c r="BA392" s="129"/>
      <c r="BB392" s="129"/>
    </row>
    <row r="393" ht="15.75" customHeight="1">
      <c r="A393" s="141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30"/>
      <c r="AM393" s="130"/>
      <c r="AN393" s="130"/>
      <c r="AO393" s="130"/>
      <c r="AP393" s="130"/>
      <c r="AQ393" s="130"/>
      <c r="AR393" s="130"/>
      <c r="AS393" s="130"/>
      <c r="AT393" s="130"/>
      <c r="AU393" s="130"/>
      <c r="AV393" s="129"/>
      <c r="AW393" s="129"/>
      <c r="AX393" s="129"/>
      <c r="AY393" s="129"/>
      <c r="AZ393" s="129"/>
      <c r="BA393" s="129"/>
      <c r="BB393" s="129"/>
    </row>
    <row r="394" ht="15.75" customHeight="1">
      <c r="A394" s="141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30"/>
      <c r="AM394" s="130"/>
      <c r="AN394" s="130"/>
      <c r="AO394" s="130"/>
      <c r="AP394" s="130"/>
      <c r="AQ394" s="130"/>
      <c r="AR394" s="130"/>
      <c r="AS394" s="130"/>
      <c r="AT394" s="130"/>
      <c r="AU394" s="130"/>
      <c r="AV394" s="129"/>
      <c r="AW394" s="129"/>
      <c r="AX394" s="129"/>
      <c r="AY394" s="129"/>
      <c r="AZ394" s="129"/>
      <c r="BA394" s="129"/>
      <c r="BB394" s="129"/>
    </row>
    <row r="395" ht="15.75" customHeight="1">
      <c r="A395" s="141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30"/>
      <c r="AM395" s="130"/>
      <c r="AN395" s="130"/>
      <c r="AO395" s="130"/>
      <c r="AP395" s="130"/>
      <c r="AQ395" s="130"/>
      <c r="AR395" s="130"/>
      <c r="AS395" s="130"/>
      <c r="AT395" s="130"/>
      <c r="AU395" s="130"/>
      <c r="AV395" s="129"/>
      <c r="AW395" s="129"/>
      <c r="AX395" s="129"/>
      <c r="AY395" s="129"/>
      <c r="AZ395" s="129"/>
      <c r="BA395" s="129"/>
      <c r="BB395" s="129"/>
    </row>
    <row r="396" ht="15.75" customHeight="1">
      <c r="A396" s="141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30"/>
      <c r="AM396" s="130"/>
      <c r="AN396" s="130"/>
      <c r="AO396" s="130"/>
      <c r="AP396" s="130"/>
      <c r="AQ396" s="130"/>
      <c r="AR396" s="130"/>
      <c r="AS396" s="130"/>
      <c r="AT396" s="130"/>
      <c r="AU396" s="130"/>
      <c r="AV396" s="129"/>
      <c r="AW396" s="129"/>
      <c r="AX396" s="129"/>
      <c r="AY396" s="129"/>
      <c r="AZ396" s="129"/>
      <c r="BA396" s="129"/>
      <c r="BB396" s="129"/>
    </row>
    <row r="397" ht="15.75" customHeight="1">
      <c r="A397" s="141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30"/>
      <c r="AM397" s="130"/>
      <c r="AN397" s="130"/>
      <c r="AO397" s="130"/>
      <c r="AP397" s="130"/>
      <c r="AQ397" s="130"/>
      <c r="AR397" s="130"/>
      <c r="AS397" s="130"/>
      <c r="AT397" s="130"/>
      <c r="AU397" s="130"/>
      <c r="AV397" s="129"/>
      <c r="AW397" s="129"/>
      <c r="AX397" s="129"/>
      <c r="AY397" s="129"/>
      <c r="AZ397" s="129"/>
      <c r="BA397" s="129"/>
      <c r="BB397" s="129"/>
    </row>
    <row r="398" ht="15.75" customHeight="1">
      <c r="A398" s="141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30"/>
      <c r="AM398" s="130"/>
      <c r="AN398" s="130"/>
      <c r="AO398" s="130"/>
      <c r="AP398" s="130"/>
      <c r="AQ398" s="130"/>
      <c r="AR398" s="130"/>
      <c r="AS398" s="130"/>
      <c r="AT398" s="130"/>
      <c r="AU398" s="130"/>
      <c r="AV398" s="129"/>
      <c r="AW398" s="129"/>
      <c r="AX398" s="129"/>
      <c r="AY398" s="129"/>
      <c r="AZ398" s="129"/>
      <c r="BA398" s="129"/>
      <c r="BB398" s="129"/>
    </row>
    <row r="399" ht="15.75" customHeight="1">
      <c r="A399" s="141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30"/>
      <c r="AM399" s="130"/>
      <c r="AN399" s="130"/>
      <c r="AO399" s="130"/>
      <c r="AP399" s="130"/>
      <c r="AQ399" s="130"/>
      <c r="AR399" s="130"/>
      <c r="AS399" s="130"/>
      <c r="AT399" s="130"/>
      <c r="AU399" s="130"/>
      <c r="AV399" s="129"/>
      <c r="AW399" s="129"/>
      <c r="AX399" s="129"/>
      <c r="AY399" s="129"/>
      <c r="AZ399" s="129"/>
      <c r="BA399" s="129"/>
      <c r="BB399" s="129"/>
    </row>
    <row r="400" ht="15.75" customHeight="1">
      <c r="A400" s="141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30"/>
      <c r="AM400" s="130"/>
      <c r="AN400" s="130"/>
      <c r="AO400" s="130"/>
      <c r="AP400" s="130"/>
      <c r="AQ400" s="130"/>
      <c r="AR400" s="130"/>
      <c r="AS400" s="130"/>
      <c r="AT400" s="130"/>
      <c r="AU400" s="130"/>
      <c r="AV400" s="129"/>
      <c r="AW400" s="129"/>
      <c r="AX400" s="129"/>
      <c r="AY400" s="129"/>
      <c r="AZ400" s="129"/>
      <c r="BA400" s="129"/>
      <c r="BB400" s="129"/>
    </row>
    <row r="401" ht="15.75" customHeight="1">
      <c r="A401" s="141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30"/>
      <c r="AM401" s="130"/>
      <c r="AN401" s="130"/>
      <c r="AO401" s="130"/>
      <c r="AP401" s="130"/>
      <c r="AQ401" s="130"/>
      <c r="AR401" s="130"/>
      <c r="AS401" s="130"/>
      <c r="AT401" s="130"/>
      <c r="AU401" s="130"/>
      <c r="AV401" s="129"/>
      <c r="AW401" s="129"/>
      <c r="AX401" s="129"/>
      <c r="AY401" s="129"/>
      <c r="AZ401" s="129"/>
      <c r="BA401" s="129"/>
      <c r="BB401" s="129"/>
    </row>
    <row r="402" ht="15.75" customHeight="1">
      <c r="A402" s="141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30"/>
      <c r="AM402" s="130"/>
      <c r="AN402" s="130"/>
      <c r="AO402" s="130"/>
      <c r="AP402" s="130"/>
      <c r="AQ402" s="130"/>
      <c r="AR402" s="130"/>
      <c r="AS402" s="130"/>
      <c r="AT402" s="130"/>
      <c r="AU402" s="130"/>
      <c r="AV402" s="129"/>
      <c r="AW402" s="129"/>
      <c r="AX402" s="129"/>
      <c r="AY402" s="129"/>
      <c r="AZ402" s="129"/>
      <c r="BA402" s="129"/>
      <c r="BB402" s="129"/>
    </row>
    <row r="403" ht="15.75" customHeight="1">
      <c r="A403" s="141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30"/>
      <c r="AM403" s="130"/>
      <c r="AN403" s="130"/>
      <c r="AO403" s="130"/>
      <c r="AP403" s="130"/>
      <c r="AQ403" s="130"/>
      <c r="AR403" s="130"/>
      <c r="AS403" s="130"/>
      <c r="AT403" s="130"/>
      <c r="AU403" s="130"/>
      <c r="AV403" s="129"/>
      <c r="AW403" s="129"/>
      <c r="AX403" s="129"/>
      <c r="AY403" s="129"/>
      <c r="AZ403" s="129"/>
      <c r="BA403" s="129"/>
      <c r="BB403" s="129"/>
    </row>
    <row r="404" ht="15.75" customHeight="1">
      <c r="A404" s="141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30"/>
      <c r="AM404" s="130"/>
      <c r="AN404" s="130"/>
      <c r="AO404" s="130"/>
      <c r="AP404" s="130"/>
      <c r="AQ404" s="130"/>
      <c r="AR404" s="130"/>
      <c r="AS404" s="130"/>
      <c r="AT404" s="130"/>
      <c r="AU404" s="130"/>
      <c r="AV404" s="129"/>
      <c r="AW404" s="129"/>
      <c r="AX404" s="129"/>
      <c r="AY404" s="129"/>
      <c r="AZ404" s="129"/>
      <c r="BA404" s="129"/>
      <c r="BB404" s="129"/>
    </row>
    <row r="405" ht="15.75" customHeight="1">
      <c r="A405" s="141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30"/>
      <c r="AM405" s="130"/>
      <c r="AN405" s="130"/>
      <c r="AO405" s="130"/>
      <c r="AP405" s="130"/>
      <c r="AQ405" s="130"/>
      <c r="AR405" s="130"/>
      <c r="AS405" s="130"/>
      <c r="AT405" s="130"/>
      <c r="AU405" s="130"/>
      <c r="AV405" s="129"/>
      <c r="AW405" s="129"/>
      <c r="AX405" s="129"/>
      <c r="AY405" s="129"/>
      <c r="AZ405" s="129"/>
      <c r="BA405" s="129"/>
      <c r="BB405" s="129"/>
    </row>
    <row r="406" ht="15.75" customHeight="1">
      <c r="A406" s="141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30"/>
      <c r="AM406" s="130"/>
      <c r="AN406" s="130"/>
      <c r="AO406" s="130"/>
      <c r="AP406" s="130"/>
      <c r="AQ406" s="130"/>
      <c r="AR406" s="130"/>
      <c r="AS406" s="130"/>
      <c r="AT406" s="130"/>
      <c r="AU406" s="130"/>
      <c r="AV406" s="129"/>
      <c r="AW406" s="129"/>
      <c r="AX406" s="129"/>
      <c r="AY406" s="129"/>
      <c r="AZ406" s="129"/>
      <c r="BA406" s="129"/>
      <c r="BB406" s="129"/>
    </row>
    <row r="407" ht="15.75" customHeight="1">
      <c r="A407" s="141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30"/>
      <c r="AM407" s="130"/>
      <c r="AN407" s="130"/>
      <c r="AO407" s="130"/>
      <c r="AP407" s="130"/>
      <c r="AQ407" s="130"/>
      <c r="AR407" s="130"/>
      <c r="AS407" s="130"/>
      <c r="AT407" s="130"/>
      <c r="AU407" s="130"/>
      <c r="AV407" s="129"/>
      <c r="AW407" s="129"/>
      <c r="AX407" s="129"/>
      <c r="AY407" s="129"/>
      <c r="AZ407" s="129"/>
      <c r="BA407" s="129"/>
      <c r="BB407" s="129"/>
    </row>
    <row r="408" ht="15.75" customHeight="1">
      <c r="A408" s="141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30"/>
      <c r="AM408" s="130"/>
      <c r="AN408" s="130"/>
      <c r="AO408" s="130"/>
      <c r="AP408" s="130"/>
      <c r="AQ408" s="130"/>
      <c r="AR408" s="130"/>
      <c r="AS408" s="130"/>
      <c r="AT408" s="130"/>
      <c r="AU408" s="130"/>
      <c r="AV408" s="129"/>
      <c r="AW408" s="129"/>
      <c r="AX408" s="129"/>
      <c r="AY408" s="129"/>
      <c r="AZ408" s="129"/>
      <c r="BA408" s="129"/>
      <c r="BB408" s="129"/>
    </row>
    <row r="409" ht="15.75" customHeight="1">
      <c r="A409" s="141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30"/>
      <c r="AM409" s="130"/>
      <c r="AN409" s="130"/>
      <c r="AO409" s="130"/>
      <c r="AP409" s="130"/>
      <c r="AQ409" s="130"/>
      <c r="AR409" s="130"/>
      <c r="AS409" s="130"/>
      <c r="AT409" s="130"/>
      <c r="AU409" s="130"/>
      <c r="AV409" s="129"/>
      <c r="AW409" s="129"/>
      <c r="AX409" s="129"/>
      <c r="AY409" s="129"/>
      <c r="AZ409" s="129"/>
      <c r="BA409" s="129"/>
      <c r="BB409" s="129"/>
    </row>
    <row r="410" ht="15.75" customHeight="1">
      <c r="A410" s="141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30"/>
      <c r="AM410" s="130"/>
      <c r="AN410" s="130"/>
      <c r="AO410" s="130"/>
      <c r="AP410" s="130"/>
      <c r="AQ410" s="130"/>
      <c r="AR410" s="130"/>
      <c r="AS410" s="130"/>
      <c r="AT410" s="130"/>
      <c r="AU410" s="130"/>
      <c r="AV410" s="129"/>
      <c r="AW410" s="129"/>
      <c r="AX410" s="129"/>
      <c r="AY410" s="129"/>
      <c r="AZ410" s="129"/>
      <c r="BA410" s="129"/>
      <c r="BB410" s="129"/>
    </row>
    <row r="411" ht="15.75" customHeight="1">
      <c r="A411" s="141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30"/>
      <c r="AM411" s="130"/>
      <c r="AN411" s="130"/>
      <c r="AO411" s="130"/>
      <c r="AP411" s="130"/>
      <c r="AQ411" s="130"/>
      <c r="AR411" s="130"/>
      <c r="AS411" s="130"/>
      <c r="AT411" s="130"/>
      <c r="AU411" s="130"/>
      <c r="AV411" s="129"/>
      <c r="AW411" s="129"/>
      <c r="AX411" s="129"/>
      <c r="AY411" s="129"/>
      <c r="AZ411" s="129"/>
      <c r="BA411" s="129"/>
      <c r="BB411" s="129"/>
    </row>
    <row r="412" ht="15.75" customHeight="1">
      <c r="A412" s="141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30"/>
      <c r="AM412" s="130"/>
      <c r="AN412" s="130"/>
      <c r="AO412" s="130"/>
      <c r="AP412" s="130"/>
      <c r="AQ412" s="130"/>
      <c r="AR412" s="130"/>
      <c r="AS412" s="130"/>
      <c r="AT412" s="130"/>
      <c r="AU412" s="130"/>
      <c r="AV412" s="129"/>
      <c r="AW412" s="129"/>
      <c r="AX412" s="129"/>
      <c r="AY412" s="129"/>
      <c r="AZ412" s="129"/>
      <c r="BA412" s="129"/>
      <c r="BB412" s="129"/>
    </row>
    <row r="413" ht="15.75" customHeight="1">
      <c r="A413" s="141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30"/>
      <c r="AM413" s="130"/>
      <c r="AN413" s="130"/>
      <c r="AO413" s="130"/>
      <c r="AP413" s="130"/>
      <c r="AQ413" s="130"/>
      <c r="AR413" s="130"/>
      <c r="AS413" s="130"/>
      <c r="AT413" s="130"/>
      <c r="AU413" s="130"/>
      <c r="AV413" s="129"/>
      <c r="AW413" s="129"/>
      <c r="AX413" s="129"/>
      <c r="AY413" s="129"/>
      <c r="AZ413" s="129"/>
      <c r="BA413" s="129"/>
      <c r="BB413" s="129"/>
    </row>
    <row r="414" ht="15.75" customHeight="1">
      <c r="A414" s="141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30"/>
      <c r="AM414" s="130"/>
      <c r="AN414" s="130"/>
      <c r="AO414" s="130"/>
      <c r="AP414" s="130"/>
      <c r="AQ414" s="130"/>
      <c r="AR414" s="130"/>
      <c r="AS414" s="130"/>
      <c r="AT414" s="130"/>
      <c r="AU414" s="130"/>
      <c r="AV414" s="129"/>
      <c r="AW414" s="129"/>
      <c r="AX414" s="129"/>
      <c r="AY414" s="129"/>
      <c r="AZ414" s="129"/>
      <c r="BA414" s="129"/>
      <c r="BB414" s="129"/>
    </row>
    <row r="415" ht="15.75" customHeight="1">
      <c r="A415" s="141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30"/>
      <c r="AM415" s="130"/>
      <c r="AN415" s="130"/>
      <c r="AO415" s="130"/>
      <c r="AP415" s="130"/>
      <c r="AQ415" s="130"/>
      <c r="AR415" s="130"/>
      <c r="AS415" s="130"/>
      <c r="AT415" s="130"/>
      <c r="AU415" s="130"/>
      <c r="AV415" s="129"/>
      <c r="AW415" s="129"/>
      <c r="AX415" s="129"/>
      <c r="AY415" s="129"/>
      <c r="AZ415" s="129"/>
      <c r="BA415" s="129"/>
      <c r="BB415" s="129"/>
    </row>
    <row r="416" ht="15.75" customHeight="1">
      <c r="A416" s="141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30"/>
      <c r="AM416" s="130"/>
      <c r="AN416" s="130"/>
      <c r="AO416" s="130"/>
      <c r="AP416" s="130"/>
      <c r="AQ416" s="130"/>
      <c r="AR416" s="130"/>
      <c r="AS416" s="130"/>
      <c r="AT416" s="130"/>
      <c r="AU416" s="130"/>
      <c r="AV416" s="129"/>
      <c r="AW416" s="129"/>
      <c r="AX416" s="129"/>
      <c r="AY416" s="129"/>
      <c r="AZ416" s="129"/>
      <c r="BA416" s="129"/>
      <c r="BB416" s="129"/>
    </row>
    <row r="417" ht="15.75" customHeight="1">
      <c r="A417" s="141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30"/>
      <c r="AM417" s="130"/>
      <c r="AN417" s="130"/>
      <c r="AO417" s="130"/>
      <c r="AP417" s="130"/>
      <c r="AQ417" s="130"/>
      <c r="AR417" s="130"/>
      <c r="AS417" s="130"/>
      <c r="AT417" s="130"/>
      <c r="AU417" s="130"/>
      <c r="AV417" s="129"/>
      <c r="AW417" s="129"/>
      <c r="AX417" s="129"/>
      <c r="AY417" s="129"/>
      <c r="AZ417" s="129"/>
      <c r="BA417" s="129"/>
      <c r="BB417" s="129"/>
    </row>
    <row r="418" ht="15.75" customHeight="1">
      <c r="A418" s="141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30"/>
      <c r="AM418" s="130"/>
      <c r="AN418" s="130"/>
      <c r="AO418" s="130"/>
      <c r="AP418" s="130"/>
      <c r="AQ418" s="130"/>
      <c r="AR418" s="130"/>
      <c r="AS418" s="130"/>
      <c r="AT418" s="130"/>
      <c r="AU418" s="130"/>
      <c r="AV418" s="129"/>
      <c r="AW418" s="129"/>
      <c r="AX418" s="129"/>
      <c r="AY418" s="129"/>
      <c r="AZ418" s="129"/>
      <c r="BA418" s="129"/>
      <c r="BB418" s="129"/>
    </row>
    <row r="419" ht="15.75" customHeight="1">
      <c r="A419" s="141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30"/>
      <c r="AM419" s="130"/>
      <c r="AN419" s="130"/>
      <c r="AO419" s="130"/>
      <c r="AP419" s="130"/>
      <c r="AQ419" s="130"/>
      <c r="AR419" s="130"/>
      <c r="AS419" s="130"/>
      <c r="AT419" s="130"/>
      <c r="AU419" s="130"/>
      <c r="AV419" s="129"/>
      <c r="AW419" s="129"/>
      <c r="AX419" s="129"/>
      <c r="AY419" s="129"/>
      <c r="AZ419" s="129"/>
      <c r="BA419" s="129"/>
      <c r="BB419" s="129"/>
    </row>
    <row r="420" ht="15.75" customHeight="1">
      <c r="A420" s="141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30"/>
      <c r="AM420" s="130"/>
      <c r="AN420" s="130"/>
      <c r="AO420" s="130"/>
      <c r="AP420" s="130"/>
      <c r="AQ420" s="130"/>
      <c r="AR420" s="130"/>
      <c r="AS420" s="130"/>
      <c r="AT420" s="130"/>
      <c r="AU420" s="130"/>
      <c r="AV420" s="129"/>
      <c r="AW420" s="129"/>
      <c r="AX420" s="129"/>
      <c r="AY420" s="129"/>
      <c r="AZ420" s="129"/>
      <c r="BA420" s="129"/>
      <c r="BB420" s="129"/>
    </row>
    <row r="421" ht="15.75" customHeight="1">
      <c r="A421" s="141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30"/>
      <c r="AM421" s="130"/>
      <c r="AN421" s="130"/>
      <c r="AO421" s="130"/>
      <c r="AP421" s="130"/>
      <c r="AQ421" s="130"/>
      <c r="AR421" s="130"/>
      <c r="AS421" s="130"/>
      <c r="AT421" s="130"/>
      <c r="AU421" s="130"/>
      <c r="AV421" s="129"/>
      <c r="AW421" s="129"/>
      <c r="AX421" s="129"/>
      <c r="AY421" s="129"/>
      <c r="AZ421" s="129"/>
      <c r="BA421" s="129"/>
      <c r="BB421" s="129"/>
    </row>
    <row r="422" ht="15.75" customHeight="1">
      <c r="A422" s="141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30"/>
      <c r="AM422" s="130"/>
      <c r="AN422" s="130"/>
      <c r="AO422" s="130"/>
      <c r="AP422" s="130"/>
      <c r="AQ422" s="130"/>
      <c r="AR422" s="130"/>
      <c r="AS422" s="130"/>
      <c r="AT422" s="130"/>
      <c r="AU422" s="130"/>
      <c r="AV422" s="129"/>
      <c r="AW422" s="129"/>
      <c r="AX422" s="129"/>
      <c r="AY422" s="129"/>
      <c r="AZ422" s="129"/>
      <c r="BA422" s="129"/>
      <c r="BB422" s="129"/>
    </row>
    <row r="423" ht="15.75" customHeight="1">
      <c r="A423" s="141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30"/>
      <c r="AM423" s="130"/>
      <c r="AN423" s="130"/>
      <c r="AO423" s="130"/>
      <c r="AP423" s="130"/>
      <c r="AQ423" s="130"/>
      <c r="AR423" s="130"/>
      <c r="AS423" s="130"/>
      <c r="AT423" s="130"/>
      <c r="AU423" s="130"/>
      <c r="AV423" s="129"/>
      <c r="AW423" s="129"/>
      <c r="AX423" s="129"/>
      <c r="AY423" s="129"/>
      <c r="AZ423" s="129"/>
      <c r="BA423" s="129"/>
      <c r="BB423" s="129"/>
    </row>
    <row r="424" ht="15.75" customHeight="1">
      <c r="A424" s="141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30"/>
      <c r="AM424" s="130"/>
      <c r="AN424" s="130"/>
      <c r="AO424" s="130"/>
      <c r="AP424" s="130"/>
      <c r="AQ424" s="130"/>
      <c r="AR424" s="130"/>
      <c r="AS424" s="130"/>
      <c r="AT424" s="130"/>
      <c r="AU424" s="130"/>
      <c r="AV424" s="129"/>
      <c r="AW424" s="129"/>
      <c r="AX424" s="129"/>
      <c r="AY424" s="129"/>
      <c r="AZ424" s="129"/>
      <c r="BA424" s="129"/>
      <c r="BB424" s="129"/>
    </row>
    <row r="425" ht="15.75" customHeight="1">
      <c r="A425" s="141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30"/>
      <c r="AM425" s="130"/>
      <c r="AN425" s="130"/>
      <c r="AO425" s="130"/>
      <c r="AP425" s="130"/>
      <c r="AQ425" s="130"/>
      <c r="AR425" s="130"/>
      <c r="AS425" s="130"/>
      <c r="AT425" s="130"/>
      <c r="AU425" s="130"/>
      <c r="AV425" s="129"/>
      <c r="AW425" s="129"/>
      <c r="AX425" s="129"/>
      <c r="AY425" s="129"/>
      <c r="AZ425" s="129"/>
      <c r="BA425" s="129"/>
      <c r="BB425" s="129"/>
    </row>
    <row r="426" ht="15.75" customHeight="1">
      <c r="A426" s="141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30"/>
      <c r="AM426" s="130"/>
      <c r="AN426" s="130"/>
      <c r="AO426" s="130"/>
      <c r="AP426" s="130"/>
      <c r="AQ426" s="130"/>
      <c r="AR426" s="130"/>
      <c r="AS426" s="130"/>
      <c r="AT426" s="130"/>
      <c r="AU426" s="130"/>
      <c r="AV426" s="129"/>
      <c r="AW426" s="129"/>
      <c r="AX426" s="129"/>
      <c r="AY426" s="129"/>
      <c r="AZ426" s="129"/>
      <c r="BA426" s="129"/>
      <c r="BB426" s="129"/>
    </row>
    <row r="427" ht="15.75" customHeight="1">
      <c r="A427" s="141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30"/>
      <c r="AM427" s="130"/>
      <c r="AN427" s="130"/>
      <c r="AO427" s="130"/>
      <c r="AP427" s="130"/>
      <c r="AQ427" s="130"/>
      <c r="AR427" s="130"/>
      <c r="AS427" s="130"/>
      <c r="AT427" s="130"/>
      <c r="AU427" s="130"/>
      <c r="AV427" s="129"/>
      <c r="AW427" s="129"/>
      <c r="AX427" s="129"/>
      <c r="AY427" s="129"/>
      <c r="AZ427" s="129"/>
      <c r="BA427" s="129"/>
      <c r="BB427" s="129"/>
    </row>
    <row r="428" ht="15.75" customHeight="1">
      <c r="A428" s="141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30"/>
      <c r="AM428" s="130"/>
      <c r="AN428" s="130"/>
      <c r="AO428" s="130"/>
      <c r="AP428" s="130"/>
      <c r="AQ428" s="130"/>
      <c r="AR428" s="130"/>
      <c r="AS428" s="130"/>
      <c r="AT428" s="130"/>
      <c r="AU428" s="130"/>
      <c r="AV428" s="129"/>
      <c r="AW428" s="129"/>
      <c r="AX428" s="129"/>
      <c r="AY428" s="129"/>
      <c r="AZ428" s="129"/>
      <c r="BA428" s="129"/>
      <c r="BB428" s="129"/>
    </row>
    <row r="429" ht="15.75" customHeight="1">
      <c r="A429" s="141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30"/>
      <c r="AM429" s="130"/>
      <c r="AN429" s="130"/>
      <c r="AO429" s="130"/>
      <c r="AP429" s="130"/>
      <c r="AQ429" s="130"/>
      <c r="AR429" s="130"/>
      <c r="AS429" s="130"/>
      <c r="AT429" s="130"/>
      <c r="AU429" s="130"/>
      <c r="AV429" s="129"/>
      <c r="AW429" s="129"/>
      <c r="AX429" s="129"/>
      <c r="AY429" s="129"/>
      <c r="AZ429" s="129"/>
      <c r="BA429" s="129"/>
      <c r="BB429" s="129"/>
    </row>
    <row r="430" ht="15.75" customHeight="1">
      <c r="A430" s="141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30"/>
      <c r="AM430" s="130"/>
      <c r="AN430" s="130"/>
      <c r="AO430" s="130"/>
      <c r="AP430" s="130"/>
      <c r="AQ430" s="130"/>
      <c r="AR430" s="130"/>
      <c r="AS430" s="130"/>
      <c r="AT430" s="130"/>
      <c r="AU430" s="130"/>
      <c r="AV430" s="129"/>
      <c r="AW430" s="129"/>
      <c r="AX430" s="129"/>
      <c r="AY430" s="129"/>
      <c r="AZ430" s="129"/>
      <c r="BA430" s="129"/>
      <c r="BB430" s="129"/>
    </row>
    <row r="431" ht="15.75" customHeight="1">
      <c r="A431" s="141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30"/>
      <c r="AM431" s="130"/>
      <c r="AN431" s="130"/>
      <c r="AO431" s="130"/>
      <c r="AP431" s="130"/>
      <c r="AQ431" s="130"/>
      <c r="AR431" s="130"/>
      <c r="AS431" s="130"/>
      <c r="AT431" s="130"/>
      <c r="AU431" s="130"/>
      <c r="AV431" s="129"/>
      <c r="AW431" s="129"/>
      <c r="AX431" s="129"/>
      <c r="AY431" s="129"/>
      <c r="AZ431" s="129"/>
      <c r="BA431" s="129"/>
      <c r="BB431" s="129"/>
    </row>
    <row r="432" ht="15.75" customHeight="1">
      <c r="A432" s="141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30"/>
      <c r="AM432" s="130"/>
      <c r="AN432" s="130"/>
      <c r="AO432" s="130"/>
      <c r="AP432" s="130"/>
      <c r="AQ432" s="130"/>
      <c r="AR432" s="130"/>
      <c r="AS432" s="130"/>
      <c r="AT432" s="130"/>
      <c r="AU432" s="130"/>
      <c r="AV432" s="129"/>
      <c r="AW432" s="129"/>
      <c r="AX432" s="129"/>
      <c r="AY432" s="129"/>
      <c r="AZ432" s="129"/>
      <c r="BA432" s="129"/>
      <c r="BB432" s="129"/>
    </row>
    <row r="433" ht="15.75" customHeight="1">
      <c r="A433" s="141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30"/>
      <c r="AM433" s="130"/>
      <c r="AN433" s="130"/>
      <c r="AO433" s="130"/>
      <c r="AP433" s="130"/>
      <c r="AQ433" s="130"/>
      <c r="AR433" s="130"/>
      <c r="AS433" s="130"/>
      <c r="AT433" s="130"/>
      <c r="AU433" s="130"/>
      <c r="AV433" s="129"/>
      <c r="AW433" s="129"/>
      <c r="AX433" s="129"/>
      <c r="AY433" s="129"/>
      <c r="AZ433" s="129"/>
      <c r="BA433" s="129"/>
      <c r="BB433" s="129"/>
    </row>
    <row r="434" ht="15.75" customHeight="1">
      <c r="A434" s="141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30"/>
      <c r="AM434" s="130"/>
      <c r="AN434" s="130"/>
      <c r="AO434" s="130"/>
      <c r="AP434" s="130"/>
      <c r="AQ434" s="130"/>
      <c r="AR434" s="130"/>
      <c r="AS434" s="130"/>
      <c r="AT434" s="130"/>
      <c r="AU434" s="130"/>
      <c r="AV434" s="129"/>
      <c r="AW434" s="129"/>
      <c r="AX434" s="129"/>
      <c r="AY434" s="129"/>
      <c r="AZ434" s="129"/>
      <c r="BA434" s="129"/>
      <c r="BB434" s="129"/>
    </row>
    <row r="435" ht="15.75" customHeight="1">
      <c r="A435" s="141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30"/>
      <c r="AM435" s="130"/>
      <c r="AN435" s="130"/>
      <c r="AO435" s="130"/>
      <c r="AP435" s="130"/>
      <c r="AQ435" s="130"/>
      <c r="AR435" s="130"/>
      <c r="AS435" s="130"/>
      <c r="AT435" s="130"/>
      <c r="AU435" s="130"/>
      <c r="AV435" s="129"/>
      <c r="AW435" s="129"/>
      <c r="AX435" s="129"/>
      <c r="AY435" s="129"/>
      <c r="AZ435" s="129"/>
      <c r="BA435" s="129"/>
      <c r="BB435" s="129"/>
    </row>
    <row r="436" ht="15.75" customHeight="1">
      <c r="A436" s="141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30"/>
      <c r="AM436" s="130"/>
      <c r="AN436" s="130"/>
      <c r="AO436" s="130"/>
      <c r="AP436" s="130"/>
      <c r="AQ436" s="130"/>
      <c r="AR436" s="130"/>
      <c r="AS436" s="130"/>
      <c r="AT436" s="130"/>
      <c r="AU436" s="130"/>
      <c r="AV436" s="129"/>
      <c r="AW436" s="129"/>
      <c r="AX436" s="129"/>
      <c r="AY436" s="129"/>
      <c r="AZ436" s="129"/>
      <c r="BA436" s="129"/>
      <c r="BB436" s="129"/>
    </row>
    <row r="437" ht="15.75" customHeight="1">
      <c r="A437" s="141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30"/>
      <c r="AM437" s="130"/>
      <c r="AN437" s="130"/>
      <c r="AO437" s="130"/>
      <c r="AP437" s="130"/>
      <c r="AQ437" s="130"/>
      <c r="AR437" s="130"/>
      <c r="AS437" s="130"/>
      <c r="AT437" s="130"/>
      <c r="AU437" s="130"/>
      <c r="AV437" s="129"/>
      <c r="AW437" s="129"/>
      <c r="AX437" s="129"/>
      <c r="AY437" s="129"/>
      <c r="AZ437" s="129"/>
      <c r="BA437" s="129"/>
      <c r="BB437" s="129"/>
    </row>
    <row r="438" ht="15.75" customHeight="1">
      <c r="A438" s="141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30"/>
      <c r="AM438" s="130"/>
      <c r="AN438" s="130"/>
      <c r="AO438" s="130"/>
      <c r="AP438" s="130"/>
      <c r="AQ438" s="130"/>
      <c r="AR438" s="130"/>
      <c r="AS438" s="130"/>
      <c r="AT438" s="130"/>
      <c r="AU438" s="130"/>
      <c r="AV438" s="129"/>
      <c r="AW438" s="129"/>
      <c r="AX438" s="129"/>
      <c r="AY438" s="129"/>
      <c r="AZ438" s="129"/>
      <c r="BA438" s="129"/>
      <c r="BB438" s="129"/>
    </row>
    <row r="439" ht="15.75" customHeight="1">
      <c r="A439" s="141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30"/>
      <c r="AM439" s="130"/>
      <c r="AN439" s="130"/>
      <c r="AO439" s="130"/>
      <c r="AP439" s="130"/>
      <c r="AQ439" s="130"/>
      <c r="AR439" s="130"/>
      <c r="AS439" s="130"/>
      <c r="AT439" s="130"/>
      <c r="AU439" s="130"/>
      <c r="AV439" s="129"/>
      <c r="AW439" s="129"/>
      <c r="AX439" s="129"/>
      <c r="AY439" s="129"/>
      <c r="AZ439" s="129"/>
      <c r="BA439" s="129"/>
      <c r="BB439" s="129"/>
    </row>
    <row r="440" ht="15.75" customHeight="1">
      <c r="A440" s="141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30"/>
      <c r="AM440" s="130"/>
      <c r="AN440" s="130"/>
      <c r="AO440" s="130"/>
      <c r="AP440" s="130"/>
      <c r="AQ440" s="130"/>
      <c r="AR440" s="130"/>
      <c r="AS440" s="130"/>
      <c r="AT440" s="130"/>
      <c r="AU440" s="130"/>
      <c r="AV440" s="129"/>
      <c r="AW440" s="129"/>
      <c r="AX440" s="129"/>
      <c r="AY440" s="129"/>
      <c r="AZ440" s="129"/>
      <c r="BA440" s="129"/>
      <c r="BB440" s="129"/>
    </row>
    <row r="441" ht="15.75" customHeight="1">
      <c r="A441" s="141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30"/>
      <c r="AM441" s="130"/>
      <c r="AN441" s="130"/>
      <c r="AO441" s="130"/>
      <c r="AP441" s="130"/>
      <c r="AQ441" s="130"/>
      <c r="AR441" s="130"/>
      <c r="AS441" s="130"/>
      <c r="AT441" s="130"/>
      <c r="AU441" s="130"/>
      <c r="AV441" s="129"/>
      <c r="AW441" s="129"/>
      <c r="AX441" s="129"/>
      <c r="AY441" s="129"/>
      <c r="AZ441" s="129"/>
      <c r="BA441" s="129"/>
      <c r="BB441" s="129"/>
    </row>
    <row r="442" ht="15.75" customHeight="1">
      <c r="A442" s="141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30"/>
      <c r="AM442" s="130"/>
      <c r="AN442" s="130"/>
      <c r="AO442" s="130"/>
      <c r="AP442" s="130"/>
      <c r="AQ442" s="130"/>
      <c r="AR442" s="130"/>
      <c r="AS442" s="130"/>
      <c r="AT442" s="130"/>
      <c r="AU442" s="130"/>
      <c r="AV442" s="129"/>
      <c r="AW442" s="129"/>
      <c r="AX442" s="129"/>
      <c r="AY442" s="129"/>
      <c r="AZ442" s="129"/>
      <c r="BA442" s="129"/>
      <c r="BB442" s="129"/>
    </row>
    <row r="443" ht="15.75" customHeight="1">
      <c r="A443" s="141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30"/>
      <c r="AM443" s="130"/>
      <c r="AN443" s="130"/>
      <c r="AO443" s="130"/>
      <c r="AP443" s="130"/>
      <c r="AQ443" s="130"/>
      <c r="AR443" s="130"/>
      <c r="AS443" s="130"/>
      <c r="AT443" s="130"/>
      <c r="AU443" s="130"/>
      <c r="AV443" s="129"/>
      <c r="AW443" s="129"/>
      <c r="AX443" s="129"/>
      <c r="AY443" s="129"/>
      <c r="AZ443" s="129"/>
      <c r="BA443" s="129"/>
      <c r="BB443" s="129"/>
    </row>
    <row r="444" ht="15.75" customHeight="1">
      <c r="A444" s="141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30"/>
      <c r="AM444" s="130"/>
      <c r="AN444" s="130"/>
      <c r="AO444" s="130"/>
      <c r="AP444" s="130"/>
      <c r="AQ444" s="130"/>
      <c r="AR444" s="130"/>
      <c r="AS444" s="130"/>
      <c r="AT444" s="130"/>
      <c r="AU444" s="130"/>
      <c r="AV444" s="129"/>
      <c r="AW444" s="129"/>
      <c r="AX444" s="129"/>
      <c r="AY444" s="129"/>
      <c r="AZ444" s="129"/>
      <c r="BA444" s="129"/>
      <c r="BB444" s="129"/>
    </row>
    <row r="445" ht="15.75" customHeight="1">
      <c r="A445" s="141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30"/>
      <c r="AM445" s="130"/>
      <c r="AN445" s="130"/>
      <c r="AO445" s="130"/>
      <c r="AP445" s="130"/>
      <c r="AQ445" s="130"/>
      <c r="AR445" s="130"/>
      <c r="AS445" s="130"/>
      <c r="AT445" s="130"/>
      <c r="AU445" s="130"/>
      <c r="AV445" s="129"/>
      <c r="AW445" s="129"/>
      <c r="AX445" s="129"/>
      <c r="AY445" s="129"/>
      <c r="AZ445" s="129"/>
      <c r="BA445" s="129"/>
      <c r="BB445" s="129"/>
    </row>
    <row r="446" ht="15.75" customHeight="1">
      <c r="A446" s="141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30"/>
      <c r="AM446" s="130"/>
      <c r="AN446" s="130"/>
      <c r="AO446" s="130"/>
      <c r="AP446" s="130"/>
      <c r="AQ446" s="130"/>
      <c r="AR446" s="130"/>
      <c r="AS446" s="130"/>
      <c r="AT446" s="130"/>
      <c r="AU446" s="130"/>
      <c r="AV446" s="129"/>
      <c r="AW446" s="129"/>
      <c r="AX446" s="129"/>
      <c r="AY446" s="129"/>
      <c r="AZ446" s="129"/>
      <c r="BA446" s="129"/>
      <c r="BB446" s="129"/>
    </row>
    <row r="447" ht="15.75" customHeight="1">
      <c r="A447" s="141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30"/>
      <c r="AM447" s="130"/>
      <c r="AN447" s="130"/>
      <c r="AO447" s="130"/>
      <c r="AP447" s="130"/>
      <c r="AQ447" s="130"/>
      <c r="AR447" s="130"/>
      <c r="AS447" s="130"/>
      <c r="AT447" s="130"/>
      <c r="AU447" s="130"/>
      <c r="AV447" s="129"/>
      <c r="AW447" s="129"/>
      <c r="AX447" s="129"/>
      <c r="AY447" s="129"/>
      <c r="AZ447" s="129"/>
      <c r="BA447" s="129"/>
      <c r="BB447" s="129"/>
    </row>
    <row r="448" ht="15.75" customHeight="1">
      <c r="A448" s="141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30"/>
      <c r="AM448" s="130"/>
      <c r="AN448" s="130"/>
      <c r="AO448" s="130"/>
      <c r="AP448" s="130"/>
      <c r="AQ448" s="130"/>
      <c r="AR448" s="130"/>
      <c r="AS448" s="130"/>
      <c r="AT448" s="130"/>
      <c r="AU448" s="130"/>
      <c r="AV448" s="129"/>
      <c r="AW448" s="129"/>
      <c r="AX448" s="129"/>
      <c r="AY448" s="129"/>
      <c r="AZ448" s="129"/>
      <c r="BA448" s="129"/>
      <c r="BB448" s="129"/>
    </row>
    <row r="449" ht="15.75" customHeight="1">
      <c r="A449" s="141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30"/>
      <c r="AM449" s="130"/>
      <c r="AN449" s="130"/>
      <c r="AO449" s="130"/>
      <c r="AP449" s="130"/>
      <c r="AQ449" s="130"/>
      <c r="AR449" s="130"/>
      <c r="AS449" s="130"/>
      <c r="AT449" s="130"/>
      <c r="AU449" s="130"/>
      <c r="AV449" s="129"/>
      <c r="AW449" s="129"/>
      <c r="AX449" s="129"/>
      <c r="AY449" s="129"/>
      <c r="AZ449" s="129"/>
      <c r="BA449" s="129"/>
      <c r="BB449" s="129"/>
    </row>
    <row r="450" ht="15.75" customHeight="1">
      <c r="A450" s="141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30"/>
      <c r="AM450" s="130"/>
      <c r="AN450" s="130"/>
      <c r="AO450" s="130"/>
      <c r="AP450" s="130"/>
      <c r="AQ450" s="130"/>
      <c r="AR450" s="130"/>
      <c r="AS450" s="130"/>
      <c r="AT450" s="130"/>
      <c r="AU450" s="130"/>
      <c r="AV450" s="129"/>
      <c r="AW450" s="129"/>
      <c r="AX450" s="129"/>
      <c r="AY450" s="129"/>
      <c r="AZ450" s="129"/>
      <c r="BA450" s="129"/>
      <c r="BB450" s="129"/>
    </row>
    <row r="451" ht="15.75" customHeight="1">
      <c r="A451" s="141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30"/>
      <c r="AM451" s="130"/>
      <c r="AN451" s="130"/>
      <c r="AO451" s="130"/>
      <c r="AP451" s="130"/>
      <c r="AQ451" s="130"/>
      <c r="AR451" s="130"/>
      <c r="AS451" s="130"/>
      <c r="AT451" s="130"/>
      <c r="AU451" s="130"/>
      <c r="AV451" s="129"/>
      <c r="AW451" s="129"/>
      <c r="AX451" s="129"/>
      <c r="AY451" s="129"/>
      <c r="AZ451" s="129"/>
      <c r="BA451" s="129"/>
      <c r="BB451" s="129"/>
    </row>
    <row r="452" ht="15.75" customHeight="1">
      <c r="A452" s="141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30"/>
      <c r="AM452" s="130"/>
      <c r="AN452" s="130"/>
      <c r="AO452" s="130"/>
      <c r="AP452" s="130"/>
      <c r="AQ452" s="130"/>
      <c r="AR452" s="130"/>
      <c r="AS452" s="130"/>
      <c r="AT452" s="130"/>
      <c r="AU452" s="130"/>
      <c r="AV452" s="129"/>
      <c r="AW452" s="129"/>
      <c r="AX452" s="129"/>
      <c r="AY452" s="129"/>
      <c r="AZ452" s="129"/>
      <c r="BA452" s="129"/>
      <c r="BB452" s="129"/>
    </row>
    <row r="453" ht="15.75" customHeight="1">
      <c r="A453" s="141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30"/>
      <c r="AM453" s="130"/>
      <c r="AN453" s="130"/>
      <c r="AO453" s="130"/>
      <c r="AP453" s="130"/>
      <c r="AQ453" s="130"/>
      <c r="AR453" s="130"/>
      <c r="AS453" s="130"/>
      <c r="AT453" s="130"/>
      <c r="AU453" s="130"/>
      <c r="AV453" s="129"/>
      <c r="AW453" s="129"/>
      <c r="AX453" s="129"/>
      <c r="AY453" s="129"/>
      <c r="AZ453" s="129"/>
      <c r="BA453" s="129"/>
      <c r="BB453" s="129"/>
    </row>
    <row r="454" ht="15.75" customHeight="1">
      <c r="A454" s="141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30"/>
      <c r="AM454" s="130"/>
      <c r="AN454" s="130"/>
      <c r="AO454" s="130"/>
      <c r="AP454" s="130"/>
      <c r="AQ454" s="130"/>
      <c r="AR454" s="130"/>
      <c r="AS454" s="130"/>
      <c r="AT454" s="130"/>
      <c r="AU454" s="130"/>
      <c r="AV454" s="129"/>
      <c r="AW454" s="129"/>
      <c r="AX454" s="129"/>
      <c r="AY454" s="129"/>
      <c r="AZ454" s="129"/>
      <c r="BA454" s="129"/>
      <c r="BB454" s="129"/>
    </row>
    <row r="455" ht="15.75" customHeight="1">
      <c r="A455" s="141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30"/>
      <c r="AM455" s="130"/>
      <c r="AN455" s="130"/>
      <c r="AO455" s="130"/>
      <c r="AP455" s="130"/>
      <c r="AQ455" s="130"/>
      <c r="AR455" s="130"/>
      <c r="AS455" s="130"/>
      <c r="AT455" s="130"/>
      <c r="AU455" s="130"/>
      <c r="AV455" s="129"/>
      <c r="AW455" s="129"/>
      <c r="AX455" s="129"/>
      <c r="AY455" s="129"/>
      <c r="AZ455" s="129"/>
      <c r="BA455" s="129"/>
      <c r="BB455" s="129"/>
    </row>
    <row r="456" ht="15.75" customHeight="1">
      <c r="A456" s="141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30"/>
      <c r="AM456" s="130"/>
      <c r="AN456" s="130"/>
      <c r="AO456" s="130"/>
      <c r="AP456" s="130"/>
      <c r="AQ456" s="130"/>
      <c r="AR456" s="130"/>
      <c r="AS456" s="130"/>
      <c r="AT456" s="130"/>
      <c r="AU456" s="130"/>
      <c r="AV456" s="129"/>
      <c r="AW456" s="129"/>
      <c r="AX456" s="129"/>
      <c r="AY456" s="129"/>
      <c r="AZ456" s="129"/>
      <c r="BA456" s="129"/>
      <c r="BB456" s="129"/>
    </row>
    <row r="457" ht="15.75" customHeight="1">
      <c r="A457" s="141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30"/>
      <c r="AM457" s="130"/>
      <c r="AN457" s="130"/>
      <c r="AO457" s="130"/>
      <c r="AP457" s="130"/>
      <c r="AQ457" s="130"/>
      <c r="AR457" s="130"/>
      <c r="AS457" s="130"/>
      <c r="AT457" s="130"/>
      <c r="AU457" s="130"/>
      <c r="AV457" s="129"/>
      <c r="AW457" s="129"/>
      <c r="AX457" s="129"/>
      <c r="AY457" s="129"/>
      <c r="AZ457" s="129"/>
      <c r="BA457" s="129"/>
      <c r="BB457" s="129"/>
    </row>
    <row r="458" ht="15.75" customHeight="1">
      <c r="A458" s="141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30"/>
      <c r="AM458" s="130"/>
      <c r="AN458" s="130"/>
      <c r="AO458" s="130"/>
      <c r="AP458" s="130"/>
      <c r="AQ458" s="130"/>
      <c r="AR458" s="130"/>
      <c r="AS458" s="130"/>
      <c r="AT458" s="130"/>
      <c r="AU458" s="130"/>
      <c r="AV458" s="129"/>
      <c r="AW458" s="129"/>
      <c r="AX458" s="129"/>
      <c r="AY458" s="129"/>
      <c r="AZ458" s="129"/>
      <c r="BA458" s="129"/>
      <c r="BB458" s="129"/>
    </row>
    <row r="459" ht="15.75" customHeight="1">
      <c r="A459" s="141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30"/>
      <c r="AM459" s="130"/>
      <c r="AN459" s="130"/>
      <c r="AO459" s="130"/>
      <c r="AP459" s="130"/>
      <c r="AQ459" s="130"/>
      <c r="AR459" s="130"/>
      <c r="AS459" s="130"/>
      <c r="AT459" s="130"/>
      <c r="AU459" s="130"/>
      <c r="AV459" s="129"/>
      <c r="AW459" s="129"/>
      <c r="AX459" s="129"/>
      <c r="AY459" s="129"/>
      <c r="AZ459" s="129"/>
      <c r="BA459" s="129"/>
      <c r="BB459" s="129"/>
    </row>
    <row r="460" ht="15.75" customHeight="1">
      <c r="A460" s="141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30"/>
      <c r="AM460" s="130"/>
      <c r="AN460" s="130"/>
      <c r="AO460" s="130"/>
      <c r="AP460" s="130"/>
      <c r="AQ460" s="130"/>
      <c r="AR460" s="130"/>
      <c r="AS460" s="130"/>
      <c r="AT460" s="130"/>
      <c r="AU460" s="130"/>
      <c r="AV460" s="129"/>
      <c r="AW460" s="129"/>
      <c r="AX460" s="129"/>
      <c r="AY460" s="129"/>
      <c r="AZ460" s="129"/>
      <c r="BA460" s="129"/>
      <c r="BB460" s="129"/>
    </row>
    <row r="461" ht="15.75" customHeight="1">
      <c r="A461" s="141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30"/>
      <c r="AM461" s="130"/>
      <c r="AN461" s="130"/>
      <c r="AO461" s="130"/>
      <c r="AP461" s="130"/>
      <c r="AQ461" s="130"/>
      <c r="AR461" s="130"/>
      <c r="AS461" s="130"/>
      <c r="AT461" s="130"/>
      <c r="AU461" s="130"/>
      <c r="AV461" s="129"/>
      <c r="AW461" s="129"/>
      <c r="AX461" s="129"/>
      <c r="AY461" s="129"/>
      <c r="AZ461" s="129"/>
      <c r="BA461" s="129"/>
      <c r="BB461" s="129"/>
    </row>
    <row r="462" ht="15.75" customHeight="1">
      <c r="A462" s="141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30"/>
      <c r="AM462" s="130"/>
      <c r="AN462" s="130"/>
      <c r="AO462" s="130"/>
      <c r="AP462" s="130"/>
      <c r="AQ462" s="130"/>
      <c r="AR462" s="130"/>
      <c r="AS462" s="130"/>
      <c r="AT462" s="130"/>
      <c r="AU462" s="130"/>
      <c r="AV462" s="129"/>
      <c r="AW462" s="129"/>
      <c r="AX462" s="129"/>
      <c r="AY462" s="129"/>
      <c r="AZ462" s="129"/>
      <c r="BA462" s="129"/>
      <c r="BB462" s="129"/>
    </row>
    <row r="463" ht="15.75" customHeight="1">
      <c r="A463" s="141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30"/>
      <c r="AM463" s="130"/>
      <c r="AN463" s="130"/>
      <c r="AO463" s="130"/>
      <c r="AP463" s="130"/>
      <c r="AQ463" s="130"/>
      <c r="AR463" s="130"/>
      <c r="AS463" s="130"/>
      <c r="AT463" s="130"/>
      <c r="AU463" s="130"/>
      <c r="AV463" s="129"/>
      <c r="AW463" s="129"/>
      <c r="AX463" s="129"/>
      <c r="AY463" s="129"/>
      <c r="AZ463" s="129"/>
      <c r="BA463" s="129"/>
      <c r="BB463" s="129"/>
    </row>
    <row r="464" ht="15.75" customHeight="1">
      <c r="A464" s="141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30"/>
      <c r="AM464" s="130"/>
      <c r="AN464" s="130"/>
      <c r="AO464" s="130"/>
      <c r="AP464" s="130"/>
      <c r="AQ464" s="130"/>
      <c r="AR464" s="130"/>
      <c r="AS464" s="130"/>
      <c r="AT464" s="130"/>
      <c r="AU464" s="130"/>
      <c r="AV464" s="129"/>
      <c r="AW464" s="129"/>
      <c r="AX464" s="129"/>
      <c r="AY464" s="129"/>
      <c r="AZ464" s="129"/>
      <c r="BA464" s="129"/>
      <c r="BB464" s="129"/>
    </row>
    <row r="465" ht="15.75" customHeight="1">
      <c r="A465" s="141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30"/>
      <c r="AM465" s="130"/>
      <c r="AN465" s="130"/>
      <c r="AO465" s="130"/>
      <c r="AP465" s="130"/>
      <c r="AQ465" s="130"/>
      <c r="AR465" s="130"/>
      <c r="AS465" s="130"/>
      <c r="AT465" s="130"/>
      <c r="AU465" s="130"/>
      <c r="AV465" s="129"/>
      <c r="AW465" s="129"/>
      <c r="AX465" s="129"/>
      <c r="AY465" s="129"/>
      <c r="AZ465" s="129"/>
      <c r="BA465" s="129"/>
      <c r="BB465" s="129"/>
    </row>
    <row r="466" ht="15.75" customHeight="1">
      <c r="A466" s="141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30"/>
      <c r="AM466" s="130"/>
      <c r="AN466" s="130"/>
      <c r="AO466" s="130"/>
      <c r="AP466" s="130"/>
      <c r="AQ466" s="130"/>
      <c r="AR466" s="130"/>
      <c r="AS466" s="130"/>
      <c r="AT466" s="130"/>
      <c r="AU466" s="130"/>
      <c r="AV466" s="129"/>
      <c r="AW466" s="129"/>
      <c r="AX466" s="129"/>
      <c r="AY466" s="129"/>
      <c r="AZ466" s="129"/>
      <c r="BA466" s="129"/>
      <c r="BB466" s="129"/>
    </row>
    <row r="467" ht="15.75" customHeight="1">
      <c r="A467" s="141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30"/>
      <c r="AM467" s="130"/>
      <c r="AN467" s="130"/>
      <c r="AO467" s="130"/>
      <c r="AP467" s="130"/>
      <c r="AQ467" s="130"/>
      <c r="AR467" s="130"/>
      <c r="AS467" s="130"/>
      <c r="AT467" s="130"/>
      <c r="AU467" s="130"/>
      <c r="AV467" s="129"/>
      <c r="AW467" s="129"/>
      <c r="AX467" s="129"/>
      <c r="AY467" s="129"/>
      <c r="AZ467" s="129"/>
      <c r="BA467" s="129"/>
      <c r="BB467" s="129"/>
    </row>
    <row r="468" ht="15.75" customHeight="1">
      <c r="A468" s="141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30"/>
      <c r="AM468" s="130"/>
      <c r="AN468" s="130"/>
      <c r="AO468" s="130"/>
      <c r="AP468" s="130"/>
      <c r="AQ468" s="130"/>
      <c r="AR468" s="130"/>
      <c r="AS468" s="130"/>
      <c r="AT468" s="130"/>
      <c r="AU468" s="130"/>
      <c r="AV468" s="129"/>
      <c r="AW468" s="129"/>
      <c r="AX468" s="129"/>
      <c r="AY468" s="129"/>
      <c r="AZ468" s="129"/>
      <c r="BA468" s="129"/>
      <c r="BB468" s="129"/>
    </row>
    <row r="469" ht="15.75" customHeight="1">
      <c r="A469" s="141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30"/>
      <c r="AM469" s="130"/>
      <c r="AN469" s="130"/>
      <c r="AO469" s="130"/>
      <c r="AP469" s="130"/>
      <c r="AQ469" s="130"/>
      <c r="AR469" s="130"/>
      <c r="AS469" s="130"/>
      <c r="AT469" s="130"/>
      <c r="AU469" s="130"/>
      <c r="AV469" s="129"/>
      <c r="AW469" s="129"/>
      <c r="AX469" s="129"/>
      <c r="AY469" s="129"/>
      <c r="AZ469" s="129"/>
      <c r="BA469" s="129"/>
      <c r="BB469" s="129"/>
    </row>
    <row r="470" ht="15.75" customHeight="1">
      <c r="A470" s="141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30"/>
      <c r="AM470" s="130"/>
      <c r="AN470" s="130"/>
      <c r="AO470" s="130"/>
      <c r="AP470" s="130"/>
      <c r="AQ470" s="130"/>
      <c r="AR470" s="130"/>
      <c r="AS470" s="130"/>
      <c r="AT470" s="130"/>
      <c r="AU470" s="130"/>
      <c r="AV470" s="129"/>
      <c r="AW470" s="129"/>
      <c r="AX470" s="129"/>
      <c r="AY470" s="129"/>
      <c r="AZ470" s="129"/>
      <c r="BA470" s="129"/>
      <c r="BB470" s="129"/>
    </row>
    <row r="471" ht="15.75" customHeight="1">
      <c r="A471" s="141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30"/>
      <c r="AM471" s="130"/>
      <c r="AN471" s="130"/>
      <c r="AO471" s="130"/>
      <c r="AP471" s="130"/>
      <c r="AQ471" s="130"/>
      <c r="AR471" s="130"/>
      <c r="AS471" s="130"/>
      <c r="AT471" s="130"/>
      <c r="AU471" s="130"/>
      <c r="AV471" s="129"/>
      <c r="AW471" s="129"/>
      <c r="AX471" s="129"/>
      <c r="AY471" s="129"/>
      <c r="AZ471" s="129"/>
      <c r="BA471" s="129"/>
      <c r="BB471" s="129"/>
    </row>
    <row r="472" ht="15.75" customHeight="1">
      <c r="A472" s="141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30"/>
      <c r="AM472" s="130"/>
      <c r="AN472" s="130"/>
      <c r="AO472" s="130"/>
      <c r="AP472" s="130"/>
      <c r="AQ472" s="130"/>
      <c r="AR472" s="130"/>
      <c r="AS472" s="130"/>
      <c r="AT472" s="130"/>
      <c r="AU472" s="130"/>
      <c r="AV472" s="129"/>
      <c r="AW472" s="129"/>
      <c r="AX472" s="129"/>
      <c r="AY472" s="129"/>
      <c r="AZ472" s="129"/>
      <c r="BA472" s="129"/>
      <c r="BB472" s="129"/>
    </row>
    <row r="473" ht="15.75" customHeight="1">
      <c r="A473" s="141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30"/>
      <c r="AM473" s="130"/>
      <c r="AN473" s="130"/>
      <c r="AO473" s="130"/>
      <c r="AP473" s="130"/>
      <c r="AQ473" s="130"/>
      <c r="AR473" s="130"/>
      <c r="AS473" s="130"/>
      <c r="AT473" s="130"/>
      <c r="AU473" s="130"/>
      <c r="AV473" s="129"/>
      <c r="AW473" s="129"/>
      <c r="AX473" s="129"/>
      <c r="AY473" s="129"/>
      <c r="AZ473" s="129"/>
      <c r="BA473" s="129"/>
      <c r="BB473" s="129"/>
    </row>
    <row r="474" ht="15.75" customHeight="1">
      <c r="A474" s="141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30"/>
      <c r="AM474" s="130"/>
      <c r="AN474" s="130"/>
      <c r="AO474" s="130"/>
      <c r="AP474" s="130"/>
      <c r="AQ474" s="130"/>
      <c r="AR474" s="130"/>
      <c r="AS474" s="130"/>
      <c r="AT474" s="130"/>
      <c r="AU474" s="130"/>
      <c r="AV474" s="129"/>
      <c r="AW474" s="129"/>
      <c r="AX474" s="129"/>
      <c r="AY474" s="129"/>
      <c r="AZ474" s="129"/>
      <c r="BA474" s="129"/>
      <c r="BB474" s="129"/>
    </row>
    <row r="475" ht="15.75" customHeight="1">
      <c r="A475" s="141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30"/>
      <c r="AM475" s="130"/>
      <c r="AN475" s="130"/>
      <c r="AO475" s="130"/>
      <c r="AP475" s="130"/>
      <c r="AQ475" s="130"/>
      <c r="AR475" s="130"/>
      <c r="AS475" s="130"/>
      <c r="AT475" s="130"/>
      <c r="AU475" s="130"/>
      <c r="AV475" s="129"/>
      <c r="AW475" s="129"/>
      <c r="AX475" s="129"/>
      <c r="AY475" s="129"/>
      <c r="AZ475" s="129"/>
      <c r="BA475" s="129"/>
      <c r="BB475" s="129"/>
    </row>
    <row r="476" ht="15.75" customHeight="1">
      <c r="A476" s="141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30"/>
      <c r="AM476" s="130"/>
      <c r="AN476" s="130"/>
      <c r="AO476" s="130"/>
      <c r="AP476" s="130"/>
      <c r="AQ476" s="130"/>
      <c r="AR476" s="130"/>
      <c r="AS476" s="130"/>
      <c r="AT476" s="130"/>
      <c r="AU476" s="130"/>
      <c r="AV476" s="129"/>
      <c r="AW476" s="129"/>
      <c r="AX476" s="129"/>
      <c r="AY476" s="129"/>
      <c r="AZ476" s="129"/>
      <c r="BA476" s="129"/>
      <c r="BB476" s="129"/>
    </row>
    <row r="477" ht="15.75" customHeight="1">
      <c r="A477" s="141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30"/>
      <c r="AM477" s="130"/>
      <c r="AN477" s="130"/>
      <c r="AO477" s="130"/>
      <c r="AP477" s="130"/>
      <c r="AQ477" s="130"/>
      <c r="AR477" s="130"/>
      <c r="AS477" s="130"/>
      <c r="AT477" s="130"/>
      <c r="AU477" s="130"/>
      <c r="AV477" s="129"/>
      <c r="AW477" s="129"/>
      <c r="AX477" s="129"/>
      <c r="AY477" s="129"/>
      <c r="AZ477" s="129"/>
      <c r="BA477" s="129"/>
      <c r="BB477" s="129"/>
    </row>
    <row r="478" ht="15.75" customHeight="1">
      <c r="A478" s="141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30"/>
      <c r="AM478" s="130"/>
      <c r="AN478" s="130"/>
      <c r="AO478" s="130"/>
      <c r="AP478" s="130"/>
      <c r="AQ478" s="130"/>
      <c r="AR478" s="130"/>
      <c r="AS478" s="130"/>
      <c r="AT478" s="130"/>
      <c r="AU478" s="130"/>
      <c r="AV478" s="129"/>
      <c r="AW478" s="129"/>
      <c r="AX478" s="129"/>
      <c r="AY478" s="129"/>
      <c r="AZ478" s="129"/>
      <c r="BA478" s="129"/>
      <c r="BB478" s="129"/>
    </row>
    <row r="479" ht="15.75" customHeight="1">
      <c r="A479" s="141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30"/>
      <c r="AM479" s="130"/>
      <c r="AN479" s="130"/>
      <c r="AO479" s="130"/>
      <c r="AP479" s="130"/>
      <c r="AQ479" s="130"/>
      <c r="AR479" s="130"/>
      <c r="AS479" s="130"/>
      <c r="AT479" s="130"/>
      <c r="AU479" s="130"/>
      <c r="AV479" s="129"/>
      <c r="AW479" s="129"/>
      <c r="AX479" s="129"/>
      <c r="AY479" s="129"/>
      <c r="AZ479" s="129"/>
      <c r="BA479" s="129"/>
      <c r="BB479" s="129"/>
    </row>
    <row r="480" ht="15.75" customHeight="1">
      <c r="A480" s="141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30"/>
      <c r="AM480" s="130"/>
      <c r="AN480" s="130"/>
      <c r="AO480" s="130"/>
      <c r="AP480" s="130"/>
      <c r="AQ480" s="130"/>
      <c r="AR480" s="130"/>
      <c r="AS480" s="130"/>
      <c r="AT480" s="130"/>
      <c r="AU480" s="130"/>
      <c r="AV480" s="129"/>
      <c r="AW480" s="129"/>
      <c r="AX480" s="129"/>
      <c r="AY480" s="129"/>
      <c r="AZ480" s="129"/>
      <c r="BA480" s="129"/>
      <c r="BB480" s="129"/>
    </row>
    <row r="481" ht="15.75" customHeight="1">
      <c r="A481" s="141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30"/>
      <c r="AM481" s="130"/>
      <c r="AN481" s="130"/>
      <c r="AO481" s="130"/>
      <c r="AP481" s="130"/>
      <c r="AQ481" s="130"/>
      <c r="AR481" s="130"/>
      <c r="AS481" s="130"/>
      <c r="AT481" s="130"/>
      <c r="AU481" s="130"/>
      <c r="AV481" s="129"/>
      <c r="AW481" s="129"/>
      <c r="AX481" s="129"/>
      <c r="AY481" s="129"/>
      <c r="AZ481" s="129"/>
      <c r="BA481" s="129"/>
      <c r="BB481" s="129"/>
    </row>
    <row r="482" ht="15.75" customHeight="1">
      <c r="A482" s="141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30"/>
      <c r="AM482" s="130"/>
      <c r="AN482" s="130"/>
      <c r="AO482" s="130"/>
      <c r="AP482" s="130"/>
      <c r="AQ482" s="130"/>
      <c r="AR482" s="130"/>
      <c r="AS482" s="130"/>
      <c r="AT482" s="130"/>
      <c r="AU482" s="130"/>
      <c r="AV482" s="129"/>
      <c r="AW482" s="129"/>
      <c r="AX482" s="129"/>
      <c r="AY482" s="129"/>
      <c r="AZ482" s="129"/>
      <c r="BA482" s="129"/>
      <c r="BB482" s="129"/>
    </row>
    <row r="483" ht="15.75" customHeight="1">
      <c r="A483" s="141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30"/>
      <c r="AM483" s="130"/>
      <c r="AN483" s="130"/>
      <c r="AO483" s="130"/>
      <c r="AP483" s="130"/>
      <c r="AQ483" s="130"/>
      <c r="AR483" s="130"/>
      <c r="AS483" s="130"/>
      <c r="AT483" s="130"/>
      <c r="AU483" s="130"/>
      <c r="AV483" s="129"/>
      <c r="AW483" s="129"/>
      <c r="AX483" s="129"/>
      <c r="AY483" s="129"/>
      <c r="AZ483" s="129"/>
      <c r="BA483" s="129"/>
      <c r="BB483" s="129"/>
    </row>
    <row r="484" ht="15.75" customHeight="1">
      <c r="A484" s="141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30"/>
      <c r="AM484" s="130"/>
      <c r="AN484" s="130"/>
      <c r="AO484" s="130"/>
      <c r="AP484" s="130"/>
      <c r="AQ484" s="130"/>
      <c r="AR484" s="130"/>
      <c r="AS484" s="130"/>
      <c r="AT484" s="130"/>
      <c r="AU484" s="130"/>
      <c r="AV484" s="129"/>
      <c r="AW484" s="129"/>
      <c r="AX484" s="129"/>
      <c r="AY484" s="129"/>
      <c r="AZ484" s="129"/>
      <c r="BA484" s="129"/>
      <c r="BB484" s="129"/>
    </row>
    <row r="485" ht="15.75" customHeight="1">
      <c r="A485" s="141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30"/>
      <c r="AM485" s="130"/>
      <c r="AN485" s="130"/>
      <c r="AO485" s="130"/>
      <c r="AP485" s="130"/>
      <c r="AQ485" s="130"/>
      <c r="AR485" s="130"/>
      <c r="AS485" s="130"/>
      <c r="AT485" s="130"/>
      <c r="AU485" s="130"/>
      <c r="AV485" s="129"/>
      <c r="AW485" s="129"/>
      <c r="AX485" s="129"/>
      <c r="AY485" s="129"/>
      <c r="AZ485" s="129"/>
      <c r="BA485" s="129"/>
      <c r="BB485" s="129"/>
    </row>
    <row r="486" ht="15.75" customHeight="1">
      <c r="A486" s="141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30"/>
      <c r="AM486" s="130"/>
      <c r="AN486" s="130"/>
      <c r="AO486" s="130"/>
      <c r="AP486" s="130"/>
      <c r="AQ486" s="130"/>
      <c r="AR486" s="130"/>
      <c r="AS486" s="130"/>
      <c r="AT486" s="130"/>
      <c r="AU486" s="130"/>
      <c r="AV486" s="129"/>
      <c r="AW486" s="129"/>
      <c r="AX486" s="129"/>
      <c r="AY486" s="129"/>
      <c r="AZ486" s="129"/>
      <c r="BA486" s="129"/>
      <c r="BB486" s="129"/>
    </row>
    <row r="487" ht="15.75" customHeight="1">
      <c r="A487" s="141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30"/>
      <c r="AM487" s="130"/>
      <c r="AN487" s="130"/>
      <c r="AO487" s="130"/>
      <c r="AP487" s="130"/>
      <c r="AQ487" s="130"/>
      <c r="AR487" s="130"/>
      <c r="AS487" s="130"/>
      <c r="AT487" s="130"/>
      <c r="AU487" s="130"/>
      <c r="AV487" s="129"/>
      <c r="AW487" s="129"/>
      <c r="AX487" s="129"/>
      <c r="AY487" s="129"/>
      <c r="AZ487" s="129"/>
      <c r="BA487" s="129"/>
      <c r="BB487" s="129"/>
    </row>
    <row r="488" ht="15.75" customHeight="1">
      <c r="A488" s="141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30"/>
      <c r="AM488" s="130"/>
      <c r="AN488" s="130"/>
      <c r="AO488" s="130"/>
      <c r="AP488" s="130"/>
      <c r="AQ488" s="130"/>
      <c r="AR488" s="130"/>
      <c r="AS488" s="130"/>
      <c r="AT488" s="130"/>
      <c r="AU488" s="130"/>
      <c r="AV488" s="129"/>
      <c r="AW488" s="129"/>
      <c r="AX488" s="129"/>
      <c r="AY488" s="129"/>
      <c r="AZ488" s="129"/>
      <c r="BA488" s="129"/>
      <c r="BB488" s="129"/>
    </row>
    <row r="489" ht="15.75" customHeight="1">
      <c r="A489" s="141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30"/>
      <c r="AM489" s="130"/>
      <c r="AN489" s="130"/>
      <c r="AO489" s="130"/>
      <c r="AP489" s="130"/>
      <c r="AQ489" s="130"/>
      <c r="AR489" s="130"/>
      <c r="AS489" s="130"/>
      <c r="AT489" s="130"/>
      <c r="AU489" s="130"/>
      <c r="AV489" s="129"/>
      <c r="AW489" s="129"/>
      <c r="AX489" s="129"/>
      <c r="AY489" s="129"/>
      <c r="AZ489" s="129"/>
      <c r="BA489" s="129"/>
      <c r="BB489" s="129"/>
    </row>
    <row r="490" ht="15.75" customHeight="1">
      <c r="A490" s="141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30"/>
      <c r="AM490" s="130"/>
      <c r="AN490" s="130"/>
      <c r="AO490" s="130"/>
      <c r="AP490" s="130"/>
      <c r="AQ490" s="130"/>
      <c r="AR490" s="130"/>
      <c r="AS490" s="130"/>
      <c r="AT490" s="130"/>
      <c r="AU490" s="130"/>
      <c r="AV490" s="129"/>
      <c r="AW490" s="129"/>
      <c r="AX490" s="129"/>
      <c r="AY490" s="129"/>
      <c r="AZ490" s="129"/>
      <c r="BA490" s="129"/>
      <c r="BB490" s="129"/>
    </row>
    <row r="491" ht="15.75" customHeight="1">
      <c r="A491" s="141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30"/>
      <c r="AM491" s="130"/>
      <c r="AN491" s="130"/>
      <c r="AO491" s="130"/>
      <c r="AP491" s="130"/>
      <c r="AQ491" s="130"/>
      <c r="AR491" s="130"/>
      <c r="AS491" s="130"/>
      <c r="AT491" s="130"/>
      <c r="AU491" s="130"/>
      <c r="AV491" s="129"/>
      <c r="AW491" s="129"/>
      <c r="AX491" s="129"/>
      <c r="AY491" s="129"/>
      <c r="AZ491" s="129"/>
      <c r="BA491" s="129"/>
      <c r="BB491" s="129"/>
    </row>
    <row r="492" ht="15.75" customHeight="1">
      <c r="A492" s="141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30"/>
      <c r="AM492" s="130"/>
      <c r="AN492" s="130"/>
      <c r="AO492" s="130"/>
      <c r="AP492" s="130"/>
      <c r="AQ492" s="130"/>
      <c r="AR492" s="130"/>
      <c r="AS492" s="130"/>
      <c r="AT492" s="130"/>
      <c r="AU492" s="130"/>
      <c r="AV492" s="129"/>
      <c r="AW492" s="129"/>
      <c r="AX492" s="129"/>
      <c r="AY492" s="129"/>
      <c r="AZ492" s="129"/>
      <c r="BA492" s="129"/>
      <c r="BB492" s="129"/>
    </row>
    <row r="493" ht="15.75" customHeight="1">
      <c r="A493" s="141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30"/>
      <c r="AM493" s="130"/>
      <c r="AN493" s="130"/>
      <c r="AO493" s="130"/>
      <c r="AP493" s="130"/>
      <c r="AQ493" s="130"/>
      <c r="AR493" s="130"/>
      <c r="AS493" s="130"/>
      <c r="AT493" s="130"/>
      <c r="AU493" s="130"/>
      <c r="AV493" s="129"/>
      <c r="AW493" s="129"/>
      <c r="AX493" s="129"/>
      <c r="AY493" s="129"/>
      <c r="AZ493" s="129"/>
      <c r="BA493" s="129"/>
      <c r="BB493" s="129"/>
    </row>
    <row r="494" ht="15.75" customHeight="1">
      <c r="A494" s="141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30"/>
      <c r="AM494" s="130"/>
      <c r="AN494" s="130"/>
      <c r="AO494" s="130"/>
      <c r="AP494" s="130"/>
      <c r="AQ494" s="130"/>
      <c r="AR494" s="130"/>
      <c r="AS494" s="130"/>
      <c r="AT494" s="130"/>
      <c r="AU494" s="130"/>
      <c r="AV494" s="129"/>
      <c r="AW494" s="129"/>
      <c r="AX494" s="129"/>
      <c r="AY494" s="129"/>
      <c r="AZ494" s="129"/>
      <c r="BA494" s="129"/>
      <c r="BB494" s="129"/>
    </row>
    <row r="495" ht="15.75" customHeight="1">
      <c r="A495" s="141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30"/>
      <c r="AM495" s="130"/>
      <c r="AN495" s="130"/>
      <c r="AO495" s="130"/>
      <c r="AP495" s="130"/>
      <c r="AQ495" s="130"/>
      <c r="AR495" s="130"/>
      <c r="AS495" s="130"/>
      <c r="AT495" s="130"/>
      <c r="AU495" s="130"/>
      <c r="AV495" s="129"/>
      <c r="AW495" s="129"/>
      <c r="AX495" s="129"/>
      <c r="AY495" s="129"/>
      <c r="AZ495" s="129"/>
      <c r="BA495" s="129"/>
      <c r="BB495" s="129"/>
    </row>
    <row r="496" ht="15.75" customHeight="1">
      <c r="A496" s="141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30"/>
      <c r="AM496" s="130"/>
      <c r="AN496" s="130"/>
      <c r="AO496" s="130"/>
      <c r="AP496" s="130"/>
      <c r="AQ496" s="130"/>
      <c r="AR496" s="130"/>
      <c r="AS496" s="130"/>
      <c r="AT496" s="130"/>
      <c r="AU496" s="130"/>
      <c r="AV496" s="129"/>
      <c r="AW496" s="129"/>
      <c r="AX496" s="129"/>
      <c r="AY496" s="129"/>
      <c r="AZ496" s="129"/>
      <c r="BA496" s="129"/>
      <c r="BB496" s="129"/>
    </row>
    <row r="497" ht="15.75" customHeight="1">
      <c r="A497" s="141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30"/>
      <c r="AM497" s="130"/>
      <c r="AN497" s="130"/>
      <c r="AO497" s="130"/>
      <c r="AP497" s="130"/>
      <c r="AQ497" s="130"/>
      <c r="AR497" s="130"/>
      <c r="AS497" s="130"/>
      <c r="AT497" s="130"/>
      <c r="AU497" s="130"/>
      <c r="AV497" s="129"/>
      <c r="AW497" s="129"/>
      <c r="AX497" s="129"/>
      <c r="AY497" s="129"/>
      <c r="AZ497" s="129"/>
      <c r="BA497" s="129"/>
      <c r="BB497" s="129"/>
    </row>
    <row r="498" ht="15.75" customHeight="1">
      <c r="A498" s="141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30"/>
      <c r="AM498" s="130"/>
      <c r="AN498" s="130"/>
      <c r="AO498" s="130"/>
      <c r="AP498" s="130"/>
      <c r="AQ498" s="130"/>
      <c r="AR498" s="130"/>
      <c r="AS498" s="130"/>
      <c r="AT498" s="130"/>
      <c r="AU498" s="130"/>
      <c r="AV498" s="129"/>
      <c r="AW498" s="129"/>
      <c r="AX498" s="129"/>
      <c r="AY498" s="129"/>
      <c r="AZ498" s="129"/>
      <c r="BA498" s="129"/>
      <c r="BB498" s="129"/>
    </row>
    <row r="499" ht="15.75" customHeight="1">
      <c r="A499" s="141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30"/>
      <c r="AM499" s="130"/>
      <c r="AN499" s="130"/>
      <c r="AO499" s="130"/>
      <c r="AP499" s="130"/>
      <c r="AQ499" s="130"/>
      <c r="AR499" s="130"/>
      <c r="AS499" s="130"/>
      <c r="AT499" s="130"/>
      <c r="AU499" s="130"/>
      <c r="AV499" s="129"/>
      <c r="AW499" s="129"/>
      <c r="AX499" s="129"/>
      <c r="AY499" s="129"/>
      <c r="AZ499" s="129"/>
      <c r="BA499" s="129"/>
      <c r="BB499" s="129"/>
    </row>
    <row r="500" ht="15.75" customHeight="1">
      <c r="A500" s="141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30"/>
      <c r="AM500" s="130"/>
      <c r="AN500" s="130"/>
      <c r="AO500" s="130"/>
      <c r="AP500" s="130"/>
      <c r="AQ500" s="130"/>
      <c r="AR500" s="130"/>
      <c r="AS500" s="130"/>
      <c r="AT500" s="130"/>
      <c r="AU500" s="130"/>
      <c r="AV500" s="129"/>
      <c r="AW500" s="129"/>
      <c r="AX500" s="129"/>
      <c r="AY500" s="129"/>
      <c r="AZ500" s="129"/>
      <c r="BA500" s="129"/>
      <c r="BB500" s="129"/>
    </row>
    <row r="501" ht="15.75" customHeight="1">
      <c r="A501" s="141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30"/>
      <c r="AM501" s="130"/>
      <c r="AN501" s="130"/>
      <c r="AO501" s="130"/>
      <c r="AP501" s="130"/>
      <c r="AQ501" s="130"/>
      <c r="AR501" s="130"/>
      <c r="AS501" s="130"/>
      <c r="AT501" s="130"/>
      <c r="AU501" s="130"/>
      <c r="AV501" s="129"/>
      <c r="AW501" s="129"/>
      <c r="AX501" s="129"/>
      <c r="AY501" s="129"/>
      <c r="AZ501" s="129"/>
      <c r="BA501" s="129"/>
      <c r="BB501" s="129"/>
    </row>
    <row r="502" ht="15.75" customHeight="1">
      <c r="A502" s="141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30"/>
      <c r="AM502" s="130"/>
      <c r="AN502" s="130"/>
      <c r="AO502" s="130"/>
      <c r="AP502" s="130"/>
      <c r="AQ502" s="130"/>
      <c r="AR502" s="130"/>
      <c r="AS502" s="130"/>
      <c r="AT502" s="130"/>
      <c r="AU502" s="130"/>
      <c r="AV502" s="129"/>
      <c r="AW502" s="129"/>
      <c r="AX502" s="129"/>
      <c r="AY502" s="129"/>
      <c r="AZ502" s="129"/>
      <c r="BA502" s="129"/>
      <c r="BB502" s="129"/>
    </row>
    <row r="503" ht="15.75" customHeight="1">
      <c r="A503" s="141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30"/>
      <c r="AM503" s="130"/>
      <c r="AN503" s="130"/>
      <c r="AO503" s="130"/>
      <c r="AP503" s="130"/>
      <c r="AQ503" s="130"/>
      <c r="AR503" s="130"/>
      <c r="AS503" s="130"/>
      <c r="AT503" s="130"/>
      <c r="AU503" s="130"/>
      <c r="AV503" s="129"/>
      <c r="AW503" s="129"/>
      <c r="AX503" s="129"/>
      <c r="AY503" s="129"/>
      <c r="AZ503" s="129"/>
      <c r="BA503" s="129"/>
      <c r="BB503" s="129"/>
    </row>
    <row r="504" ht="15.75" customHeight="1">
      <c r="A504" s="141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30"/>
      <c r="AM504" s="130"/>
      <c r="AN504" s="130"/>
      <c r="AO504" s="130"/>
      <c r="AP504" s="130"/>
      <c r="AQ504" s="130"/>
      <c r="AR504" s="130"/>
      <c r="AS504" s="130"/>
      <c r="AT504" s="130"/>
      <c r="AU504" s="130"/>
      <c r="AV504" s="129"/>
      <c r="AW504" s="129"/>
      <c r="AX504" s="129"/>
      <c r="AY504" s="129"/>
      <c r="AZ504" s="129"/>
      <c r="BA504" s="129"/>
      <c r="BB504" s="129"/>
    </row>
    <row r="505" ht="15.75" customHeight="1">
      <c r="A505" s="141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30"/>
      <c r="AM505" s="130"/>
      <c r="AN505" s="130"/>
      <c r="AO505" s="130"/>
      <c r="AP505" s="130"/>
      <c r="AQ505" s="130"/>
      <c r="AR505" s="130"/>
      <c r="AS505" s="130"/>
      <c r="AT505" s="130"/>
      <c r="AU505" s="130"/>
      <c r="AV505" s="129"/>
      <c r="AW505" s="129"/>
      <c r="AX505" s="129"/>
      <c r="AY505" s="129"/>
      <c r="AZ505" s="129"/>
      <c r="BA505" s="129"/>
      <c r="BB505" s="129"/>
    </row>
    <row r="506" ht="15.75" customHeight="1">
      <c r="A506" s="141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30"/>
      <c r="AM506" s="130"/>
      <c r="AN506" s="130"/>
      <c r="AO506" s="130"/>
      <c r="AP506" s="130"/>
      <c r="AQ506" s="130"/>
      <c r="AR506" s="130"/>
      <c r="AS506" s="130"/>
      <c r="AT506" s="130"/>
      <c r="AU506" s="130"/>
      <c r="AV506" s="129"/>
      <c r="AW506" s="129"/>
      <c r="AX506" s="129"/>
      <c r="AY506" s="129"/>
      <c r="AZ506" s="129"/>
      <c r="BA506" s="129"/>
      <c r="BB506" s="129"/>
    </row>
    <row r="507" ht="15.75" customHeight="1">
      <c r="A507" s="141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30"/>
      <c r="AM507" s="130"/>
      <c r="AN507" s="130"/>
      <c r="AO507" s="130"/>
      <c r="AP507" s="130"/>
      <c r="AQ507" s="130"/>
      <c r="AR507" s="130"/>
      <c r="AS507" s="130"/>
      <c r="AT507" s="130"/>
      <c r="AU507" s="130"/>
      <c r="AV507" s="129"/>
      <c r="AW507" s="129"/>
      <c r="AX507" s="129"/>
      <c r="AY507" s="129"/>
      <c r="AZ507" s="129"/>
      <c r="BA507" s="129"/>
      <c r="BB507" s="129"/>
    </row>
    <row r="508" ht="15.75" customHeight="1">
      <c r="A508" s="141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30"/>
      <c r="AM508" s="130"/>
      <c r="AN508" s="130"/>
      <c r="AO508" s="130"/>
      <c r="AP508" s="130"/>
      <c r="AQ508" s="130"/>
      <c r="AR508" s="130"/>
      <c r="AS508" s="130"/>
      <c r="AT508" s="130"/>
      <c r="AU508" s="130"/>
      <c r="AV508" s="129"/>
      <c r="AW508" s="129"/>
      <c r="AX508" s="129"/>
      <c r="AY508" s="129"/>
      <c r="AZ508" s="129"/>
      <c r="BA508" s="129"/>
      <c r="BB508" s="129"/>
    </row>
    <row r="509" ht="15.75" customHeight="1">
      <c r="A509" s="141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30"/>
      <c r="AM509" s="130"/>
      <c r="AN509" s="130"/>
      <c r="AO509" s="130"/>
      <c r="AP509" s="130"/>
      <c r="AQ509" s="130"/>
      <c r="AR509" s="130"/>
      <c r="AS509" s="130"/>
      <c r="AT509" s="130"/>
      <c r="AU509" s="130"/>
      <c r="AV509" s="129"/>
      <c r="AW509" s="129"/>
      <c r="AX509" s="129"/>
      <c r="AY509" s="129"/>
      <c r="AZ509" s="129"/>
      <c r="BA509" s="129"/>
      <c r="BB509" s="129"/>
    </row>
    <row r="510" ht="15.75" customHeight="1">
      <c r="A510" s="141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30"/>
      <c r="AM510" s="130"/>
      <c r="AN510" s="130"/>
      <c r="AO510" s="130"/>
      <c r="AP510" s="130"/>
      <c r="AQ510" s="130"/>
      <c r="AR510" s="130"/>
      <c r="AS510" s="130"/>
      <c r="AT510" s="130"/>
      <c r="AU510" s="130"/>
      <c r="AV510" s="129"/>
      <c r="AW510" s="129"/>
      <c r="AX510" s="129"/>
      <c r="AY510" s="129"/>
      <c r="AZ510" s="129"/>
      <c r="BA510" s="129"/>
      <c r="BB510" s="129"/>
    </row>
    <row r="511" ht="15.75" customHeight="1">
      <c r="A511" s="141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30"/>
      <c r="AM511" s="130"/>
      <c r="AN511" s="130"/>
      <c r="AO511" s="130"/>
      <c r="AP511" s="130"/>
      <c r="AQ511" s="130"/>
      <c r="AR511" s="130"/>
      <c r="AS511" s="130"/>
      <c r="AT511" s="130"/>
      <c r="AU511" s="130"/>
      <c r="AV511" s="129"/>
      <c r="AW511" s="129"/>
      <c r="AX511" s="129"/>
      <c r="AY511" s="129"/>
      <c r="AZ511" s="129"/>
      <c r="BA511" s="129"/>
      <c r="BB511" s="129"/>
    </row>
    <row r="512" ht="15.75" customHeight="1">
      <c r="A512" s="141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30"/>
      <c r="AM512" s="130"/>
      <c r="AN512" s="130"/>
      <c r="AO512" s="130"/>
      <c r="AP512" s="130"/>
      <c r="AQ512" s="130"/>
      <c r="AR512" s="130"/>
      <c r="AS512" s="130"/>
      <c r="AT512" s="130"/>
      <c r="AU512" s="130"/>
      <c r="AV512" s="129"/>
      <c r="AW512" s="129"/>
      <c r="AX512" s="129"/>
      <c r="AY512" s="129"/>
      <c r="AZ512" s="129"/>
      <c r="BA512" s="129"/>
      <c r="BB512" s="129"/>
    </row>
    <row r="513" ht="15.75" customHeight="1">
      <c r="A513" s="141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30"/>
      <c r="AM513" s="130"/>
      <c r="AN513" s="130"/>
      <c r="AO513" s="130"/>
      <c r="AP513" s="130"/>
      <c r="AQ513" s="130"/>
      <c r="AR513" s="130"/>
      <c r="AS513" s="130"/>
      <c r="AT513" s="130"/>
      <c r="AU513" s="130"/>
      <c r="AV513" s="129"/>
      <c r="AW513" s="129"/>
      <c r="AX513" s="129"/>
      <c r="AY513" s="129"/>
      <c r="AZ513" s="129"/>
      <c r="BA513" s="129"/>
      <c r="BB513" s="129"/>
    </row>
    <row r="514" ht="15.75" customHeight="1">
      <c r="A514" s="141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30"/>
      <c r="AM514" s="130"/>
      <c r="AN514" s="130"/>
      <c r="AO514" s="130"/>
      <c r="AP514" s="130"/>
      <c r="AQ514" s="130"/>
      <c r="AR514" s="130"/>
      <c r="AS514" s="130"/>
      <c r="AT514" s="130"/>
      <c r="AU514" s="130"/>
      <c r="AV514" s="129"/>
      <c r="AW514" s="129"/>
      <c r="AX514" s="129"/>
      <c r="AY514" s="129"/>
      <c r="AZ514" s="129"/>
      <c r="BA514" s="129"/>
      <c r="BB514" s="129"/>
    </row>
    <row r="515" ht="15.75" customHeight="1">
      <c r="A515" s="141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30"/>
      <c r="AM515" s="130"/>
      <c r="AN515" s="130"/>
      <c r="AO515" s="130"/>
      <c r="AP515" s="130"/>
      <c r="AQ515" s="130"/>
      <c r="AR515" s="130"/>
      <c r="AS515" s="130"/>
      <c r="AT515" s="130"/>
      <c r="AU515" s="130"/>
      <c r="AV515" s="129"/>
      <c r="AW515" s="129"/>
      <c r="AX515" s="129"/>
      <c r="AY515" s="129"/>
      <c r="AZ515" s="129"/>
      <c r="BA515" s="129"/>
      <c r="BB515" s="129"/>
    </row>
    <row r="516" ht="15.75" customHeight="1">
      <c r="A516" s="141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30"/>
      <c r="AM516" s="130"/>
      <c r="AN516" s="130"/>
      <c r="AO516" s="130"/>
      <c r="AP516" s="130"/>
      <c r="AQ516" s="130"/>
      <c r="AR516" s="130"/>
      <c r="AS516" s="130"/>
      <c r="AT516" s="130"/>
      <c r="AU516" s="130"/>
      <c r="AV516" s="129"/>
      <c r="AW516" s="129"/>
      <c r="AX516" s="129"/>
      <c r="AY516" s="129"/>
      <c r="AZ516" s="129"/>
      <c r="BA516" s="129"/>
      <c r="BB516" s="129"/>
    </row>
    <row r="517" ht="15.75" customHeight="1">
      <c r="A517" s="141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30"/>
      <c r="AM517" s="130"/>
      <c r="AN517" s="130"/>
      <c r="AO517" s="130"/>
      <c r="AP517" s="130"/>
      <c r="AQ517" s="130"/>
      <c r="AR517" s="130"/>
      <c r="AS517" s="130"/>
      <c r="AT517" s="130"/>
      <c r="AU517" s="130"/>
      <c r="AV517" s="129"/>
      <c r="AW517" s="129"/>
      <c r="AX517" s="129"/>
      <c r="AY517" s="129"/>
      <c r="AZ517" s="129"/>
      <c r="BA517" s="129"/>
      <c r="BB517" s="129"/>
    </row>
    <row r="518" ht="15.75" customHeight="1">
      <c r="A518" s="141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30"/>
      <c r="AM518" s="130"/>
      <c r="AN518" s="130"/>
      <c r="AO518" s="130"/>
      <c r="AP518" s="130"/>
      <c r="AQ518" s="130"/>
      <c r="AR518" s="130"/>
      <c r="AS518" s="130"/>
      <c r="AT518" s="130"/>
      <c r="AU518" s="130"/>
      <c r="AV518" s="129"/>
      <c r="AW518" s="129"/>
      <c r="AX518" s="129"/>
      <c r="AY518" s="129"/>
      <c r="AZ518" s="129"/>
      <c r="BA518" s="129"/>
      <c r="BB518" s="129"/>
    </row>
    <row r="519" ht="15.75" customHeight="1">
      <c r="A519" s="141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30"/>
      <c r="AM519" s="130"/>
      <c r="AN519" s="130"/>
      <c r="AO519" s="130"/>
      <c r="AP519" s="130"/>
      <c r="AQ519" s="130"/>
      <c r="AR519" s="130"/>
      <c r="AS519" s="130"/>
      <c r="AT519" s="130"/>
      <c r="AU519" s="130"/>
      <c r="AV519" s="129"/>
      <c r="AW519" s="129"/>
      <c r="AX519" s="129"/>
      <c r="AY519" s="129"/>
      <c r="AZ519" s="129"/>
      <c r="BA519" s="129"/>
      <c r="BB519" s="129"/>
    </row>
    <row r="520" ht="15.75" customHeight="1">
      <c r="A520" s="141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30"/>
      <c r="AM520" s="130"/>
      <c r="AN520" s="130"/>
      <c r="AO520" s="130"/>
      <c r="AP520" s="130"/>
      <c r="AQ520" s="130"/>
      <c r="AR520" s="130"/>
      <c r="AS520" s="130"/>
      <c r="AT520" s="130"/>
      <c r="AU520" s="130"/>
      <c r="AV520" s="129"/>
      <c r="AW520" s="129"/>
      <c r="AX520" s="129"/>
      <c r="AY520" s="129"/>
      <c r="AZ520" s="129"/>
      <c r="BA520" s="129"/>
      <c r="BB520" s="129"/>
    </row>
    <row r="521" ht="15.75" customHeight="1">
      <c r="A521" s="141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30"/>
      <c r="AM521" s="130"/>
      <c r="AN521" s="130"/>
      <c r="AO521" s="130"/>
      <c r="AP521" s="130"/>
      <c r="AQ521" s="130"/>
      <c r="AR521" s="130"/>
      <c r="AS521" s="130"/>
      <c r="AT521" s="130"/>
      <c r="AU521" s="130"/>
      <c r="AV521" s="129"/>
      <c r="AW521" s="129"/>
      <c r="AX521" s="129"/>
      <c r="AY521" s="129"/>
      <c r="AZ521" s="129"/>
      <c r="BA521" s="129"/>
      <c r="BB521" s="129"/>
    </row>
    <row r="522" ht="15.75" customHeight="1">
      <c r="A522" s="141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30"/>
      <c r="AM522" s="130"/>
      <c r="AN522" s="130"/>
      <c r="AO522" s="130"/>
      <c r="AP522" s="130"/>
      <c r="AQ522" s="130"/>
      <c r="AR522" s="130"/>
      <c r="AS522" s="130"/>
      <c r="AT522" s="130"/>
      <c r="AU522" s="130"/>
      <c r="AV522" s="129"/>
      <c r="AW522" s="129"/>
      <c r="AX522" s="129"/>
      <c r="AY522" s="129"/>
      <c r="AZ522" s="129"/>
      <c r="BA522" s="129"/>
      <c r="BB522" s="129"/>
    </row>
    <row r="523" ht="15.75" customHeight="1">
      <c r="A523" s="141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30"/>
      <c r="AM523" s="130"/>
      <c r="AN523" s="130"/>
      <c r="AO523" s="130"/>
      <c r="AP523" s="130"/>
      <c r="AQ523" s="130"/>
      <c r="AR523" s="130"/>
      <c r="AS523" s="130"/>
      <c r="AT523" s="130"/>
      <c r="AU523" s="130"/>
      <c r="AV523" s="129"/>
      <c r="AW523" s="129"/>
      <c r="AX523" s="129"/>
      <c r="AY523" s="129"/>
      <c r="AZ523" s="129"/>
      <c r="BA523" s="129"/>
      <c r="BB523" s="129"/>
    </row>
    <row r="524" ht="15.75" customHeight="1">
      <c r="A524" s="141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30"/>
      <c r="AM524" s="130"/>
      <c r="AN524" s="130"/>
      <c r="AO524" s="130"/>
      <c r="AP524" s="130"/>
      <c r="AQ524" s="130"/>
      <c r="AR524" s="130"/>
      <c r="AS524" s="130"/>
      <c r="AT524" s="130"/>
      <c r="AU524" s="130"/>
      <c r="AV524" s="129"/>
      <c r="AW524" s="129"/>
      <c r="AX524" s="129"/>
      <c r="AY524" s="129"/>
      <c r="AZ524" s="129"/>
      <c r="BA524" s="129"/>
      <c r="BB524" s="129"/>
    </row>
    <row r="525" ht="15.75" customHeight="1">
      <c r="A525" s="141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30"/>
      <c r="AM525" s="130"/>
      <c r="AN525" s="130"/>
      <c r="AO525" s="130"/>
      <c r="AP525" s="130"/>
      <c r="AQ525" s="130"/>
      <c r="AR525" s="130"/>
      <c r="AS525" s="130"/>
      <c r="AT525" s="130"/>
      <c r="AU525" s="130"/>
      <c r="AV525" s="129"/>
      <c r="AW525" s="129"/>
      <c r="AX525" s="129"/>
      <c r="AY525" s="129"/>
      <c r="AZ525" s="129"/>
      <c r="BA525" s="129"/>
      <c r="BB525" s="129"/>
    </row>
    <row r="526" ht="15.75" customHeight="1">
      <c r="A526" s="141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30"/>
      <c r="AM526" s="130"/>
      <c r="AN526" s="130"/>
      <c r="AO526" s="130"/>
      <c r="AP526" s="130"/>
      <c r="AQ526" s="130"/>
      <c r="AR526" s="130"/>
      <c r="AS526" s="130"/>
      <c r="AT526" s="130"/>
      <c r="AU526" s="130"/>
      <c r="AV526" s="129"/>
      <c r="AW526" s="129"/>
      <c r="AX526" s="129"/>
      <c r="AY526" s="129"/>
      <c r="AZ526" s="129"/>
      <c r="BA526" s="129"/>
      <c r="BB526" s="129"/>
    </row>
    <row r="527" ht="15.75" customHeight="1">
      <c r="A527" s="141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30"/>
      <c r="AM527" s="130"/>
      <c r="AN527" s="130"/>
      <c r="AO527" s="130"/>
      <c r="AP527" s="130"/>
      <c r="AQ527" s="130"/>
      <c r="AR527" s="130"/>
      <c r="AS527" s="130"/>
      <c r="AT527" s="130"/>
      <c r="AU527" s="130"/>
      <c r="AV527" s="129"/>
      <c r="AW527" s="129"/>
      <c r="AX527" s="129"/>
      <c r="AY527" s="129"/>
      <c r="AZ527" s="129"/>
      <c r="BA527" s="129"/>
      <c r="BB527" s="129"/>
    </row>
    <row r="528" ht="15.75" customHeight="1">
      <c r="A528" s="141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30"/>
      <c r="AM528" s="130"/>
      <c r="AN528" s="130"/>
      <c r="AO528" s="130"/>
      <c r="AP528" s="130"/>
      <c r="AQ528" s="130"/>
      <c r="AR528" s="130"/>
      <c r="AS528" s="130"/>
      <c r="AT528" s="130"/>
      <c r="AU528" s="130"/>
      <c r="AV528" s="129"/>
      <c r="AW528" s="129"/>
      <c r="AX528" s="129"/>
      <c r="AY528" s="129"/>
      <c r="AZ528" s="129"/>
      <c r="BA528" s="129"/>
      <c r="BB528" s="129"/>
    </row>
    <row r="529" ht="15.75" customHeight="1">
      <c r="A529" s="141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30"/>
      <c r="AM529" s="130"/>
      <c r="AN529" s="130"/>
      <c r="AO529" s="130"/>
      <c r="AP529" s="130"/>
      <c r="AQ529" s="130"/>
      <c r="AR529" s="130"/>
      <c r="AS529" s="130"/>
      <c r="AT529" s="130"/>
      <c r="AU529" s="130"/>
      <c r="AV529" s="129"/>
      <c r="AW529" s="129"/>
      <c r="AX529" s="129"/>
      <c r="AY529" s="129"/>
      <c r="AZ529" s="129"/>
      <c r="BA529" s="129"/>
      <c r="BB529" s="129"/>
    </row>
    <row r="530" ht="15.75" customHeight="1">
      <c r="A530" s="141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30"/>
      <c r="AM530" s="130"/>
      <c r="AN530" s="130"/>
      <c r="AO530" s="130"/>
      <c r="AP530" s="130"/>
      <c r="AQ530" s="130"/>
      <c r="AR530" s="130"/>
      <c r="AS530" s="130"/>
      <c r="AT530" s="130"/>
      <c r="AU530" s="130"/>
      <c r="AV530" s="129"/>
      <c r="AW530" s="129"/>
      <c r="AX530" s="129"/>
      <c r="AY530" s="129"/>
      <c r="AZ530" s="129"/>
      <c r="BA530" s="129"/>
      <c r="BB530" s="129"/>
    </row>
    <row r="531" ht="15.75" customHeight="1">
      <c r="A531" s="141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30"/>
      <c r="AM531" s="130"/>
      <c r="AN531" s="130"/>
      <c r="AO531" s="130"/>
      <c r="AP531" s="130"/>
      <c r="AQ531" s="130"/>
      <c r="AR531" s="130"/>
      <c r="AS531" s="130"/>
      <c r="AT531" s="130"/>
      <c r="AU531" s="130"/>
      <c r="AV531" s="129"/>
      <c r="AW531" s="129"/>
      <c r="AX531" s="129"/>
      <c r="AY531" s="129"/>
      <c r="AZ531" s="129"/>
      <c r="BA531" s="129"/>
      <c r="BB531" s="129"/>
    </row>
    <row r="532" ht="15.75" customHeight="1">
      <c r="A532" s="141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30"/>
      <c r="AM532" s="130"/>
      <c r="AN532" s="130"/>
      <c r="AO532" s="130"/>
      <c r="AP532" s="130"/>
      <c r="AQ532" s="130"/>
      <c r="AR532" s="130"/>
      <c r="AS532" s="130"/>
      <c r="AT532" s="130"/>
      <c r="AU532" s="130"/>
      <c r="AV532" s="129"/>
      <c r="AW532" s="129"/>
      <c r="AX532" s="129"/>
      <c r="AY532" s="129"/>
      <c r="AZ532" s="129"/>
      <c r="BA532" s="129"/>
      <c r="BB532" s="129"/>
    </row>
    <row r="533" ht="15.75" customHeight="1">
      <c r="A533" s="141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30"/>
      <c r="AM533" s="130"/>
      <c r="AN533" s="130"/>
      <c r="AO533" s="130"/>
      <c r="AP533" s="130"/>
      <c r="AQ533" s="130"/>
      <c r="AR533" s="130"/>
      <c r="AS533" s="130"/>
      <c r="AT533" s="130"/>
      <c r="AU533" s="130"/>
      <c r="AV533" s="129"/>
      <c r="AW533" s="129"/>
      <c r="AX533" s="129"/>
      <c r="AY533" s="129"/>
      <c r="AZ533" s="129"/>
      <c r="BA533" s="129"/>
      <c r="BB533" s="129"/>
    </row>
    <row r="534" ht="15.75" customHeight="1">
      <c r="A534" s="141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30"/>
      <c r="AM534" s="130"/>
      <c r="AN534" s="130"/>
      <c r="AO534" s="130"/>
      <c r="AP534" s="130"/>
      <c r="AQ534" s="130"/>
      <c r="AR534" s="130"/>
      <c r="AS534" s="130"/>
      <c r="AT534" s="130"/>
      <c r="AU534" s="130"/>
      <c r="AV534" s="129"/>
      <c r="AW534" s="129"/>
      <c r="AX534" s="129"/>
      <c r="AY534" s="129"/>
      <c r="AZ534" s="129"/>
      <c r="BA534" s="129"/>
      <c r="BB534" s="129"/>
    </row>
    <row r="535" ht="15.75" customHeight="1">
      <c r="A535" s="141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30"/>
      <c r="AM535" s="130"/>
      <c r="AN535" s="130"/>
      <c r="AO535" s="130"/>
      <c r="AP535" s="130"/>
      <c r="AQ535" s="130"/>
      <c r="AR535" s="130"/>
      <c r="AS535" s="130"/>
      <c r="AT535" s="130"/>
      <c r="AU535" s="130"/>
      <c r="AV535" s="129"/>
      <c r="AW535" s="129"/>
      <c r="AX535" s="129"/>
      <c r="AY535" s="129"/>
      <c r="AZ535" s="129"/>
      <c r="BA535" s="129"/>
      <c r="BB535" s="129"/>
    </row>
    <row r="536" ht="15.75" customHeight="1">
      <c r="A536" s="141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30"/>
      <c r="AM536" s="130"/>
      <c r="AN536" s="130"/>
      <c r="AO536" s="130"/>
      <c r="AP536" s="130"/>
      <c r="AQ536" s="130"/>
      <c r="AR536" s="130"/>
      <c r="AS536" s="130"/>
      <c r="AT536" s="130"/>
      <c r="AU536" s="130"/>
      <c r="AV536" s="129"/>
      <c r="AW536" s="129"/>
      <c r="AX536" s="129"/>
      <c r="AY536" s="129"/>
      <c r="AZ536" s="129"/>
      <c r="BA536" s="129"/>
      <c r="BB536" s="129"/>
    </row>
    <row r="537" ht="15.75" customHeight="1">
      <c r="A537" s="141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30"/>
      <c r="AM537" s="130"/>
      <c r="AN537" s="130"/>
      <c r="AO537" s="130"/>
      <c r="AP537" s="130"/>
      <c r="AQ537" s="130"/>
      <c r="AR537" s="130"/>
      <c r="AS537" s="130"/>
      <c r="AT537" s="130"/>
      <c r="AU537" s="130"/>
      <c r="AV537" s="129"/>
      <c r="AW537" s="129"/>
      <c r="AX537" s="129"/>
      <c r="AY537" s="129"/>
      <c r="AZ537" s="129"/>
      <c r="BA537" s="129"/>
      <c r="BB537" s="129"/>
    </row>
    <row r="538" ht="15.75" customHeight="1">
      <c r="A538" s="141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30"/>
      <c r="AM538" s="130"/>
      <c r="AN538" s="130"/>
      <c r="AO538" s="130"/>
      <c r="AP538" s="130"/>
      <c r="AQ538" s="130"/>
      <c r="AR538" s="130"/>
      <c r="AS538" s="130"/>
      <c r="AT538" s="130"/>
      <c r="AU538" s="130"/>
      <c r="AV538" s="129"/>
      <c r="AW538" s="129"/>
      <c r="AX538" s="129"/>
      <c r="AY538" s="129"/>
      <c r="AZ538" s="129"/>
      <c r="BA538" s="129"/>
      <c r="BB538" s="129"/>
    </row>
    <row r="539" ht="15.75" customHeight="1">
      <c r="A539" s="141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30"/>
      <c r="AM539" s="130"/>
      <c r="AN539" s="130"/>
      <c r="AO539" s="130"/>
      <c r="AP539" s="130"/>
      <c r="AQ539" s="130"/>
      <c r="AR539" s="130"/>
      <c r="AS539" s="130"/>
      <c r="AT539" s="130"/>
      <c r="AU539" s="130"/>
      <c r="AV539" s="129"/>
      <c r="AW539" s="129"/>
      <c r="AX539" s="129"/>
      <c r="AY539" s="129"/>
      <c r="AZ539" s="129"/>
      <c r="BA539" s="129"/>
      <c r="BB539" s="129"/>
    </row>
    <row r="540" ht="15.75" customHeight="1">
      <c r="A540" s="141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30"/>
      <c r="AM540" s="130"/>
      <c r="AN540" s="130"/>
      <c r="AO540" s="130"/>
      <c r="AP540" s="130"/>
      <c r="AQ540" s="130"/>
      <c r="AR540" s="130"/>
      <c r="AS540" s="130"/>
      <c r="AT540" s="130"/>
      <c r="AU540" s="130"/>
      <c r="AV540" s="129"/>
      <c r="AW540" s="129"/>
      <c r="AX540" s="129"/>
      <c r="AY540" s="129"/>
      <c r="AZ540" s="129"/>
      <c r="BA540" s="129"/>
      <c r="BB540" s="129"/>
    </row>
    <row r="541" ht="15.75" customHeight="1">
      <c r="A541" s="141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30"/>
      <c r="AM541" s="130"/>
      <c r="AN541" s="130"/>
      <c r="AO541" s="130"/>
      <c r="AP541" s="130"/>
      <c r="AQ541" s="130"/>
      <c r="AR541" s="130"/>
      <c r="AS541" s="130"/>
      <c r="AT541" s="130"/>
      <c r="AU541" s="130"/>
      <c r="AV541" s="129"/>
      <c r="AW541" s="129"/>
      <c r="AX541" s="129"/>
      <c r="AY541" s="129"/>
      <c r="AZ541" s="129"/>
      <c r="BA541" s="129"/>
      <c r="BB541" s="129"/>
    </row>
    <row r="542" ht="15.75" customHeight="1">
      <c r="A542" s="141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30"/>
      <c r="AM542" s="130"/>
      <c r="AN542" s="130"/>
      <c r="AO542" s="130"/>
      <c r="AP542" s="130"/>
      <c r="AQ542" s="130"/>
      <c r="AR542" s="130"/>
      <c r="AS542" s="130"/>
      <c r="AT542" s="130"/>
      <c r="AU542" s="130"/>
      <c r="AV542" s="129"/>
      <c r="AW542" s="129"/>
      <c r="AX542" s="129"/>
      <c r="AY542" s="129"/>
      <c r="AZ542" s="129"/>
      <c r="BA542" s="129"/>
      <c r="BB542" s="129"/>
    </row>
    <row r="543" ht="15.75" customHeight="1">
      <c r="A543" s="141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30"/>
      <c r="AM543" s="130"/>
      <c r="AN543" s="130"/>
      <c r="AO543" s="130"/>
      <c r="AP543" s="130"/>
      <c r="AQ543" s="130"/>
      <c r="AR543" s="130"/>
      <c r="AS543" s="130"/>
      <c r="AT543" s="130"/>
      <c r="AU543" s="130"/>
      <c r="AV543" s="129"/>
      <c r="AW543" s="129"/>
      <c r="AX543" s="129"/>
      <c r="AY543" s="129"/>
      <c r="AZ543" s="129"/>
      <c r="BA543" s="129"/>
      <c r="BB543" s="129"/>
    </row>
    <row r="544" ht="15.75" customHeight="1">
      <c r="A544" s="141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30"/>
      <c r="AM544" s="130"/>
      <c r="AN544" s="130"/>
      <c r="AO544" s="130"/>
      <c r="AP544" s="130"/>
      <c r="AQ544" s="130"/>
      <c r="AR544" s="130"/>
      <c r="AS544" s="130"/>
      <c r="AT544" s="130"/>
      <c r="AU544" s="130"/>
      <c r="AV544" s="129"/>
      <c r="AW544" s="129"/>
      <c r="AX544" s="129"/>
      <c r="AY544" s="129"/>
      <c r="AZ544" s="129"/>
      <c r="BA544" s="129"/>
      <c r="BB544" s="129"/>
    </row>
    <row r="545" ht="15.75" customHeight="1">
      <c r="A545" s="141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30"/>
      <c r="AM545" s="130"/>
      <c r="AN545" s="130"/>
      <c r="AO545" s="130"/>
      <c r="AP545" s="130"/>
      <c r="AQ545" s="130"/>
      <c r="AR545" s="130"/>
      <c r="AS545" s="130"/>
      <c r="AT545" s="130"/>
      <c r="AU545" s="130"/>
      <c r="AV545" s="129"/>
      <c r="AW545" s="129"/>
      <c r="AX545" s="129"/>
      <c r="AY545" s="129"/>
      <c r="AZ545" s="129"/>
      <c r="BA545" s="129"/>
      <c r="BB545" s="129"/>
    </row>
    <row r="546" ht="15.75" customHeight="1">
      <c r="A546" s="141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30"/>
      <c r="AM546" s="130"/>
      <c r="AN546" s="130"/>
      <c r="AO546" s="130"/>
      <c r="AP546" s="130"/>
      <c r="AQ546" s="130"/>
      <c r="AR546" s="130"/>
      <c r="AS546" s="130"/>
      <c r="AT546" s="130"/>
      <c r="AU546" s="130"/>
      <c r="AV546" s="129"/>
      <c r="AW546" s="129"/>
      <c r="AX546" s="129"/>
      <c r="AY546" s="129"/>
      <c r="AZ546" s="129"/>
      <c r="BA546" s="129"/>
      <c r="BB546" s="129"/>
    </row>
    <row r="547" ht="15.75" customHeight="1">
      <c r="A547" s="141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30"/>
      <c r="AM547" s="130"/>
      <c r="AN547" s="130"/>
      <c r="AO547" s="130"/>
      <c r="AP547" s="130"/>
      <c r="AQ547" s="130"/>
      <c r="AR547" s="130"/>
      <c r="AS547" s="130"/>
      <c r="AT547" s="130"/>
      <c r="AU547" s="130"/>
      <c r="AV547" s="129"/>
      <c r="AW547" s="129"/>
      <c r="AX547" s="129"/>
      <c r="AY547" s="129"/>
      <c r="AZ547" s="129"/>
      <c r="BA547" s="129"/>
      <c r="BB547" s="129"/>
    </row>
    <row r="548" ht="15.75" customHeight="1">
      <c r="A548" s="141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30"/>
      <c r="AM548" s="130"/>
      <c r="AN548" s="130"/>
      <c r="AO548" s="130"/>
      <c r="AP548" s="130"/>
      <c r="AQ548" s="130"/>
      <c r="AR548" s="130"/>
      <c r="AS548" s="130"/>
      <c r="AT548" s="130"/>
      <c r="AU548" s="130"/>
      <c r="AV548" s="129"/>
      <c r="AW548" s="129"/>
      <c r="AX548" s="129"/>
      <c r="AY548" s="129"/>
      <c r="AZ548" s="129"/>
      <c r="BA548" s="129"/>
      <c r="BB548" s="129"/>
    </row>
    <row r="549" ht="15.75" customHeight="1">
      <c r="A549" s="141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30"/>
      <c r="AM549" s="130"/>
      <c r="AN549" s="130"/>
      <c r="AO549" s="130"/>
      <c r="AP549" s="130"/>
      <c r="AQ549" s="130"/>
      <c r="AR549" s="130"/>
      <c r="AS549" s="130"/>
      <c r="AT549" s="130"/>
      <c r="AU549" s="130"/>
      <c r="AV549" s="129"/>
      <c r="AW549" s="129"/>
      <c r="AX549" s="129"/>
      <c r="AY549" s="129"/>
      <c r="AZ549" s="129"/>
      <c r="BA549" s="129"/>
      <c r="BB549" s="129"/>
    </row>
    <row r="550" ht="15.75" customHeight="1">
      <c r="A550" s="141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30"/>
      <c r="AM550" s="130"/>
      <c r="AN550" s="130"/>
      <c r="AO550" s="130"/>
      <c r="AP550" s="130"/>
      <c r="AQ550" s="130"/>
      <c r="AR550" s="130"/>
      <c r="AS550" s="130"/>
      <c r="AT550" s="130"/>
      <c r="AU550" s="130"/>
      <c r="AV550" s="129"/>
      <c r="AW550" s="129"/>
      <c r="AX550" s="129"/>
      <c r="AY550" s="129"/>
      <c r="AZ550" s="129"/>
      <c r="BA550" s="129"/>
      <c r="BB550" s="129"/>
    </row>
    <row r="551" ht="15.75" customHeight="1">
      <c r="A551" s="141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30"/>
      <c r="AM551" s="130"/>
      <c r="AN551" s="130"/>
      <c r="AO551" s="130"/>
      <c r="AP551" s="130"/>
      <c r="AQ551" s="130"/>
      <c r="AR551" s="130"/>
      <c r="AS551" s="130"/>
      <c r="AT551" s="130"/>
      <c r="AU551" s="130"/>
      <c r="AV551" s="129"/>
      <c r="AW551" s="129"/>
      <c r="AX551" s="129"/>
      <c r="AY551" s="129"/>
      <c r="AZ551" s="129"/>
      <c r="BA551" s="129"/>
      <c r="BB551" s="129"/>
    </row>
    <row r="552" ht="15.75" customHeight="1">
      <c r="A552" s="141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30"/>
      <c r="AM552" s="130"/>
      <c r="AN552" s="130"/>
      <c r="AO552" s="130"/>
      <c r="AP552" s="130"/>
      <c r="AQ552" s="130"/>
      <c r="AR552" s="130"/>
      <c r="AS552" s="130"/>
      <c r="AT552" s="130"/>
      <c r="AU552" s="130"/>
      <c r="AV552" s="129"/>
      <c r="AW552" s="129"/>
      <c r="AX552" s="129"/>
      <c r="AY552" s="129"/>
      <c r="AZ552" s="129"/>
      <c r="BA552" s="129"/>
      <c r="BB552" s="129"/>
    </row>
    <row r="553" ht="15.75" customHeight="1">
      <c r="A553" s="141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30"/>
      <c r="AM553" s="130"/>
      <c r="AN553" s="130"/>
      <c r="AO553" s="130"/>
      <c r="AP553" s="130"/>
      <c r="AQ553" s="130"/>
      <c r="AR553" s="130"/>
      <c r="AS553" s="130"/>
      <c r="AT553" s="130"/>
      <c r="AU553" s="130"/>
      <c r="AV553" s="129"/>
      <c r="AW553" s="129"/>
      <c r="AX553" s="129"/>
      <c r="AY553" s="129"/>
      <c r="AZ553" s="129"/>
      <c r="BA553" s="129"/>
      <c r="BB553" s="129"/>
    </row>
    <row r="554" ht="15.75" customHeight="1">
      <c r="A554" s="141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30"/>
      <c r="AM554" s="130"/>
      <c r="AN554" s="130"/>
      <c r="AO554" s="130"/>
      <c r="AP554" s="130"/>
      <c r="AQ554" s="130"/>
      <c r="AR554" s="130"/>
      <c r="AS554" s="130"/>
      <c r="AT554" s="130"/>
      <c r="AU554" s="130"/>
      <c r="AV554" s="129"/>
      <c r="AW554" s="129"/>
      <c r="AX554" s="129"/>
      <c r="AY554" s="129"/>
      <c r="AZ554" s="129"/>
      <c r="BA554" s="129"/>
      <c r="BB554" s="129"/>
    </row>
    <row r="555" ht="15.75" customHeight="1">
      <c r="A555" s="141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30"/>
      <c r="AM555" s="130"/>
      <c r="AN555" s="130"/>
      <c r="AO555" s="130"/>
      <c r="AP555" s="130"/>
      <c r="AQ555" s="130"/>
      <c r="AR555" s="130"/>
      <c r="AS555" s="130"/>
      <c r="AT555" s="130"/>
      <c r="AU555" s="130"/>
      <c r="AV555" s="129"/>
      <c r="AW555" s="129"/>
      <c r="AX555" s="129"/>
      <c r="AY555" s="129"/>
      <c r="AZ555" s="129"/>
      <c r="BA555" s="129"/>
      <c r="BB555" s="129"/>
    </row>
    <row r="556" ht="15.75" customHeight="1">
      <c r="A556" s="141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30"/>
      <c r="AM556" s="130"/>
      <c r="AN556" s="130"/>
      <c r="AO556" s="130"/>
      <c r="AP556" s="130"/>
      <c r="AQ556" s="130"/>
      <c r="AR556" s="130"/>
      <c r="AS556" s="130"/>
      <c r="AT556" s="130"/>
      <c r="AU556" s="130"/>
      <c r="AV556" s="129"/>
      <c r="AW556" s="129"/>
      <c r="AX556" s="129"/>
      <c r="AY556" s="129"/>
      <c r="AZ556" s="129"/>
      <c r="BA556" s="129"/>
      <c r="BB556" s="129"/>
    </row>
    <row r="557" ht="15.75" customHeight="1">
      <c r="A557" s="141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30"/>
      <c r="AM557" s="130"/>
      <c r="AN557" s="130"/>
      <c r="AO557" s="130"/>
      <c r="AP557" s="130"/>
      <c r="AQ557" s="130"/>
      <c r="AR557" s="130"/>
      <c r="AS557" s="130"/>
      <c r="AT557" s="130"/>
      <c r="AU557" s="130"/>
      <c r="AV557" s="129"/>
      <c r="AW557" s="129"/>
      <c r="AX557" s="129"/>
      <c r="AY557" s="129"/>
      <c r="AZ557" s="129"/>
      <c r="BA557" s="129"/>
      <c r="BB557" s="129"/>
    </row>
    <row r="558" ht="15.75" customHeight="1">
      <c r="A558" s="141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30"/>
      <c r="AM558" s="130"/>
      <c r="AN558" s="130"/>
      <c r="AO558" s="130"/>
      <c r="AP558" s="130"/>
      <c r="AQ558" s="130"/>
      <c r="AR558" s="130"/>
      <c r="AS558" s="130"/>
      <c r="AT558" s="130"/>
      <c r="AU558" s="130"/>
      <c r="AV558" s="129"/>
      <c r="AW558" s="129"/>
      <c r="AX558" s="129"/>
      <c r="AY558" s="129"/>
      <c r="AZ558" s="129"/>
      <c r="BA558" s="129"/>
      <c r="BB558" s="129"/>
    </row>
    <row r="559" ht="15.75" customHeight="1">
      <c r="A559" s="141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30"/>
      <c r="AM559" s="130"/>
      <c r="AN559" s="130"/>
      <c r="AO559" s="130"/>
      <c r="AP559" s="130"/>
      <c r="AQ559" s="130"/>
      <c r="AR559" s="130"/>
      <c r="AS559" s="130"/>
      <c r="AT559" s="130"/>
      <c r="AU559" s="130"/>
      <c r="AV559" s="129"/>
      <c r="AW559" s="129"/>
      <c r="AX559" s="129"/>
      <c r="AY559" s="129"/>
      <c r="AZ559" s="129"/>
      <c r="BA559" s="129"/>
      <c r="BB559" s="129"/>
    </row>
    <row r="560" ht="15.75" customHeight="1">
      <c r="A560" s="141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30"/>
      <c r="AM560" s="130"/>
      <c r="AN560" s="130"/>
      <c r="AO560" s="130"/>
      <c r="AP560" s="130"/>
      <c r="AQ560" s="130"/>
      <c r="AR560" s="130"/>
      <c r="AS560" s="130"/>
      <c r="AT560" s="130"/>
      <c r="AU560" s="130"/>
      <c r="AV560" s="129"/>
      <c r="AW560" s="129"/>
      <c r="AX560" s="129"/>
      <c r="AY560" s="129"/>
      <c r="AZ560" s="129"/>
      <c r="BA560" s="129"/>
      <c r="BB560" s="129"/>
    </row>
    <row r="561" ht="15.75" customHeight="1">
      <c r="A561" s="141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30"/>
      <c r="AM561" s="130"/>
      <c r="AN561" s="130"/>
      <c r="AO561" s="130"/>
      <c r="AP561" s="130"/>
      <c r="AQ561" s="130"/>
      <c r="AR561" s="130"/>
      <c r="AS561" s="130"/>
      <c r="AT561" s="130"/>
      <c r="AU561" s="130"/>
      <c r="AV561" s="129"/>
      <c r="AW561" s="129"/>
      <c r="AX561" s="129"/>
      <c r="AY561" s="129"/>
      <c r="AZ561" s="129"/>
      <c r="BA561" s="129"/>
      <c r="BB561" s="129"/>
    </row>
    <row r="562" ht="15.75" customHeight="1">
      <c r="A562" s="141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30"/>
      <c r="AM562" s="130"/>
      <c r="AN562" s="130"/>
      <c r="AO562" s="130"/>
      <c r="AP562" s="130"/>
      <c r="AQ562" s="130"/>
      <c r="AR562" s="130"/>
      <c r="AS562" s="130"/>
      <c r="AT562" s="130"/>
      <c r="AU562" s="130"/>
      <c r="AV562" s="129"/>
      <c r="AW562" s="129"/>
      <c r="AX562" s="129"/>
      <c r="AY562" s="129"/>
      <c r="AZ562" s="129"/>
      <c r="BA562" s="129"/>
      <c r="BB562" s="129"/>
    </row>
    <row r="563" ht="15.75" customHeight="1">
      <c r="A563" s="141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30"/>
      <c r="AM563" s="130"/>
      <c r="AN563" s="130"/>
      <c r="AO563" s="130"/>
      <c r="AP563" s="130"/>
      <c r="AQ563" s="130"/>
      <c r="AR563" s="130"/>
      <c r="AS563" s="130"/>
      <c r="AT563" s="130"/>
      <c r="AU563" s="130"/>
      <c r="AV563" s="129"/>
      <c r="AW563" s="129"/>
      <c r="AX563" s="129"/>
      <c r="AY563" s="129"/>
      <c r="AZ563" s="129"/>
      <c r="BA563" s="129"/>
      <c r="BB563" s="129"/>
    </row>
    <row r="564" ht="15.75" customHeight="1">
      <c r="A564" s="141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30"/>
      <c r="AM564" s="130"/>
      <c r="AN564" s="130"/>
      <c r="AO564" s="130"/>
      <c r="AP564" s="130"/>
      <c r="AQ564" s="130"/>
      <c r="AR564" s="130"/>
      <c r="AS564" s="130"/>
      <c r="AT564" s="130"/>
      <c r="AU564" s="130"/>
      <c r="AV564" s="129"/>
      <c r="AW564" s="129"/>
      <c r="AX564" s="129"/>
      <c r="AY564" s="129"/>
      <c r="AZ564" s="129"/>
      <c r="BA564" s="129"/>
      <c r="BB564" s="129"/>
    </row>
    <row r="565" ht="15.75" customHeight="1">
      <c r="A565" s="141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30"/>
      <c r="AM565" s="130"/>
      <c r="AN565" s="130"/>
      <c r="AO565" s="130"/>
      <c r="AP565" s="130"/>
      <c r="AQ565" s="130"/>
      <c r="AR565" s="130"/>
      <c r="AS565" s="130"/>
      <c r="AT565" s="130"/>
      <c r="AU565" s="130"/>
      <c r="AV565" s="129"/>
      <c r="AW565" s="129"/>
      <c r="AX565" s="129"/>
      <c r="AY565" s="129"/>
      <c r="AZ565" s="129"/>
      <c r="BA565" s="129"/>
      <c r="BB565" s="129"/>
    </row>
    <row r="566" ht="15.75" customHeight="1">
      <c r="A566" s="141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30"/>
      <c r="AM566" s="130"/>
      <c r="AN566" s="130"/>
      <c r="AO566" s="130"/>
      <c r="AP566" s="130"/>
      <c r="AQ566" s="130"/>
      <c r="AR566" s="130"/>
      <c r="AS566" s="130"/>
      <c r="AT566" s="130"/>
      <c r="AU566" s="130"/>
      <c r="AV566" s="129"/>
      <c r="AW566" s="129"/>
      <c r="AX566" s="129"/>
      <c r="AY566" s="129"/>
      <c r="AZ566" s="129"/>
      <c r="BA566" s="129"/>
      <c r="BB566" s="129"/>
    </row>
    <row r="567" ht="15.75" customHeight="1">
      <c r="A567" s="141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30"/>
      <c r="AM567" s="130"/>
      <c r="AN567" s="130"/>
      <c r="AO567" s="130"/>
      <c r="AP567" s="130"/>
      <c r="AQ567" s="130"/>
      <c r="AR567" s="130"/>
      <c r="AS567" s="130"/>
      <c r="AT567" s="130"/>
      <c r="AU567" s="130"/>
      <c r="AV567" s="129"/>
      <c r="AW567" s="129"/>
      <c r="AX567" s="129"/>
      <c r="AY567" s="129"/>
      <c r="AZ567" s="129"/>
      <c r="BA567" s="129"/>
      <c r="BB567" s="129"/>
    </row>
    <row r="568" ht="15.75" customHeight="1">
      <c r="A568" s="141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30"/>
      <c r="AM568" s="130"/>
      <c r="AN568" s="130"/>
      <c r="AO568" s="130"/>
      <c r="AP568" s="130"/>
      <c r="AQ568" s="130"/>
      <c r="AR568" s="130"/>
      <c r="AS568" s="130"/>
      <c r="AT568" s="130"/>
      <c r="AU568" s="130"/>
      <c r="AV568" s="129"/>
      <c r="AW568" s="129"/>
      <c r="AX568" s="129"/>
      <c r="AY568" s="129"/>
      <c r="AZ568" s="129"/>
      <c r="BA568" s="129"/>
      <c r="BB568" s="129"/>
    </row>
    <row r="569" ht="15.75" customHeight="1">
      <c r="A569" s="141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30"/>
      <c r="AM569" s="130"/>
      <c r="AN569" s="130"/>
      <c r="AO569" s="130"/>
      <c r="AP569" s="130"/>
      <c r="AQ569" s="130"/>
      <c r="AR569" s="130"/>
      <c r="AS569" s="130"/>
      <c r="AT569" s="130"/>
      <c r="AU569" s="130"/>
      <c r="AV569" s="129"/>
      <c r="AW569" s="129"/>
      <c r="AX569" s="129"/>
      <c r="AY569" s="129"/>
      <c r="AZ569" s="129"/>
      <c r="BA569" s="129"/>
      <c r="BB569" s="129"/>
    </row>
    <row r="570" ht="15.75" customHeight="1">
      <c r="A570" s="141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30"/>
      <c r="AM570" s="130"/>
      <c r="AN570" s="130"/>
      <c r="AO570" s="130"/>
      <c r="AP570" s="130"/>
      <c r="AQ570" s="130"/>
      <c r="AR570" s="130"/>
      <c r="AS570" s="130"/>
      <c r="AT570" s="130"/>
      <c r="AU570" s="130"/>
      <c r="AV570" s="129"/>
      <c r="AW570" s="129"/>
      <c r="AX570" s="129"/>
      <c r="AY570" s="129"/>
      <c r="AZ570" s="129"/>
      <c r="BA570" s="129"/>
      <c r="BB570" s="129"/>
    </row>
    <row r="571" ht="15.75" customHeight="1">
      <c r="A571" s="141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30"/>
      <c r="AM571" s="130"/>
      <c r="AN571" s="130"/>
      <c r="AO571" s="130"/>
      <c r="AP571" s="130"/>
      <c r="AQ571" s="130"/>
      <c r="AR571" s="130"/>
      <c r="AS571" s="130"/>
      <c r="AT571" s="130"/>
      <c r="AU571" s="130"/>
      <c r="AV571" s="129"/>
      <c r="AW571" s="129"/>
      <c r="AX571" s="129"/>
      <c r="AY571" s="129"/>
      <c r="AZ571" s="129"/>
      <c r="BA571" s="129"/>
      <c r="BB571" s="129"/>
    </row>
    <row r="572" ht="15.75" customHeight="1">
      <c r="A572" s="141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30"/>
      <c r="AM572" s="130"/>
      <c r="AN572" s="130"/>
      <c r="AO572" s="130"/>
      <c r="AP572" s="130"/>
      <c r="AQ572" s="130"/>
      <c r="AR572" s="130"/>
      <c r="AS572" s="130"/>
      <c r="AT572" s="130"/>
      <c r="AU572" s="130"/>
      <c r="AV572" s="129"/>
      <c r="AW572" s="129"/>
      <c r="AX572" s="129"/>
      <c r="AY572" s="129"/>
      <c r="AZ572" s="129"/>
      <c r="BA572" s="129"/>
      <c r="BB572" s="129"/>
    </row>
    <row r="573" ht="15.75" customHeight="1">
      <c r="A573" s="141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30"/>
      <c r="AM573" s="130"/>
      <c r="AN573" s="130"/>
      <c r="AO573" s="130"/>
      <c r="AP573" s="130"/>
      <c r="AQ573" s="130"/>
      <c r="AR573" s="130"/>
      <c r="AS573" s="130"/>
      <c r="AT573" s="130"/>
      <c r="AU573" s="130"/>
      <c r="AV573" s="129"/>
      <c r="AW573" s="129"/>
      <c r="AX573" s="129"/>
      <c r="AY573" s="129"/>
      <c r="AZ573" s="129"/>
      <c r="BA573" s="129"/>
      <c r="BB573" s="129"/>
    </row>
    <row r="574" ht="15.75" customHeight="1">
      <c r="A574" s="141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30"/>
      <c r="AM574" s="130"/>
      <c r="AN574" s="130"/>
      <c r="AO574" s="130"/>
      <c r="AP574" s="130"/>
      <c r="AQ574" s="130"/>
      <c r="AR574" s="130"/>
      <c r="AS574" s="130"/>
      <c r="AT574" s="130"/>
      <c r="AU574" s="130"/>
      <c r="AV574" s="129"/>
      <c r="AW574" s="129"/>
      <c r="AX574" s="129"/>
      <c r="AY574" s="129"/>
      <c r="AZ574" s="129"/>
      <c r="BA574" s="129"/>
      <c r="BB574" s="129"/>
    </row>
    <row r="575" ht="15.75" customHeight="1">
      <c r="A575" s="141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30"/>
      <c r="AM575" s="130"/>
      <c r="AN575" s="130"/>
      <c r="AO575" s="130"/>
      <c r="AP575" s="130"/>
      <c r="AQ575" s="130"/>
      <c r="AR575" s="130"/>
      <c r="AS575" s="130"/>
      <c r="AT575" s="130"/>
      <c r="AU575" s="130"/>
      <c r="AV575" s="129"/>
      <c r="AW575" s="129"/>
      <c r="AX575" s="129"/>
      <c r="AY575" s="129"/>
      <c r="AZ575" s="129"/>
      <c r="BA575" s="129"/>
      <c r="BB575" s="129"/>
    </row>
    <row r="576" ht="15.75" customHeight="1">
      <c r="A576" s="141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30"/>
      <c r="AM576" s="130"/>
      <c r="AN576" s="130"/>
      <c r="AO576" s="130"/>
      <c r="AP576" s="130"/>
      <c r="AQ576" s="130"/>
      <c r="AR576" s="130"/>
      <c r="AS576" s="130"/>
      <c r="AT576" s="130"/>
      <c r="AU576" s="130"/>
      <c r="AV576" s="129"/>
      <c r="AW576" s="129"/>
      <c r="AX576" s="129"/>
      <c r="AY576" s="129"/>
      <c r="AZ576" s="129"/>
      <c r="BA576" s="129"/>
      <c r="BB576" s="129"/>
    </row>
    <row r="577" ht="15.75" customHeight="1">
      <c r="A577" s="141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30"/>
      <c r="AM577" s="130"/>
      <c r="AN577" s="130"/>
      <c r="AO577" s="130"/>
      <c r="AP577" s="130"/>
      <c r="AQ577" s="130"/>
      <c r="AR577" s="130"/>
      <c r="AS577" s="130"/>
      <c r="AT577" s="130"/>
      <c r="AU577" s="130"/>
      <c r="AV577" s="129"/>
      <c r="AW577" s="129"/>
      <c r="AX577" s="129"/>
      <c r="AY577" s="129"/>
      <c r="AZ577" s="129"/>
      <c r="BA577" s="129"/>
      <c r="BB577" s="129"/>
    </row>
    <row r="578" ht="15.75" customHeight="1">
      <c r="A578" s="141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30"/>
      <c r="AM578" s="130"/>
      <c r="AN578" s="130"/>
      <c r="AO578" s="130"/>
      <c r="AP578" s="130"/>
      <c r="AQ578" s="130"/>
      <c r="AR578" s="130"/>
      <c r="AS578" s="130"/>
      <c r="AT578" s="130"/>
      <c r="AU578" s="130"/>
      <c r="AV578" s="129"/>
      <c r="AW578" s="129"/>
      <c r="AX578" s="129"/>
      <c r="AY578" s="129"/>
      <c r="AZ578" s="129"/>
      <c r="BA578" s="129"/>
      <c r="BB578" s="129"/>
    </row>
    <row r="579" ht="15.75" customHeight="1">
      <c r="A579" s="141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30"/>
      <c r="AM579" s="130"/>
      <c r="AN579" s="130"/>
      <c r="AO579" s="130"/>
      <c r="AP579" s="130"/>
      <c r="AQ579" s="130"/>
      <c r="AR579" s="130"/>
      <c r="AS579" s="130"/>
      <c r="AT579" s="130"/>
      <c r="AU579" s="130"/>
      <c r="AV579" s="129"/>
      <c r="AW579" s="129"/>
      <c r="AX579" s="129"/>
      <c r="AY579" s="129"/>
      <c r="AZ579" s="129"/>
      <c r="BA579" s="129"/>
      <c r="BB579" s="129"/>
    </row>
    <row r="580" ht="15.75" customHeight="1">
      <c r="A580" s="141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30"/>
      <c r="AM580" s="130"/>
      <c r="AN580" s="130"/>
      <c r="AO580" s="130"/>
      <c r="AP580" s="130"/>
      <c r="AQ580" s="130"/>
      <c r="AR580" s="130"/>
      <c r="AS580" s="130"/>
      <c r="AT580" s="130"/>
      <c r="AU580" s="130"/>
      <c r="AV580" s="129"/>
      <c r="AW580" s="129"/>
      <c r="AX580" s="129"/>
      <c r="AY580" s="129"/>
      <c r="AZ580" s="129"/>
      <c r="BA580" s="129"/>
      <c r="BB580" s="129"/>
    </row>
    <row r="581" ht="15.75" customHeight="1">
      <c r="A581" s="141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30"/>
      <c r="AM581" s="130"/>
      <c r="AN581" s="130"/>
      <c r="AO581" s="130"/>
      <c r="AP581" s="130"/>
      <c r="AQ581" s="130"/>
      <c r="AR581" s="130"/>
      <c r="AS581" s="130"/>
      <c r="AT581" s="130"/>
      <c r="AU581" s="130"/>
      <c r="AV581" s="129"/>
      <c r="AW581" s="129"/>
      <c r="AX581" s="129"/>
      <c r="AY581" s="129"/>
      <c r="AZ581" s="129"/>
      <c r="BA581" s="129"/>
      <c r="BB581" s="129"/>
    </row>
    <row r="582" ht="15.75" customHeight="1">
      <c r="A582" s="141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30"/>
      <c r="AM582" s="130"/>
      <c r="AN582" s="130"/>
      <c r="AO582" s="130"/>
      <c r="AP582" s="130"/>
      <c r="AQ582" s="130"/>
      <c r="AR582" s="130"/>
      <c r="AS582" s="130"/>
      <c r="AT582" s="130"/>
      <c r="AU582" s="130"/>
      <c r="AV582" s="129"/>
      <c r="AW582" s="129"/>
      <c r="AX582" s="129"/>
      <c r="AY582" s="129"/>
      <c r="AZ582" s="129"/>
      <c r="BA582" s="129"/>
      <c r="BB582" s="129"/>
    </row>
    <row r="583" ht="15.75" customHeight="1">
      <c r="A583" s="141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30"/>
      <c r="AM583" s="130"/>
      <c r="AN583" s="130"/>
      <c r="AO583" s="130"/>
      <c r="AP583" s="130"/>
      <c r="AQ583" s="130"/>
      <c r="AR583" s="130"/>
      <c r="AS583" s="130"/>
      <c r="AT583" s="130"/>
      <c r="AU583" s="130"/>
      <c r="AV583" s="129"/>
      <c r="AW583" s="129"/>
      <c r="AX583" s="129"/>
      <c r="AY583" s="129"/>
      <c r="AZ583" s="129"/>
      <c r="BA583" s="129"/>
      <c r="BB583" s="129"/>
    </row>
    <row r="584" ht="15.75" customHeight="1">
      <c r="A584" s="141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30"/>
      <c r="AM584" s="130"/>
      <c r="AN584" s="130"/>
      <c r="AO584" s="130"/>
      <c r="AP584" s="130"/>
      <c r="AQ584" s="130"/>
      <c r="AR584" s="130"/>
      <c r="AS584" s="130"/>
      <c r="AT584" s="130"/>
      <c r="AU584" s="130"/>
      <c r="AV584" s="129"/>
      <c r="AW584" s="129"/>
      <c r="AX584" s="129"/>
      <c r="AY584" s="129"/>
      <c r="AZ584" s="129"/>
      <c r="BA584" s="129"/>
      <c r="BB584" s="129"/>
    </row>
    <row r="585" ht="15.75" customHeight="1">
      <c r="A585" s="141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30"/>
      <c r="AM585" s="130"/>
      <c r="AN585" s="130"/>
      <c r="AO585" s="130"/>
      <c r="AP585" s="130"/>
      <c r="AQ585" s="130"/>
      <c r="AR585" s="130"/>
      <c r="AS585" s="130"/>
      <c r="AT585" s="130"/>
      <c r="AU585" s="130"/>
      <c r="AV585" s="129"/>
      <c r="AW585" s="129"/>
      <c r="AX585" s="129"/>
      <c r="AY585" s="129"/>
      <c r="AZ585" s="129"/>
      <c r="BA585" s="129"/>
      <c r="BB585" s="129"/>
    </row>
    <row r="586" ht="15.75" customHeight="1">
      <c r="A586" s="141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30"/>
      <c r="AM586" s="130"/>
      <c r="AN586" s="130"/>
      <c r="AO586" s="130"/>
      <c r="AP586" s="130"/>
      <c r="AQ586" s="130"/>
      <c r="AR586" s="130"/>
      <c r="AS586" s="130"/>
      <c r="AT586" s="130"/>
      <c r="AU586" s="130"/>
      <c r="AV586" s="129"/>
      <c r="AW586" s="129"/>
      <c r="AX586" s="129"/>
      <c r="AY586" s="129"/>
      <c r="AZ586" s="129"/>
      <c r="BA586" s="129"/>
      <c r="BB586" s="129"/>
    </row>
    <row r="587" ht="15.75" customHeight="1">
      <c r="A587" s="141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30"/>
      <c r="AM587" s="130"/>
      <c r="AN587" s="130"/>
      <c r="AO587" s="130"/>
      <c r="AP587" s="130"/>
      <c r="AQ587" s="130"/>
      <c r="AR587" s="130"/>
      <c r="AS587" s="130"/>
      <c r="AT587" s="130"/>
      <c r="AU587" s="130"/>
      <c r="AV587" s="129"/>
      <c r="AW587" s="129"/>
      <c r="AX587" s="129"/>
      <c r="AY587" s="129"/>
      <c r="AZ587" s="129"/>
      <c r="BA587" s="129"/>
      <c r="BB587" s="129"/>
    </row>
    <row r="588" ht="15.75" customHeight="1">
      <c r="A588" s="141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30"/>
      <c r="AM588" s="130"/>
      <c r="AN588" s="130"/>
      <c r="AO588" s="130"/>
      <c r="AP588" s="130"/>
      <c r="AQ588" s="130"/>
      <c r="AR588" s="130"/>
      <c r="AS588" s="130"/>
      <c r="AT588" s="130"/>
      <c r="AU588" s="130"/>
      <c r="AV588" s="129"/>
      <c r="AW588" s="129"/>
      <c r="AX588" s="129"/>
      <c r="AY588" s="129"/>
      <c r="AZ588" s="129"/>
      <c r="BA588" s="129"/>
      <c r="BB588" s="129"/>
    </row>
    <row r="589" ht="15.75" customHeight="1">
      <c r="A589" s="141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30"/>
      <c r="AM589" s="130"/>
      <c r="AN589" s="130"/>
      <c r="AO589" s="130"/>
      <c r="AP589" s="130"/>
      <c r="AQ589" s="130"/>
      <c r="AR589" s="130"/>
      <c r="AS589" s="130"/>
      <c r="AT589" s="130"/>
      <c r="AU589" s="130"/>
      <c r="AV589" s="129"/>
      <c r="AW589" s="129"/>
      <c r="AX589" s="129"/>
      <c r="AY589" s="129"/>
      <c r="AZ589" s="129"/>
      <c r="BA589" s="129"/>
      <c r="BB589" s="129"/>
    </row>
    <row r="590" ht="15.75" customHeight="1">
      <c r="A590" s="141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30"/>
      <c r="AM590" s="130"/>
      <c r="AN590" s="130"/>
      <c r="AO590" s="130"/>
      <c r="AP590" s="130"/>
      <c r="AQ590" s="130"/>
      <c r="AR590" s="130"/>
      <c r="AS590" s="130"/>
      <c r="AT590" s="130"/>
      <c r="AU590" s="130"/>
      <c r="AV590" s="129"/>
      <c r="AW590" s="129"/>
      <c r="AX590" s="129"/>
      <c r="AY590" s="129"/>
      <c r="AZ590" s="129"/>
      <c r="BA590" s="129"/>
      <c r="BB590" s="129"/>
    </row>
    <row r="591" ht="15.75" customHeight="1">
      <c r="A591" s="141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30"/>
      <c r="AM591" s="130"/>
      <c r="AN591" s="130"/>
      <c r="AO591" s="130"/>
      <c r="AP591" s="130"/>
      <c r="AQ591" s="130"/>
      <c r="AR591" s="130"/>
      <c r="AS591" s="130"/>
      <c r="AT591" s="130"/>
      <c r="AU591" s="130"/>
      <c r="AV591" s="129"/>
      <c r="AW591" s="129"/>
      <c r="AX591" s="129"/>
      <c r="AY591" s="129"/>
      <c r="AZ591" s="129"/>
      <c r="BA591" s="129"/>
      <c r="BB591" s="129"/>
    </row>
    <row r="592" ht="15.75" customHeight="1">
      <c r="A592" s="141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30"/>
      <c r="AM592" s="130"/>
      <c r="AN592" s="130"/>
      <c r="AO592" s="130"/>
      <c r="AP592" s="130"/>
      <c r="AQ592" s="130"/>
      <c r="AR592" s="130"/>
      <c r="AS592" s="130"/>
      <c r="AT592" s="130"/>
      <c r="AU592" s="130"/>
      <c r="AV592" s="129"/>
      <c r="AW592" s="129"/>
      <c r="AX592" s="129"/>
      <c r="AY592" s="129"/>
      <c r="AZ592" s="129"/>
      <c r="BA592" s="129"/>
      <c r="BB592" s="129"/>
    </row>
    <row r="593" ht="15.75" customHeight="1">
      <c r="A593" s="141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30"/>
      <c r="AM593" s="130"/>
      <c r="AN593" s="130"/>
      <c r="AO593" s="130"/>
      <c r="AP593" s="130"/>
      <c r="AQ593" s="130"/>
      <c r="AR593" s="130"/>
      <c r="AS593" s="130"/>
      <c r="AT593" s="130"/>
      <c r="AU593" s="130"/>
      <c r="AV593" s="129"/>
      <c r="AW593" s="129"/>
      <c r="AX593" s="129"/>
      <c r="AY593" s="129"/>
      <c r="AZ593" s="129"/>
      <c r="BA593" s="129"/>
      <c r="BB593" s="129"/>
    </row>
    <row r="594" ht="15.75" customHeight="1">
      <c r="A594" s="141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30"/>
      <c r="AM594" s="130"/>
      <c r="AN594" s="130"/>
      <c r="AO594" s="130"/>
      <c r="AP594" s="130"/>
      <c r="AQ594" s="130"/>
      <c r="AR594" s="130"/>
      <c r="AS594" s="130"/>
      <c r="AT594" s="130"/>
      <c r="AU594" s="130"/>
      <c r="AV594" s="129"/>
      <c r="AW594" s="129"/>
      <c r="AX594" s="129"/>
      <c r="AY594" s="129"/>
      <c r="AZ594" s="129"/>
      <c r="BA594" s="129"/>
      <c r="BB594" s="129"/>
    </row>
    <row r="595" ht="15.75" customHeight="1">
      <c r="A595" s="141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30"/>
      <c r="AM595" s="130"/>
      <c r="AN595" s="130"/>
      <c r="AO595" s="130"/>
      <c r="AP595" s="130"/>
      <c r="AQ595" s="130"/>
      <c r="AR595" s="130"/>
      <c r="AS595" s="130"/>
      <c r="AT595" s="130"/>
      <c r="AU595" s="130"/>
      <c r="AV595" s="129"/>
      <c r="AW595" s="129"/>
      <c r="AX595" s="129"/>
      <c r="AY595" s="129"/>
      <c r="AZ595" s="129"/>
      <c r="BA595" s="129"/>
      <c r="BB595" s="129"/>
    </row>
    <row r="596" ht="15.75" customHeight="1">
      <c r="A596" s="141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30"/>
      <c r="AM596" s="130"/>
      <c r="AN596" s="130"/>
      <c r="AO596" s="130"/>
      <c r="AP596" s="130"/>
      <c r="AQ596" s="130"/>
      <c r="AR596" s="130"/>
      <c r="AS596" s="130"/>
      <c r="AT596" s="130"/>
      <c r="AU596" s="130"/>
      <c r="AV596" s="129"/>
      <c r="AW596" s="129"/>
      <c r="AX596" s="129"/>
      <c r="AY596" s="129"/>
      <c r="AZ596" s="129"/>
      <c r="BA596" s="129"/>
      <c r="BB596" s="129"/>
    </row>
    <row r="597" ht="15.75" customHeight="1">
      <c r="A597" s="141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30"/>
      <c r="AM597" s="130"/>
      <c r="AN597" s="130"/>
      <c r="AO597" s="130"/>
      <c r="AP597" s="130"/>
      <c r="AQ597" s="130"/>
      <c r="AR597" s="130"/>
      <c r="AS597" s="130"/>
      <c r="AT597" s="130"/>
      <c r="AU597" s="130"/>
      <c r="AV597" s="129"/>
      <c r="AW597" s="129"/>
      <c r="AX597" s="129"/>
      <c r="AY597" s="129"/>
      <c r="AZ597" s="129"/>
      <c r="BA597" s="129"/>
      <c r="BB597" s="129"/>
    </row>
    <row r="598" ht="15.75" customHeight="1">
      <c r="A598" s="141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30"/>
      <c r="AM598" s="130"/>
      <c r="AN598" s="130"/>
      <c r="AO598" s="130"/>
      <c r="AP598" s="130"/>
      <c r="AQ598" s="130"/>
      <c r="AR598" s="130"/>
      <c r="AS598" s="130"/>
      <c r="AT598" s="130"/>
      <c r="AU598" s="130"/>
      <c r="AV598" s="129"/>
      <c r="AW598" s="129"/>
      <c r="AX598" s="129"/>
      <c r="AY598" s="129"/>
      <c r="AZ598" s="129"/>
      <c r="BA598" s="129"/>
      <c r="BB598" s="129"/>
    </row>
    <row r="599" ht="15.75" customHeight="1">
      <c r="A599" s="141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30"/>
      <c r="AM599" s="130"/>
      <c r="AN599" s="130"/>
      <c r="AO599" s="130"/>
      <c r="AP599" s="130"/>
      <c r="AQ599" s="130"/>
      <c r="AR599" s="130"/>
      <c r="AS599" s="130"/>
      <c r="AT599" s="130"/>
      <c r="AU599" s="130"/>
      <c r="AV599" s="129"/>
      <c r="AW599" s="129"/>
      <c r="AX599" s="129"/>
      <c r="AY599" s="129"/>
      <c r="AZ599" s="129"/>
      <c r="BA599" s="129"/>
      <c r="BB599" s="129"/>
    </row>
    <row r="600" ht="15.75" customHeight="1">
      <c r="A600" s="141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30"/>
      <c r="AM600" s="130"/>
      <c r="AN600" s="130"/>
      <c r="AO600" s="130"/>
      <c r="AP600" s="130"/>
      <c r="AQ600" s="130"/>
      <c r="AR600" s="130"/>
      <c r="AS600" s="130"/>
      <c r="AT600" s="130"/>
      <c r="AU600" s="130"/>
      <c r="AV600" s="129"/>
      <c r="AW600" s="129"/>
      <c r="AX600" s="129"/>
      <c r="AY600" s="129"/>
      <c r="AZ600" s="129"/>
      <c r="BA600" s="129"/>
      <c r="BB600" s="129"/>
    </row>
    <row r="601" ht="15.75" customHeight="1">
      <c r="A601" s="141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30"/>
      <c r="AM601" s="130"/>
      <c r="AN601" s="130"/>
      <c r="AO601" s="130"/>
      <c r="AP601" s="130"/>
      <c r="AQ601" s="130"/>
      <c r="AR601" s="130"/>
      <c r="AS601" s="130"/>
      <c r="AT601" s="130"/>
      <c r="AU601" s="130"/>
      <c r="AV601" s="129"/>
      <c r="AW601" s="129"/>
      <c r="AX601" s="129"/>
      <c r="AY601" s="129"/>
      <c r="AZ601" s="129"/>
      <c r="BA601" s="129"/>
      <c r="BB601" s="129"/>
    </row>
    <row r="602" ht="15.75" customHeight="1">
      <c r="A602" s="141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30"/>
      <c r="AM602" s="130"/>
      <c r="AN602" s="130"/>
      <c r="AO602" s="130"/>
      <c r="AP602" s="130"/>
      <c r="AQ602" s="130"/>
      <c r="AR602" s="130"/>
      <c r="AS602" s="130"/>
      <c r="AT602" s="130"/>
      <c r="AU602" s="130"/>
      <c r="AV602" s="129"/>
      <c r="AW602" s="129"/>
      <c r="AX602" s="129"/>
      <c r="AY602" s="129"/>
      <c r="AZ602" s="129"/>
      <c r="BA602" s="129"/>
      <c r="BB602" s="129"/>
    </row>
    <row r="603" ht="15.75" customHeight="1">
      <c r="A603" s="141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30"/>
      <c r="AM603" s="130"/>
      <c r="AN603" s="130"/>
      <c r="AO603" s="130"/>
      <c r="AP603" s="130"/>
      <c r="AQ603" s="130"/>
      <c r="AR603" s="130"/>
      <c r="AS603" s="130"/>
      <c r="AT603" s="130"/>
      <c r="AU603" s="130"/>
      <c r="AV603" s="129"/>
      <c r="AW603" s="129"/>
      <c r="AX603" s="129"/>
      <c r="AY603" s="129"/>
      <c r="AZ603" s="129"/>
      <c r="BA603" s="129"/>
      <c r="BB603" s="129"/>
    </row>
    <row r="604" ht="15.75" customHeight="1">
      <c r="A604" s="141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30"/>
      <c r="AM604" s="130"/>
      <c r="AN604" s="130"/>
      <c r="AO604" s="130"/>
      <c r="AP604" s="130"/>
      <c r="AQ604" s="130"/>
      <c r="AR604" s="130"/>
      <c r="AS604" s="130"/>
      <c r="AT604" s="130"/>
      <c r="AU604" s="130"/>
      <c r="AV604" s="129"/>
      <c r="AW604" s="129"/>
      <c r="AX604" s="129"/>
      <c r="AY604" s="129"/>
      <c r="AZ604" s="129"/>
      <c r="BA604" s="129"/>
      <c r="BB604" s="129"/>
    </row>
    <row r="605" ht="15.75" customHeight="1">
      <c r="A605" s="141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30"/>
      <c r="AM605" s="130"/>
      <c r="AN605" s="130"/>
      <c r="AO605" s="130"/>
      <c r="AP605" s="130"/>
      <c r="AQ605" s="130"/>
      <c r="AR605" s="130"/>
      <c r="AS605" s="130"/>
      <c r="AT605" s="130"/>
      <c r="AU605" s="130"/>
      <c r="AV605" s="129"/>
      <c r="AW605" s="129"/>
      <c r="AX605" s="129"/>
      <c r="AY605" s="129"/>
      <c r="AZ605" s="129"/>
      <c r="BA605" s="129"/>
      <c r="BB605" s="129"/>
    </row>
    <row r="606" ht="15.75" customHeight="1">
      <c r="A606" s="141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30"/>
      <c r="AM606" s="130"/>
      <c r="AN606" s="130"/>
      <c r="AO606" s="130"/>
      <c r="AP606" s="130"/>
      <c r="AQ606" s="130"/>
      <c r="AR606" s="130"/>
      <c r="AS606" s="130"/>
      <c r="AT606" s="130"/>
      <c r="AU606" s="130"/>
      <c r="AV606" s="129"/>
      <c r="AW606" s="129"/>
      <c r="AX606" s="129"/>
      <c r="AY606" s="129"/>
      <c r="AZ606" s="129"/>
      <c r="BA606" s="129"/>
      <c r="BB606" s="129"/>
    </row>
    <row r="607" ht="15.75" customHeight="1">
      <c r="A607" s="141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30"/>
      <c r="AM607" s="130"/>
      <c r="AN607" s="130"/>
      <c r="AO607" s="130"/>
      <c r="AP607" s="130"/>
      <c r="AQ607" s="130"/>
      <c r="AR607" s="130"/>
      <c r="AS607" s="130"/>
      <c r="AT607" s="130"/>
      <c r="AU607" s="130"/>
      <c r="AV607" s="129"/>
      <c r="AW607" s="129"/>
      <c r="AX607" s="129"/>
      <c r="AY607" s="129"/>
      <c r="AZ607" s="129"/>
      <c r="BA607" s="129"/>
      <c r="BB607" s="129"/>
    </row>
    <row r="608" ht="15.75" customHeight="1">
      <c r="A608" s="141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30"/>
      <c r="AM608" s="130"/>
      <c r="AN608" s="130"/>
      <c r="AO608" s="130"/>
      <c r="AP608" s="130"/>
      <c r="AQ608" s="130"/>
      <c r="AR608" s="130"/>
      <c r="AS608" s="130"/>
      <c r="AT608" s="130"/>
      <c r="AU608" s="130"/>
      <c r="AV608" s="129"/>
      <c r="AW608" s="129"/>
      <c r="AX608" s="129"/>
      <c r="AY608" s="129"/>
      <c r="AZ608" s="129"/>
      <c r="BA608" s="129"/>
      <c r="BB608" s="129"/>
    </row>
    <row r="609" ht="15.75" customHeight="1">
      <c r="A609" s="141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30"/>
      <c r="AM609" s="130"/>
      <c r="AN609" s="130"/>
      <c r="AO609" s="130"/>
      <c r="AP609" s="130"/>
      <c r="AQ609" s="130"/>
      <c r="AR609" s="130"/>
      <c r="AS609" s="130"/>
      <c r="AT609" s="130"/>
      <c r="AU609" s="130"/>
      <c r="AV609" s="129"/>
      <c r="AW609" s="129"/>
      <c r="AX609" s="129"/>
      <c r="AY609" s="129"/>
      <c r="AZ609" s="129"/>
      <c r="BA609" s="129"/>
      <c r="BB609" s="129"/>
    </row>
    <row r="610" ht="15.75" customHeight="1">
      <c r="A610" s="141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30"/>
      <c r="AM610" s="130"/>
      <c r="AN610" s="130"/>
      <c r="AO610" s="130"/>
      <c r="AP610" s="130"/>
      <c r="AQ610" s="130"/>
      <c r="AR610" s="130"/>
      <c r="AS610" s="130"/>
      <c r="AT610" s="130"/>
      <c r="AU610" s="130"/>
      <c r="AV610" s="129"/>
      <c r="AW610" s="129"/>
      <c r="AX610" s="129"/>
      <c r="AY610" s="129"/>
      <c r="AZ610" s="129"/>
      <c r="BA610" s="129"/>
      <c r="BB610" s="129"/>
    </row>
    <row r="611" ht="15.75" customHeight="1">
      <c r="A611" s="141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30"/>
      <c r="AM611" s="130"/>
      <c r="AN611" s="130"/>
      <c r="AO611" s="130"/>
      <c r="AP611" s="130"/>
      <c r="AQ611" s="130"/>
      <c r="AR611" s="130"/>
      <c r="AS611" s="130"/>
      <c r="AT611" s="130"/>
      <c r="AU611" s="130"/>
      <c r="AV611" s="129"/>
      <c r="AW611" s="129"/>
      <c r="AX611" s="129"/>
      <c r="AY611" s="129"/>
      <c r="AZ611" s="129"/>
      <c r="BA611" s="129"/>
      <c r="BB611" s="129"/>
    </row>
    <row r="612" ht="15.75" customHeight="1">
      <c r="A612" s="141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30"/>
      <c r="AM612" s="130"/>
      <c r="AN612" s="130"/>
      <c r="AO612" s="130"/>
      <c r="AP612" s="130"/>
      <c r="AQ612" s="130"/>
      <c r="AR612" s="130"/>
      <c r="AS612" s="130"/>
      <c r="AT612" s="130"/>
      <c r="AU612" s="130"/>
      <c r="AV612" s="129"/>
      <c r="AW612" s="129"/>
      <c r="AX612" s="129"/>
      <c r="AY612" s="129"/>
      <c r="AZ612" s="129"/>
      <c r="BA612" s="129"/>
      <c r="BB612" s="129"/>
    </row>
    <row r="613" ht="15.75" customHeight="1">
      <c r="A613" s="141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30"/>
      <c r="AM613" s="130"/>
      <c r="AN613" s="130"/>
      <c r="AO613" s="130"/>
      <c r="AP613" s="130"/>
      <c r="AQ613" s="130"/>
      <c r="AR613" s="130"/>
      <c r="AS613" s="130"/>
      <c r="AT613" s="130"/>
      <c r="AU613" s="130"/>
      <c r="AV613" s="129"/>
      <c r="AW613" s="129"/>
      <c r="AX613" s="129"/>
      <c r="AY613" s="129"/>
      <c r="AZ613" s="129"/>
      <c r="BA613" s="129"/>
      <c r="BB613" s="129"/>
    </row>
    <row r="614" ht="15.75" customHeight="1">
      <c r="A614" s="141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30"/>
      <c r="AM614" s="130"/>
      <c r="AN614" s="130"/>
      <c r="AO614" s="130"/>
      <c r="AP614" s="130"/>
      <c r="AQ614" s="130"/>
      <c r="AR614" s="130"/>
      <c r="AS614" s="130"/>
      <c r="AT614" s="130"/>
      <c r="AU614" s="130"/>
      <c r="AV614" s="129"/>
      <c r="AW614" s="129"/>
      <c r="AX614" s="129"/>
      <c r="AY614" s="129"/>
      <c r="AZ614" s="129"/>
      <c r="BA614" s="129"/>
      <c r="BB614" s="129"/>
    </row>
    <row r="615" ht="15.75" customHeight="1">
      <c r="A615" s="141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30"/>
      <c r="AM615" s="130"/>
      <c r="AN615" s="130"/>
      <c r="AO615" s="130"/>
      <c r="AP615" s="130"/>
      <c r="AQ615" s="130"/>
      <c r="AR615" s="130"/>
      <c r="AS615" s="130"/>
      <c r="AT615" s="130"/>
      <c r="AU615" s="130"/>
      <c r="AV615" s="129"/>
      <c r="AW615" s="129"/>
      <c r="AX615" s="129"/>
      <c r="AY615" s="129"/>
      <c r="AZ615" s="129"/>
      <c r="BA615" s="129"/>
      <c r="BB615" s="129"/>
    </row>
    <row r="616" ht="15.75" customHeight="1">
      <c r="A616" s="141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30"/>
      <c r="AM616" s="130"/>
      <c r="AN616" s="130"/>
      <c r="AO616" s="130"/>
      <c r="AP616" s="130"/>
      <c r="AQ616" s="130"/>
      <c r="AR616" s="130"/>
      <c r="AS616" s="130"/>
      <c r="AT616" s="130"/>
      <c r="AU616" s="130"/>
      <c r="AV616" s="129"/>
      <c r="AW616" s="129"/>
      <c r="AX616" s="129"/>
      <c r="AY616" s="129"/>
      <c r="AZ616" s="129"/>
      <c r="BA616" s="129"/>
      <c r="BB616" s="129"/>
    </row>
    <row r="617" ht="15.75" customHeight="1">
      <c r="A617" s="141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30"/>
      <c r="AM617" s="130"/>
      <c r="AN617" s="130"/>
      <c r="AO617" s="130"/>
      <c r="AP617" s="130"/>
      <c r="AQ617" s="130"/>
      <c r="AR617" s="130"/>
      <c r="AS617" s="130"/>
      <c r="AT617" s="130"/>
      <c r="AU617" s="130"/>
      <c r="AV617" s="129"/>
      <c r="AW617" s="129"/>
      <c r="AX617" s="129"/>
      <c r="AY617" s="129"/>
      <c r="AZ617" s="129"/>
      <c r="BA617" s="129"/>
      <c r="BB617" s="129"/>
    </row>
    <row r="618" ht="15.75" customHeight="1">
      <c r="A618" s="141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30"/>
      <c r="AM618" s="130"/>
      <c r="AN618" s="130"/>
      <c r="AO618" s="130"/>
      <c r="AP618" s="130"/>
      <c r="AQ618" s="130"/>
      <c r="AR618" s="130"/>
      <c r="AS618" s="130"/>
      <c r="AT618" s="130"/>
      <c r="AU618" s="130"/>
      <c r="AV618" s="129"/>
      <c r="AW618" s="129"/>
      <c r="AX618" s="129"/>
      <c r="AY618" s="129"/>
      <c r="AZ618" s="129"/>
      <c r="BA618" s="129"/>
      <c r="BB618" s="129"/>
    </row>
    <row r="619" ht="15.75" customHeight="1">
      <c r="A619" s="141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30"/>
      <c r="AM619" s="130"/>
      <c r="AN619" s="130"/>
      <c r="AO619" s="130"/>
      <c r="AP619" s="130"/>
      <c r="AQ619" s="130"/>
      <c r="AR619" s="130"/>
      <c r="AS619" s="130"/>
      <c r="AT619" s="130"/>
      <c r="AU619" s="130"/>
      <c r="AV619" s="129"/>
      <c r="AW619" s="129"/>
      <c r="AX619" s="129"/>
      <c r="AY619" s="129"/>
      <c r="AZ619" s="129"/>
      <c r="BA619" s="129"/>
      <c r="BB619" s="129"/>
    </row>
    <row r="620" ht="15.75" customHeight="1">
      <c r="A620" s="141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30"/>
      <c r="AM620" s="130"/>
      <c r="AN620" s="130"/>
      <c r="AO620" s="130"/>
      <c r="AP620" s="130"/>
      <c r="AQ620" s="130"/>
      <c r="AR620" s="130"/>
      <c r="AS620" s="130"/>
      <c r="AT620" s="130"/>
      <c r="AU620" s="130"/>
      <c r="AV620" s="129"/>
      <c r="AW620" s="129"/>
      <c r="AX620" s="129"/>
      <c r="AY620" s="129"/>
      <c r="AZ620" s="129"/>
      <c r="BA620" s="129"/>
      <c r="BB620" s="129"/>
    </row>
    <row r="621" ht="15.75" customHeight="1">
      <c r="A621" s="141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30"/>
      <c r="AM621" s="130"/>
      <c r="AN621" s="130"/>
      <c r="AO621" s="130"/>
      <c r="AP621" s="130"/>
      <c r="AQ621" s="130"/>
      <c r="AR621" s="130"/>
      <c r="AS621" s="130"/>
      <c r="AT621" s="130"/>
      <c r="AU621" s="130"/>
      <c r="AV621" s="129"/>
      <c r="AW621" s="129"/>
      <c r="AX621" s="129"/>
      <c r="AY621" s="129"/>
      <c r="AZ621" s="129"/>
      <c r="BA621" s="129"/>
      <c r="BB621" s="129"/>
    </row>
    <row r="622" ht="15.75" customHeight="1">
      <c r="A622" s="141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30"/>
      <c r="AM622" s="130"/>
      <c r="AN622" s="130"/>
      <c r="AO622" s="130"/>
      <c r="AP622" s="130"/>
      <c r="AQ622" s="130"/>
      <c r="AR622" s="130"/>
      <c r="AS622" s="130"/>
      <c r="AT622" s="130"/>
      <c r="AU622" s="130"/>
      <c r="AV622" s="129"/>
      <c r="AW622" s="129"/>
      <c r="AX622" s="129"/>
      <c r="AY622" s="129"/>
      <c r="AZ622" s="129"/>
      <c r="BA622" s="129"/>
      <c r="BB622" s="129"/>
    </row>
    <row r="623" ht="15.75" customHeight="1">
      <c r="A623" s="141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30"/>
      <c r="AM623" s="130"/>
      <c r="AN623" s="130"/>
      <c r="AO623" s="130"/>
      <c r="AP623" s="130"/>
      <c r="AQ623" s="130"/>
      <c r="AR623" s="130"/>
      <c r="AS623" s="130"/>
      <c r="AT623" s="130"/>
      <c r="AU623" s="130"/>
      <c r="AV623" s="129"/>
      <c r="AW623" s="129"/>
      <c r="AX623" s="129"/>
      <c r="AY623" s="129"/>
      <c r="AZ623" s="129"/>
      <c r="BA623" s="129"/>
      <c r="BB623" s="129"/>
    </row>
    <row r="624" ht="15.75" customHeight="1">
      <c r="A624" s="141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30"/>
      <c r="AM624" s="130"/>
      <c r="AN624" s="130"/>
      <c r="AO624" s="130"/>
      <c r="AP624" s="130"/>
      <c r="AQ624" s="130"/>
      <c r="AR624" s="130"/>
      <c r="AS624" s="130"/>
      <c r="AT624" s="130"/>
      <c r="AU624" s="130"/>
      <c r="AV624" s="129"/>
      <c r="AW624" s="129"/>
      <c r="AX624" s="129"/>
      <c r="AY624" s="129"/>
      <c r="AZ624" s="129"/>
      <c r="BA624" s="129"/>
      <c r="BB624" s="129"/>
    </row>
    <row r="625" ht="15.75" customHeight="1">
      <c r="A625" s="141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30"/>
      <c r="AM625" s="130"/>
      <c r="AN625" s="130"/>
      <c r="AO625" s="130"/>
      <c r="AP625" s="130"/>
      <c r="AQ625" s="130"/>
      <c r="AR625" s="130"/>
      <c r="AS625" s="130"/>
      <c r="AT625" s="130"/>
      <c r="AU625" s="130"/>
      <c r="AV625" s="129"/>
      <c r="AW625" s="129"/>
      <c r="AX625" s="129"/>
      <c r="AY625" s="129"/>
      <c r="AZ625" s="129"/>
      <c r="BA625" s="129"/>
      <c r="BB625" s="129"/>
    </row>
    <row r="626" ht="15.75" customHeight="1">
      <c r="A626" s="141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30"/>
      <c r="AM626" s="130"/>
      <c r="AN626" s="130"/>
      <c r="AO626" s="130"/>
      <c r="AP626" s="130"/>
      <c r="AQ626" s="130"/>
      <c r="AR626" s="130"/>
      <c r="AS626" s="130"/>
      <c r="AT626" s="130"/>
      <c r="AU626" s="130"/>
      <c r="AV626" s="129"/>
      <c r="AW626" s="129"/>
      <c r="AX626" s="129"/>
      <c r="AY626" s="129"/>
      <c r="AZ626" s="129"/>
      <c r="BA626" s="129"/>
      <c r="BB626" s="129"/>
    </row>
    <row r="627" ht="15.75" customHeight="1">
      <c r="A627" s="141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30"/>
      <c r="AM627" s="130"/>
      <c r="AN627" s="130"/>
      <c r="AO627" s="130"/>
      <c r="AP627" s="130"/>
      <c r="AQ627" s="130"/>
      <c r="AR627" s="130"/>
      <c r="AS627" s="130"/>
      <c r="AT627" s="130"/>
      <c r="AU627" s="130"/>
      <c r="AV627" s="129"/>
      <c r="AW627" s="129"/>
      <c r="AX627" s="129"/>
      <c r="AY627" s="129"/>
      <c r="AZ627" s="129"/>
      <c r="BA627" s="129"/>
      <c r="BB627" s="129"/>
    </row>
    <row r="628" ht="15.75" customHeight="1">
      <c r="A628" s="141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30"/>
      <c r="AM628" s="130"/>
      <c r="AN628" s="130"/>
      <c r="AO628" s="130"/>
      <c r="AP628" s="130"/>
      <c r="AQ628" s="130"/>
      <c r="AR628" s="130"/>
      <c r="AS628" s="130"/>
      <c r="AT628" s="130"/>
      <c r="AU628" s="130"/>
      <c r="AV628" s="129"/>
      <c r="AW628" s="129"/>
      <c r="AX628" s="129"/>
      <c r="AY628" s="129"/>
      <c r="AZ628" s="129"/>
      <c r="BA628" s="129"/>
      <c r="BB628" s="129"/>
    </row>
    <row r="629" ht="15.75" customHeight="1">
      <c r="A629" s="141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30"/>
      <c r="AM629" s="130"/>
      <c r="AN629" s="130"/>
      <c r="AO629" s="130"/>
      <c r="AP629" s="130"/>
      <c r="AQ629" s="130"/>
      <c r="AR629" s="130"/>
      <c r="AS629" s="130"/>
      <c r="AT629" s="130"/>
      <c r="AU629" s="130"/>
      <c r="AV629" s="129"/>
      <c r="AW629" s="129"/>
      <c r="AX629" s="129"/>
      <c r="AY629" s="129"/>
      <c r="AZ629" s="129"/>
      <c r="BA629" s="129"/>
      <c r="BB629" s="129"/>
    </row>
    <row r="630" ht="15.75" customHeight="1">
      <c r="A630" s="141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30"/>
      <c r="AM630" s="130"/>
      <c r="AN630" s="130"/>
      <c r="AO630" s="130"/>
      <c r="AP630" s="130"/>
      <c r="AQ630" s="130"/>
      <c r="AR630" s="130"/>
      <c r="AS630" s="130"/>
      <c r="AT630" s="130"/>
      <c r="AU630" s="130"/>
      <c r="AV630" s="129"/>
      <c r="AW630" s="129"/>
      <c r="AX630" s="129"/>
      <c r="AY630" s="129"/>
      <c r="AZ630" s="129"/>
      <c r="BA630" s="129"/>
      <c r="BB630" s="129"/>
    </row>
    <row r="631" ht="15.75" customHeight="1">
      <c r="A631" s="141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30"/>
      <c r="AM631" s="130"/>
      <c r="AN631" s="130"/>
      <c r="AO631" s="130"/>
      <c r="AP631" s="130"/>
      <c r="AQ631" s="130"/>
      <c r="AR631" s="130"/>
      <c r="AS631" s="130"/>
      <c r="AT631" s="130"/>
      <c r="AU631" s="130"/>
      <c r="AV631" s="129"/>
      <c r="AW631" s="129"/>
      <c r="AX631" s="129"/>
      <c r="AY631" s="129"/>
      <c r="AZ631" s="129"/>
      <c r="BA631" s="129"/>
      <c r="BB631" s="129"/>
    </row>
    <row r="632" ht="15.75" customHeight="1">
      <c r="A632" s="141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30"/>
      <c r="AM632" s="130"/>
      <c r="AN632" s="130"/>
      <c r="AO632" s="130"/>
      <c r="AP632" s="130"/>
      <c r="AQ632" s="130"/>
      <c r="AR632" s="130"/>
      <c r="AS632" s="130"/>
      <c r="AT632" s="130"/>
      <c r="AU632" s="130"/>
      <c r="AV632" s="129"/>
      <c r="AW632" s="129"/>
      <c r="AX632" s="129"/>
      <c r="AY632" s="129"/>
      <c r="AZ632" s="129"/>
      <c r="BA632" s="129"/>
      <c r="BB632" s="129"/>
    </row>
    <row r="633" ht="15.75" customHeight="1">
      <c r="A633" s="141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30"/>
      <c r="AM633" s="130"/>
      <c r="AN633" s="130"/>
      <c r="AO633" s="130"/>
      <c r="AP633" s="130"/>
      <c r="AQ633" s="130"/>
      <c r="AR633" s="130"/>
      <c r="AS633" s="130"/>
      <c r="AT633" s="130"/>
      <c r="AU633" s="130"/>
      <c r="AV633" s="129"/>
      <c r="AW633" s="129"/>
      <c r="AX633" s="129"/>
      <c r="AY633" s="129"/>
      <c r="AZ633" s="129"/>
      <c r="BA633" s="129"/>
      <c r="BB633" s="129"/>
    </row>
    <row r="634" ht="15.75" customHeight="1">
      <c r="A634" s="141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30"/>
      <c r="AM634" s="130"/>
      <c r="AN634" s="130"/>
      <c r="AO634" s="130"/>
      <c r="AP634" s="130"/>
      <c r="AQ634" s="130"/>
      <c r="AR634" s="130"/>
      <c r="AS634" s="130"/>
      <c r="AT634" s="130"/>
      <c r="AU634" s="130"/>
      <c r="AV634" s="129"/>
      <c r="AW634" s="129"/>
      <c r="AX634" s="129"/>
      <c r="AY634" s="129"/>
      <c r="AZ634" s="129"/>
      <c r="BA634" s="129"/>
      <c r="BB634" s="129"/>
    </row>
    <row r="635" ht="15.75" customHeight="1">
      <c r="A635" s="141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30"/>
      <c r="AM635" s="130"/>
      <c r="AN635" s="130"/>
      <c r="AO635" s="130"/>
      <c r="AP635" s="130"/>
      <c r="AQ635" s="130"/>
      <c r="AR635" s="130"/>
      <c r="AS635" s="130"/>
      <c r="AT635" s="130"/>
      <c r="AU635" s="130"/>
      <c r="AV635" s="129"/>
      <c r="AW635" s="129"/>
      <c r="AX635" s="129"/>
      <c r="AY635" s="129"/>
      <c r="AZ635" s="129"/>
      <c r="BA635" s="129"/>
      <c r="BB635" s="129"/>
    </row>
    <row r="636" ht="15.75" customHeight="1">
      <c r="A636" s="141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30"/>
      <c r="AM636" s="130"/>
      <c r="AN636" s="130"/>
      <c r="AO636" s="130"/>
      <c r="AP636" s="130"/>
      <c r="AQ636" s="130"/>
      <c r="AR636" s="130"/>
      <c r="AS636" s="130"/>
      <c r="AT636" s="130"/>
      <c r="AU636" s="130"/>
      <c r="AV636" s="129"/>
      <c r="AW636" s="129"/>
      <c r="AX636" s="129"/>
      <c r="AY636" s="129"/>
      <c r="AZ636" s="129"/>
      <c r="BA636" s="129"/>
      <c r="BB636" s="129"/>
    </row>
    <row r="637" ht="15.75" customHeight="1">
      <c r="A637" s="141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30"/>
      <c r="AM637" s="130"/>
      <c r="AN637" s="130"/>
      <c r="AO637" s="130"/>
      <c r="AP637" s="130"/>
      <c r="AQ637" s="130"/>
      <c r="AR637" s="130"/>
      <c r="AS637" s="130"/>
      <c r="AT637" s="130"/>
      <c r="AU637" s="130"/>
      <c r="AV637" s="129"/>
      <c r="AW637" s="129"/>
      <c r="AX637" s="129"/>
      <c r="AY637" s="129"/>
      <c r="AZ637" s="129"/>
      <c r="BA637" s="129"/>
      <c r="BB637" s="129"/>
    </row>
    <row r="638" ht="15.75" customHeight="1">
      <c r="A638" s="141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30"/>
      <c r="AM638" s="130"/>
      <c r="AN638" s="130"/>
      <c r="AO638" s="130"/>
      <c r="AP638" s="130"/>
      <c r="AQ638" s="130"/>
      <c r="AR638" s="130"/>
      <c r="AS638" s="130"/>
      <c r="AT638" s="130"/>
      <c r="AU638" s="130"/>
      <c r="AV638" s="129"/>
      <c r="AW638" s="129"/>
      <c r="AX638" s="129"/>
      <c r="AY638" s="129"/>
      <c r="AZ638" s="129"/>
      <c r="BA638" s="129"/>
      <c r="BB638" s="129"/>
    </row>
    <row r="639" ht="15.75" customHeight="1">
      <c r="A639" s="141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30"/>
      <c r="AM639" s="130"/>
      <c r="AN639" s="130"/>
      <c r="AO639" s="130"/>
      <c r="AP639" s="130"/>
      <c r="AQ639" s="130"/>
      <c r="AR639" s="130"/>
      <c r="AS639" s="130"/>
      <c r="AT639" s="130"/>
      <c r="AU639" s="130"/>
      <c r="AV639" s="129"/>
      <c r="AW639" s="129"/>
      <c r="AX639" s="129"/>
      <c r="AY639" s="129"/>
      <c r="AZ639" s="129"/>
      <c r="BA639" s="129"/>
      <c r="BB639" s="129"/>
    </row>
    <row r="640" ht="15.75" customHeight="1">
      <c r="A640" s="141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30"/>
      <c r="AM640" s="130"/>
      <c r="AN640" s="130"/>
      <c r="AO640" s="130"/>
      <c r="AP640" s="130"/>
      <c r="AQ640" s="130"/>
      <c r="AR640" s="130"/>
      <c r="AS640" s="130"/>
      <c r="AT640" s="130"/>
      <c r="AU640" s="130"/>
      <c r="AV640" s="129"/>
      <c r="AW640" s="129"/>
      <c r="AX640" s="129"/>
      <c r="AY640" s="129"/>
      <c r="AZ640" s="129"/>
      <c r="BA640" s="129"/>
      <c r="BB640" s="129"/>
    </row>
    <row r="641" ht="15.75" customHeight="1">
      <c r="A641" s="141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30"/>
      <c r="AM641" s="130"/>
      <c r="AN641" s="130"/>
      <c r="AO641" s="130"/>
      <c r="AP641" s="130"/>
      <c r="AQ641" s="130"/>
      <c r="AR641" s="130"/>
      <c r="AS641" s="130"/>
      <c r="AT641" s="130"/>
      <c r="AU641" s="130"/>
      <c r="AV641" s="129"/>
      <c r="AW641" s="129"/>
      <c r="AX641" s="129"/>
      <c r="AY641" s="129"/>
      <c r="AZ641" s="129"/>
      <c r="BA641" s="129"/>
      <c r="BB641" s="129"/>
    </row>
    <row r="642" ht="15.75" customHeight="1">
      <c r="A642" s="141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30"/>
      <c r="AM642" s="130"/>
      <c r="AN642" s="130"/>
      <c r="AO642" s="130"/>
      <c r="AP642" s="130"/>
      <c r="AQ642" s="130"/>
      <c r="AR642" s="130"/>
      <c r="AS642" s="130"/>
      <c r="AT642" s="130"/>
      <c r="AU642" s="130"/>
      <c r="AV642" s="129"/>
      <c r="AW642" s="129"/>
      <c r="AX642" s="129"/>
      <c r="AY642" s="129"/>
      <c r="AZ642" s="129"/>
      <c r="BA642" s="129"/>
      <c r="BB642" s="129"/>
    </row>
    <row r="643" ht="15.75" customHeight="1">
      <c r="A643" s="141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30"/>
      <c r="AM643" s="130"/>
      <c r="AN643" s="130"/>
      <c r="AO643" s="130"/>
      <c r="AP643" s="130"/>
      <c r="AQ643" s="130"/>
      <c r="AR643" s="130"/>
      <c r="AS643" s="130"/>
      <c r="AT643" s="130"/>
      <c r="AU643" s="130"/>
      <c r="AV643" s="129"/>
      <c r="AW643" s="129"/>
      <c r="AX643" s="129"/>
      <c r="AY643" s="129"/>
      <c r="AZ643" s="129"/>
      <c r="BA643" s="129"/>
      <c r="BB643" s="129"/>
    </row>
    <row r="644" ht="15.75" customHeight="1">
      <c r="A644" s="141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30"/>
      <c r="AM644" s="130"/>
      <c r="AN644" s="130"/>
      <c r="AO644" s="130"/>
      <c r="AP644" s="130"/>
      <c r="AQ644" s="130"/>
      <c r="AR644" s="130"/>
      <c r="AS644" s="130"/>
      <c r="AT644" s="130"/>
      <c r="AU644" s="130"/>
      <c r="AV644" s="129"/>
      <c r="AW644" s="129"/>
      <c r="AX644" s="129"/>
      <c r="AY644" s="129"/>
      <c r="AZ644" s="129"/>
      <c r="BA644" s="129"/>
      <c r="BB644" s="129"/>
    </row>
    <row r="645" ht="15.75" customHeight="1">
      <c r="A645" s="141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30"/>
      <c r="AM645" s="130"/>
      <c r="AN645" s="130"/>
      <c r="AO645" s="130"/>
      <c r="AP645" s="130"/>
      <c r="AQ645" s="130"/>
      <c r="AR645" s="130"/>
      <c r="AS645" s="130"/>
      <c r="AT645" s="130"/>
      <c r="AU645" s="130"/>
      <c r="AV645" s="129"/>
      <c r="AW645" s="129"/>
      <c r="AX645" s="129"/>
      <c r="AY645" s="129"/>
      <c r="AZ645" s="129"/>
      <c r="BA645" s="129"/>
      <c r="BB645" s="129"/>
    </row>
    <row r="646" ht="15.75" customHeight="1">
      <c r="A646" s="141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30"/>
      <c r="AM646" s="130"/>
      <c r="AN646" s="130"/>
      <c r="AO646" s="130"/>
      <c r="AP646" s="130"/>
      <c r="AQ646" s="130"/>
      <c r="AR646" s="130"/>
      <c r="AS646" s="130"/>
      <c r="AT646" s="130"/>
      <c r="AU646" s="130"/>
      <c r="AV646" s="129"/>
      <c r="AW646" s="129"/>
      <c r="AX646" s="129"/>
      <c r="AY646" s="129"/>
      <c r="AZ646" s="129"/>
      <c r="BA646" s="129"/>
      <c r="BB646" s="129"/>
    </row>
    <row r="647" ht="15.75" customHeight="1">
      <c r="A647" s="141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30"/>
      <c r="AM647" s="130"/>
      <c r="AN647" s="130"/>
      <c r="AO647" s="130"/>
      <c r="AP647" s="130"/>
      <c r="AQ647" s="130"/>
      <c r="AR647" s="130"/>
      <c r="AS647" s="130"/>
      <c r="AT647" s="130"/>
      <c r="AU647" s="130"/>
      <c r="AV647" s="129"/>
      <c r="AW647" s="129"/>
      <c r="AX647" s="129"/>
      <c r="AY647" s="129"/>
      <c r="AZ647" s="129"/>
      <c r="BA647" s="129"/>
      <c r="BB647" s="129"/>
    </row>
    <row r="648" ht="15.75" customHeight="1">
      <c r="A648" s="141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30"/>
      <c r="AM648" s="130"/>
      <c r="AN648" s="130"/>
      <c r="AO648" s="130"/>
      <c r="AP648" s="130"/>
      <c r="AQ648" s="130"/>
      <c r="AR648" s="130"/>
      <c r="AS648" s="130"/>
      <c r="AT648" s="130"/>
      <c r="AU648" s="130"/>
      <c r="AV648" s="129"/>
      <c r="AW648" s="129"/>
      <c r="AX648" s="129"/>
      <c r="AY648" s="129"/>
      <c r="AZ648" s="129"/>
      <c r="BA648" s="129"/>
      <c r="BB648" s="129"/>
    </row>
    <row r="649" ht="15.75" customHeight="1">
      <c r="A649" s="141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30"/>
      <c r="AM649" s="130"/>
      <c r="AN649" s="130"/>
      <c r="AO649" s="130"/>
      <c r="AP649" s="130"/>
      <c r="AQ649" s="130"/>
      <c r="AR649" s="130"/>
      <c r="AS649" s="130"/>
      <c r="AT649" s="130"/>
      <c r="AU649" s="130"/>
      <c r="AV649" s="129"/>
      <c r="AW649" s="129"/>
      <c r="AX649" s="129"/>
      <c r="AY649" s="129"/>
      <c r="AZ649" s="129"/>
      <c r="BA649" s="129"/>
      <c r="BB649" s="129"/>
    </row>
    <row r="650" ht="15.75" customHeight="1">
      <c r="A650" s="141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30"/>
      <c r="AM650" s="130"/>
      <c r="AN650" s="130"/>
      <c r="AO650" s="130"/>
      <c r="AP650" s="130"/>
      <c r="AQ650" s="130"/>
      <c r="AR650" s="130"/>
      <c r="AS650" s="130"/>
      <c r="AT650" s="130"/>
      <c r="AU650" s="130"/>
      <c r="AV650" s="129"/>
      <c r="AW650" s="129"/>
      <c r="AX650" s="129"/>
      <c r="AY650" s="129"/>
      <c r="AZ650" s="129"/>
      <c r="BA650" s="129"/>
      <c r="BB650" s="129"/>
    </row>
    <row r="651" ht="15.75" customHeight="1">
      <c r="A651" s="141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30"/>
      <c r="AM651" s="130"/>
      <c r="AN651" s="130"/>
      <c r="AO651" s="130"/>
      <c r="AP651" s="130"/>
      <c r="AQ651" s="130"/>
      <c r="AR651" s="130"/>
      <c r="AS651" s="130"/>
      <c r="AT651" s="130"/>
      <c r="AU651" s="130"/>
      <c r="AV651" s="129"/>
      <c r="AW651" s="129"/>
      <c r="AX651" s="129"/>
      <c r="AY651" s="129"/>
      <c r="AZ651" s="129"/>
      <c r="BA651" s="129"/>
      <c r="BB651" s="129"/>
    </row>
    <row r="652" ht="15.75" customHeight="1">
      <c r="A652" s="141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30"/>
      <c r="AM652" s="130"/>
      <c r="AN652" s="130"/>
      <c r="AO652" s="130"/>
      <c r="AP652" s="130"/>
      <c r="AQ652" s="130"/>
      <c r="AR652" s="130"/>
      <c r="AS652" s="130"/>
      <c r="AT652" s="130"/>
      <c r="AU652" s="130"/>
      <c r="AV652" s="129"/>
      <c r="AW652" s="129"/>
      <c r="AX652" s="129"/>
      <c r="AY652" s="129"/>
      <c r="AZ652" s="129"/>
      <c r="BA652" s="129"/>
      <c r="BB652" s="129"/>
    </row>
    <row r="653" ht="15.75" customHeight="1">
      <c r="A653" s="141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30"/>
      <c r="AM653" s="130"/>
      <c r="AN653" s="130"/>
      <c r="AO653" s="130"/>
      <c r="AP653" s="130"/>
      <c r="AQ653" s="130"/>
      <c r="AR653" s="130"/>
      <c r="AS653" s="130"/>
      <c r="AT653" s="130"/>
      <c r="AU653" s="130"/>
      <c r="AV653" s="129"/>
      <c r="AW653" s="129"/>
      <c r="AX653" s="129"/>
      <c r="AY653" s="129"/>
      <c r="AZ653" s="129"/>
      <c r="BA653" s="129"/>
      <c r="BB653" s="129"/>
    </row>
    <row r="654" ht="15.75" customHeight="1">
      <c r="A654" s="141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30"/>
      <c r="AM654" s="130"/>
      <c r="AN654" s="130"/>
      <c r="AO654" s="130"/>
      <c r="AP654" s="130"/>
      <c r="AQ654" s="130"/>
      <c r="AR654" s="130"/>
      <c r="AS654" s="130"/>
      <c r="AT654" s="130"/>
      <c r="AU654" s="130"/>
      <c r="AV654" s="129"/>
      <c r="AW654" s="129"/>
      <c r="AX654" s="129"/>
      <c r="AY654" s="129"/>
      <c r="AZ654" s="129"/>
      <c r="BA654" s="129"/>
      <c r="BB654" s="129"/>
    </row>
    <row r="655" ht="15.75" customHeight="1">
      <c r="A655" s="141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30"/>
      <c r="AM655" s="130"/>
      <c r="AN655" s="130"/>
      <c r="AO655" s="130"/>
      <c r="AP655" s="130"/>
      <c r="AQ655" s="130"/>
      <c r="AR655" s="130"/>
      <c r="AS655" s="130"/>
      <c r="AT655" s="130"/>
      <c r="AU655" s="130"/>
      <c r="AV655" s="129"/>
      <c r="AW655" s="129"/>
      <c r="AX655" s="129"/>
      <c r="AY655" s="129"/>
      <c r="AZ655" s="129"/>
      <c r="BA655" s="129"/>
      <c r="BB655" s="129"/>
    </row>
    <row r="656" ht="15.75" customHeight="1">
      <c r="A656" s="141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30"/>
      <c r="AM656" s="130"/>
      <c r="AN656" s="130"/>
      <c r="AO656" s="130"/>
      <c r="AP656" s="130"/>
      <c r="AQ656" s="130"/>
      <c r="AR656" s="130"/>
      <c r="AS656" s="130"/>
      <c r="AT656" s="130"/>
      <c r="AU656" s="130"/>
      <c r="AV656" s="129"/>
      <c r="AW656" s="129"/>
      <c r="AX656" s="129"/>
      <c r="AY656" s="129"/>
      <c r="AZ656" s="129"/>
      <c r="BA656" s="129"/>
      <c r="BB656" s="129"/>
    </row>
    <row r="657" ht="15.75" customHeight="1">
      <c r="A657" s="141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30"/>
      <c r="AM657" s="130"/>
      <c r="AN657" s="130"/>
      <c r="AO657" s="130"/>
      <c r="AP657" s="130"/>
      <c r="AQ657" s="130"/>
      <c r="AR657" s="130"/>
      <c r="AS657" s="130"/>
      <c r="AT657" s="130"/>
      <c r="AU657" s="130"/>
      <c r="AV657" s="129"/>
      <c r="AW657" s="129"/>
      <c r="AX657" s="129"/>
      <c r="AY657" s="129"/>
      <c r="AZ657" s="129"/>
      <c r="BA657" s="129"/>
      <c r="BB657" s="129"/>
    </row>
    <row r="658" ht="15.75" customHeight="1">
      <c r="A658" s="141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30"/>
      <c r="AM658" s="130"/>
      <c r="AN658" s="130"/>
      <c r="AO658" s="130"/>
      <c r="AP658" s="130"/>
      <c r="AQ658" s="130"/>
      <c r="AR658" s="130"/>
      <c r="AS658" s="130"/>
      <c r="AT658" s="130"/>
      <c r="AU658" s="130"/>
      <c r="AV658" s="129"/>
      <c r="AW658" s="129"/>
      <c r="AX658" s="129"/>
      <c r="AY658" s="129"/>
      <c r="AZ658" s="129"/>
      <c r="BA658" s="129"/>
      <c r="BB658" s="129"/>
    </row>
    <row r="659" ht="15.75" customHeight="1">
      <c r="A659" s="141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30"/>
      <c r="AM659" s="130"/>
      <c r="AN659" s="130"/>
      <c r="AO659" s="130"/>
      <c r="AP659" s="130"/>
      <c r="AQ659" s="130"/>
      <c r="AR659" s="130"/>
      <c r="AS659" s="130"/>
      <c r="AT659" s="130"/>
      <c r="AU659" s="130"/>
      <c r="AV659" s="129"/>
      <c r="AW659" s="129"/>
      <c r="AX659" s="129"/>
      <c r="AY659" s="129"/>
      <c r="AZ659" s="129"/>
      <c r="BA659" s="129"/>
      <c r="BB659" s="129"/>
    </row>
    <row r="660" ht="15.75" customHeight="1">
      <c r="A660" s="141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30"/>
      <c r="AM660" s="130"/>
      <c r="AN660" s="130"/>
      <c r="AO660" s="130"/>
      <c r="AP660" s="130"/>
      <c r="AQ660" s="130"/>
      <c r="AR660" s="130"/>
      <c r="AS660" s="130"/>
      <c r="AT660" s="130"/>
      <c r="AU660" s="130"/>
      <c r="AV660" s="129"/>
      <c r="AW660" s="129"/>
      <c r="AX660" s="129"/>
      <c r="AY660" s="129"/>
      <c r="AZ660" s="129"/>
      <c r="BA660" s="129"/>
      <c r="BB660" s="129"/>
    </row>
    <row r="661" ht="15.75" customHeight="1">
      <c r="A661" s="141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30"/>
      <c r="AM661" s="130"/>
      <c r="AN661" s="130"/>
      <c r="AO661" s="130"/>
      <c r="AP661" s="130"/>
      <c r="AQ661" s="130"/>
      <c r="AR661" s="130"/>
      <c r="AS661" s="130"/>
      <c r="AT661" s="130"/>
      <c r="AU661" s="130"/>
      <c r="AV661" s="129"/>
      <c r="AW661" s="129"/>
      <c r="AX661" s="129"/>
      <c r="AY661" s="129"/>
      <c r="AZ661" s="129"/>
      <c r="BA661" s="129"/>
      <c r="BB661" s="129"/>
    </row>
    <row r="662" ht="15.75" customHeight="1">
      <c r="A662" s="141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30"/>
      <c r="AM662" s="130"/>
      <c r="AN662" s="130"/>
      <c r="AO662" s="130"/>
      <c r="AP662" s="130"/>
      <c r="AQ662" s="130"/>
      <c r="AR662" s="130"/>
      <c r="AS662" s="130"/>
      <c r="AT662" s="130"/>
      <c r="AU662" s="130"/>
      <c r="AV662" s="129"/>
      <c r="AW662" s="129"/>
      <c r="AX662" s="129"/>
      <c r="AY662" s="129"/>
      <c r="AZ662" s="129"/>
      <c r="BA662" s="129"/>
      <c r="BB662" s="129"/>
    </row>
    <row r="663" ht="15.75" customHeight="1">
      <c r="A663" s="141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30"/>
      <c r="AM663" s="130"/>
      <c r="AN663" s="130"/>
      <c r="AO663" s="130"/>
      <c r="AP663" s="130"/>
      <c r="AQ663" s="130"/>
      <c r="AR663" s="130"/>
      <c r="AS663" s="130"/>
      <c r="AT663" s="130"/>
      <c r="AU663" s="130"/>
      <c r="AV663" s="129"/>
      <c r="AW663" s="129"/>
      <c r="AX663" s="129"/>
      <c r="AY663" s="129"/>
      <c r="AZ663" s="129"/>
      <c r="BA663" s="129"/>
      <c r="BB663" s="129"/>
    </row>
    <row r="664" ht="15.75" customHeight="1">
      <c r="A664" s="141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30"/>
      <c r="AM664" s="130"/>
      <c r="AN664" s="130"/>
      <c r="AO664" s="130"/>
      <c r="AP664" s="130"/>
      <c r="AQ664" s="130"/>
      <c r="AR664" s="130"/>
      <c r="AS664" s="130"/>
      <c r="AT664" s="130"/>
      <c r="AU664" s="130"/>
      <c r="AV664" s="129"/>
      <c r="AW664" s="129"/>
      <c r="AX664" s="129"/>
      <c r="AY664" s="129"/>
      <c r="AZ664" s="129"/>
      <c r="BA664" s="129"/>
      <c r="BB664" s="129"/>
    </row>
    <row r="665" ht="15.75" customHeight="1">
      <c r="A665" s="141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30"/>
      <c r="AM665" s="130"/>
      <c r="AN665" s="130"/>
      <c r="AO665" s="130"/>
      <c r="AP665" s="130"/>
      <c r="AQ665" s="130"/>
      <c r="AR665" s="130"/>
      <c r="AS665" s="130"/>
      <c r="AT665" s="130"/>
      <c r="AU665" s="130"/>
      <c r="AV665" s="129"/>
      <c r="AW665" s="129"/>
      <c r="AX665" s="129"/>
      <c r="AY665" s="129"/>
      <c r="AZ665" s="129"/>
      <c r="BA665" s="129"/>
      <c r="BB665" s="129"/>
    </row>
    <row r="666" ht="15.75" customHeight="1">
      <c r="A666" s="141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30"/>
      <c r="AM666" s="130"/>
      <c r="AN666" s="130"/>
      <c r="AO666" s="130"/>
      <c r="AP666" s="130"/>
      <c r="AQ666" s="130"/>
      <c r="AR666" s="130"/>
      <c r="AS666" s="130"/>
      <c r="AT666" s="130"/>
      <c r="AU666" s="130"/>
      <c r="AV666" s="129"/>
      <c r="AW666" s="129"/>
      <c r="AX666" s="129"/>
      <c r="AY666" s="129"/>
      <c r="AZ666" s="129"/>
      <c r="BA666" s="129"/>
      <c r="BB666" s="129"/>
    </row>
    <row r="667" ht="15.75" customHeight="1">
      <c r="A667" s="141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30"/>
      <c r="AM667" s="130"/>
      <c r="AN667" s="130"/>
      <c r="AO667" s="130"/>
      <c r="AP667" s="130"/>
      <c r="AQ667" s="130"/>
      <c r="AR667" s="130"/>
      <c r="AS667" s="130"/>
      <c r="AT667" s="130"/>
      <c r="AU667" s="130"/>
      <c r="AV667" s="129"/>
      <c r="AW667" s="129"/>
      <c r="AX667" s="129"/>
      <c r="AY667" s="129"/>
      <c r="AZ667" s="129"/>
      <c r="BA667" s="129"/>
      <c r="BB667" s="129"/>
    </row>
    <row r="668" ht="15.75" customHeight="1">
      <c r="A668" s="141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30"/>
      <c r="AM668" s="130"/>
      <c r="AN668" s="130"/>
      <c r="AO668" s="130"/>
      <c r="AP668" s="130"/>
      <c r="AQ668" s="130"/>
      <c r="AR668" s="130"/>
      <c r="AS668" s="130"/>
      <c r="AT668" s="130"/>
      <c r="AU668" s="130"/>
      <c r="AV668" s="129"/>
      <c r="AW668" s="129"/>
      <c r="AX668" s="129"/>
      <c r="AY668" s="129"/>
      <c r="AZ668" s="129"/>
      <c r="BA668" s="129"/>
      <c r="BB668" s="129"/>
    </row>
    <row r="669" ht="15.75" customHeight="1">
      <c r="A669" s="141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30"/>
      <c r="AM669" s="130"/>
      <c r="AN669" s="130"/>
      <c r="AO669" s="130"/>
      <c r="AP669" s="130"/>
      <c r="AQ669" s="130"/>
      <c r="AR669" s="130"/>
      <c r="AS669" s="130"/>
      <c r="AT669" s="130"/>
      <c r="AU669" s="130"/>
      <c r="AV669" s="129"/>
      <c r="AW669" s="129"/>
      <c r="AX669" s="129"/>
      <c r="AY669" s="129"/>
      <c r="AZ669" s="129"/>
      <c r="BA669" s="129"/>
      <c r="BB669" s="129"/>
    </row>
    <row r="670" ht="15.75" customHeight="1">
      <c r="A670" s="141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30"/>
      <c r="AM670" s="130"/>
      <c r="AN670" s="130"/>
      <c r="AO670" s="130"/>
      <c r="AP670" s="130"/>
      <c r="AQ670" s="130"/>
      <c r="AR670" s="130"/>
      <c r="AS670" s="130"/>
      <c r="AT670" s="130"/>
      <c r="AU670" s="130"/>
      <c r="AV670" s="129"/>
      <c r="AW670" s="129"/>
      <c r="AX670" s="129"/>
      <c r="AY670" s="129"/>
      <c r="AZ670" s="129"/>
      <c r="BA670" s="129"/>
      <c r="BB670" s="129"/>
    </row>
    <row r="671" ht="15.75" customHeight="1">
      <c r="A671" s="141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30"/>
      <c r="AM671" s="130"/>
      <c r="AN671" s="130"/>
      <c r="AO671" s="130"/>
      <c r="AP671" s="130"/>
      <c r="AQ671" s="130"/>
      <c r="AR671" s="130"/>
      <c r="AS671" s="130"/>
      <c r="AT671" s="130"/>
      <c r="AU671" s="130"/>
      <c r="AV671" s="129"/>
      <c r="AW671" s="129"/>
      <c r="AX671" s="129"/>
      <c r="AY671" s="129"/>
      <c r="AZ671" s="129"/>
      <c r="BA671" s="129"/>
      <c r="BB671" s="129"/>
    </row>
    <row r="672" ht="15.75" customHeight="1">
      <c r="A672" s="141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30"/>
      <c r="AM672" s="130"/>
      <c r="AN672" s="130"/>
      <c r="AO672" s="130"/>
      <c r="AP672" s="130"/>
      <c r="AQ672" s="130"/>
      <c r="AR672" s="130"/>
      <c r="AS672" s="130"/>
      <c r="AT672" s="130"/>
      <c r="AU672" s="130"/>
      <c r="AV672" s="129"/>
      <c r="AW672" s="129"/>
      <c r="AX672" s="129"/>
      <c r="AY672" s="129"/>
      <c r="AZ672" s="129"/>
      <c r="BA672" s="129"/>
      <c r="BB672" s="129"/>
    </row>
    <row r="673" ht="15.75" customHeight="1">
      <c r="A673" s="141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30"/>
      <c r="AM673" s="130"/>
      <c r="AN673" s="130"/>
      <c r="AO673" s="130"/>
      <c r="AP673" s="130"/>
      <c r="AQ673" s="130"/>
      <c r="AR673" s="130"/>
      <c r="AS673" s="130"/>
      <c r="AT673" s="130"/>
      <c r="AU673" s="130"/>
      <c r="AV673" s="129"/>
      <c r="AW673" s="129"/>
      <c r="AX673" s="129"/>
      <c r="AY673" s="129"/>
      <c r="AZ673" s="129"/>
      <c r="BA673" s="129"/>
      <c r="BB673" s="129"/>
    </row>
    <row r="674" ht="15.75" customHeight="1">
      <c r="A674" s="141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30"/>
      <c r="AM674" s="130"/>
      <c r="AN674" s="130"/>
      <c r="AO674" s="130"/>
      <c r="AP674" s="130"/>
      <c r="AQ674" s="130"/>
      <c r="AR674" s="130"/>
      <c r="AS674" s="130"/>
      <c r="AT674" s="130"/>
      <c r="AU674" s="130"/>
      <c r="AV674" s="129"/>
      <c r="AW674" s="129"/>
      <c r="AX674" s="129"/>
      <c r="AY674" s="129"/>
      <c r="AZ674" s="129"/>
      <c r="BA674" s="129"/>
      <c r="BB674" s="129"/>
    </row>
    <row r="675" ht="15.75" customHeight="1">
      <c r="A675" s="141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30"/>
      <c r="AM675" s="130"/>
      <c r="AN675" s="130"/>
      <c r="AO675" s="130"/>
      <c r="AP675" s="130"/>
      <c r="AQ675" s="130"/>
      <c r="AR675" s="130"/>
      <c r="AS675" s="130"/>
      <c r="AT675" s="130"/>
      <c r="AU675" s="130"/>
      <c r="AV675" s="129"/>
      <c r="AW675" s="129"/>
      <c r="AX675" s="129"/>
      <c r="AY675" s="129"/>
      <c r="AZ675" s="129"/>
      <c r="BA675" s="129"/>
      <c r="BB675" s="129"/>
    </row>
    <row r="676" ht="15.75" customHeight="1">
      <c r="A676" s="141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30"/>
      <c r="AM676" s="130"/>
      <c r="AN676" s="130"/>
      <c r="AO676" s="130"/>
      <c r="AP676" s="130"/>
      <c r="AQ676" s="130"/>
      <c r="AR676" s="130"/>
      <c r="AS676" s="130"/>
      <c r="AT676" s="130"/>
      <c r="AU676" s="130"/>
      <c r="AV676" s="129"/>
      <c r="AW676" s="129"/>
      <c r="AX676" s="129"/>
      <c r="AY676" s="129"/>
      <c r="AZ676" s="129"/>
      <c r="BA676" s="129"/>
      <c r="BB676" s="129"/>
    </row>
    <row r="677" ht="15.75" customHeight="1">
      <c r="A677" s="141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30"/>
      <c r="AM677" s="130"/>
      <c r="AN677" s="130"/>
      <c r="AO677" s="130"/>
      <c r="AP677" s="130"/>
      <c r="AQ677" s="130"/>
      <c r="AR677" s="130"/>
      <c r="AS677" s="130"/>
      <c r="AT677" s="130"/>
      <c r="AU677" s="130"/>
      <c r="AV677" s="129"/>
      <c r="AW677" s="129"/>
      <c r="AX677" s="129"/>
      <c r="AY677" s="129"/>
      <c r="AZ677" s="129"/>
      <c r="BA677" s="129"/>
      <c r="BB677" s="129"/>
    </row>
    <row r="678" ht="15.75" customHeight="1">
      <c r="A678" s="141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30"/>
      <c r="AM678" s="130"/>
      <c r="AN678" s="130"/>
      <c r="AO678" s="130"/>
      <c r="AP678" s="130"/>
      <c r="AQ678" s="130"/>
      <c r="AR678" s="130"/>
      <c r="AS678" s="130"/>
      <c r="AT678" s="130"/>
      <c r="AU678" s="130"/>
      <c r="AV678" s="129"/>
      <c r="AW678" s="129"/>
      <c r="AX678" s="129"/>
      <c r="AY678" s="129"/>
      <c r="AZ678" s="129"/>
      <c r="BA678" s="129"/>
      <c r="BB678" s="129"/>
    </row>
    <row r="679" ht="15.75" customHeight="1">
      <c r="A679" s="141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30"/>
      <c r="AM679" s="130"/>
      <c r="AN679" s="130"/>
      <c r="AO679" s="130"/>
      <c r="AP679" s="130"/>
      <c r="AQ679" s="130"/>
      <c r="AR679" s="130"/>
      <c r="AS679" s="130"/>
      <c r="AT679" s="130"/>
      <c r="AU679" s="130"/>
      <c r="AV679" s="129"/>
      <c r="AW679" s="129"/>
      <c r="AX679" s="129"/>
      <c r="AY679" s="129"/>
      <c r="AZ679" s="129"/>
      <c r="BA679" s="129"/>
      <c r="BB679" s="129"/>
    </row>
    <row r="680" ht="15.75" customHeight="1">
      <c r="A680" s="141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30"/>
      <c r="AM680" s="130"/>
      <c r="AN680" s="130"/>
      <c r="AO680" s="130"/>
      <c r="AP680" s="130"/>
      <c r="AQ680" s="130"/>
      <c r="AR680" s="130"/>
      <c r="AS680" s="130"/>
      <c r="AT680" s="130"/>
      <c r="AU680" s="130"/>
      <c r="AV680" s="129"/>
      <c r="AW680" s="129"/>
      <c r="AX680" s="129"/>
      <c r="AY680" s="129"/>
      <c r="AZ680" s="129"/>
      <c r="BA680" s="129"/>
      <c r="BB680" s="129"/>
    </row>
    <row r="681" ht="15.75" customHeight="1">
      <c r="A681" s="141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30"/>
      <c r="AM681" s="130"/>
      <c r="AN681" s="130"/>
      <c r="AO681" s="130"/>
      <c r="AP681" s="130"/>
      <c r="AQ681" s="130"/>
      <c r="AR681" s="130"/>
      <c r="AS681" s="130"/>
      <c r="AT681" s="130"/>
      <c r="AU681" s="130"/>
      <c r="AV681" s="129"/>
      <c r="AW681" s="129"/>
      <c r="AX681" s="129"/>
      <c r="AY681" s="129"/>
      <c r="AZ681" s="129"/>
      <c r="BA681" s="129"/>
      <c r="BB681" s="129"/>
    </row>
    <row r="682" ht="15.75" customHeight="1">
      <c r="A682" s="141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30"/>
      <c r="AM682" s="130"/>
      <c r="AN682" s="130"/>
      <c r="AO682" s="130"/>
      <c r="AP682" s="130"/>
      <c r="AQ682" s="130"/>
      <c r="AR682" s="130"/>
      <c r="AS682" s="130"/>
      <c r="AT682" s="130"/>
      <c r="AU682" s="130"/>
      <c r="AV682" s="129"/>
      <c r="AW682" s="129"/>
      <c r="AX682" s="129"/>
      <c r="AY682" s="129"/>
      <c r="AZ682" s="129"/>
      <c r="BA682" s="129"/>
      <c r="BB682" s="129"/>
    </row>
    <row r="683" ht="15.75" customHeight="1">
      <c r="A683" s="141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30"/>
      <c r="AM683" s="130"/>
      <c r="AN683" s="130"/>
      <c r="AO683" s="130"/>
      <c r="AP683" s="130"/>
      <c r="AQ683" s="130"/>
      <c r="AR683" s="130"/>
      <c r="AS683" s="130"/>
      <c r="AT683" s="130"/>
      <c r="AU683" s="130"/>
      <c r="AV683" s="129"/>
      <c r="AW683" s="129"/>
      <c r="AX683" s="129"/>
      <c r="AY683" s="129"/>
      <c r="AZ683" s="129"/>
      <c r="BA683" s="129"/>
      <c r="BB683" s="129"/>
    </row>
    <row r="684" ht="15.75" customHeight="1">
      <c r="A684" s="141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30"/>
      <c r="AM684" s="130"/>
      <c r="AN684" s="130"/>
      <c r="AO684" s="130"/>
      <c r="AP684" s="130"/>
      <c r="AQ684" s="130"/>
      <c r="AR684" s="130"/>
      <c r="AS684" s="130"/>
      <c r="AT684" s="130"/>
      <c r="AU684" s="130"/>
      <c r="AV684" s="129"/>
      <c r="AW684" s="129"/>
      <c r="AX684" s="129"/>
      <c r="AY684" s="129"/>
      <c r="AZ684" s="129"/>
      <c r="BA684" s="129"/>
      <c r="BB684" s="129"/>
    </row>
    <row r="685" ht="15.75" customHeight="1">
      <c r="A685" s="141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30"/>
      <c r="AM685" s="130"/>
      <c r="AN685" s="130"/>
      <c r="AO685" s="130"/>
      <c r="AP685" s="130"/>
      <c r="AQ685" s="130"/>
      <c r="AR685" s="130"/>
      <c r="AS685" s="130"/>
      <c r="AT685" s="130"/>
      <c r="AU685" s="130"/>
      <c r="AV685" s="129"/>
      <c r="AW685" s="129"/>
      <c r="AX685" s="129"/>
      <c r="AY685" s="129"/>
      <c r="AZ685" s="129"/>
      <c r="BA685" s="129"/>
      <c r="BB685" s="129"/>
    </row>
    <row r="686" ht="15.75" customHeight="1">
      <c r="A686" s="141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29"/>
      <c r="AW686" s="129"/>
      <c r="AX686" s="129"/>
      <c r="AY686" s="129"/>
      <c r="AZ686" s="129"/>
      <c r="BA686" s="129"/>
      <c r="BB686" s="129"/>
    </row>
    <row r="687" ht="15.75" customHeight="1">
      <c r="A687" s="141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30"/>
      <c r="AM687" s="130"/>
      <c r="AN687" s="130"/>
      <c r="AO687" s="130"/>
      <c r="AP687" s="130"/>
      <c r="AQ687" s="130"/>
      <c r="AR687" s="130"/>
      <c r="AS687" s="130"/>
      <c r="AT687" s="130"/>
      <c r="AU687" s="130"/>
      <c r="AV687" s="129"/>
      <c r="AW687" s="129"/>
      <c r="AX687" s="129"/>
      <c r="AY687" s="129"/>
      <c r="AZ687" s="129"/>
      <c r="BA687" s="129"/>
      <c r="BB687" s="129"/>
    </row>
    <row r="688" ht="15.75" customHeight="1">
      <c r="A688" s="141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30"/>
      <c r="AM688" s="130"/>
      <c r="AN688" s="130"/>
      <c r="AO688" s="130"/>
      <c r="AP688" s="130"/>
      <c r="AQ688" s="130"/>
      <c r="AR688" s="130"/>
      <c r="AS688" s="130"/>
      <c r="AT688" s="130"/>
      <c r="AU688" s="130"/>
      <c r="AV688" s="129"/>
      <c r="AW688" s="129"/>
      <c r="AX688" s="129"/>
      <c r="AY688" s="129"/>
      <c r="AZ688" s="129"/>
      <c r="BA688" s="129"/>
      <c r="BB688" s="129"/>
    </row>
    <row r="689" ht="15.75" customHeight="1">
      <c r="A689" s="141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30"/>
      <c r="AM689" s="130"/>
      <c r="AN689" s="130"/>
      <c r="AO689" s="130"/>
      <c r="AP689" s="130"/>
      <c r="AQ689" s="130"/>
      <c r="AR689" s="130"/>
      <c r="AS689" s="130"/>
      <c r="AT689" s="130"/>
      <c r="AU689" s="130"/>
      <c r="AV689" s="129"/>
      <c r="AW689" s="129"/>
      <c r="AX689" s="129"/>
      <c r="AY689" s="129"/>
      <c r="AZ689" s="129"/>
      <c r="BA689" s="129"/>
      <c r="BB689" s="129"/>
    </row>
    <row r="690" ht="15.75" customHeight="1">
      <c r="A690" s="141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30"/>
      <c r="AM690" s="130"/>
      <c r="AN690" s="130"/>
      <c r="AO690" s="130"/>
      <c r="AP690" s="130"/>
      <c r="AQ690" s="130"/>
      <c r="AR690" s="130"/>
      <c r="AS690" s="130"/>
      <c r="AT690" s="130"/>
      <c r="AU690" s="130"/>
      <c r="AV690" s="129"/>
      <c r="AW690" s="129"/>
      <c r="AX690" s="129"/>
      <c r="AY690" s="129"/>
      <c r="AZ690" s="129"/>
      <c r="BA690" s="129"/>
      <c r="BB690" s="129"/>
    </row>
    <row r="691" ht="15.75" customHeight="1">
      <c r="A691" s="141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30"/>
      <c r="AM691" s="130"/>
      <c r="AN691" s="130"/>
      <c r="AO691" s="130"/>
      <c r="AP691" s="130"/>
      <c r="AQ691" s="130"/>
      <c r="AR691" s="130"/>
      <c r="AS691" s="130"/>
      <c r="AT691" s="130"/>
      <c r="AU691" s="130"/>
      <c r="AV691" s="129"/>
      <c r="AW691" s="129"/>
      <c r="AX691" s="129"/>
      <c r="AY691" s="129"/>
      <c r="AZ691" s="129"/>
      <c r="BA691" s="129"/>
      <c r="BB691" s="129"/>
    </row>
    <row r="692" ht="15.75" customHeight="1">
      <c r="A692" s="141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30"/>
      <c r="AM692" s="130"/>
      <c r="AN692" s="130"/>
      <c r="AO692" s="130"/>
      <c r="AP692" s="130"/>
      <c r="AQ692" s="130"/>
      <c r="AR692" s="130"/>
      <c r="AS692" s="130"/>
      <c r="AT692" s="130"/>
      <c r="AU692" s="130"/>
      <c r="AV692" s="129"/>
      <c r="AW692" s="129"/>
      <c r="AX692" s="129"/>
      <c r="AY692" s="129"/>
      <c r="AZ692" s="129"/>
      <c r="BA692" s="129"/>
      <c r="BB692" s="129"/>
    </row>
    <row r="693" ht="15.75" customHeight="1">
      <c r="A693" s="141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30"/>
      <c r="AM693" s="130"/>
      <c r="AN693" s="130"/>
      <c r="AO693" s="130"/>
      <c r="AP693" s="130"/>
      <c r="AQ693" s="130"/>
      <c r="AR693" s="130"/>
      <c r="AS693" s="130"/>
      <c r="AT693" s="130"/>
      <c r="AU693" s="130"/>
      <c r="AV693" s="129"/>
      <c r="AW693" s="129"/>
      <c r="AX693" s="129"/>
      <c r="AY693" s="129"/>
      <c r="AZ693" s="129"/>
      <c r="BA693" s="129"/>
      <c r="BB693" s="129"/>
    </row>
    <row r="694" ht="15.75" customHeight="1">
      <c r="A694" s="141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30"/>
      <c r="AM694" s="130"/>
      <c r="AN694" s="130"/>
      <c r="AO694" s="130"/>
      <c r="AP694" s="130"/>
      <c r="AQ694" s="130"/>
      <c r="AR694" s="130"/>
      <c r="AS694" s="130"/>
      <c r="AT694" s="130"/>
      <c r="AU694" s="130"/>
      <c r="AV694" s="129"/>
      <c r="AW694" s="129"/>
      <c r="AX694" s="129"/>
      <c r="AY694" s="129"/>
      <c r="AZ694" s="129"/>
      <c r="BA694" s="129"/>
      <c r="BB694" s="129"/>
    </row>
    <row r="695" ht="15.75" customHeight="1">
      <c r="A695" s="141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30"/>
      <c r="AM695" s="130"/>
      <c r="AN695" s="130"/>
      <c r="AO695" s="130"/>
      <c r="AP695" s="130"/>
      <c r="AQ695" s="130"/>
      <c r="AR695" s="130"/>
      <c r="AS695" s="130"/>
      <c r="AT695" s="130"/>
      <c r="AU695" s="130"/>
      <c r="AV695" s="129"/>
      <c r="AW695" s="129"/>
      <c r="AX695" s="129"/>
      <c r="AY695" s="129"/>
      <c r="AZ695" s="129"/>
      <c r="BA695" s="129"/>
      <c r="BB695" s="129"/>
    </row>
    <row r="696" ht="15.75" customHeight="1">
      <c r="A696" s="141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30"/>
      <c r="AM696" s="130"/>
      <c r="AN696" s="130"/>
      <c r="AO696" s="130"/>
      <c r="AP696" s="130"/>
      <c r="AQ696" s="130"/>
      <c r="AR696" s="130"/>
      <c r="AS696" s="130"/>
      <c r="AT696" s="130"/>
      <c r="AU696" s="130"/>
      <c r="AV696" s="129"/>
      <c r="AW696" s="129"/>
      <c r="AX696" s="129"/>
      <c r="AY696" s="129"/>
      <c r="AZ696" s="129"/>
      <c r="BA696" s="129"/>
      <c r="BB696" s="129"/>
    </row>
    <row r="697" ht="15.75" customHeight="1">
      <c r="A697" s="141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30"/>
      <c r="AM697" s="130"/>
      <c r="AN697" s="130"/>
      <c r="AO697" s="130"/>
      <c r="AP697" s="130"/>
      <c r="AQ697" s="130"/>
      <c r="AR697" s="130"/>
      <c r="AS697" s="130"/>
      <c r="AT697" s="130"/>
      <c r="AU697" s="130"/>
      <c r="AV697" s="129"/>
      <c r="AW697" s="129"/>
      <c r="AX697" s="129"/>
      <c r="AY697" s="129"/>
      <c r="AZ697" s="129"/>
      <c r="BA697" s="129"/>
      <c r="BB697" s="129"/>
    </row>
    <row r="698" ht="15.75" customHeight="1">
      <c r="A698" s="141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30"/>
      <c r="AM698" s="130"/>
      <c r="AN698" s="130"/>
      <c r="AO698" s="130"/>
      <c r="AP698" s="130"/>
      <c r="AQ698" s="130"/>
      <c r="AR698" s="130"/>
      <c r="AS698" s="130"/>
      <c r="AT698" s="130"/>
      <c r="AU698" s="130"/>
      <c r="AV698" s="129"/>
      <c r="AW698" s="129"/>
      <c r="AX698" s="129"/>
      <c r="AY698" s="129"/>
      <c r="AZ698" s="129"/>
      <c r="BA698" s="129"/>
      <c r="BB698" s="129"/>
    </row>
    <row r="699" ht="15.75" customHeight="1">
      <c r="A699" s="141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30"/>
      <c r="AM699" s="130"/>
      <c r="AN699" s="130"/>
      <c r="AO699" s="130"/>
      <c r="AP699" s="130"/>
      <c r="AQ699" s="130"/>
      <c r="AR699" s="130"/>
      <c r="AS699" s="130"/>
      <c r="AT699" s="130"/>
      <c r="AU699" s="130"/>
      <c r="AV699" s="129"/>
      <c r="AW699" s="129"/>
      <c r="AX699" s="129"/>
      <c r="AY699" s="129"/>
      <c r="AZ699" s="129"/>
      <c r="BA699" s="129"/>
      <c r="BB699" s="129"/>
    </row>
    <row r="700" ht="15.75" customHeight="1">
      <c r="A700" s="141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30"/>
      <c r="AM700" s="130"/>
      <c r="AN700" s="130"/>
      <c r="AO700" s="130"/>
      <c r="AP700" s="130"/>
      <c r="AQ700" s="130"/>
      <c r="AR700" s="130"/>
      <c r="AS700" s="130"/>
      <c r="AT700" s="130"/>
      <c r="AU700" s="130"/>
      <c r="AV700" s="129"/>
      <c r="AW700" s="129"/>
      <c r="AX700" s="129"/>
      <c r="AY700" s="129"/>
      <c r="AZ700" s="129"/>
      <c r="BA700" s="129"/>
      <c r="BB700" s="129"/>
    </row>
    <row r="701" ht="15.75" customHeight="1">
      <c r="A701" s="141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30"/>
      <c r="AM701" s="130"/>
      <c r="AN701" s="130"/>
      <c r="AO701" s="130"/>
      <c r="AP701" s="130"/>
      <c r="AQ701" s="130"/>
      <c r="AR701" s="130"/>
      <c r="AS701" s="130"/>
      <c r="AT701" s="130"/>
      <c r="AU701" s="130"/>
      <c r="AV701" s="129"/>
      <c r="AW701" s="129"/>
      <c r="AX701" s="129"/>
      <c r="AY701" s="129"/>
      <c r="AZ701" s="129"/>
      <c r="BA701" s="129"/>
      <c r="BB701" s="129"/>
    </row>
    <row r="702" ht="15.75" customHeight="1">
      <c r="A702" s="141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30"/>
      <c r="AM702" s="130"/>
      <c r="AN702" s="130"/>
      <c r="AO702" s="130"/>
      <c r="AP702" s="130"/>
      <c r="AQ702" s="130"/>
      <c r="AR702" s="130"/>
      <c r="AS702" s="130"/>
      <c r="AT702" s="130"/>
      <c r="AU702" s="130"/>
      <c r="AV702" s="129"/>
      <c r="AW702" s="129"/>
      <c r="AX702" s="129"/>
      <c r="AY702" s="129"/>
      <c r="AZ702" s="129"/>
      <c r="BA702" s="129"/>
      <c r="BB702" s="129"/>
    </row>
    <row r="703" ht="15.75" customHeight="1">
      <c r="A703" s="141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30"/>
      <c r="AM703" s="130"/>
      <c r="AN703" s="130"/>
      <c r="AO703" s="130"/>
      <c r="AP703" s="130"/>
      <c r="AQ703" s="130"/>
      <c r="AR703" s="130"/>
      <c r="AS703" s="130"/>
      <c r="AT703" s="130"/>
      <c r="AU703" s="130"/>
      <c r="AV703" s="129"/>
      <c r="AW703" s="129"/>
      <c r="AX703" s="129"/>
      <c r="AY703" s="129"/>
      <c r="AZ703" s="129"/>
      <c r="BA703" s="129"/>
      <c r="BB703" s="129"/>
    </row>
    <row r="704" ht="15.75" customHeight="1">
      <c r="A704" s="141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30"/>
      <c r="AM704" s="130"/>
      <c r="AN704" s="130"/>
      <c r="AO704" s="130"/>
      <c r="AP704" s="130"/>
      <c r="AQ704" s="130"/>
      <c r="AR704" s="130"/>
      <c r="AS704" s="130"/>
      <c r="AT704" s="130"/>
      <c r="AU704" s="130"/>
      <c r="AV704" s="129"/>
      <c r="AW704" s="129"/>
      <c r="AX704" s="129"/>
      <c r="AY704" s="129"/>
      <c r="AZ704" s="129"/>
      <c r="BA704" s="129"/>
      <c r="BB704" s="129"/>
    </row>
    <row r="705" ht="15.75" customHeight="1">
      <c r="A705" s="141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30"/>
      <c r="AM705" s="130"/>
      <c r="AN705" s="130"/>
      <c r="AO705" s="130"/>
      <c r="AP705" s="130"/>
      <c r="AQ705" s="130"/>
      <c r="AR705" s="130"/>
      <c r="AS705" s="130"/>
      <c r="AT705" s="130"/>
      <c r="AU705" s="130"/>
      <c r="AV705" s="129"/>
      <c r="AW705" s="129"/>
      <c r="AX705" s="129"/>
      <c r="AY705" s="129"/>
      <c r="AZ705" s="129"/>
      <c r="BA705" s="129"/>
      <c r="BB705" s="129"/>
    </row>
    <row r="706" ht="15.75" customHeight="1">
      <c r="A706" s="141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30"/>
      <c r="AM706" s="130"/>
      <c r="AN706" s="130"/>
      <c r="AO706" s="130"/>
      <c r="AP706" s="130"/>
      <c r="AQ706" s="130"/>
      <c r="AR706" s="130"/>
      <c r="AS706" s="130"/>
      <c r="AT706" s="130"/>
      <c r="AU706" s="130"/>
      <c r="AV706" s="129"/>
      <c r="AW706" s="129"/>
      <c r="AX706" s="129"/>
      <c r="AY706" s="129"/>
      <c r="AZ706" s="129"/>
      <c r="BA706" s="129"/>
      <c r="BB706" s="129"/>
    </row>
    <row r="707" ht="15.75" customHeight="1">
      <c r="A707" s="141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30"/>
      <c r="AM707" s="130"/>
      <c r="AN707" s="130"/>
      <c r="AO707" s="130"/>
      <c r="AP707" s="130"/>
      <c r="AQ707" s="130"/>
      <c r="AR707" s="130"/>
      <c r="AS707" s="130"/>
      <c r="AT707" s="130"/>
      <c r="AU707" s="130"/>
      <c r="AV707" s="129"/>
      <c r="AW707" s="129"/>
      <c r="AX707" s="129"/>
      <c r="AY707" s="129"/>
      <c r="AZ707" s="129"/>
      <c r="BA707" s="129"/>
      <c r="BB707" s="129"/>
    </row>
    <row r="708" ht="15.75" customHeight="1">
      <c r="A708" s="141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30"/>
      <c r="AM708" s="130"/>
      <c r="AN708" s="130"/>
      <c r="AO708" s="130"/>
      <c r="AP708" s="130"/>
      <c r="AQ708" s="130"/>
      <c r="AR708" s="130"/>
      <c r="AS708" s="130"/>
      <c r="AT708" s="130"/>
      <c r="AU708" s="130"/>
      <c r="AV708" s="129"/>
      <c r="AW708" s="129"/>
      <c r="AX708" s="129"/>
      <c r="AY708" s="129"/>
      <c r="AZ708" s="129"/>
      <c r="BA708" s="129"/>
      <c r="BB708" s="129"/>
    </row>
    <row r="709" ht="15.75" customHeight="1">
      <c r="A709" s="141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30"/>
      <c r="AM709" s="130"/>
      <c r="AN709" s="130"/>
      <c r="AO709" s="130"/>
      <c r="AP709" s="130"/>
      <c r="AQ709" s="130"/>
      <c r="AR709" s="130"/>
      <c r="AS709" s="130"/>
      <c r="AT709" s="130"/>
      <c r="AU709" s="130"/>
      <c r="AV709" s="129"/>
      <c r="AW709" s="129"/>
      <c r="AX709" s="129"/>
      <c r="AY709" s="129"/>
      <c r="AZ709" s="129"/>
      <c r="BA709" s="129"/>
      <c r="BB709" s="129"/>
    </row>
    <row r="710" ht="15.75" customHeight="1">
      <c r="A710" s="141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30"/>
      <c r="AM710" s="130"/>
      <c r="AN710" s="130"/>
      <c r="AO710" s="130"/>
      <c r="AP710" s="130"/>
      <c r="AQ710" s="130"/>
      <c r="AR710" s="130"/>
      <c r="AS710" s="130"/>
      <c r="AT710" s="130"/>
      <c r="AU710" s="130"/>
      <c r="AV710" s="129"/>
      <c r="AW710" s="129"/>
      <c r="AX710" s="129"/>
      <c r="AY710" s="129"/>
      <c r="AZ710" s="129"/>
      <c r="BA710" s="129"/>
      <c r="BB710" s="129"/>
    </row>
    <row r="711" ht="15.75" customHeight="1">
      <c r="A711" s="141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30"/>
      <c r="AM711" s="130"/>
      <c r="AN711" s="130"/>
      <c r="AO711" s="130"/>
      <c r="AP711" s="130"/>
      <c r="AQ711" s="130"/>
      <c r="AR711" s="130"/>
      <c r="AS711" s="130"/>
      <c r="AT711" s="130"/>
      <c r="AU711" s="130"/>
      <c r="AV711" s="129"/>
      <c r="AW711" s="129"/>
      <c r="AX711" s="129"/>
      <c r="AY711" s="129"/>
      <c r="AZ711" s="129"/>
      <c r="BA711" s="129"/>
      <c r="BB711" s="129"/>
    </row>
    <row r="712" ht="15.75" customHeight="1">
      <c r="A712" s="141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30"/>
      <c r="AM712" s="130"/>
      <c r="AN712" s="130"/>
      <c r="AO712" s="130"/>
      <c r="AP712" s="130"/>
      <c r="AQ712" s="130"/>
      <c r="AR712" s="130"/>
      <c r="AS712" s="130"/>
      <c r="AT712" s="130"/>
      <c r="AU712" s="130"/>
      <c r="AV712" s="129"/>
      <c r="AW712" s="129"/>
      <c r="AX712" s="129"/>
      <c r="AY712" s="129"/>
      <c r="AZ712" s="129"/>
      <c r="BA712" s="129"/>
      <c r="BB712" s="129"/>
    </row>
    <row r="713" ht="15.75" customHeight="1">
      <c r="A713" s="141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30"/>
      <c r="AM713" s="130"/>
      <c r="AN713" s="130"/>
      <c r="AO713" s="130"/>
      <c r="AP713" s="130"/>
      <c r="AQ713" s="130"/>
      <c r="AR713" s="130"/>
      <c r="AS713" s="130"/>
      <c r="AT713" s="130"/>
      <c r="AU713" s="130"/>
      <c r="AV713" s="129"/>
      <c r="AW713" s="129"/>
      <c r="AX713" s="129"/>
      <c r="AY713" s="129"/>
      <c r="AZ713" s="129"/>
      <c r="BA713" s="129"/>
      <c r="BB713" s="129"/>
    </row>
    <row r="714" ht="15.75" customHeight="1">
      <c r="A714" s="141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30"/>
      <c r="AM714" s="130"/>
      <c r="AN714" s="130"/>
      <c r="AO714" s="130"/>
      <c r="AP714" s="130"/>
      <c r="AQ714" s="130"/>
      <c r="AR714" s="130"/>
      <c r="AS714" s="130"/>
      <c r="AT714" s="130"/>
      <c r="AU714" s="130"/>
      <c r="AV714" s="129"/>
      <c r="AW714" s="129"/>
      <c r="AX714" s="129"/>
      <c r="AY714" s="129"/>
      <c r="AZ714" s="129"/>
      <c r="BA714" s="129"/>
      <c r="BB714" s="129"/>
    </row>
    <row r="715" ht="15.75" customHeight="1">
      <c r="A715" s="141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30"/>
      <c r="AM715" s="130"/>
      <c r="AN715" s="130"/>
      <c r="AO715" s="130"/>
      <c r="AP715" s="130"/>
      <c r="AQ715" s="130"/>
      <c r="AR715" s="130"/>
      <c r="AS715" s="130"/>
      <c r="AT715" s="130"/>
      <c r="AU715" s="130"/>
      <c r="AV715" s="129"/>
      <c r="AW715" s="129"/>
      <c r="AX715" s="129"/>
      <c r="AY715" s="129"/>
      <c r="AZ715" s="129"/>
      <c r="BA715" s="129"/>
      <c r="BB715" s="129"/>
    </row>
    <row r="716" ht="15.75" customHeight="1">
      <c r="A716" s="141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30"/>
      <c r="AM716" s="130"/>
      <c r="AN716" s="130"/>
      <c r="AO716" s="130"/>
      <c r="AP716" s="130"/>
      <c r="AQ716" s="130"/>
      <c r="AR716" s="130"/>
      <c r="AS716" s="130"/>
      <c r="AT716" s="130"/>
      <c r="AU716" s="130"/>
      <c r="AV716" s="129"/>
      <c r="AW716" s="129"/>
      <c r="AX716" s="129"/>
      <c r="AY716" s="129"/>
      <c r="AZ716" s="129"/>
      <c r="BA716" s="129"/>
      <c r="BB716" s="129"/>
    </row>
    <row r="717" ht="15.75" customHeight="1">
      <c r="A717" s="141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30"/>
      <c r="AM717" s="130"/>
      <c r="AN717" s="130"/>
      <c r="AO717" s="130"/>
      <c r="AP717" s="130"/>
      <c r="AQ717" s="130"/>
      <c r="AR717" s="130"/>
      <c r="AS717" s="130"/>
      <c r="AT717" s="130"/>
      <c r="AU717" s="130"/>
      <c r="AV717" s="129"/>
      <c r="AW717" s="129"/>
      <c r="AX717" s="129"/>
      <c r="AY717" s="129"/>
      <c r="AZ717" s="129"/>
      <c r="BA717" s="129"/>
      <c r="BB717" s="129"/>
    </row>
    <row r="718" ht="15.75" customHeight="1">
      <c r="A718" s="141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30"/>
      <c r="AM718" s="130"/>
      <c r="AN718" s="130"/>
      <c r="AO718" s="130"/>
      <c r="AP718" s="130"/>
      <c r="AQ718" s="130"/>
      <c r="AR718" s="130"/>
      <c r="AS718" s="130"/>
      <c r="AT718" s="130"/>
      <c r="AU718" s="130"/>
      <c r="AV718" s="129"/>
      <c r="AW718" s="129"/>
      <c r="AX718" s="129"/>
      <c r="AY718" s="129"/>
      <c r="AZ718" s="129"/>
      <c r="BA718" s="129"/>
      <c r="BB718" s="129"/>
    </row>
    <row r="719" ht="15.75" customHeight="1">
      <c r="A719" s="141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30"/>
      <c r="AM719" s="130"/>
      <c r="AN719" s="130"/>
      <c r="AO719" s="130"/>
      <c r="AP719" s="130"/>
      <c r="AQ719" s="130"/>
      <c r="AR719" s="130"/>
      <c r="AS719" s="130"/>
      <c r="AT719" s="130"/>
      <c r="AU719" s="130"/>
      <c r="AV719" s="129"/>
      <c r="AW719" s="129"/>
      <c r="AX719" s="129"/>
      <c r="AY719" s="129"/>
      <c r="AZ719" s="129"/>
      <c r="BA719" s="129"/>
      <c r="BB719" s="129"/>
    </row>
    <row r="720" ht="15.75" customHeight="1">
      <c r="A720" s="141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30"/>
      <c r="AM720" s="130"/>
      <c r="AN720" s="130"/>
      <c r="AO720" s="130"/>
      <c r="AP720" s="130"/>
      <c r="AQ720" s="130"/>
      <c r="AR720" s="130"/>
      <c r="AS720" s="130"/>
      <c r="AT720" s="130"/>
      <c r="AU720" s="130"/>
      <c r="AV720" s="129"/>
      <c r="AW720" s="129"/>
      <c r="AX720" s="129"/>
      <c r="AY720" s="129"/>
      <c r="AZ720" s="129"/>
      <c r="BA720" s="129"/>
      <c r="BB720" s="129"/>
    </row>
    <row r="721" ht="15.75" customHeight="1">
      <c r="A721" s="141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30"/>
      <c r="AM721" s="130"/>
      <c r="AN721" s="130"/>
      <c r="AO721" s="130"/>
      <c r="AP721" s="130"/>
      <c r="AQ721" s="130"/>
      <c r="AR721" s="130"/>
      <c r="AS721" s="130"/>
      <c r="AT721" s="130"/>
      <c r="AU721" s="130"/>
      <c r="AV721" s="129"/>
      <c r="AW721" s="129"/>
      <c r="AX721" s="129"/>
      <c r="AY721" s="129"/>
      <c r="AZ721" s="129"/>
      <c r="BA721" s="129"/>
      <c r="BB721" s="129"/>
    </row>
    <row r="722" ht="15.75" customHeight="1">
      <c r="A722" s="141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30"/>
      <c r="AM722" s="130"/>
      <c r="AN722" s="130"/>
      <c r="AO722" s="130"/>
      <c r="AP722" s="130"/>
      <c r="AQ722" s="130"/>
      <c r="AR722" s="130"/>
      <c r="AS722" s="130"/>
      <c r="AT722" s="130"/>
      <c r="AU722" s="130"/>
      <c r="AV722" s="129"/>
      <c r="AW722" s="129"/>
      <c r="AX722" s="129"/>
      <c r="AY722" s="129"/>
      <c r="AZ722" s="129"/>
      <c r="BA722" s="129"/>
      <c r="BB722" s="129"/>
    </row>
    <row r="723" ht="15.75" customHeight="1">
      <c r="A723" s="141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30"/>
      <c r="AM723" s="130"/>
      <c r="AN723" s="130"/>
      <c r="AO723" s="130"/>
      <c r="AP723" s="130"/>
      <c r="AQ723" s="130"/>
      <c r="AR723" s="130"/>
      <c r="AS723" s="130"/>
      <c r="AT723" s="130"/>
      <c r="AU723" s="130"/>
      <c r="AV723" s="129"/>
      <c r="AW723" s="129"/>
      <c r="AX723" s="129"/>
      <c r="AY723" s="129"/>
      <c r="AZ723" s="129"/>
      <c r="BA723" s="129"/>
      <c r="BB723" s="129"/>
    </row>
    <row r="724" ht="15.75" customHeight="1">
      <c r="A724" s="141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30"/>
      <c r="AM724" s="130"/>
      <c r="AN724" s="130"/>
      <c r="AO724" s="130"/>
      <c r="AP724" s="130"/>
      <c r="AQ724" s="130"/>
      <c r="AR724" s="130"/>
      <c r="AS724" s="130"/>
      <c r="AT724" s="130"/>
      <c r="AU724" s="130"/>
      <c r="AV724" s="129"/>
      <c r="AW724" s="129"/>
      <c r="AX724" s="129"/>
      <c r="AY724" s="129"/>
      <c r="AZ724" s="129"/>
      <c r="BA724" s="129"/>
      <c r="BB724" s="129"/>
    </row>
    <row r="725" ht="15.75" customHeight="1">
      <c r="A725" s="141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30"/>
      <c r="AM725" s="130"/>
      <c r="AN725" s="130"/>
      <c r="AO725" s="130"/>
      <c r="AP725" s="130"/>
      <c r="AQ725" s="130"/>
      <c r="AR725" s="130"/>
      <c r="AS725" s="130"/>
      <c r="AT725" s="130"/>
      <c r="AU725" s="130"/>
      <c r="AV725" s="129"/>
      <c r="AW725" s="129"/>
      <c r="AX725" s="129"/>
      <c r="AY725" s="129"/>
      <c r="AZ725" s="129"/>
      <c r="BA725" s="129"/>
      <c r="BB725" s="129"/>
    </row>
    <row r="726" ht="15.75" customHeight="1">
      <c r="A726" s="141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30"/>
      <c r="AM726" s="130"/>
      <c r="AN726" s="130"/>
      <c r="AO726" s="130"/>
      <c r="AP726" s="130"/>
      <c r="AQ726" s="130"/>
      <c r="AR726" s="130"/>
      <c r="AS726" s="130"/>
      <c r="AT726" s="130"/>
      <c r="AU726" s="130"/>
      <c r="AV726" s="129"/>
      <c r="AW726" s="129"/>
      <c r="AX726" s="129"/>
      <c r="AY726" s="129"/>
      <c r="AZ726" s="129"/>
      <c r="BA726" s="129"/>
      <c r="BB726" s="129"/>
    </row>
    <row r="727" ht="15.75" customHeight="1">
      <c r="A727" s="141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30"/>
      <c r="AM727" s="130"/>
      <c r="AN727" s="130"/>
      <c r="AO727" s="130"/>
      <c r="AP727" s="130"/>
      <c r="AQ727" s="130"/>
      <c r="AR727" s="130"/>
      <c r="AS727" s="130"/>
      <c r="AT727" s="130"/>
      <c r="AU727" s="130"/>
      <c r="AV727" s="129"/>
      <c r="AW727" s="129"/>
      <c r="AX727" s="129"/>
      <c r="AY727" s="129"/>
      <c r="AZ727" s="129"/>
      <c r="BA727" s="129"/>
      <c r="BB727" s="129"/>
    </row>
    <row r="728" ht="15.75" customHeight="1">
      <c r="A728" s="141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30"/>
      <c r="AM728" s="130"/>
      <c r="AN728" s="130"/>
      <c r="AO728" s="130"/>
      <c r="AP728" s="130"/>
      <c r="AQ728" s="130"/>
      <c r="AR728" s="130"/>
      <c r="AS728" s="130"/>
      <c r="AT728" s="130"/>
      <c r="AU728" s="130"/>
      <c r="AV728" s="129"/>
      <c r="AW728" s="129"/>
      <c r="AX728" s="129"/>
      <c r="AY728" s="129"/>
      <c r="AZ728" s="129"/>
      <c r="BA728" s="129"/>
      <c r="BB728" s="129"/>
    </row>
    <row r="729" ht="15.75" customHeight="1">
      <c r="A729" s="141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30"/>
      <c r="AM729" s="130"/>
      <c r="AN729" s="130"/>
      <c r="AO729" s="130"/>
      <c r="AP729" s="130"/>
      <c r="AQ729" s="130"/>
      <c r="AR729" s="130"/>
      <c r="AS729" s="130"/>
      <c r="AT729" s="130"/>
      <c r="AU729" s="130"/>
      <c r="AV729" s="129"/>
      <c r="AW729" s="129"/>
      <c r="AX729" s="129"/>
      <c r="AY729" s="129"/>
      <c r="AZ729" s="129"/>
      <c r="BA729" s="129"/>
      <c r="BB729" s="129"/>
    </row>
    <row r="730" ht="15.75" customHeight="1">
      <c r="A730" s="141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30"/>
      <c r="AM730" s="130"/>
      <c r="AN730" s="130"/>
      <c r="AO730" s="130"/>
      <c r="AP730" s="130"/>
      <c r="AQ730" s="130"/>
      <c r="AR730" s="130"/>
      <c r="AS730" s="130"/>
      <c r="AT730" s="130"/>
      <c r="AU730" s="130"/>
      <c r="AV730" s="129"/>
      <c r="AW730" s="129"/>
      <c r="AX730" s="129"/>
      <c r="AY730" s="129"/>
      <c r="AZ730" s="129"/>
      <c r="BA730" s="129"/>
      <c r="BB730" s="129"/>
    </row>
    <row r="731" ht="15.75" customHeight="1">
      <c r="A731" s="141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30"/>
      <c r="AM731" s="130"/>
      <c r="AN731" s="130"/>
      <c r="AO731" s="130"/>
      <c r="AP731" s="130"/>
      <c r="AQ731" s="130"/>
      <c r="AR731" s="130"/>
      <c r="AS731" s="130"/>
      <c r="AT731" s="130"/>
      <c r="AU731" s="130"/>
      <c r="AV731" s="129"/>
      <c r="AW731" s="129"/>
      <c r="AX731" s="129"/>
      <c r="AY731" s="129"/>
      <c r="AZ731" s="129"/>
      <c r="BA731" s="129"/>
      <c r="BB731" s="129"/>
    </row>
    <row r="732" ht="15.75" customHeight="1">
      <c r="A732" s="141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30"/>
      <c r="AM732" s="130"/>
      <c r="AN732" s="130"/>
      <c r="AO732" s="130"/>
      <c r="AP732" s="130"/>
      <c r="AQ732" s="130"/>
      <c r="AR732" s="130"/>
      <c r="AS732" s="130"/>
      <c r="AT732" s="130"/>
      <c r="AU732" s="130"/>
      <c r="AV732" s="129"/>
      <c r="AW732" s="129"/>
      <c r="AX732" s="129"/>
      <c r="AY732" s="129"/>
      <c r="AZ732" s="129"/>
      <c r="BA732" s="129"/>
      <c r="BB732" s="129"/>
    </row>
    <row r="733" ht="15.75" customHeight="1">
      <c r="A733" s="141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30"/>
      <c r="AM733" s="130"/>
      <c r="AN733" s="130"/>
      <c r="AO733" s="130"/>
      <c r="AP733" s="130"/>
      <c r="AQ733" s="130"/>
      <c r="AR733" s="130"/>
      <c r="AS733" s="130"/>
      <c r="AT733" s="130"/>
      <c r="AU733" s="130"/>
      <c r="AV733" s="129"/>
      <c r="AW733" s="129"/>
      <c r="AX733" s="129"/>
      <c r="AY733" s="129"/>
      <c r="AZ733" s="129"/>
      <c r="BA733" s="129"/>
      <c r="BB733" s="129"/>
    </row>
    <row r="734" ht="15.75" customHeight="1">
      <c r="A734" s="141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30"/>
      <c r="AM734" s="130"/>
      <c r="AN734" s="130"/>
      <c r="AO734" s="130"/>
      <c r="AP734" s="130"/>
      <c r="AQ734" s="130"/>
      <c r="AR734" s="130"/>
      <c r="AS734" s="130"/>
      <c r="AT734" s="130"/>
      <c r="AU734" s="130"/>
      <c r="AV734" s="129"/>
      <c r="AW734" s="129"/>
      <c r="AX734" s="129"/>
      <c r="AY734" s="129"/>
      <c r="AZ734" s="129"/>
      <c r="BA734" s="129"/>
      <c r="BB734" s="129"/>
    </row>
    <row r="735" ht="15.75" customHeight="1">
      <c r="A735" s="141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30"/>
      <c r="AM735" s="130"/>
      <c r="AN735" s="130"/>
      <c r="AO735" s="130"/>
      <c r="AP735" s="130"/>
      <c r="AQ735" s="130"/>
      <c r="AR735" s="130"/>
      <c r="AS735" s="130"/>
      <c r="AT735" s="130"/>
      <c r="AU735" s="130"/>
      <c r="AV735" s="129"/>
      <c r="AW735" s="129"/>
      <c r="AX735" s="129"/>
      <c r="AY735" s="129"/>
      <c r="AZ735" s="129"/>
      <c r="BA735" s="129"/>
      <c r="BB735" s="129"/>
    </row>
    <row r="736" ht="15.75" customHeight="1">
      <c r="A736" s="141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30"/>
      <c r="AM736" s="130"/>
      <c r="AN736" s="130"/>
      <c r="AO736" s="130"/>
      <c r="AP736" s="130"/>
      <c r="AQ736" s="130"/>
      <c r="AR736" s="130"/>
      <c r="AS736" s="130"/>
      <c r="AT736" s="130"/>
      <c r="AU736" s="130"/>
      <c r="AV736" s="129"/>
      <c r="AW736" s="129"/>
      <c r="AX736" s="129"/>
      <c r="AY736" s="129"/>
      <c r="AZ736" s="129"/>
      <c r="BA736" s="129"/>
      <c r="BB736" s="129"/>
    </row>
    <row r="737" ht="15.75" customHeight="1">
      <c r="A737" s="141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30"/>
      <c r="AM737" s="130"/>
      <c r="AN737" s="130"/>
      <c r="AO737" s="130"/>
      <c r="AP737" s="130"/>
      <c r="AQ737" s="130"/>
      <c r="AR737" s="130"/>
      <c r="AS737" s="130"/>
      <c r="AT737" s="130"/>
      <c r="AU737" s="130"/>
      <c r="AV737" s="129"/>
      <c r="AW737" s="129"/>
      <c r="AX737" s="129"/>
      <c r="AY737" s="129"/>
      <c r="AZ737" s="129"/>
      <c r="BA737" s="129"/>
      <c r="BB737" s="129"/>
    </row>
    <row r="738" ht="15.75" customHeight="1">
      <c r="A738" s="141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30"/>
      <c r="AM738" s="130"/>
      <c r="AN738" s="130"/>
      <c r="AO738" s="130"/>
      <c r="AP738" s="130"/>
      <c r="AQ738" s="130"/>
      <c r="AR738" s="130"/>
      <c r="AS738" s="130"/>
      <c r="AT738" s="130"/>
      <c r="AU738" s="130"/>
      <c r="AV738" s="129"/>
      <c r="AW738" s="129"/>
      <c r="AX738" s="129"/>
      <c r="AY738" s="129"/>
      <c r="AZ738" s="129"/>
      <c r="BA738" s="129"/>
      <c r="BB738" s="129"/>
    </row>
    <row r="739" ht="15.75" customHeight="1">
      <c r="A739" s="141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30"/>
      <c r="AM739" s="130"/>
      <c r="AN739" s="130"/>
      <c r="AO739" s="130"/>
      <c r="AP739" s="130"/>
      <c r="AQ739" s="130"/>
      <c r="AR739" s="130"/>
      <c r="AS739" s="130"/>
      <c r="AT739" s="130"/>
      <c r="AU739" s="130"/>
      <c r="AV739" s="129"/>
      <c r="AW739" s="129"/>
      <c r="AX739" s="129"/>
      <c r="AY739" s="129"/>
      <c r="AZ739" s="129"/>
      <c r="BA739" s="129"/>
      <c r="BB739" s="129"/>
    </row>
    <row r="740" ht="15.75" customHeight="1">
      <c r="A740" s="141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30"/>
      <c r="AM740" s="130"/>
      <c r="AN740" s="130"/>
      <c r="AO740" s="130"/>
      <c r="AP740" s="130"/>
      <c r="AQ740" s="130"/>
      <c r="AR740" s="130"/>
      <c r="AS740" s="130"/>
      <c r="AT740" s="130"/>
      <c r="AU740" s="130"/>
      <c r="AV740" s="129"/>
      <c r="AW740" s="129"/>
      <c r="AX740" s="129"/>
      <c r="AY740" s="129"/>
      <c r="AZ740" s="129"/>
      <c r="BA740" s="129"/>
      <c r="BB740" s="129"/>
    </row>
    <row r="741" ht="15.75" customHeight="1">
      <c r="A741" s="141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30"/>
      <c r="AM741" s="130"/>
      <c r="AN741" s="130"/>
      <c r="AO741" s="130"/>
      <c r="AP741" s="130"/>
      <c r="AQ741" s="130"/>
      <c r="AR741" s="130"/>
      <c r="AS741" s="130"/>
      <c r="AT741" s="130"/>
      <c r="AU741" s="130"/>
      <c r="AV741" s="129"/>
      <c r="AW741" s="129"/>
      <c r="AX741" s="129"/>
      <c r="AY741" s="129"/>
      <c r="AZ741" s="129"/>
      <c r="BA741" s="129"/>
      <c r="BB741" s="129"/>
    </row>
    <row r="742" ht="15.75" customHeight="1">
      <c r="A742" s="141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29"/>
      <c r="AW742" s="129"/>
      <c r="AX742" s="129"/>
      <c r="AY742" s="129"/>
      <c r="AZ742" s="129"/>
      <c r="BA742" s="129"/>
      <c r="BB742" s="129"/>
    </row>
    <row r="743" ht="15.75" customHeight="1">
      <c r="A743" s="141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30"/>
      <c r="AM743" s="130"/>
      <c r="AN743" s="130"/>
      <c r="AO743" s="130"/>
      <c r="AP743" s="130"/>
      <c r="AQ743" s="130"/>
      <c r="AR743" s="130"/>
      <c r="AS743" s="130"/>
      <c r="AT743" s="130"/>
      <c r="AU743" s="130"/>
      <c r="AV743" s="129"/>
      <c r="AW743" s="129"/>
      <c r="AX743" s="129"/>
      <c r="AY743" s="129"/>
      <c r="AZ743" s="129"/>
      <c r="BA743" s="129"/>
      <c r="BB743" s="129"/>
    </row>
    <row r="744" ht="15.75" customHeight="1">
      <c r="A744" s="141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30"/>
      <c r="AM744" s="130"/>
      <c r="AN744" s="130"/>
      <c r="AO744" s="130"/>
      <c r="AP744" s="130"/>
      <c r="AQ744" s="130"/>
      <c r="AR744" s="130"/>
      <c r="AS744" s="130"/>
      <c r="AT744" s="130"/>
      <c r="AU744" s="130"/>
      <c r="AV744" s="129"/>
      <c r="AW744" s="129"/>
      <c r="AX744" s="129"/>
      <c r="AY744" s="129"/>
      <c r="AZ744" s="129"/>
      <c r="BA744" s="129"/>
      <c r="BB744" s="129"/>
    </row>
    <row r="745" ht="15.75" customHeight="1">
      <c r="A745" s="141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30"/>
      <c r="AM745" s="130"/>
      <c r="AN745" s="130"/>
      <c r="AO745" s="130"/>
      <c r="AP745" s="130"/>
      <c r="AQ745" s="130"/>
      <c r="AR745" s="130"/>
      <c r="AS745" s="130"/>
      <c r="AT745" s="130"/>
      <c r="AU745" s="130"/>
      <c r="AV745" s="129"/>
      <c r="AW745" s="129"/>
      <c r="AX745" s="129"/>
      <c r="AY745" s="129"/>
      <c r="AZ745" s="129"/>
      <c r="BA745" s="129"/>
      <c r="BB745" s="129"/>
    </row>
    <row r="746" ht="15.75" customHeight="1">
      <c r="A746" s="141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30"/>
      <c r="AM746" s="130"/>
      <c r="AN746" s="130"/>
      <c r="AO746" s="130"/>
      <c r="AP746" s="130"/>
      <c r="AQ746" s="130"/>
      <c r="AR746" s="130"/>
      <c r="AS746" s="130"/>
      <c r="AT746" s="130"/>
      <c r="AU746" s="130"/>
      <c r="AV746" s="129"/>
      <c r="AW746" s="129"/>
      <c r="AX746" s="129"/>
      <c r="AY746" s="129"/>
      <c r="AZ746" s="129"/>
      <c r="BA746" s="129"/>
      <c r="BB746" s="129"/>
    </row>
    <row r="747" ht="15.75" customHeight="1">
      <c r="A747" s="141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30"/>
      <c r="AM747" s="130"/>
      <c r="AN747" s="130"/>
      <c r="AO747" s="130"/>
      <c r="AP747" s="130"/>
      <c r="AQ747" s="130"/>
      <c r="AR747" s="130"/>
      <c r="AS747" s="130"/>
      <c r="AT747" s="130"/>
      <c r="AU747" s="130"/>
      <c r="AV747" s="129"/>
      <c r="AW747" s="129"/>
      <c r="AX747" s="129"/>
      <c r="AY747" s="129"/>
      <c r="AZ747" s="129"/>
      <c r="BA747" s="129"/>
      <c r="BB747" s="129"/>
    </row>
    <row r="748" ht="15.75" customHeight="1">
      <c r="A748" s="141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30"/>
      <c r="AM748" s="130"/>
      <c r="AN748" s="130"/>
      <c r="AO748" s="130"/>
      <c r="AP748" s="130"/>
      <c r="AQ748" s="130"/>
      <c r="AR748" s="130"/>
      <c r="AS748" s="130"/>
      <c r="AT748" s="130"/>
      <c r="AU748" s="130"/>
      <c r="AV748" s="129"/>
      <c r="AW748" s="129"/>
      <c r="AX748" s="129"/>
      <c r="AY748" s="129"/>
      <c r="AZ748" s="129"/>
      <c r="BA748" s="129"/>
      <c r="BB748" s="129"/>
    </row>
    <row r="749" ht="15.75" customHeight="1">
      <c r="A749" s="141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30"/>
      <c r="AM749" s="130"/>
      <c r="AN749" s="130"/>
      <c r="AO749" s="130"/>
      <c r="AP749" s="130"/>
      <c r="AQ749" s="130"/>
      <c r="AR749" s="130"/>
      <c r="AS749" s="130"/>
      <c r="AT749" s="130"/>
      <c r="AU749" s="130"/>
      <c r="AV749" s="129"/>
      <c r="AW749" s="129"/>
      <c r="AX749" s="129"/>
      <c r="AY749" s="129"/>
      <c r="AZ749" s="129"/>
      <c r="BA749" s="129"/>
      <c r="BB749" s="129"/>
    </row>
    <row r="750" ht="15.75" customHeight="1">
      <c r="A750" s="141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30"/>
      <c r="AM750" s="130"/>
      <c r="AN750" s="130"/>
      <c r="AO750" s="130"/>
      <c r="AP750" s="130"/>
      <c r="AQ750" s="130"/>
      <c r="AR750" s="130"/>
      <c r="AS750" s="130"/>
      <c r="AT750" s="130"/>
      <c r="AU750" s="130"/>
      <c r="AV750" s="129"/>
      <c r="AW750" s="129"/>
      <c r="AX750" s="129"/>
      <c r="AY750" s="129"/>
      <c r="AZ750" s="129"/>
      <c r="BA750" s="129"/>
      <c r="BB750" s="129"/>
    </row>
    <row r="751" ht="15.75" customHeight="1">
      <c r="A751" s="141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30"/>
      <c r="AM751" s="130"/>
      <c r="AN751" s="130"/>
      <c r="AO751" s="130"/>
      <c r="AP751" s="130"/>
      <c r="AQ751" s="130"/>
      <c r="AR751" s="130"/>
      <c r="AS751" s="130"/>
      <c r="AT751" s="130"/>
      <c r="AU751" s="130"/>
      <c r="AV751" s="129"/>
      <c r="AW751" s="129"/>
      <c r="AX751" s="129"/>
      <c r="AY751" s="129"/>
      <c r="AZ751" s="129"/>
      <c r="BA751" s="129"/>
      <c r="BB751" s="129"/>
    </row>
    <row r="752" ht="15.75" customHeight="1">
      <c r="A752" s="141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30"/>
      <c r="AM752" s="130"/>
      <c r="AN752" s="130"/>
      <c r="AO752" s="130"/>
      <c r="AP752" s="130"/>
      <c r="AQ752" s="130"/>
      <c r="AR752" s="130"/>
      <c r="AS752" s="130"/>
      <c r="AT752" s="130"/>
      <c r="AU752" s="130"/>
      <c r="AV752" s="129"/>
      <c r="AW752" s="129"/>
      <c r="AX752" s="129"/>
      <c r="AY752" s="129"/>
      <c r="AZ752" s="129"/>
      <c r="BA752" s="129"/>
      <c r="BB752" s="129"/>
    </row>
    <row r="753" ht="15.75" customHeight="1">
      <c r="A753" s="141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30"/>
      <c r="AM753" s="130"/>
      <c r="AN753" s="130"/>
      <c r="AO753" s="130"/>
      <c r="AP753" s="130"/>
      <c r="AQ753" s="130"/>
      <c r="AR753" s="130"/>
      <c r="AS753" s="130"/>
      <c r="AT753" s="130"/>
      <c r="AU753" s="130"/>
      <c r="AV753" s="129"/>
      <c r="AW753" s="129"/>
      <c r="AX753" s="129"/>
      <c r="AY753" s="129"/>
      <c r="AZ753" s="129"/>
      <c r="BA753" s="129"/>
      <c r="BB753" s="129"/>
    </row>
    <row r="754" ht="15.75" customHeight="1">
      <c r="A754" s="141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30"/>
      <c r="AM754" s="130"/>
      <c r="AN754" s="130"/>
      <c r="AO754" s="130"/>
      <c r="AP754" s="130"/>
      <c r="AQ754" s="130"/>
      <c r="AR754" s="130"/>
      <c r="AS754" s="130"/>
      <c r="AT754" s="130"/>
      <c r="AU754" s="130"/>
      <c r="AV754" s="129"/>
      <c r="AW754" s="129"/>
      <c r="AX754" s="129"/>
      <c r="AY754" s="129"/>
      <c r="AZ754" s="129"/>
      <c r="BA754" s="129"/>
      <c r="BB754" s="129"/>
    </row>
    <row r="755" ht="15.75" customHeight="1">
      <c r="A755" s="141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30"/>
      <c r="AM755" s="130"/>
      <c r="AN755" s="130"/>
      <c r="AO755" s="130"/>
      <c r="AP755" s="130"/>
      <c r="AQ755" s="130"/>
      <c r="AR755" s="130"/>
      <c r="AS755" s="130"/>
      <c r="AT755" s="130"/>
      <c r="AU755" s="130"/>
      <c r="AV755" s="129"/>
      <c r="AW755" s="129"/>
      <c r="AX755" s="129"/>
      <c r="AY755" s="129"/>
      <c r="AZ755" s="129"/>
      <c r="BA755" s="129"/>
      <c r="BB755" s="129"/>
    </row>
    <row r="756" ht="15.75" customHeight="1">
      <c r="A756" s="141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30"/>
      <c r="AM756" s="130"/>
      <c r="AN756" s="130"/>
      <c r="AO756" s="130"/>
      <c r="AP756" s="130"/>
      <c r="AQ756" s="130"/>
      <c r="AR756" s="130"/>
      <c r="AS756" s="130"/>
      <c r="AT756" s="130"/>
      <c r="AU756" s="130"/>
      <c r="AV756" s="129"/>
      <c r="AW756" s="129"/>
      <c r="AX756" s="129"/>
      <c r="AY756" s="129"/>
      <c r="AZ756" s="129"/>
      <c r="BA756" s="129"/>
      <c r="BB756" s="129"/>
    </row>
    <row r="757" ht="15.75" customHeight="1">
      <c r="A757" s="141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30"/>
      <c r="AM757" s="130"/>
      <c r="AN757" s="130"/>
      <c r="AO757" s="130"/>
      <c r="AP757" s="130"/>
      <c r="AQ757" s="130"/>
      <c r="AR757" s="130"/>
      <c r="AS757" s="130"/>
      <c r="AT757" s="130"/>
      <c r="AU757" s="130"/>
      <c r="AV757" s="129"/>
      <c r="AW757" s="129"/>
      <c r="AX757" s="129"/>
      <c r="AY757" s="129"/>
      <c r="AZ757" s="129"/>
      <c r="BA757" s="129"/>
      <c r="BB757" s="129"/>
    </row>
    <row r="758" ht="15.75" customHeight="1">
      <c r="A758" s="141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30"/>
      <c r="AM758" s="130"/>
      <c r="AN758" s="130"/>
      <c r="AO758" s="130"/>
      <c r="AP758" s="130"/>
      <c r="AQ758" s="130"/>
      <c r="AR758" s="130"/>
      <c r="AS758" s="130"/>
      <c r="AT758" s="130"/>
      <c r="AU758" s="130"/>
      <c r="AV758" s="129"/>
      <c r="AW758" s="129"/>
      <c r="AX758" s="129"/>
      <c r="AY758" s="129"/>
      <c r="AZ758" s="129"/>
      <c r="BA758" s="129"/>
      <c r="BB758" s="129"/>
    </row>
    <row r="759" ht="15.75" customHeight="1">
      <c r="A759" s="141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30"/>
      <c r="AM759" s="130"/>
      <c r="AN759" s="130"/>
      <c r="AO759" s="130"/>
      <c r="AP759" s="130"/>
      <c r="AQ759" s="130"/>
      <c r="AR759" s="130"/>
      <c r="AS759" s="130"/>
      <c r="AT759" s="130"/>
      <c r="AU759" s="130"/>
      <c r="AV759" s="129"/>
      <c r="AW759" s="129"/>
      <c r="AX759" s="129"/>
      <c r="AY759" s="129"/>
      <c r="AZ759" s="129"/>
      <c r="BA759" s="129"/>
      <c r="BB759" s="129"/>
    </row>
    <row r="760" ht="15.75" customHeight="1">
      <c r="A760" s="141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30"/>
      <c r="AM760" s="130"/>
      <c r="AN760" s="130"/>
      <c r="AO760" s="130"/>
      <c r="AP760" s="130"/>
      <c r="AQ760" s="130"/>
      <c r="AR760" s="130"/>
      <c r="AS760" s="130"/>
      <c r="AT760" s="130"/>
      <c r="AU760" s="130"/>
      <c r="AV760" s="129"/>
      <c r="AW760" s="129"/>
      <c r="AX760" s="129"/>
      <c r="AY760" s="129"/>
      <c r="AZ760" s="129"/>
      <c r="BA760" s="129"/>
      <c r="BB760" s="129"/>
    </row>
    <row r="761" ht="15.75" customHeight="1">
      <c r="A761" s="141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30"/>
      <c r="AM761" s="130"/>
      <c r="AN761" s="130"/>
      <c r="AO761" s="130"/>
      <c r="AP761" s="130"/>
      <c r="AQ761" s="130"/>
      <c r="AR761" s="130"/>
      <c r="AS761" s="130"/>
      <c r="AT761" s="130"/>
      <c r="AU761" s="130"/>
      <c r="AV761" s="129"/>
      <c r="AW761" s="129"/>
      <c r="AX761" s="129"/>
      <c r="AY761" s="129"/>
      <c r="AZ761" s="129"/>
      <c r="BA761" s="129"/>
      <c r="BB761" s="129"/>
    </row>
    <row r="762" ht="15.75" customHeight="1">
      <c r="A762" s="141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30"/>
      <c r="AM762" s="130"/>
      <c r="AN762" s="130"/>
      <c r="AO762" s="130"/>
      <c r="AP762" s="130"/>
      <c r="AQ762" s="130"/>
      <c r="AR762" s="130"/>
      <c r="AS762" s="130"/>
      <c r="AT762" s="130"/>
      <c r="AU762" s="130"/>
      <c r="AV762" s="129"/>
      <c r="AW762" s="129"/>
      <c r="AX762" s="129"/>
      <c r="AY762" s="129"/>
      <c r="AZ762" s="129"/>
      <c r="BA762" s="129"/>
      <c r="BB762" s="129"/>
    </row>
    <row r="763" ht="15.75" customHeight="1">
      <c r="A763" s="141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30"/>
      <c r="AM763" s="130"/>
      <c r="AN763" s="130"/>
      <c r="AO763" s="130"/>
      <c r="AP763" s="130"/>
      <c r="AQ763" s="130"/>
      <c r="AR763" s="130"/>
      <c r="AS763" s="130"/>
      <c r="AT763" s="130"/>
      <c r="AU763" s="130"/>
      <c r="AV763" s="129"/>
      <c r="AW763" s="129"/>
      <c r="AX763" s="129"/>
      <c r="AY763" s="129"/>
      <c r="AZ763" s="129"/>
      <c r="BA763" s="129"/>
      <c r="BB763" s="129"/>
    </row>
    <row r="764" ht="15.75" customHeight="1">
      <c r="A764" s="141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30"/>
      <c r="AM764" s="130"/>
      <c r="AN764" s="130"/>
      <c r="AO764" s="130"/>
      <c r="AP764" s="130"/>
      <c r="AQ764" s="130"/>
      <c r="AR764" s="130"/>
      <c r="AS764" s="130"/>
      <c r="AT764" s="130"/>
      <c r="AU764" s="130"/>
      <c r="AV764" s="129"/>
      <c r="AW764" s="129"/>
      <c r="AX764" s="129"/>
      <c r="AY764" s="129"/>
      <c r="AZ764" s="129"/>
      <c r="BA764" s="129"/>
      <c r="BB764" s="129"/>
    </row>
    <row r="765" ht="15.75" customHeight="1">
      <c r="A765" s="141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30"/>
      <c r="AM765" s="130"/>
      <c r="AN765" s="130"/>
      <c r="AO765" s="130"/>
      <c r="AP765" s="130"/>
      <c r="AQ765" s="130"/>
      <c r="AR765" s="130"/>
      <c r="AS765" s="130"/>
      <c r="AT765" s="130"/>
      <c r="AU765" s="130"/>
      <c r="AV765" s="129"/>
      <c r="AW765" s="129"/>
      <c r="AX765" s="129"/>
      <c r="AY765" s="129"/>
      <c r="AZ765" s="129"/>
      <c r="BA765" s="129"/>
      <c r="BB765" s="129"/>
    </row>
    <row r="766" ht="15.75" customHeight="1">
      <c r="A766" s="141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30"/>
      <c r="AM766" s="130"/>
      <c r="AN766" s="130"/>
      <c r="AO766" s="130"/>
      <c r="AP766" s="130"/>
      <c r="AQ766" s="130"/>
      <c r="AR766" s="130"/>
      <c r="AS766" s="130"/>
      <c r="AT766" s="130"/>
      <c r="AU766" s="130"/>
      <c r="AV766" s="129"/>
      <c r="AW766" s="129"/>
      <c r="AX766" s="129"/>
      <c r="AY766" s="129"/>
      <c r="AZ766" s="129"/>
      <c r="BA766" s="129"/>
      <c r="BB766" s="129"/>
    </row>
    <row r="767" ht="15.75" customHeight="1">
      <c r="A767" s="141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30"/>
      <c r="AM767" s="130"/>
      <c r="AN767" s="130"/>
      <c r="AO767" s="130"/>
      <c r="AP767" s="130"/>
      <c r="AQ767" s="130"/>
      <c r="AR767" s="130"/>
      <c r="AS767" s="130"/>
      <c r="AT767" s="130"/>
      <c r="AU767" s="130"/>
      <c r="AV767" s="129"/>
      <c r="AW767" s="129"/>
      <c r="AX767" s="129"/>
      <c r="AY767" s="129"/>
      <c r="AZ767" s="129"/>
      <c r="BA767" s="129"/>
      <c r="BB767" s="129"/>
    </row>
    <row r="768" ht="15.75" customHeight="1">
      <c r="A768" s="141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30"/>
      <c r="AM768" s="130"/>
      <c r="AN768" s="130"/>
      <c r="AO768" s="130"/>
      <c r="AP768" s="130"/>
      <c r="AQ768" s="130"/>
      <c r="AR768" s="130"/>
      <c r="AS768" s="130"/>
      <c r="AT768" s="130"/>
      <c r="AU768" s="130"/>
      <c r="AV768" s="129"/>
      <c r="AW768" s="129"/>
      <c r="AX768" s="129"/>
      <c r="AY768" s="129"/>
      <c r="AZ768" s="129"/>
      <c r="BA768" s="129"/>
      <c r="BB768" s="129"/>
    </row>
    <row r="769" ht="15.75" customHeight="1">
      <c r="A769" s="141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30"/>
      <c r="AM769" s="130"/>
      <c r="AN769" s="130"/>
      <c r="AO769" s="130"/>
      <c r="AP769" s="130"/>
      <c r="AQ769" s="130"/>
      <c r="AR769" s="130"/>
      <c r="AS769" s="130"/>
      <c r="AT769" s="130"/>
      <c r="AU769" s="130"/>
      <c r="AV769" s="129"/>
      <c r="AW769" s="129"/>
      <c r="AX769" s="129"/>
      <c r="AY769" s="129"/>
      <c r="AZ769" s="129"/>
      <c r="BA769" s="129"/>
      <c r="BB769" s="129"/>
    </row>
    <row r="770" ht="15.75" customHeight="1">
      <c r="A770" s="141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30"/>
      <c r="AM770" s="130"/>
      <c r="AN770" s="130"/>
      <c r="AO770" s="130"/>
      <c r="AP770" s="130"/>
      <c r="AQ770" s="130"/>
      <c r="AR770" s="130"/>
      <c r="AS770" s="130"/>
      <c r="AT770" s="130"/>
      <c r="AU770" s="130"/>
      <c r="AV770" s="129"/>
      <c r="AW770" s="129"/>
      <c r="AX770" s="129"/>
      <c r="AY770" s="129"/>
      <c r="AZ770" s="129"/>
      <c r="BA770" s="129"/>
      <c r="BB770" s="129"/>
    </row>
    <row r="771" ht="15.75" customHeight="1">
      <c r="A771" s="141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30"/>
      <c r="AM771" s="130"/>
      <c r="AN771" s="130"/>
      <c r="AO771" s="130"/>
      <c r="AP771" s="130"/>
      <c r="AQ771" s="130"/>
      <c r="AR771" s="130"/>
      <c r="AS771" s="130"/>
      <c r="AT771" s="130"/>
      <c r="AU771" s="130"/>
      <c r="AV771" s="129"/>
      <c r="AW771" s="129"/>
      <c r="AX771" s="129"/>
      <c r="AY771" s="129"/>
      <c r="AZ771" s="129"/>
      <c r="BA771" s="129"/>
      <c r="BB771" s="129"/>
    </row>
    <row r="772" ht="15.75" customHeight="1">
      <c r="A772" s="141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30"/>
      <c r="AM772" s="130"/>
      <c r="AN772" s="130"/>
      <c r="AO772" s="130"/>
      <c r="AP772" s="130"/>
      <c r="AQ772" s="130"/>
      <c r="AR772" s="130"/>
      <c r="AS772" s="130"/>
      <c r="AT772" s="130"/>
      <c r="AU772" s="130"/>
      <c r="AV772" s="129"/>
      <c r="AW772" s="129"/>
      <c r="AX772" s="129"/>
      <c r="AY772" s="129"/>
      <c r="AZ772" s="129"/>
      <c r="BA772" s="129"/>
      <c r="BB772" s="129"/>
    </row>
    <row r="773" ht="15.75" customHeight="1">
      <c r="A773" s="141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30"/>
      <c r="AM773" s="130"/>
      <c r="AN773" s="130"/>
      <c r="AO773" s="130"/>
      <c r="AP773" s="130"/>
      <c r="AQ773" s="130"/>
      <c r="AR773" s="130"/>
      <c r="AS773" s="130"/>
      <c r="AT773" s="130"/>
      <c r="AU773" s="130"/>
      <c r="AV773" s="129"/>
      <c r="AW773" s="129"/>
      <c r="AX773" s="129"/>
      <c r="AY773" s="129"/>
      <c r="AZ773" s="129"/>
      <c r="BA773" s="129"/>
      <c r="BB773" s="129"/>
    </row>
    <row r="774" ht="15.75" customHeight="1">
      <c r="A774" s="141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30"/>
      <c r="AM774" s="130"/>
      <c r="AN774" s="130"/>
      <c r="AO774" s="130"/>
      <c r="AP774" s="130"/>
      <c r="AQ774" s="130"/>
      <c r="AR774" s="130"/>
      <c r="AS774" s="130"/>
      <c r="AT774" s="130"/>
      <c r="AU774" s="130"/>
      <c r="AV774" s="129"/>
      <c r="AW774" s="129"/>
      <c r="AX774" s="129"/>
      <c r="AY774" s="129"/>
      <c r="AZ774" s="129"/>
      <c r="BA774" s="129"/>
      <c r="BB774" s="129"/>
    </row>
    <row r="775" ht="15.75" customHeight="1">
      <c r="A775" s="141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30"/>
      <c r="AM775" s="130"/>
      <c r="AN775" s="130"/>
      <c r="AO775" s="130"/>
      <c r="AP775" s="130"/>
      <c r="AQ775" s="130"/>
      <c r="AR775" s="130"/>
      <c r="AS775" s="130"/>
      <c r="AT775" s="130"/>
      <c r="AU775" s="130"/>
      <c r="AV775" s="129"/>
      <c r="AW775" s="129"/>
      <c r="AX775" s="129"/>
      <c r="AY775" s="129"/>
      <c r="AZ775" s="129"/>
      <c r="BA775" s="129"/>
      <c r="BB775" s="129"/>
    </row>
    <row r="776" ht="15.75" customHeight="1">
      <c r="A776" s="141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30"/>
      <c r="AM776" s="130"/>
      <c r="AN776" s="130"/>
      <c r="AO776" s="130"/>
      <c r="AP776" s="130"/>
      <c r="AQ776" s="130"/>
      <c r="AR776" s="130"/>
      <c r="AS776" s="130"/>
      <c r="AT776" s="130"/>
      <c r="AU776" s="130"/>
      <c r="AV776" s="129"/>
      <c r="AW776" s="129"/>
      <c r="AX776" s="129"/>
      <c r="AY776" s="129"/>
      <c r="AZ776" s="129"/>
      <c r="BA776" s="129"/>
      <c r="BB776" s="129"/>
    </row>
    <row r="777" ht="15.75" customHeight="1">
      <c r="A777" s="141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30"/>
      <c r="AM777" s="130"/>
      <c r="AN777" s="130"/>
      <c r="AO777" s="130"/>
      <c r="AP777" s="130"/>
      <c r="AQ777" s="130"/>
      <c r="AR777" s="130"/>
      <c r="AS777" s="130"/>
      <c r="AT777" s="130"/>
      <c r="AU777" s="130"/>
      <c r="AV777" s="129"/>
      <c r="AW777" s="129"/>
      <c r="AX777" s="129"/>
      <c r="AY777" s="129"/>
      <c r="AZ777" s="129"/>
      <c r="BA777" s="129"/>
      <c r="BB777" s="129"/>
    </row>
    <row r="778" ht="15.75" customHeight="1">
      <c r="A778" s="141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30"/>
      <c r="AM778" s="130"/>
      <c r="AN778" s="130"/>
      <c r="AO778" s="130"/>
      <c r="AP778" s="130"/>
      <c r="AQ778" s="130"/>
      <c r="AR778" s="130"/>
      <c r="AS778" s="130"/>
      <c r="AT778" s="130"/>
      <c r="AU778" s="130"/>
      <c r="AV778" s="129"/>
      <c r="AW778" s="129"/>
      <c r="AX778" s="129"/>
      <c r="AY778" s="129"/>
      <c r="AZ778" s="129"/>
      <c r="BA778" s="129"/>
      <c r="BB778" s="129"/>
    </row>
    <row r="779" ht="15.75" customHeight="1">
      <c r="A779" s="141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30"/>
      <c r="AM779" s="130"/>
      <c r="AN779" s="130"/>
      <c r="AO779" s="130"/>
      <c r="AP779" s="130"/>
      <c r="AQ779" s="130"/>
      <c r="AR779" s="130"/>
      <c r="AS779" s="130"/>
      <c r="AT779" s="130"/>
      <c r="AU779" s="130"/>
      <c r="AV779" s="129"/>
      <c r="AW779" s="129"/>
      <c r="AX779" s="129"/>
      <c r="AY779" s="129"/>
      <c r="AZ779" s="129"/>
      <c r="BA779" s="129"/>
      <c r="BB779" s="129"/>
    </row>
    <row r="780" ht="15.75" customHeight="1">
      <c r="A780" s="141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30"/>
      <c r="AM780" s="130"/>
      <c r="AN780" s="130"/>
      <c r="AO780" s="130"/>
      <c r="AP780" s="130"/>
      <c r="AQ780" s="130"/>
      <c r="AR780" s="130"/>
      <c r="AS780" s="130"/>
      <c r="AT780" s="130"/>
      <c r="AU780" s="130"/>
      <c r="AV780" s="129"/>
      <c r="AW780" s="129"/>
      <c r="AX780" s="129"/>
      <c r="AY780" s="129"/>
      <c r="AZ780" s="129"/>
      <c r="BA780" s="129"/>
      <c r="BB780" s="129"/>
    </row>
    <row r="781" ht="15.75" customHeight="1">
      <c r="A781" s="141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30"/>
      <c r="AM781" s="130"/>
      <c r="AN781" s="130"/>
      <c r="AO781" s="130"/>
      <c r="AP781" s="130"/>
      <c r="AQ781" s="130"/>
      <c r="AR781" s="130"/>
      <c r="AS781" s="130"/>
      <c r="AT781" s="130"/>
      <c r="AU781" s="130"/>
      <c r="AV781" s="129"/>
      <c r="AW781" s="129"/>
      <c r="AX781" s="129"/>
      <c r="AY781" s="129"/>
      <c r="AZ781" s="129"/>
      <c r="BA781" s="129"/>
      <c r="BB781" s="129"/>
    </row>
    <row r="782" ht="15.75" customHeight="1">
      <c r="A782" s="141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30"/>
      <c r="AM782" s="130"/>
      <c r="AN782" s="130"/>
      <c r="AO782" s="130"/>
      <c r="AP782" s="130"/>
      <c r="AQ782" s="130"/>
      <c r="AR782" s="130"/>
      <c r="AS782" s="130"/>
      <c r="AT782" s="130"/>
      <c r="AU782" s="130"/>
      <c r="AV782" s="129"/>
      <c r="AW782" s="129"/>
      <c r="AX782" s="129"/>
      <c r="AY782" s="129"/>
      <c r="AZ782" s="129"/>
      <c r="BA782" s="129"/>
      <c r="BB782" s="129"/>
    </row>
    <row r="783" ht="15.75" customHeight="1">
      <c r="A783" s="141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30"/>
      <c r="AM783" s="130"/>
      <c r="AN783" s="130"/>
      <c r="AO783" s="130"/>
      <c r="AP783" s="130"/>
      <c r="AQ783" s="130"/>
      <c r="AR783" s="130"/>
      <c r="AS783" s="130"/>
      <c r="AT783" s="130"/>
      <c r="AU783" s="130"/>
      <c r="AV783" s="129"/>
      <c r="AW783" s="129"/>
      <c r="AX783" s="129"/>
      <c r="AY783" s="129"/>
      <c r="AZ783" s="129"/>
      <c r="BA783" s="129"/>
      <c r="BB783" s="129"/>
    </row>
    <row r="784" ht="15.75" customHeight="1">
      <c r="A784" s="141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29"/>
      <c r="AW784" s="129"/>
      <c r="AX784" s="129"/>
      <c r="AY784" s="129"/>
      <c r="AZ784" s="129"/>
      <c r="BA784" s="129"/>
      <c r="BB784" s="129"/>
    </row>
    <row r="785" ht="15.75" customHeight="1">
      <c r="A785" s="141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30"/>
      <c r="AM785" s="130"/>
      <c r="AN785" s="130"/>
      <c r="AO785" s="130"/>
      <c r="AP785" s="130"/>
      <c r="AQ785" s="130"/>
      <c r="AR785" s="130"/>
      <c r="AS785" s="130"/>
      <c r="AT785" s="130"/>
      <c r="AU785" s="130"/>
      <c r="AV785" s="129"/>
      <c r="AW785" s="129"/>
      <c r="AX785" s="129"/>
      <c r="AY785" s="129"/>
      <c r="AZ785" s="129"/>
      <c r="BA785" s="129"/>
      <c r="BB785" s="129"/>
    </row>
    <row r="786" ht="15.75" customHeight="1">
      <c r="A786" s="141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30"/>
      <c r="AM786" s="130"/>
      <c r="AN786" s="130"/>
      <c r="AO786" s="130"/>
      <c r="AP786" s="130"/>
      <c r="AQ786" s="130"/>
      <c r="AR786" s="130"/>
      <c r="AS786" s="130"/>
      <c r="AT786" s="130"/>
      <c r="AU786" s="130"/>
      <c r="AV786" s="129"/>
      <c r="AW786" s="129"/>
      <c r="AX786" s="129"/>
      <c r="AY786" s="129"/>
      <c r="AZ786" s="129"/>
      <c r="BA786" s="129"/>
      <c r="BB786" s="129"/>
    </row>
    <row r="787" ht="15.75" customHeight="1">
      <c r="A787" s="141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30"/>
      <c r="AM787" s="130"/>
      <c r="AN787" s="130"/>
      <c r="AO787" s="130"/>
      <c r="AP787" s="130"/>
      <c r="AQ787" s="130"/>
      <c r="AR787" s="130"/>
      <c r="AS787" s="130"/>
      <c r="AT787" s="130"/>
      <c r="AU787" s="130"/>
      <c r="AV787" s="129"/>
      <c r="AW787" s="129"/>
      <c r="AX787" s="129"/>
      <c r="AY787" s="129"/>
      <c r="AZ787" s="129"/>
      <c r="BA787" s="129"/>
      <c r="BB787" s="129"/>
    </row>
    <row r="788" ht="15.75" customHeight="1">
      <c r="A788" s="141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30"/>
      <c r="AM788" s="130"/>
      <c r="AN788" s="130"/>
      <c r="AO788" s="130"/>
      <c r="AP788" s="130"/>
      <c r="AQ788" s="130"/>
      <c r="AR788" s="130"/>
      <c r="AS788" s="130"/>
      <c r="AT788" s="130"/>
      <c r="AU788" s="130"/>
      <c r="AV788" s="129"/>
      <c r="AW788" s="129"/>
      <c r="AX788" s="129"/>
      <c r="AY788" s="129"/>
      <c r="AZ788" s="129"/>
      <c r="BA788" s="129"/>
      <c r="BB788" s="129"/>
    </row>
    <row r="789" ht="15.75" customHeight="1">
      <c r="A789" s="141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30"/>
      <c r="AM789" s="130"/>
      <c r="AN789" s="130"/>
      <c r="AO789" s="130"/>
      <c r="AP789" s="130"/>
      <c r="AQ789" s="130"/>
      <c r="AR789" s="130"/>
      <c r="AS789" s="130"/>
      <c r="AT789" s="130"/>
      <c r="AU789" s="130"/>
      <c r="AV789" s="129"/>
      <c r="AW789" s="129"/>
      <c r="AX789" s="129"/>
      <c r="AY789" s="129"/>
      <c r="AZ789" s="129"/>
      <c r="BA789" s="129"/>
      <c r="BB789" s="129"/>
    </row>
    <row r="790" ht="15.75" customHeight="1">
      <c r="A790" s="141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30"/>
      <c r="AM790" s="130"/>
      <c r="AN790" s="130"/>
      <c r="AO790" s="130"/>
      <c r="AP790" s="130"/>
      <c r="AQ790" s="130"/>
      <c r="AR790" s="130"/>
      <c r="AS790" s="130"/>
      <c r="AT790" s="130"/>
      <c r="AU790" s="130"/>
      <c r="AV790" s="129"/>
      <c r="AW790" s="129"/>
      <c r="AX790" s="129"/>
      <c r="AY790" s="129"/>
      <c r="AZ790" s="129"/>
      <c r="BA790" s="129"/>
      <c r="BB790" s="129"/>
    </row>
    <row r="791" ht="15.75" customHeight="1">
      <c r="A791" s="141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30"/>
      <c r="AM791" s="130"/>
      <c r="AN791" s="130"/>
      <c r="AO791" s="130"/>
      <c r="AP791" s="130"/>
      <c r="AQ791" s="130"/>
      <c r="AR791" s="130"/>
      <c r="AS791" s="130"/>
      <c r="AT791" s="130"/>
      <c r="AU791" s="130"/>
      <c r="AV791" s="129"/>
      <c r="AW791" s="129"/>
      <c r="AX791" s="129"/>
      <c r="AY791" s="129"/>
      <c r="AZ791" s="129"/>
      <c r="BA791" s="129"/>
      <c r="BB791" s="129"/>
    </row>
    <row r="792" ht="15.75" customHeight="1">
      <c r="A792" s="141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30"/>
      <c r="AM792" s="130"/>
      <c r="AN792" s="130"/>
      <c r="AO792" s="130"/>
      <c r="AP792" s="130"/>
      <c r="AQ792" s="130"/>
      <c r="AR792" s="130"/>
      <c r="AS792" s="130"/>
      <c r="AT792" s="130"/>
      <c r="AU792" s="130"/>
      <c r="AV792" s="129"/>
      <c r="AW792" s="129"/>
      <c r="AX792" s="129"/>
      <c r="AY792" s="129"/>
      <c r="AZ792" s="129"/>
      <c r="BA792" s="129"/>
      <c r="BB792" s="129"/>
    </row>
    <row r="793" ht="15.75" customHeight="1">
      <c r="A793" s="141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30"/>
      <c r="AM793" s="130"/>
      <c r="AN793" s="130"/>
      <c r="AO793" s="130"/>
      <c r="AP793" s="130"/>
      <c r="AQ793" s="130"/>
      <c r="AR793" s="130"/>
      <c r="AS793" s="130"/>
      <c r="AT793" s="130"/>
      <c r="AU793" s="130"/>
      <c r="AV793" s="129"/>
      <c r="AW793" s="129"/>
      <c r="AX793" s="129"/>
      <c r="AY793" s="129"/>
      <c r="AZ793" s="129"/>
      <c r="BA793" s="129"/>
      <c r="BB793" s="129"/>
    </row>
    <row r="794" ht="15.75" customHeight="1">
      <c r="A794" s="141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30"/>
      <c r="AM794" s="130"/>
      <c r="AN794" s="130"/>
      <c r="AO794" s="130"/>
      <c r="AP794" s="130"/>
      <c r="AQ794" s="130"/>
      <c r="AR794" s="130"/>
      <c r="AS794" s="130"/>
      <c r="AT794" s="130"/>
      <c r="AU794" s="130"/>
      <c r="AV794" s="129"/>
      <c r="AW794" s="129"/>
      <c r="AX794" s="129"/>
      <c r="AY794" s="129"/>
      <c r="AZ794" s="129"/>
      <c r="BA794" s="129"/>
      <c r="BB794" s="129"/>
    </row>
    <row r="795" ht="15.75" customHeight="1">
      <c r="A795" s="141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30"/>
      <c r="AM795" s="130"/>
      <c r="AN795" s="130"/>
      <c r="AO795" s="130"/>
      <c r="AP795" s="130"/>
      <c r="AQ795" s="130"/>
      <c r="AR795" s="130"/>
      <c r="AS795" s="130"/>
      <c r="AT795" s="130"/>
      <c r="AU795" s="130"/>
      <c r="AV795" s="129"/>
      <c r="AW795" s="129"/>
      <c r="AX795" s="129"/>
      <c r="AY795" s="129"/>
      <c r="AZ795" s="129"/>
      <c r="BA795" s="129"/>
      <c r="BB795" s="129"/>
    </row>
    <row r="796" ht="15.75" customHeight="1">
      <c r="A796" s="141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30"/>
      <c r="AM796" s="130"/>
      <c r="AN796" s="130"/>
      <c r="AO796" s="130"/>
      <c r="AP796" s="130"/>
      <c r="AQ796" s="130"/>
      <c r="AR796" s="130"/>
      <c r="AS796" s="130"/>
      <c r="AT796" s="130"/>
      <c r="AU796" s="130"/>
      <c r="AV796" s="129"/>
      <c r="AW796" s="129"/>
      <c r="AX796" s="129"/>
      <c r="AY796" s="129"/>
      <c r="AZ796" s="129"/>
      <c r="BA796" s="129"/>
      <c r="BB796" s="129"/>
    </row>
    <row r="797" ht="15.75" customHeight="1">
      <c r="A797" s="141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30"/>
      <c r="AM797" s="130"/>
      <c r="AN797" s="130"/>
      <c r="AO797" s="130"/>
      <c r="AP797" s="130"/>
      <c r="AQ797" s="130"/>
      <c r="AR797" s="130"/>
      <c r="AS797" s="130"/>
      <c r="AT797" s="130"/>
      <c r="AU797" s="130"/>
      <c r="AV797" s="129"/>
      <c r="AW797" s="129"/>
      <c r="AX797" s="129"/>
      <c r="AY797" s="129"/>
      <c r="AZ797" s="129"/>
      <c r="BA797" s="129"/>
      <c r="BB797" s="129"/>
    </row>
    <row r="798" ht="15.75" customHeight="1">
      <c r="A798" s="141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30"/>
      <c r="AM798" s="130"/>
      <c r="AN798" s="130"/>
      <c r="AO798" s="130"/>
      <c r="AP798" s="130"/>
      <c r="AQ798" s="130"/>
      <c r="AR798" s="130"/>
      <c r="AS798" s="130"/>
      <c r="AT798" s="130"/>
      <c r="AU798" s="130"/>
      <c r="AV798" s="129"/>
      <c r="AW798" s="129"/>
      <c r="AX798" s="129"/>
      <c r="AY798" s="129"/>
      <c r="AZ798" s="129"/>
      <c r="BA798" s="129"/>
      <c r="BB798" s="129"/>
    </row>
    <row r="799" ht="15.75" customHeight="1">
      <c r="A799" s="141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30"/>
      <c r="AM799" s="130"/>
      <c r="AN799" s="130"/>
      <c r="AO799" s="130"/>
      <c r="AP799" s="130"/>
      <c r="AQ799" s="130"/>
      <c r="AR799" s="130"/>
      <c r="AS799" s="130"/>
      <c r="AT799" s="130"/>
      <c r="AU799" s="130"/>
      <c r="AV799" s="129"/>
      <c r="AW799" s="129"/>
      <c r="AX799" s="129"/>
      <c r="AY799" s="129"/>
      <c r="AZ799" s="129"/>
      <c r="BA799" s="129"/>
      <c r="BB799" s="129"/>
    </row>
    <row r="800" ht="15.75" customHeight="1">
      <c r="A800" s="141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30"/>
      <c r="AM800" s="130"/>
      <c r="AN800" s="130"/>
      <c r="AO800" s="130"/>
      <c r="AP800" s="130"/>
      <c r="AQ800" s="130"/>
      <c r="AR800" s="130"/>
      <c r="AS800" s="130"/>
      <c r="AT800" s="130"/>
      <c r="AU800" s="130"/>
      <c r="AV800" s="129"/>
      <c r="AW800" s="129"/>
      <c r="AX800" s="129"/>
      <c r="AY800" s="129"/>
      <c r="AZ800" s="129"/>
      <c r="BA800" s="129"/>
      <c r="BB800" s="129"/>
    </row>
    <row r="801" ht="15.75" customHeight="1">
      <c r="A801" s="141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30"/>
      <c r="AM801" s="130"/>
      <c r="AN801" s="130"/>
      <c r="AO801" s="130"/>
      <c r="AP801" s="130"/>
      <c r="AQ801" s="130"/>
      <c r="AR801" s="130"/>
      <c r="AS801" s="130"/>
      <c r="AT801" s="130"/>
      <c r="AU801" s="130"/>
      <c r="AV801" s="129"/>
      <c r="AW801" s="129"/>
      <c r="AX801" s="129"/>
      <c r="AY801" s="129"/>
      <c r="AZ801" s="129"/>
      <c r="BA801" s="129"/>
      <c r="BB801" s="129"/>
    </row>
    <row r="802" ht="15.75" customHeight="1">
      <c r="A802" s="141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30"/>
      <c r="AM802" s="130"/>
      <c r="AN802" s="130"/>
      <c r="AO802" s="130"/>
      <c r="AP802" s="130"/>
      <c r="AQ802" s="130"/>
      <c r="AR802" s="130"/>
      <c r="AS802" s="130"/>
      <c r="AT802" s="130"/>
      <c r="AU802" s="130"/>
      <c r="AV802" s="129"/>
      <c r="AW802" s="129"/>
      <c r="AX802" s="129"/>
      <c r="AY802" s="129"/>
      <c r="AZ802" s="129"/>
      <c r="BA802" s="129"/>
      <c r="BB802" s="129"/>
    </row>
    <row r="803" ht="15.75" customHeight="1">
      <c r="A803" s="141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30"/>
      <c r="AM803" s="130"/>
      <c r="AN803" s="130"/>
      <c r="AO803" s="130"/>
      <c r="AP803" s="130"/>
      <c r="AQ803" s="130"/>
      <c r="AR803" s="130"/>
      <c r="AS803" s="130"/>
      <c r="AT803" s="130"/>
      <c r="AU803" s="130"/>
      <c r="AV803" s="129"/>
      <c r="AW803" s="129"/>
      <c r="AX803" s="129"/>
      <c r="AY803" s="129"/>
      <c r="AZ803" s="129"/>
      <c r="BA803" s="129"/>
      <c r="BB803" s="129"/>
    </row>
    <row r="804" ht="15.75" customHeight="1">
      <c r="A804" s="141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30"/>
      <c r="AM804" s="130"/>
      <c r="AN804" s="130"/>
      <c r="AO804" s="130"/>
      <c r="AP804" s="130"/>
      <c r="AQ804" s="130"/>
      <c r="AR804" s="130"/>
      <c r="AS804" s="130"/>
      <c r="AT804" s="130"/>
      <c r="AU804" s="130"/>
      <c r="AV804" s="129"/>
      <c r="AW804" s="129"/>
      <c r="AX804" s="129"/>
      <c r="AY804" s="129"/>
      <c r="AZ804" s="129"/>
      <c r="BA804" s="129"/>
      <c r="BB804" s="129"/>
    </row>
    <row r="805" ht="15.75" customHeight="1">
      <c r="A805" s="141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30"/>
      <c r="AM805" s="130"/>
      <c r="AN805" s="130"/>
      <c r="AO805" s="130"/>
      <c r="AP805" s="130"/>
      <c r="AQ805" s="130"/>
      <c r="AR805" s="130"/>
      <c r="AS805" s="130"/>
      <c r="AT805" s="130"/>
      <c r="AU805" s="130"/>
      <c r="AV805" s="129"/>
      <c r="AW805" s="129"/>
      <c r="AX805" s="129"/>
      <c r="AY805" s="129"/>
      <c r="AZ805" s="129"/>
      <c r="BA805" s="129"/>
      <c r="BB805" s="129"/>
    </row>
    <row r="806" ht="15.75" customHeight="1">
      <c r="A806" s="141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30"/>
      <c r="AM806" s="130"/>
      <c r="AN806" s="130"/>
      <c r="AO806" s="130"/>
      <c r="AP806" s="130"/>
      <c r="AQ806" s="130"/>
      <c r="AR806" s="130"/>
      <c r="AS806" s="130"/>
      <c r="AT806" s="130"/>
      <c r="AU806" s="130"/>
      <c r="AV806" s="129"/>
      <c r="AW806" s="129"/>
      <c r="AX806" s="129"/>
      <c r="AY806" s="129"/>
      <c r="AZ806" s="129"/>
      <c r="BA806" s="129"/>
      <c r="BB806" s="129"/>
    </row>
    <row r="807" ht="15.75" customHeight="1">
      <c r="A807" s="141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30"/>
      <c r="AM807" s="130"/>
      <c r="AN807" s="130"/>
      <c r="AO807" s="130"/>
      <c r="AP807" s="130"/>
      <c r="AQ807" s="130"/>
      <c r="AR807" s="130"/>
      <c r="AS807" s="130"/>
      <c r="AT807" s="130"/>
      <c r="AU807" s="130"/>
      <c r="AV807" s="129"/>
      <c r="AW807" s="129"/>
      <c r="AX807" s="129"/>
      <c r="AY807" s="129"/>
      <c r="AZ807" s="129"/>
      <c r="BA807" s="129"/>
      <c r="BB807" s="129"/>
    </row>
    <row r="808" ht="15.75" customHeight="1">
      <c r="A808" s="141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30"/>
      <c r="AM808" s="130"/>
      <c r="AN808" s="130"/>
      <c r="AO808" s="130"/>
      <c r="AP808" s="130"/>
      <c r="AQ808" s="130"/>
      <c r="AR808" s="130"/>
      <c r="AS808" s="130"/>
      <c r="AT808" s="130"/>
      <c r="AU808" s="130"/>
      <c r="AV808" s="129"/>
      <c r="AW808" s="129"/>
      <c r="AX808" s="129"/>
      <c r="AY808" s="129"/>
      <c r="AZ808" s="129"/>
      <c r="BA808" s="129"/>
      <c r="BB808" s="129"/>
    </row>
    <row r="809" ht="15.75" customHeight="1">
      <c r="A809" s="141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30"/>
      <c r="AM809" s="130"/>
      <c r="AN809" s="130"/>
      <c r="AO809" s="130"/>
      <c r="AP809" s="130"/>
      <c r="AQ809" s="130"/>
      <c r="AR809" s="130"/>
      <c r="AS809" s="130"/>
      <c r="AT809" s="130"/>
      <c r="AU809" s="130"/>
      <c r="AV809" s="129"/>
      <c r="AW809" s="129"/>
      <c r="AX809" s="129"/>
      <c r="AY809" s="129"/>
      <c r="AZ809" s="129"/>
      <c r="BA809" s="129"/>
      <c r="BB809" s="129"/>
    </row>
    <row r="810" ht="15.75" customHeight="1">
      <c r="A810" s="141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30"/>
      <c r="AM810" s="130"/>
      <c r="AN810" s="130"/>
      <c r="AO810" s="130"/>
      <c r="AP810" s="130"/>
      <c r="AQ810" s="130"/>
      <c r="AR810" s="130"/>
      <c r="AS810" s="130"/>
      <c r="AT810" s="130"/>
      <c r="AU810" s="130"/>
      <c r="AV810" s="129"/>
      <c r="AW810" s="129"/>
      <c r="AX810" s="129"/>
      <c r="AY810" s="129"/>
      <c r="AZ810" s="129"/>
      <c r="BA810" s="129"/>
      <c r="BB810" s="129"/>
    </row>
    <row r="811" ht="15.75" customHeight="1">
      <c r="A811" s="141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30"/>
      <c r="AM811" s="130"/>
      <c r="AN811" s="130"/>
      <c r="AO811" s="130"/>
      <c r="AP811" s="130"/>
      <c r="AQ811" s="130"/>
      <c r="AR811" s="130"/>
      <c r="AS811" s="130"/>
      <c r="AT811" s="130"/>
      <c r="AU811" s="130"/>
      <c r="AV811" s="129"/>
      <c r="AW811" s="129"/>
      <c r="AX811" s="129"/>
      <c r="AY811" s="129"/>
      <c r="AZ811" s="129"/>
      <c r="BA811" s="129"/>
      <c r="BB811" s="129"/>
    </row>
    <row r="812" ht="15.75" customHeight="1">
      <c r="A812" s="141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30"/>
      <c r="AM812" s="130"/>
      <c r="AN812" s="130"/>
      <c r="AO812" s="130"/>
      <c r="AP812" s="130"/>
      <c r="AQ812" s="130"/>
      <c r="AR812" s="130"/>
      <c r="AS812" s="130"/>
      <c r="AT812" s="130"/>
      <c r="AU812" s="130"/>
      <c r="AV812" s="129"/>
      <c r="AW812" s="129"/>
      <c r="AX812" s="129"/>
      <c r="AY812" s="129"/>
      <c r="AZ812" s="129"/>
      <c r="BA812" s="129"/>
      <c r="BB812" s="129"/>
    </row>
    <row r="813" ht="15.75" customHeight="1">
      <c r="A813" s="141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30"/>
      <c r="AM813" s="130"/>
      <c r="AN813" s="130"/>
      <c r="AO813" s="130"/>
      <c r="AP813" s="130"/>
      <c r="AQ813" s="130"/>
      <c r="AR813" s="130"/>
      <c r="AS813" s="130"/>
      <c r="AT813" s="130"/>
      <c r="AU813" s="130"/>
      <c r="AV813" s="129"/>
      <c r="AW813" s="129"/>
      <c r="AX813" s="129"/>
      <c r="AY813" s="129"/>
      <c r="AZ813" s="129"/>
      <c r="BA813" s="129"/>
      <c r="BB813" s="129"/>
    </row>
    <row r="814" ht="15.75" customHeight="1">
      <c r="A814" s="141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30"/>
      <c r="AM814" s="130"/>
      <c r="AN814" s="130"/>
      <c r="AO814" s="130"/>
      <c r="AP814" s="130"/>
      <c r="AQ814" s="130"/>
      <c r="AR814" s="130"/>
      <c r="AS814" s="130"/>
      <c r="AT814" s="130"/>
      <c r="AU814" s="130"/>
      <c r="AV814" s="129"/>
      <c r="AW814" s="129"/>
      <c r="AX814" s="129"/>
      <c r="AY814" s="129"/>
      <c r="AZ814" s="129"/>
      <c r="BA814" s="129"/>
      <c r="BB814" s="129"/>
    </row>
    <row r="815" ht="15.75" customHeight="1">
      <c r="A815" s="141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30"/>
      <c r="AM815" s="130"/>
      <c r="AN815" s="130"/>
      <c r="AO815" s="130"/>
      <c r="AP815" s="130"/>
      <c r="AQ815" s="130"/>
      <c r="AR815" s="130"/>
      <c r="AS815" s="130"/>
      <c r="AT815" s="130"/>
      <c r="AU815" s="130"/>
      <c r="AV815" s="129"/>
      <c r="AW815" s="129"/>
      <c r="AX815" s="129"/>
      <c r="AY815" s="129"/>
      <c r="AZ815" s="129"/>
      <c r="BA815" s="129"/>
      <c r="BB815" s="129"/>
    </row>
    <row r="816" ht="15.75" customHeight="1">
      <c r="A816" s="141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30"/>
      <c r="AM816" s="130"/>
      <c r="AN816" s="130"/>
      <c r="AO816" s="130"/>
      <c r="AP816" s="130"/>
      <c r="AQ816" s="130"/>
      <c r="AR816" s="130"/>
      <c r="AS816" s="130"/>
      <c r="AT816" s="130"/>
      <c r="AU816" s="130"/>
      <c r="AV816" s="129"/>
      <c r="AW816" s="129"/>
      <c r="AX816" s="129"/>
      <c r="AY816" s="129"/>
      <c r="AZ816" s="129"/>
      <c r="BA816" s="129"/>
      <c r="BB816" s="129"/>
    </row>
    <row r="817" ht="15.75" customHeight="1">
      <c r="A817" s="141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30"/>
      <c r="AM817" s="130"/>
      <c r="AN817" s="130"/>
      <c r="AO817" s="130"/>
      <c r="AP817" s="130"/>
      <c r="AQ817" s="130"/>
      <c r="AR817" s="130"/>
      <c r="AS817" s="130"/>
      <c r="AT817" s="130"/>
      <c r="AU817" s="130"/>
      <c r="AV817" s="129"/>
      <c r="AW817" s="129"/>
      <c r="AX817" s="129"/>
      <c r="AY817" s="129"/>
      <c r="AZ817" s="129"/>
      <c r="BA817" s="129"/>
      <c r="BB817" s="129"/>
    </row>
    <row r="818" ht="15.75" customHeight="1">
      <c r="A818" s="141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30"/>
      <c r="AM818" s="130"/>
      <c r="AN818" s="130"/>
      <c r="AO818" s="130"/>
      <c r="AP818" s="130"/>
      <c r="AQ818" s="130"/>
      <c r="AR818" s="130"/>
      <c r="AS818" s="130"/>
      <c r="AT818" s="130"/>
      <c r="AU818" s="130"/>
      <c r="AV818" s="129"/>
      <c r="AW818" s="129"/>
      <c r="AX818" s="129"/>
      <c r="AY818" s="129"/>
      <c r="AZ818" s="129"/>
      <c r="BA818" s="129"/>
      <c r="BB818" s="129"/>
    </row>
    <row r="819" ht="15.75" customHeight="1">
      <c r="A819" s="141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30"/>
      <c r="AM819" s="130"/>
      <c r="AN819" s="130"/>
      <c r="AO819" s="130"/>
      <c r="AP819" s="130"/>
      <c r="AQ819" s="130"/>
      <c r="AR819" s="130"/>
      <c r="AS819" s="130"/>
      <c r="AT819" s="130"/>
      <c r="AU819" s="130"/>
      <c r="AV819" s="129"/>
      <c r="AW819" s="129"/>
      <c r="AX819" s="129"/>
      <c r="AY819" s="129"/>
      <c r="AZ819" s="129"/>
      <c r="BA819" s="129"/>
      <c r="BB819" s="129"/>
    </row>
    <row r="820" ht="15.75" customHeight="1">
      <c r="A820" s="141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30"/>
      <c r="AM820" s="130"/>
      <c r="AN820" s="130"/>
      <c r="AO820" s="130"/>
      <c r="AP820" s="130"/>
      <c r="AQ820" s="130"/>
      <c r="AR820" s="130"/>
      <c r="AS820" s="130"/>
      <c r="AT820" s="130"/>
      <c r="AU820" s="130"/>
      <c r="AV820" s="129"/>
      <c r="AW820" s="129"/>
      <c r="AX820" s="129"/>
      <c r="AY820" s="129"/>
      <c r="AZ820" s="129"/>
      <c r="BA820" s="129"/>
      <c r="BB820" s="129"/>
    </row>
    <row r="821" ht="15.75" customHeight="1">
      <c r="A821" s="141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30"/>
      <c r="AM821" s="130"/>
      <c r="AN821" s="130"/>
      <c r="AO821" s="130"/>
      <c r="AP821" s="130"/>
      <c r="AQ821" s="130"/>
      <c r="AR821" s="130"/>
      <c r="AS821" s="130"/>
      <c r="AT821" s="130"/>
      <c r="AU821" s="130"/>
      <c r="AV821" s="129"/>
      <c r="AW821" s="129"/>
      <c r="AX821" s="129"/>
      <c r="AY821" s="129"/>
      <c r="AZ821" s="129"/>
      <c r="BA821" s="129"/>
      <c r="BB821" s="129"/>
    </row>
    <row r="822" ht="15.75" customHeight="1">
      <c r="A822" s="141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30"/>
      <c r="AM822" s="130"/>
      <c r="AN822" s="130"/>
      <c r="AO822" s="130"/>
      <c r="AP822" s="130"/>
      <c r="AQ822" s="130"/>
      <c r="AR822" s="130"/>
      <c r="AS822" s="130"/>
      <c r="AT822" s="130"/>
      <c r="AU822" s="130"/>
      <c r="AV822" s="129"/>
      <c r="AW822" s="129"/>
      <c r="AX822" s="129"/>
      <c r="AY822" s="129"/>
      <c r="AZ822" s="129"/>
      <c r="BA822" s="129"/>
      <c r="BB822" s="129"/>
    </row>
    <row r="823" ht="15.75" customHeight="1">
      <c r="A823" s="141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30"/>
      <c r="AM823" s="130"/>
      <c r="AN823" s="130"/>
      <c r="AO823" s="130"/>
      <c r="AP823" s="130"/>
      <c r="AQ823" s="130"/>
      <c r="AR823" s="130"/>
      <c r="AS823" s="130"/>
      <c r="AT823" s="130"/>
      <c r="AU823" s="130"/>
      <c r="AV823" s="129"/>
      <c r="AW823" s="129"/>
      <c r="AX823" s="129"/>
      <c r="AY823" s="129"/>
      <c r="AZ823" s="129"/>
      <c r="BA823" s="129"/>
      <c r="BB823" s="129"/>
    </row>
    <row r="824" ht="15.75" customHeight="1">
      <c r="A824" s="141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30"/>
      <c r="AM824" s="130"/>
      <c r="AN824" s="130"/>
      <c r="AO824" s="130"/>
      <c r="AP824" s="130"/>
      <c r="AQ824" s="130"/>
      <c r="AR824" s="130"/>
      <c r="AS824" s="130"/>
      <c r="AT824" s="130"/>
      <c r="AU824" s="130"/>
      <c r="AV824" s="129"/>
      <c r="AW824" s="129"/>
      <c r="AX824" s="129"/>
      <c r="AY824" s="129"/>
      <c r="AZ824" s="129"/>
      <c r="BA824" s="129"/>
      <c r="BB824" s="129"/>
    </row>
    <row r="825" ht="15.75" customHeight="1">
      <c r="A825" s="141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30"/>
      <c r="AM825" s="130"/>
      <c r="AN825" s="130"/>
      <c r="AO825" s="130"/>
      <c r="AP825" s="130"/>
      <c r="AQ825" s="130"/>
      <c r="AR825" s="130"/>
      <c r="AS825" s="130"/>
      <c r="AT825" s="130"/>
      <c r="AU825" s="130"/>
      <c r="AV825" s="129"/>
      <c r="AW825" s="129"/>
      <c r="AX825" s="129"/>
      <c r="AY825" s="129"/>
      <c r="AZ825" s="129"/>
      <c r="BA825" s="129"/>
      <c r="BB825" s="129"/>
    </row>
    <row r="826" ht="15.75" customHeight="1">
      <c r="A826" s="141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30"/>
      <c r="AM826" s="130"/>
      <c r="AN826" s="130"/>
      <c r="AO826" s="130"/>
      <c r="AP826" s="130"/>
      <c r="AQ826" s="130"/>
      <c r="AR826" s="130"/>
      <c r="AS826" s="130"/>
      <c r="AT826" s="130"/>
      <c r="AU826" s="130"/>
      <c r="AV826" s="129"/>
      <c r="AW826" s="129"/>
      <c r="AX826" s="129"/>
      <c r="AY826" s="129"/>
      <c r="AZ826" s="129"/>
      <c r="BA826" s="129"/>
      <c r="BB826" s="129"/>
    </row>
    <row r="827" ht="15.75" customHeight="1">
      <c r="A827" s="141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30"/>
      <c r="AM827" s="130"/>
      <c r="AN827" s="130"/>
      <c r="AO827" s="130"/>
      <c r="AP827" s="130"/>
      <c r="AQ827" s="130"/>
      <c r="AR827" s="130"/>
      <c r="AS827" s="130"/>
      <c r="AT827" s="130"/>
      <c r="AU827" s="130"/>
      <c r="AV827" s="129"/>
      <c r="AW827" s="129"/>
      <c r="AX827" s="129"/>
      <c r="AY827" s="129"/>
      <c r="AZ827" s="129"/>
      <c r="BA827" s="129"/>
      <c r="BB827" s="129"/>
    </row>
    <row r="828" ht="15.75" customHeight="1">
      <c r="A828" s="141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30"/>
      <c r="AM828" s="130"/>
      <c r="AN828" s="130"/>
      <c r="AO828" s="130"/>
      <c r="AP828" s="130"/>
      <c r="AQ828" s="130"/>
      <c r="AR828" s="130"/>
      <c r="AS828" s="130"/>
      <c r="AT828" s="130"/>
      <c r="AU828" s="130"/>
      <c r="AV828" s="129"/>
      <c r="AW828" s="129"/>
      <c r="AX828" s="129"/>
      <c r="AY828" s="129"/>
      <c r="AZ828" s="129"/>
      <c r="BA828" s="129"/>
      <c r="BB828" s="129"/>
    </row>
    <row r="829" ht="15.75" customHeight="1">
      <c r="A829" s="141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30"/>
      <c r="AM829" s="130"/>
      <c r="AN829" s="130"/>
      <c r="AO829" s="130"/>
      <c r="AP829" s="130"/>
      <c r="AQ829" s="130"/>
      <c r="AR829" s="130"/>
      <c r="AS829" s="130"/>
      <c r="AT829" s="130"/>
      <c r="AU829" s="130"/>
      <c r="AV829" s="129"/>
      <c r="AW829" s="129"/>
      <c r="AX829" s="129"/>
      <c r="AY829" s="129"/>
      <c r="AZ829" s="129"/>
      <c r="BA829" s="129"/>
      <c r="BB829" s="129"/>
    </row>
    <row r="830" ht="15.75" customHeight="1">
      <c r="A830" s="141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30"/>
      <c r="AM830" s="130"/>
      <c r="AN830" s="130"/>
      <c r="AO830" s="130"/>
      <c r="AP830" s="130"/>
      <c r="AQ830" s="130"/>
      <c r="AR830" s="130"/>
      <c r="AS830" s="130"/>
      <c r="AT830" s="130"/>
      <c r="AU830" s="130"/>
      <c r="AV830" s="129"/>
      <c r="AW830" s="129"/>
      <c r="AX830" s="129"/>
      <c r="AY830" s="129"/>
      <c r="AZ830" s="129"/>
      <c r="BA830" s="129"/>
      <c r="BB830" s="129"/>
    </row>
    <row r="831" ht="15.75" customHeight="1">
      <c r="A831" s="141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30"/>
      <c r="AM831" s="130"/>
      <c r="AN831" s="130"/>
      <c r="AO831" s="130"/>
      <c r="AP831" s="130"/>
      <c r="AQ831" s="130"/>
      <c r="AR831" s="130"/>
      <c r="AS831" s="130"/>
      <c r="AT831" s="130"/>
      <c r="AU831" s="130"/>
      <c r="AV831" s="129"/>
      <c r="AW831" s="129"/>
      <c r="AX831" s="129"/>
      <c r="AY831" s="129"/>
      <c r="AZ831" s="129"/>
      <c r="BA831" s="129"/>
      <c r="BB831" s="129"/>
    </row>
    <row r="832" ht="15.75" customHeight="1">
      <c r="A832" s="141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30"/>
      <c r="AM832" s="130"/>
      <c r="AN832" s="130"/>
      <c r="AO832" s="130"/>
      <c r="AP832" s="130"/>
      <c r="AQ832" s="130"/>
      <c r="AR832" s="130"/>
      <c r="AS832" s="130"/>
      <c r="AT832" s="130"/>
      <c r="AU832" s="130"/>
      <c r="AV832" s="129"/>
      <c r="AW832" s="129"/>
      <c r="AX832" s="129"/>
      <c r="AY832" s="129"/>
      <c r="AZ832" s="129"/>
      <c r="BA832" s="129"/>
      <c r="BB832" s="129"/>
    </row>
    <row r="833" ht="15.75" customHeight="1">
      <c r="A833" s="141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30"/>
      <c r="AM833" s="130"/>
      <c r="AN833" s="130"/>
      <c r="AO833" s="130"/>
      <c r="AP833" s="130"/>
      <c r="AQ833" s="130"/>
      <c r="AR833" s="130"/>
      <c r="AS833" s="130"/>
      <c r="AT833" s="130"/>
      <c r="AU833" s="130"/>
      <c r="AV833" s="129"/>
      <c r="AW833" s="129"/>
      <c r="AX833" s="129"/>
      <c r="AY833" s="129"/>
      <c r="AZ833" s="129"/>
      <c r="BA833" s="129"/>
      <c r="BB833" s="129"/>
    </row>
    <row r="834" ht="15.75" customHeight="1">
      <c r="A834" s="141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30"/>
      <c r="AM834" s="130"/>
      <c r="AN834" s="130"/>
      <c r="AO834" s="130"/>
      <c r="AP834" s="130"/>
      <c r="AQ834" s="130"/>
      <c r="AR834" s="130"/>
      <c r="AS834" s="130"/>
      <c r="AT834" s="130"/>
      <c r="AU834" s="130"/>
      <c r="AV834" s="129"/>
      <c r="AW834" s="129"/>
      <c r="AX834" s="129"/>
      <c r="AY834" s="129"/>
      <c r="AZ834" s="129"/>
      <c r="BA834" s="129"/>
      <c r="BB834" s="129"/>
    </row>
    <row r="835" ht="15.75" customHeight="1">
      <c r="A835" s="141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30"/>
      <c r="AM835" s="130"/>
      <c r="AN835" s="130"/>
      <c r="AO835" s="130"/>
      <c r="AP835" s="130"/>
      <c r="AQ835" s="130"/>
      <c r="AR835" s="130"/>
      <c r="AS835" s="130"/>
      <c r="AT835" s="130"/>
      <c r="AU835" s="130"/>
      <c r="AV835" s="129"/>
      <c r="AW835" s="129"/>
      <c r="AX835" s="129"/>
      <c r="AY835" s="129"/>
      <c r="AZ835" s="129"/>
      <c r="BA835" s="129"/>
      <c r="BB835" s="129"/>
    </row>
    <row r="836" ht="15.75" customHeight="1">
      <c r="A836" s="141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30"/>
      <c r="AM836" s="130"/>
      <c r="AN836" s="130"/>
      <c r="AO836" s="130"/>
      <c r="AP836" s="130"/>
      <c r="AQ836" s="130"/>
      <c r="AR836" s="130"/>
      <c r="AS836" s="130"/>
      <c r="AT836" s="130"/>
      <c r="AU836" s="130"/>
      <c r="AV836" s="129"/>
      <c r="AW836" s="129"/>
      <c r="AX836" s="129"/>
      <c r="AY836" s="129"/>
      <c r="AZ836" s="129"/>
      <c r="BA836" s="129"/>
      <c r="BB836" s="129"/>
    </row>
    <row r="837" ht="15.75" customHeight="1">
      <c r="A837" s="141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30"/>
      <c r="AM837" s="130"/>
      <c r="AN837" s="130"/>
      <c r="AO837" s="130"/>
      <c r="AP837" s="130"/>
      <c r="AQ837" s="130"/>
      <c r="AR837" s="130"/>
      <c r="AS837" s="130"/>
      <c r="AT837" s="130"/>
      <c r="AU837" s="130"/>
      <c r="AV837" s="129"/>
      <c r="AW837" s="129"/>
      <c r="AX837" s="129"/>
      <c r="AY837" s="129"/>
      <c r="AZ837" s="129"/>
      <c r="BA837" s="129"/>
      <c r="BB837" s="129"/>
    </row>
    <row r="838" ht="15.75" customHeight="1">
      <c r="A838" s="141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30"/>
      <c r="AM838" s="130"/>
      <c r="AN838" s="130"/>
      <c r="AO838" s="130"/>
      <c r="AP838" s="130"/>
      <c r="AQ838" s="130"/>
      <c r="AR838" s="130"/>
      <c r="AS838" s="130"/>
      <c r="AT838" s="130"/>
      <c r="AU838" s="130"/>
      <c r="AV838" s="129"/>
      <c r="AW838" s="129"/>
      <c r="AX838" s="129"/>
      <c r="AY838" s="129"/>
      <c r="AZ838" s="129"/>
      <c r="BA838" s="129"/>
      <c r="BB838" s="129"/>
    </row>
    <row r="839" ht="15.75" customHeight="1">
      <c r="A839" s="141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30"/>
      <c r="AM839" s="130"/>
      <c r="AN839" s="130"/>
      <c r="AO839" s="130"/>
      <c r="AP839" s="130"/>
      <c r="AQ839" s="130"/>
      <c r="AR839" s="130"/>
      <c r="AS839" s="130"/>
      <c r="AT839" s="130"/>
      <c r="AU839" s="130"/>
      <c r="AV839" s="129"/>
      <c r="AW839" s="129"/>
      <c r="AX839" s="129"/>
      <c r="AY839" s="129"/>
      <c r="AZ839" s="129"/>
      <c r="BA839" s="129"/>
      <c r="BB839" s="129"/>
    </row>
    <row r="840" ht="15.75" customHeight="1">
      <c r="A840" s="141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30"/>
      <c r="AM840" s="130"/>
      <c r="AN840" s="130"/>
      <c r="AO840" s="130"/>
      <c r="AP840" s="130"/>
      <c r="AQ840" s="130"/>
      <c r="AR840" s="130"/>
      <c r="AS840" s="130"/>
      <c r="AT840" s="130"/>
      <c r="AU840" s="130"/>
      <c r="AV840" s="129"/>
      <c r="AW840" s="129"/>
      <c r="AX840" s="129"/>
      <c r="AY840" s="129"/>
      <c r="AZ840" s="129"/>
      <c r="BA840" s="129"/>
      <c r="BB840" s="129"/>
    </row>
    <row r="841" ht="15.75" customHeight="1">
      <c r="A841" s="141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30"/>
      <c r="AM841" s="130"/>
      <c r="AN841" s="130"/>
      <c r="AO841" s="130"/>
      <c r="AP841" s="130"/>
      <c r="AQ841" s="130"/>
      <c r="AR841" s="130"/>
      <c r="AS841" s="130"/>
      <c r="AT841" s="130"/>
      <c r="AU841" s="130"/>
      <c r="AV841" s="129"/>
      <c r="AW841" s="129"/>
      <c r="AX841" s="129"/>
      <c r="AY841" s="129"/>
      <c r="AZ841" s="129"/>
      <c r="BA841" s="129"/>
      <c r="BB841" s="129"/>
    </row>
    <row r="842" ht="15.75" customHeight="1">
      <c r="A842" s="141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30"/>
      <c r="AM842" s="130"/>
      <c r="AN842" s="130"/>
      <c r="AO842" s="130"/>
      <c r="AP842" s="130"/>
      <c r="AQ842" s="130"/>
      <c r="AR842" s="130"/>
      <c r="AS842" s="130"/>
      <c r="AT842" s="130"/>
      <c r="AU842" s="130"/>
      <c r="AV842" s="129"/>
      <c r="AW842" s="129"/>
      <c r="AX842" s="129"/>
      <c r="AY842" s="129"/>
      <c r="AZ842" s="129"/>
      <c r="BA842" s="129"/>
      <c r="BB842" s="129"/>
    </row>
    <row r="843" ht="15.75" customHeight="1">
      <c r="A843" s="141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30"/>
      <c r="AM843" s="130"/>
      <c r="AN843" s="130"/>
      <c r="AO843" s="130"/>
      <c r="AP843" s="130"/>
      <c r="AQ843" s="130"/>
      <c r="AR843" s="130"/>
      <c r="AS843" s="130"/>
      <c r="AT843" s="130"/>
      <c r="AU843" s="130"/>
      <c r="AV843" s="129"/>
      <c r="AW843" s="129"/>
      <c r="AX843" s="129"/>
      <c r="AY843" s="129"/>
      <c r="AZ843" s="129"/>
      <c r="BA843" s="129"/>
      <c r="BB843" s="129"/>
    </row>
    <row r="844" ht="15.75" customHeight="1">
      <c r="A844" s="141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30"/>
      <c r="AM844" s="130"/>
      <c r="AN844" s="130"/>
      <c r="AO844" s="130"/>
      <c r="AP844" s="130"/>
      <c r="AQ844" s="130"/>
      <c r="AR844" s="130"/>
      <c r="AS844" s="130"/>
      <c r="AT844" s="130"/>
      <c r="AU844" s="130"/>
      <c r="AV844" s="129"/>
      <c r="AW844" s="129"/>
      <c r="AX844" s="129"/>
      <c r="AY844" s="129"/>
      <c r="AZ844" s="129"/>
      <c r="BA844" s="129"/>
      <c r="BB844" s="129"/>
    </row>
    <row r="845" ht="15.75" customHeight="1">
      <c r="A845" s="141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30"/>
      <c r="AM845" s="130"/>
      <c r="AN845" s="130"/>
      <c r="AO845" s="130"/>
      <c r="AP845" s="130"/>
      <c r="AQ845" s="130"/>
      <c r="AR845" s="130"/>
      <c r="AS845" s="130"/>
      <c r="AT845" s="130"/>
      <c r="AU845" s="130"/>
      <c r="AV845" s="129"/>
      <c r="AW845" s="129"/>
      <c r="AX845" s="129"/>
      <c r="AY845" s="129"/>
      <c r="AZ845" s="129"/>
      <c r="BA845" s="129"/>
      <c r="BB845" s="129"/>
    </row>
    <row r="846" ht="15.75" customHeight="1">
      <c r="A846" s="141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30"/>
      <c r="AM846" s="130"/>
      <c r="AN846" s="130"/>
      <c r="AO846" s="130"/>
      <c r="AP846" s="130"/>
      <c r="AQ846" s="130"/>
      <c r="AR846" s="130"/>
      <c r="AS846" s="130"/>
      <c r="AT846" s="130"/>
      <c r="AU846" s="130"/>
      <c r="AV846" s="129"/>
      <c r="AW846" s="129"/>
      <c r="AX846" s="129"/>
      <c r="AY846" s="129"/>
      <c r="AZ846" s="129"/>
      <c r="BA846" s="129"/>
      <c r="BB846" s="129"/>
    </row>
    <row r="847" ht="15.75" customHeight="1">
      <c r="A847" s="141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30"/>
      <c r="AM847" s="130"/>
      <c r="AN847" s="130"/>
      <c r="AO847" s="130"/>
      <c r="AP847" s="130"/>
      <c r="AQ847" s="130"/>
      <c r="AR847" s="130"/>
      <c r="AS847" s="130"/>
      <c r="AT847" s="130"/>
      <c r="AU847" s="130"/>
      <c r="AV847" s="129"/>
      <c r="AW847" s="129"/>
      <c r="AX847" s="129"/>
      <c r="AY847" s="129"/>
      <c r="AZ847" s="129"/>
      <c r="BA847" s="129"/>
      <c r="BB847" s="129"/>
    </row>
    <row r="848" ht="15.75" customHeight="1">
      <c r="A848" s="141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30"/>
      <c r="AM848" s="130"/>
      <c r="AN848" s="130"/>
      <c r="AO848" s="130"/>
      <c r="AP848" s="130"/>
      <c r="AQ848" s="130"/>
      <c r="AR848" s="130"/>
      <c r="AS848" s="130"/>
      <c r="AT848" s="130"/>
      <c r="AU848" s="130"/>
      <c r="AV848" s="129"/>
      <c r="AW848" s="129"/>
      <c r="AX848" s="129"/>
      <c r="AY848" s="129"/>
      <c r="AZ848" s="129"/>
      <c r="BA848" s="129"/>
      <c r="BB848" s="129"/>
    </row>
    <row r="849" ht="15.75" customHeight="1">
      <c r="A849" s="141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30"/>
      <c r="AM849" s="130"/>
      <c r="AN849" s="130"/>
      <c r="AO849" s="130"/>
      <c r="AP849" s="130"/>
      <c r="AQ849" s="130"/>
      <c r="AR849" s="130"/>
      <c r="AS849" s="130"/>
      <c r="AT849" s="130"/>
      <c r="AU849" s="130"/>
      <c r="AV849" s="129"/>
      <c r="AW849" s="129"/>
      <c r="AX849" s="129"/>
      <c r="AY849" s="129"/>
      <c r="AZ849" s="129"/>
      <c r="BA849" s="129"/>
      <c r="BB849" s="129"/>
    </row>
    <row r="850" ht="15.75" customHeight="1">
      <c r="A850" s="141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30"/>
      <c r="AM850" s="130"/>
      <c r="AN850" s="130"/>
      <c r="AO850" s="130"/>
      <c r="AP850" s="130"/>
      <c r="AQ850" s="130"/>
      <c r="AR850" s="130"/>
      <c r="AS850" s="130"/>
      <c r="AT850" s="130"/>
      <c r="AU850" s="130"/>
      <c r="AV850" s="129"/>
      <c r="AW850" s="129"/>
      <c r="AX850" s="129"/>
      <c r="AY850" s="129"/>
      <c r="AZ850" s="129"/>
      <c r="BA850" s="129"/>
      <c r="BB850" s="129"/>
    </row>
    <row r="851" ht="15.75" customHeight="1">
      <c r="A851" s="141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30"/>
      <c r="AM851" s="130"/>
      <c r="AN851" s="130"/>
      <c r="AO851" s="130"/>
      <c r="AP851" s="130"/>
      <c r="AQ851" s="130"/>
      <c r="AR851" s="130"/>
      <c r="AS851" s="130"/>
      <c r="AT851" s="130"/>
      <c r="AU851" s="130"/>
      <c r="AV851" s="129"/>
      <c r="AW851" s="129"/>
      <c r="AX851" s="129"/>
      <c r="AY851" s="129"/>
      <c r="AZ851" s="129"/>
      <c r="BA851" s="129"/>
      <c r="BB851" s="129"/>
    </row>
    <row r="852" ht="15.75" customHeight="1">
      <c r="A852" s="141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30"/>
      <c r="AM852" s="130"/>
      <c r="AN852" s="130"/>
      <c r="AO852" s="130"/>
      <c r="AP852" s="130"/>
      <c r="AQ852" s="130"/>
      <c r="AR852" s="130"/>
      <c r="AS852" s="130"/>
      <c r="AT852" s="130"/>
      <c r="AU852" s="130"/>
      <c r="AV852" s="129"/>
      <c r="AW852" s="129"/>
      <c r="AX852" s="129"/>
      <c r="AY852" s="129"/>
      <c r="AZ852" s="129"/>
      <c r="BA852" s="129"/>
      <c r="BB852" s="129"/>
    </row>
    <row r="853" ht="15.75" customHeight="1">
      <c r="A853" s="141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30"/>
      <c r="AM853" s="130"/>
      <c r="AN853" s="130"/>
      <c r="AO853" s="130"/>
      <c r="AP853" s="130"/>
      <c r="AQ853" s="130"/>
      <c r="AR853" s="130"/>
      <c r="AS853" s="130"/>
      <c r="AT853" s="130"/>
      <c r="AU853" s="130"/>
      <c r="AV853" s="129"/>
      <c r="AW853" s="129"/>
      <c r="AX853" s="129"/>
      <c r="AY853" s="129"/>
      <c r="AZ853" s="129"/>
      <c r="BA853" s="129"/>
      <c r="BB853" s="129"/>
    </row>
    <row r="854" ht="15.75" customHeight="1">
      <c r="A854" s="141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30"/>
      <c r="AM854" s="130"/>
      <c r="AN854" s="130"/>
      <c r="AO854" s="130"/>
      <c r="AP854" s="130"/>
      <c r="AQ854" s="130"/>
      <c r="AR854" s="130"/>
      <c r="AS854" s="130"/>
      <c r="AT854" s="130"/>
      <c r="AU854" s="130"/>
      <c r="AV854" s="129"/>
      <c r="AW854" s="129"/>
      <c r="AX854" s="129"/>
      <c r="AY854" s="129"/>
      <c r="AZ854" s="129"/>
      <c r="BA854" s="129"/>
      <c r="BB854" s="129"/>
    </row>
    <row r="855" ht="15.75" customHeight="1">
      <c r="A855" s="141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30"/>
      <c r="AM855" s="130"/>
      <c r="AN855" s="130"/>
      <c r="AO855" s="130"/>
      <c r="AP855" s="130"/>
      <c r="AQ855" s="130"/>
      <c r="AR855" s="130"/>
      <c r="AS855" s="130"/>
      <c r="AT855" s="130"/>
      <c r="AU855" s="130"/>
      <c r="AV855" s="129"/>
      <c r="AW855" s="129"/>
      <c r="AX855" s="129"/>
      <c r="AY855" s="129"/>
      <c r="AZ855" s="129"/>
      <c r="BA855" s="129"/>
      <c r="BB855" s="129"/>
    </row>
    <row r="856" ht="15.75" customHeight="1">
      <c r="A856" s="141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30"/>
      <c r="AM856" s="130"/>
      <c r="AN856" s="130"/>
      <c r="AO856" s="130"/>
      <c r="AP856" s="130"/>
      <c r="AQ856" s="130"/>
      <c r="AR856" s="130"/>
      <c r="AS856" s="130"/>
      <c r="AT856" s="130"/>
      <c r="AU856" s="130"/>
      <c r="AV856" s="129"/>
      <c r="AW856" s="129"/>
      <c r="AX856" s="129"/>
      <c r="AY856" s="129"/>
      <c r="AZ856" s="129"/>
      <c r="BA856" s="129"/>
      <c r="BB856" s="129"/>
    </row>
    <row r="857" ht="15.75" customHeight="1">
      <c r="A857" s="141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30"/>
      <c r="AM857" s="130"/>
      <c r="AN857" s="130"/>
      <c r="AO857" s="130"/>
      <c r="AP857" s="130"/>
      <c r="AQ857" s="130"/>
      <c r="AR857" s="130"/>
      <c r="AS857" s="130"/>
      <c r="AT857" s="130"/>
      <c r="AU857" s="130"/>
      <c r="AV857" s="129"/>
      <c r="AW857" s="129"/>
      <c r="AX857" s="129"/>
      <c r="AY857" s="129"/>
      <c r="AZ857" s="129"/>
      <c r="BA857" s="129"/>
      <c r="BB857" s="129"/>
    </row>
    <row r="858" ht="15.75" customHeight="1">
      <c r="A858" s="141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30"/>
      <c r="AM858" s="130"/>
      <c r="AN858" s="130"/>
      <c r="AO858" s="130"/>
      <c r="AP858" s="130"/>
      <c r="AQ858" s="130"/>
      <c r="AR858" s="130"/>
      <c r="AS858" s="130"/>
      <c r="AT858" s="130"/>
      <c r="AU858" s="130"/>
      <c r="AV858" s="129"/>
      <c r="AW858" s="129"/>
      <c r="AX858" s="129"/>
      <c r="AY858" s="129"/>
      <c r="AZ858" s="129"/>
      <c r="BA858" s="129"/>
      <c r="BB858" s="129"/>
    </row>
    <row r="859" ht="15.75" customHeight="1">
      <c r="A859" s="141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30"/>
      <c r="AM859" s="130"/>
      <c r="AN859" s="130"/>
      <c r="AO859" s="130"/>
      <c r="AP859" s="130"/>
      <c r="AQ859" s="130"/>
      <c r="AR859" s="130"/>
      <c r="AS859" s="130"/>
      <c r="AT859" s="130"/>
      <c r="AU859" s="130"/>
      <c r="AV859" s="129"/>
      <c r="AW859" s="129"/>
      <c r="AX859" s="129"/>
      <c r="AY859" s="129"/>
      <c r="AZ859" s="129"/>
      <c r="BA859" s="129"/>
      <c r="BB859" s="129"/>
    </row>
    <row r="860" ht="15.75" customHeight="1">
      <c r="A860" s="141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30"/>
      <c r="AM860" s="130"/>
      <c r="AN860" s="130"/>
      <c r="AO860" s="130"/>
      <c r="AP860" s="130"/>
      <c r="AQ860" s="130"/>
      <c r="AR860" s="130"/>
      <c r="AS860" s="130"/>
      <c r="AT860" s="130"/>
      <c r="AU860" s="130"/>
      <c r="AV860" s="129"/>
      <c r="AW860" s="129"/>
      <c r="AX860" s="129"/>
      <c r="AY860" s="129"/>
      <c r="AZ860" s="129"/>
      <c r="BA860" s="129"/>
      <c r="BB860" s="129"/>
    </row>
    <row r="861" ht="15.75" customHeight="1">
      <c r="A861" s="141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30"/>
      <c r="AM861" s="130"/>
      <c r="AN861" s="130"/>
      <c r="AO861" s="130"/>
      <c r="AP861" s="130"/>
      <c r="AQ861" s="130"/>
      <c r="AR861" s="130"/>
      <c r="AS861" s="130"/>
      <c r="AT861" s="130"/>
      <c r="AU861" s="130"/>
      <c r="AV861" s="129"/>
      <c r="AW861" s="129"/>
      <c r="AX861" s="129"/>
      <c r="AY861" s="129"/>
      <c r="AZ861" s="129"/>
      <c r="BA861" s="129"/>
      <c r="BB861" s="129"/>
    </row>
    <row r="862" ht="15.75" customHeight="1">
      <c r="A862" s="141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30"/>
      <c r="AM862" s="130"/>
      <c r="AN862" s="130"/>
      <c r="AO862" s="130"/>
      <c r="AP862" s="130"/>
      <c r="AQ862" s="130"/>
      <c r="AR862" s="130"/>
      <c r="AS862" s="130"/>
      <c r="AT862" s="130"/>
      <c r="AU862" s="130"/>
      <c r="AV862" s="129"/>
      <c r="AW862" s="129"/>
      <c r="AX862" s="129"/>
      <c r="AY862" s="129"/>
      <c r="AZ862" s="129"/>
      <c r="BA862" s="129"/>
      <c r="BB862" s="129"/>
    </row>
    <row r="863" ht="15.75" customHeight="1">
      <c r="A863" s="141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30"/>
      <c r="AM863" s="130"/>
      <c r="AN863" s="130"/>
      <c r="AO863" s="130"/>
      <c r="AP863" s="130"/>
      <c r="AQ863" s="130"/>
      <c r="AR863" s="130"/>
      <c r="AS863" s="130"/>
      <c r="AT863" s="130"/>
      <c r="AU863" s="130"/>
      <c r="AV863" s="129"/>
      <c r="AW863" s="129"/>
      <c r="AX863" s="129"/>
      <c r="AY863" s="129"/>
      <c r="AZ863" s="129"/>
      <c r="BA863" s="129"/>
      <c r="BB863" s="129"/>
    </row>
    <row r="864" ht="15.75" customHeight="1">
      <c r="A864" s="141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30"/>
      <c r="AM864" s="130"/>
      <c r="AN864" s="130"/>
      <c r="AO864" s="130"/>
      <c r="AP864" s="130"/>
      <c r="AQ864" s="130"/>
      <c r="AR864" s="130"/>
      <c r="AS864" s="130"/>
      <c r="AT864" s="130"/>
      <c r="AU864" s="130"/>
      <c r="AV864" s="129"/>
      <c r="AW864" s="129"/>
      <c r="AX864" s="129"/>
      <c r="AY864" s="129"/>
      <c r="AZ864" s="129"/>
      <c r="BA864" s="129"/>
      <c r="BB864" s="129"/>
    </row>
    <row r="865" ht="15.75" customHeight="1">
      <c r="A865" s="141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30"/>
      <c r="AM865" s="130"/>
      <c r="AN865" s="130"/>
      <c r="AO865" s="130"/>
      <c r="AP865" s="130"/>
      <c r="AQ865" s="130"/>
      <c r="AR865" s="130"/>
      <c r="AS865" s="130"/>
      <c r="AT865" s="130"/>
      <c r="AU865" s="130"/>
      <c r="AV865" s="129"/>
      <c r="AW865" s="129"/>
      <c r="AX865" s="129"/>
      <c r="AY865" s="129"/>
      <c r="AZ865" s="129"/>
      <c r="BA865" s="129"/>
      <c r="BB865" s="129"/>
    </row>
    <row r="866" ht="15.75" customHeight="1">
      <c r="A866" s="141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30"/>
      <c r="AM866" s="130"/>
      <c r="AN866" s="130"/>
      <c r="AO866" s="130"/>
      <c r="AP866" s="130"/>
      <c r="AQ866" s="130"/>
      <c r="AR866" s="130"/>
      <c r="AS866" s="130"/>
      <c r="AT866" s="130"/>
      <c r="AU866" s="130"/>
      <c r="AV866" s="129"/>
      <c r="AW866" s="129"/>
      <c r="AX866" s="129"/>
      <c r="AY866" s="129"/>
      <c r="AZ866" s="129"/>
      <c r="BA866" s="129"/>
      <c r="BB866" s="129"/>
    </row>
    <row r="867" ht="15.75" customHeight="1">
      <c r="A867" s="141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30"/>
      <c r="AM867" s="130"/>
      <c r="AN867" s="130"/>
      <c r="AO867" s="130"/>
      <c r="AP867" s="130"/>
      <c r="AQ867" s="130"/>
      <c r="AR867" s="130"/>
      <c r="AS867" s="130"/>
      <c r="AT867" s="130"/>
      <c r="AU867" s="130"/>
      <c r="AV867" s="129"/>
      <c r="AW867" s="129"/>
      <c r="AX867" s="129"/>
      <c r="AY867" s="129"/>
      <c r="AZ867" s="129"/>
      <c r="BA867" s="129"/>
      <c r="BB867" s="129"/>
    </row>
    <row r="868" ht="15.75" customHeight="1">
      <c r="A868" s="141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30"/>
      <c r="AM868" s="130"/>
      <c r="AN868" s="130"/>
      <c r="AO868" s="130"/>
      <c r="AP868" s="130"/>
      <c r="AQ868" s="130"/>
      <c r="AR868" s="130"/>
      <c r="AS868" s="130"/>
      <c r="AT868" s="130"/>
      <c r="AU868" s="130"/>
      <c r="AV868" s="129"/>
      <c r="AW868" s="129"/>
      <c r="AX868" s="129"/>
      <c r="AY868" s="129"/>
      <c r="AZ868" s="129"/>
      <c r="BA868" s="129"/>
      <c r="BB868" s="129"/>
    </row>
    <row r="869" ht="15.75" customHeight="1">
      <c r="A869" s="141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30"/>
      <c r="AM869" s="130"/>
      <c r="AN869" s="130"/>
      <c r="AO869" s="130"/>
      <c r="AP869" s="130"/>
      <c r="AQ869" s="130"/>
      <c r="AR869" s="130"/>
      <c r="AS869" s="130"/>
      <c r="AT869" s="130"/>
      <c r="AU869" s="130"/>
      <c r="AV869" s="129"/>
      <c r="AW869" s="129"/>
      <c r="AX869" s="129"/>
      <c r="AY869" s="129"/>
      <c r="AZ869" s="129"/>
      <c r="BA869" s="129"/>
      <c r="BB869" s="129"/>
    </row>
    <row r="870" ht="15.75" customHeight="1">
      <c r="A870" s="141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30"/>
      <c r="AM870" s="130"/>
      <c r="AN870" s="130"/>
      <c r="AO870" s="130"/>
      <c r="AP870" s="130"/>
      <c r="AQ870" s="130"/>
      <c r="AR870" s="130"/>
      <c r="AS870" s="130"/>
      <c r="AT870" s="130"/>
      <c r="AU870" s="130"/>
      <c r="AV870" s="129"/>
      <c r="AW870" s="129"/>
      <c r="AX870" s="129"/>
      <c r="AY870" s="129"/>
      <c r="AZ870" s="129"/>
      <c r="BA870" s="129"/>
      <c r="BB870" s="129"/>
    </row>
    <row r="871" ht="15.75" customHeight="1">
      <c r="A871" s="141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30"/>
      <c r="AM871" s="130"/>
      <c r="AN871" s="130"/>
      <c r="AO871" s="130"/>
      <c r="AP871" s="130"/>
      <c r="AQ871" s="130"/>
      <c r="AR871" s="130"/>
      <c r="AS871" s="130"/>
      <c r="AT871" s="130"/>
      <c r="AU871" s="130"/>
      <c r="AV871" s="129"/>
      <c r="AW871" s="129"/>
      <c r="AX871" s="129"/>
      <c r="AY871" s="129"/>
      <c r="AZ871" s="129"/>
      <c r="BA871" s="129"/>
      <c r="BB871" s="129"/>
    </row>
    <row r="872" ht="15.75" customHeight="1">
      <c r="A872" s="141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30"/>
      <c r="AM872" s="130"/>
      <c r="AN872" s="130"/>
      <c r="AO872" s="130"/>
      <c r="AP872" s="130"/>
      <c r="AQ872" s="130"/>
      <c r="AR872" s="130"/>
      <c r="AS872" s="130"/>
      <c r="AT872" s="130"/>
      <c r="AU872" s="130"/>
      <c r="AV872" s="129"/>
      <c r="AW872" s="129"/>
      <c r="AX872" s="129"/>
      <c r="AY872" s="129"/>
      <c r="AZ872" s="129"/>
      <c r="BA872" s="129"/>
      <c r="BB872" s="129"/>
    </row>
    <row r="873" ht="15.75" customHeight="1">
      <c r="A873" s="141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30"/>
      <c r="AM873" s="130"/>
      <c r="AN873" s="130"/>
      <c r="AO873" s="130"/>
      <c r="AP873" s="130"/>
      <c r="AQ873" s="130"/>
      <c r="AR873" s="130"/>
      <c r="AS873" s="130"/>
      <c r="AT873" s="130"/>
      <c r="AU873" s="130"/>
      <c r="AV873" s="129"/>
      <c r="AW873" s="129"/>
      <c r="AX873" s="129"/>
      <c r="AY873" s="129"/>
      <c r="AZ873" s="129"/>
      <c r="BA873" s="129"/>
      <c r="BB873" s="129"/>
    </row>
    <row r="874" ht="15.75" customHeight="1">
      <c r="A874" s="141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30"/>
      <c r="AM874" s="130"/>
      <c r="AN874" s="130"/>
      <c r="AO874" s="130"/>
      <c r="AP874" s="130"/>
      <c r="AQ874" s="130"/>
      <c r="AR874" s="130"/>
      <c r="AS874" s="130"/>
      <c r="AT874" s="130"/>
      <c r="AU874" s="130"/>
      <c r="AV874" s="129"/>
      <c r="AW874" s="129"/>
      <c r="AX874" s="129"/>
      <c r="AY874" s="129"/>
      <c r="AZ874" s="129"/>
      <c r="BA874" s="129"/>
      <c r="BB874" s="129"/>
    </row>
    <row r="875" ht="15.75" customHeight="1">
      <c r="A875" s="141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30"/>
      <c r="AM875" s="130"/>
      <c r="AN875" s="130"/>
      <c r="AO875" s="130"/>
      <c r="AP875" s="130"/>
      <c r="AQ875" s="130"/>
      <c r="AR875" s="130"/>
      <c r="AS875" s="130"/>
      <c r="AT875" s="130"/>
      <c r="AU875" s="130"/>
      <c r="AV875" s="129"/>
      <c r="AW875" s="129"/>
      <c r="AX875" s="129"/>
      <c r="AY875" s="129"/>
      <c r="AZ875" s="129"/>
      <c r="BA875" s="129"/>
      <c r="BB875" s="129"/>
    </row>
    <row r="876" ht="15.75" customHeight="1">
      <c r="A876" s="141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30"/>
      <c r="AM876" s="130"/>
      <c r="AN876" s="130"/>
      <c r="AO876" s="130"/>
      <c r="AP876" s="130"/>
      <c r="AQ876" s="130"/>
      <c r="AR876" s="130"/>
      <c r="AS876" s="130"/>
      <c r="AT876" s="130"/>
      <c r="AU876" s="130"/>
      <c r="AV876" s="129"/>
      <c r="AW876" s="129"/>
      <c r="AX876" s="129"/>
      <c r="AY876" s="129"/>
      <c r="AZ876" s="129"/>
      <c r="BA876" s="129"/>
      <c r="BB876" s="129"/>
    </row>
    <row r="877" ht="15.75" customHeight="1">
      <c r="A877" s="141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30"/>
      <c r="AM877" s="130"/>
      <c r="AN877" s="130"/>
      <c r="AO877" s="130"/>
      <c r="AP877" s="130"/>
      <c r="AQ877" s="130"/>
      <c r="AR877" s="130"/>
      <c r="AS877" s="130"/>
      <c r="AT877" s="130"/>
      <c r="AU877" s="130"/>
      <c r="AV877" s="129"/>
      <c r="AW877" s="129"/>
      <c r="AX877" s="129"/>
      <c r="AY877" s="129"/>
      <c r="AZ877" s="129"/>
      <c r="BA877" s="129"/>
      <c r="BB877" s="129"/>
    </row>
    <row r="878" ht="15.75" customHeight="1">
      <c r="A878" s="141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30"/>
      <c r="AM878" s="130"/>
      <c r="AN878" s="130"/>
      <c r="AO878" s="130"/>
      <c r="AP878" s="130"/>
      <c r="AQ878" s="130"/>
      <c r="AR878" s="130"/>
      <c r="AS878" s="130"/>
      <c r="AT878" s="130"/>
      <c r="AU878" s="130"/>
      <c r="AV878" s="129"/>
      <c r="AW878" s="129"/>
      <c r="AX878" s="129"/>
      <c r="AY878" s="129"/>
      <c r="AZ878" s="129"/>
      <c r="BA878" s="129"/>
      <c r="BB878" s="129"/>
    </row>
    <row r="879" ht="15.75" customHeight="1">
      <c r="A879" s="141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30"/>
      <c r="AM879" s="130"/>
      <c r="AN879" s="130"/>
      <c r="AO879" s="130"/>
      <c r="AP879" s="130"/>
      <c r="AQ879" s="130"/>
      <c r="AR879" s="130"/>
      <c r="AS879" s="130"/>
      <c r="AT879" s="130"/>
      <c r="AU879" s="130"/>
      <c r="AV879" s="129"/>
      <c r="AW879" s="129"/>
      <c r="AX879" s="129"/>
      <c r="AY879" s="129"/>
      <c r="AZ879" s="129"/>
      <c r="BA879" s="129"/>
      <c r="BB879" s="129"/>
    </row>
    <row r="880" ht="15.75" customHeight="1">
      <c r="A880" s="141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30"/>
      <c r="AM880" s="130"/>
      <c r="AN880" s="130"/>
      <c r="AO880" s="130"/>
      <c r="AP880" s="130"/>
      <c r="AQ880" s="130"/>
      <c r="AR880" s="130"/>
      <c r="AS880" s="130"/>
      <c r="AT880" s="130"/>
      <c r="AU880" s="130"/>
      <c r="AV880" s="129"/>
      <c r="AW880" s="129"/>
      <c r="AX880" s="129"/>
      <c r="AY880" s="129"/>
      <c r="AZ880" s="129"/>
      <c r="BA880" s="129"/>
      <c r="BB880" s="129"/>
    </row>
    <row r="881" ht="15.75" customHeight="1">
      <c r="A881" s="141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30"/>
      <c r="AM881" s="130"/>
      <c r="AN881" s="130"/>
      <c r="AO881" s="130"/>
      <c r="AP881" s="130"/>
      <c r="AQ881" s="130"/>
      <c r="AR881" s="130"/>
      <c r="AS881" s="130"/>
      <c r="AT881" s="130"/>
      <c r="AU881" s="130"/>
      <c r="AV881" s="129"/>
      <c r="AW881" s="129"/>
      <c r="AX881" s="129"/>
      <c r="AY881" s="129"/>
      <c r="AZ881" s="129"/>
      <c r="BA881" s="129"/>
      <c r="BB881" s="129"/>
    </row>
    <row r="882" ht="15.75" customHeight="1">
      <c r="A882" s="141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30"/>
      <c r="AM882" s="130"/>
      <c r="AN882" s="130"/>
      <c r="AO882" s="130"/>
      <c r="AP882" s="130"/>
      <c r="AQ882" s="130"/>
      <c r="AR882" s="130"/>
      <c r="AS882" s="130"/>
      <c r="AT882" s="130"/>
      <c r="AU882" s="130"/>
      <c r="AV882" s="129"/>
      <c r="AW882" s="129"/>
      <c r="AX882" s="129"/>
      <c r="AY882" s="129"/>
      <c r="AZ882" s="129"/>
      <c r="BA882" s="129"/>
      <c r="BB882" s="129"/>
    </row>
    <row r="883" ht="15.75" customHeight="1">
      <c r="A883" s="141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30"/>
      <c r="AM883" s="130"/>
      <c r="AN883" s="130"/>
      <c r="AO883" s="130"/>
      <c r="AP883" s="130"/>
      <c r="AQ883" s="130"/>
      <c r="AR883" s="130"/>
      <c r="AS883" s="130"/>
      <c r="AT883" s="130"/>
      <c r="AU883" s="130"/>
      <c r="AV883" s="129"/>
      <c r="AW883" s="129"/>
      <c r="AX883" s="129"/>
      <c r="AY883" s="129"/>
      <c r="AZ883" s="129"/>
      <c r="BA883" s="129"/>
      <c r="BB883" s="129"/>
    </row>
    <row r="884" ht="15.75" customHeight="1">
      <c r="A884" s="141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30"/>
      <c r="AM884" s="130"/>
      <c r="AN884" s="130"/>
      <c r="AO884" s="130"/>
      <c r="AP884" s="130"/>
      <c r="AQ884" s="130"/>
      <c r="AR884" s="130"/>
      <c r="AS884" s="130"/>
      <c r="AT884" s="130"/>
      <c r="AU884" s="130"/>
      <c r="AV884" s="129"/>
      <c r="AW884" s="129"/>
      <c r="AX884" s="129"/>
      <c r="AY884" s="129"/>
      <c r="AZ884" s="129"/>
      <c r="BA884" s="129"/>
      <c r="BB884" s="129"/>
    </row>
    <row r="885" ht="15.75" customHeight="1">
      <c r="A885" s="141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30"/>
      <c r="AM885" s="130"/>
      <c r="AN885" s="130"/>
      <c r="AO885" s="130"/>
      <c r="AP885" s="130"/>
      <c r="AQ885" s="130"/>
      <c r="AR885" s="130"/>
      <c r="AS885" s="130"/>
      <c r="AT885" s="130"/>
      <c r="AU885" s="130"/>
      <c r="AV885" s="129"/>
      <c r="AW885" s="129"/>
      <c r="AX885" s="129"/>
      <c r="AY885" s="129"/>
      <c r="AZ885" s="129"/>
      <c r="BA885" s="129"/>
      <c r="BB885" s="129"/>
    </row>
    <row r="886" ht="15.75" customHeight="1">
      <c r="A886" s="141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30"/>
      <c r="AM886" s="130"/>
      <c r="AN886" s="130"/>
      <c r="AO886" s="130"/>
      <c r="AP886" s="130"/>
      <c r="AQ886" s="130"/>
      <c r="AR886" s="130"/>
      <c r="AS886" s="130"/>
      <c r="AT886" s="130"/>
      <c r="AU886" s="130"/>
      <c r="AV886" s="129"/>
      <c r="AW886" s="129"/>
      <c r="AX886" s="129"/>
      <c r="AY886" s="129"/>
      <c r="AZ886" s="129"/>
      <c r="BA886" s="129"/>
      <c r="BB886" s="129"/>
    </row>
    <row r="887" ht="15.75" customHeight="1">
      <c r="A887" s="141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30"/>
      <c r="AM887" s="130"/>
      <c r="AN887" s="130"/>
      <c r="AO887" s="130"/>
      <c r="AP887" s="130"/>
      <c r="AQ887" s="130"/>
      <c r="AR887" s="130"/>
      <c r="AS887" s="130"/>
      <c r="AT887" s="130"/>
      <c r="AU887" s="130"/>
      <c r="AV887" s="129"/>
      <c r="AW887" s="129"/>
      <c r="AX887" s="129"/>
      <c r="AY887" s="129"/>
      <c r="AZ887" s="129"/>
      <c r="BA887" s="129"/>
      <c r="BB887" s="129"/>
    </row>
    <row r="888" ht="15.75" customHeight="1">
      <c r="A888" s="141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30"/>
      <c r="AM888" s="130"/>
      <c r="AN888" s="130"/>
      <c r="AO888" s="130"/>
      <c r="AP888" s="130"/>
      <c r="AQ888" s="130"/>
      <c r="AR888" s="130"/>
      <c r="AS888" s="130"/>
      <c r="AT888" s="130"/>
      <c r="AU888" s="130"/>
      <c r="AV888" s="129"/>
      <c r="AW888" s="129"/>
      <c r="AX888" s="129"/>
      <c r="AY888" s="129"/>
      <c r="AZ888" s="129"/>
      <c r="BA888" s="129"/>
      <c r="BB888" s="129"/>
    </row>
    <row r="889" ht="15.75" customHeight="1">
      <c r="A889" s="141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30"/>
      <c r="AM889" s="130"/>
      <c r="AN889" s="130"/>
      <c r="AO889" s="130"/>
      <c r="AP889" s="130"/>
      <c r="AQ889" s="130"/>
      <c r="AR889" s="130"/>
      <c r="AS889" s="130"/>
      <c r="AT889" s="130"/>
      <c r="AU889" s="130"/>
      <c r="AV889" s="129"/>
      <c r="AW889" s="129"/>
      <c r="AX889" s="129"/>
      <c r="AY889" s="129"/>
      <c r="AZ889" s="129"/>
      <c r="BA889" s="129"/>
      <c r="BB889" s="129"/>
    </row>
    <row r="890" ht="15.75" customHeight="1">
      <c r="A890" s="141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30"/>
      <c r="AM890" s="130"/>
      <c r="AN890" s="130"/>
      <c r="AO890" s="130"/>
      <c r="AP890" s="130"/>
      <c r="AQ890" s="130"/>
      <c r="AR890" s="130"/>
      <c r="AS890" s="130"/>
      <c r="AT890" s="130"/>
      <c r="AU890" s="130"/>
      <c r="AV890" s="129"/>
      <c r="AW890" s="129"/>
      <c r="AX890" s="129"/>
      <c r="AY890" s="129"/>
      <c r="AZ890" s="129"/>
      <c r="BA890" s="129"/>
      <c r="BB890" s="129"/>
    </row>
    <row r="891" ht="15.75" customHeight="1">
      <c r="A891" s="141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30"/>
      <c r="AM891" s="130"/>
      <c r="AN891" s="130"/>
      <c r="AO891" s="130"/>
      <c r="AP891" s="130"/>
      <c r="AQ891" s="130"/>
      <c r="AR891" s="130"/>
      <c r="AS891" s="130"/>
      <c r="AT891" s="130"/>
      <c r="AU891" s="130"/>
      <c r="AV891" s="129"/>
      <c r="AW891" s="129"/>
      <c r="AX891" s="129"/>
      <c r="AY891" s="129"/>
      <c r="AZ891" s="129"/>
      <c r="BA891" s="129"/>
      <c r="BB891" s="129"/>
    </row>
    <row r="892" ht="15.75" customHeight="1">
      <c r="A892" s="141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30"/>
      <c r="AM892" s="130"/>
      <c r="AN892" s="130"/>
      <c r="AO892" s="130"/>
      <c r="AP892" s="130"/>
      <c r="AQ892" s="130"/>
      <c r="AR892" s="130"/>
      <c r="AS892" s="130"/>
      <c r="AT892" s="130"/>
      <c r="AU892" s="130"/>
      <c r="AV892" s="129"/>
      <c r="AW892" s="129"/>
      <c r="AX892" s="129"/>
      <c r="AY892" s="129"/>
      <c r="AZ892" s="129"/>
      <c r="BA892" s="129"/>
      <c r="BB892" s="129"/>
    </row>
    <row r="893" ht="15.75" customHeight="1">
      <c r="A893" s="141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30"/>
      <c r="AM893" s="130"/>
      <c r="AN893" s="130"/>
      <c r="AO893" s="130"/>
      <c r="AP893" s="130"/>
      <c r="AQ893" s="130"/>
      <c r="AR893" s="130"/>
      <c r="AS893" s="130"/>
      <c r="AT893" s="130"/>
      <c r="AU893" s="130"/>
      <c r="AV893" s="129"/>
      <c r="AW893" s="129"/>
      <c r="AX893" s="129"/>
      <c r="AY893" s="129"/>
      <c r="AZ893" s="129"/>
      <c r="BA893" s="129"/>
      <c r="BB893" s="129"/>
    </row>
    <row r="894" ht="15.75" customHeight="1">
      <c r="A894" s="141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30"/>
      <c r="AM894" s="130"/>
      <c r="AN894" s="130"/>
      <c r="AO894" s="130"/>
      <c r="AP894" s="130"/>
      <c r="AQ894" s="130"/>
      <c r="AR894" s="130"/>
      <c r="AS894" s="130"/>
      <c r="AT894" s="130"/>
      <c r="AU894" s="130"/>
      <c r="AV894" s="129"/>
      <c r="AW894" s="129"/>
      <c r="AX894" s="129"/>
      <c r="AY894" s="129"/>
      <c r="AZ894" s="129"/>
      <c r="BA894" s="129"/>
      <c r="BB894" s="129"/>
    </row>
    <row r="895" ht="15.75" customHeight="1">
      <c r="A895" s="141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30"/>
      <c r="AM895" s="130"/>
      <c r="AN895" s="130"/>
      <c r="AO895" s="130"/>
      <c r="AP895" s="130"/>
      <c r="AQ895" s="130"/>
      <c r="AR895" s="130"/>
      <c r="AS895" s="130"/>
      <c r="AT895" s="130"/>
      <c r="AU895" s="130"/>
      <c r="AV895" s="129"/>
      <c r="AW895" s="129"/>
      <c r="AX895" s="129"/>
      <c r="AY895" s="129"/>
      <c r="AZ895" s="129"/>
      <c r="BA895" s="129"/>
      <c r="BB895" s="129"/>
    </row>
    <row r="896" ht="15.75" customHeight="1">
      <c r="A896" s="141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30"/>
      <c r="AM896" s="130"/>
      <c r="AN896" s="130"/>
      <c r="AO896" s="130"/>
      <c r="AP896" s="130"/>
      <c r="AQ896" s="130"/>
      <c r="AR896" s="130"/>
      <c r="AS896" s="130"/>
      <c r="AT896" s="130"/>
      <c r="AU896" s="130"/>
      <c r="AV896" s="129"/>
      <c r="AW896" s="129"/>
      <c r="AX896" s="129"/>
      <c r="AY896" s="129"/>
      <c r="AZ896" s="129"/>
      <c r="BA896" s="129"/>
      <c r="BB896" s="129"/>
    </row>
    <row r="897" ht="15.75" customHeight="1">
      <c r="A897" s="141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30"/>
      <c r="AM897" s="130"/>
      <c r="AN897" s="130"/>
      <c r="AO897" s="130"/>
      <c r="AP897" s="130"/>
      <c r="AQ897" s="130"/>
      <c r="AR897" s="130"/>
      <c r="AS897" s="130"/>
      <c r="AT897" s="130"/>
      <c r="AU897" s="130"/>
      <c r="AV897" s="129"/>
      <c r="AW897" s="129"/>
      <c r="AX897" s="129"/>
      <c r="AY897" s="129"/>
      <c r="AZ897" s="129"/>
      <c r="BA897" s="129"/>
      <c r="BB897" s="129"/>
    </row>
    <row r="898" ht="15.75" customHeight="1">
      <c r="A898" s="141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30"/>
      <c r="AM898" s="130"/>
      <c r="AN898" s="130"/>
      <c r="AO898" s="130"/>
      <c r="AP898" s="130"/>
      <c r="AQ898" s="130"/>
      <c r="AR898" s="130"/>
      <c r="AS898" s="130"/>
      <c r="AT898" s="130"/>
      <c r="AU898" s="130"/>
      <c r="AV898" s="129"/>
      <c r="AW898" s="129"/>
      <c r="AX898" s="129"/>
      <c r="AY898" s="129"/>
      <c r="AZ898" s="129"/>
      <c r="BA898" s="129"/>
      <c r="BB898" s="129"/>
    </row>
    <row r="899" ht="15.75" customHeight="1">
      <c r="A899" s="141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30"/>
      <c r="AM899" s="130"/>
      <c r="AN899" s="130"/>
      <c r="AO899" s="130"/>
      <c r="AP899" s="130"/>
      <c r="AQ899" s="130"/>
      <c r="AR899" s="130"/>
      <c r="AS899" s="130"/>
      <c r="AT899" s="130"/>
      <c r="AU899" s="130"/>
      <c r="AV899" s="129"/>
      <c r="AW899" s="129"/>
      <c r="AX899" s="129"/>
      <c r="AY899" s="129"/>
      <c r="AZ899" s="129"/>
      <c r="BA899" s="129"/>
      <c r="BB899" s="129"/>
    </row>
    <row r="900" ht="15.75" customHeight="1">
      <c r="A900" s="141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30"/>
      <c r="AM900" s="130"/>
      <c r="AN900" s="130"/>
      <c r="AO900" s="130"/>
      <c r="AP900" s="130"/>
      <c r="AQ900" s="130"/>
      <c r="AR900" s="130"/>
      <c r="AS900" s="130"/>
      <c r="AT900" s="130"/>
      <c r="AU900" s="130"/>
      <c r="AV900" s="129"/>
      <c r="AW900" s="129"/>
      <c r="AX900" s="129"/>
      <c r="AY900" s="129"/>
      <c r="AZ900" s="129"/>
      <c r="BA900" s="129"/>
      <c r="BB900" s="129"/>
    </row>
    <row r="901" ht="15.75" customHeight="1">
      <c r="A901" s="141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30"/>
      <c r="AM901" s="130"/>
      <c r="AN901" s="130"/>
      <c r="AO901" s="130"/>
      <c r="AP901" s="130"/>
      <c r="AQ901" s="130"/>
      <c r="AR901" s="130"/>
      <c r="AS901" s="130"/>
      <c r="AT901" s="130"/>
      <c r="AU901" s="130"/>
      <c r="AV901" s="129"/>
      <c r="AW901" s="129"/>
      <c r="AX901" s="129"/>
      <c r="AY901" s="129"/>
      <c r="AZ901" s="129"/>
      <c r="BA901" s="129"/>
      <c r="BB901" s="129"/>
    </row>
    <row r="902" ht="15.75" customHeight="1">
      <c r="A902" s="141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30"/>
      <c r="AM902" s="130"/>
      <c r="AN902" s="130"/>
      <c r="AO902" s="130"/>
      <c r="AP902" s="130"/>
      <c r="AQ902" s="130"/>
      <c r="AR902" s="130"/>
      <c r="AS902" s="130"/>
      <c r="AT902" s="130"/>
      <c r="AU902" s="130"/>
      <c r="AV902" s="129"/>
      <c r="AW902" s="129"/>
      <c r="AX902" s="129"/>
      <c r="AY902" s="129"/>
      <c r="AZ902" s="129"/>
      <c r="BA902" s="129"/>
      <c r="BB902" s="129"/>
    </row>
    <row r="903" ht="15.75" customHeight="1">
      <c r="A903" s="141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30"/>
      <c r="AM903" s="130"/>
      <c r="AN903" s="130"/>
      <c r="AO903" s="130"/>
      <c r="AP903" s="130"/>
      <c r="AQ903" s="130"/>
      <c r="AR903" s="130"/>
      <c r="AS903" s="130"/>
      <c r="AT903" s="130"/>
      <c r="AU903" s="130"/>
      <c r="AV903" s="129"/>
      <c r="AW903" s="129"/>
      <c r="AX903" s="129"/>
      <c r="AY903" s="129"/>
      <c r="AZ903" s="129"/>
      <c r="BA903" s="129"/>
      <c r="BB903" s="129"/>
    </row>
    <row r="904" ht="15.75" customHeight="1">
      <c r="A904" s="141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30"/>
      <c r="AM904" s="130"/>
      <c r="AN904" s="130"/>
      <c r="AO904" s="130"/>
      <c r="AP904" s="130"/>
      <c r="AQ904" s="130"/>
      <c r="AR904" s="130"/>
      <c r="AS904" s="130"/>
      <c r="AT904" s="130"/>
      <c r="AU904" s="130"/>
      <c r="AV904" s="129"/>
      <c r="AW904" s="129"/>
      <c r="AX904" s="129"/>
      <c r="AY904" s="129"/>
      <c r="AZ904" s="129"/>
      <c r="BA904" s="129"/>
      <c r="BB904" s="129"/>
    </row>
    <row r="905" ht="15.75" customHeight="1">
      <c r="A905" s="141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30"/>
      <c r="AM905" s="130"/>
      <c r="AN905" s="130"/>
      <c r="AO905" s="130"/>
      <c r="AP905" s="130"/>
      <c r="AQ905" s="130"/>
      <c r="AR905" s="130"/>
      <c r="AS905" s="130"/>
      <c r="AT905" s="130"/>
      <c r="AU905" s="130"/>
      <c r="AV905" s="129"/>
      <c r="AW905" s="129"/>
      <c r="AX905" s="129"/>
      <c r="AY905" s="129"/>
      <c r="AZ905" s="129"/>
      <c r="BA905" s="129"/>
      <c r="BB905" s="129"/>
    </row>
    <row r="906" ht="15.75" customHeight="1">
      <c r="A906" s="141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30"/>
      <c r="AM906" s="130"/>
      <c r="AN906" s="130"/>
      <c r="AO906" s="130"/>
      <c r="AP906" s="130"/>
      <c r="AQ906" s="130"/>
      <c r="AR906" s="130"/>
      <c r="AS906" s="130"/>
      <c r="AT906" s="130"/>
      <c r="AU906" s="130"/>
      <c r="AV906" s="129"/>
      <c r="AW906" s="129"/>
      <c r="AX906" s="129"/>
      <c r="AY906" s="129"/>
      <c r="AZ906" s="129"/>
      <c r="BA906" s="129"/>
      <c r="BB906" s="129"/>
    </row>
    <row r="907" ht="15.75" customHeight="1">
      <c r="A907" s="141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30"/>
      <c r="AM907" s="130"/>
      <c r="AN907" s="130"/>
      <c r="AO907" s="130"/>
      <c r="AP907" s="130"/>
      <c r="AQ907" s="130"/>
      <c r="AR907" s="130"/>
      <c r="AS907" s="130"/>
      <c r="AT907" s="130"/>
      <c r="AU907" s="130"/>
      <c r="AV907" s="129"/>
      <c r="AW907" s="129"/>
      <c r="AX907" s="129"/>
      <c r="AY907" s="129"/>
      <c r="AZ907" s="129"/>
      <c r="BA907" s="129"/>
      <c r="BB907" s="129"/>
    </row>
    <row r="908" ht="15.75" customHeight="1">
      <c r="A908" s="141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30"/>
      <c r="AM908" s="130"/>
      <c r="AN908" s="130"/>
      <c r="AO908" s="130"/>
      <c r="AP908" s="130"/>
      <c r="AQ908" s="130"/>
      <c r="AR908" s="130"/>
      <c r="AS908" s="130"/>
      <c r="AT908" s="130"/>
      <c r="AU908" s="130"/>
      <c r="AV908" s="129"/>
      <c r="AW908" s="129"/>
      <c r="AX908" s="129"/>
      <c r="AY908" s="129"/>
      <c r="AZ908" s="129"/>
      <c r="BA908" s="129"/>
      <c r="BB908" s="129"/>
    </row>
    <row r="909" ht="15.75" customHeight="1">
      <c r="A909" s="141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30"/>
      <c r="AM909" s="130"/>
      <c r="AN909" s="130"/>
      <c r="AO909" s="130"/>
      <c r="AP909" s="130"/>
      <c r="AQ909" s="130"/>
      <c r="AR909" s="130"/>
      <c r="AS909" s="130"/>
      <c r="AT909" s="130"/>
      <c r="AU909" s="130"/>
      <c r="AV909" s="129"/>
      <c r="AW909" s="129"/>
      <c r="AX909" s="129"/>
      <c r="AY909" s="129"/>
      <c r="AZ909" s="129"/>
      <c r="BA909" s="129"/>
      <c r="BB909" s="129"/>
    </row>
    <row r="910" ht="15.75" customHeight="1">
      <c r="A910" s="141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30"/>
      <c r="AM910" s="130"/>
      <c r="AN910" s="130"/>
      <c r="AO910" s="130"/>
      <c r="AP910" s="130"/>
      <c r="AQ910" s="130"/>
      <c r="AR910" s="130"/>
      <c r="AS910" s="130"/>
      <c r="AT910" s="130"/>
      <c r="AU910" s="130"/>
      <c r="AV910" s="129"/>
      <c r="AW910" s="129"/>
      <c r="AX910" s="129"/>
      <c r="AY910" s="129"/>
      <c r="AZ910" s="129"/>
      <c r="BA910" s="129"/>
      <c r="BB910" s="129"/>
    </row>
    <row r="911" ht="15.75" customHeight="1">
      <c r="A911" s="141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30"/>
      <c r="AM911" s="130"/>
      <c r="AN911" s="130"/>
      <c r="AO911" s="130"/>
      <c r="AP911" s="130"/>
      <c r="AQ911" s="130"/>
      <c r="AR911" s="130"/>
      <c r="AS911" s="130"/>
      <c r="AT911" s="130"/>
      <c r="AU911" s="130"/>
      <c r="AV911" s="129"/>
      <c r="AW911" s="129"/>
      <c r="AX911" s="129"/>
      <c r="AY911" s="129"/>
      <c r="AZ911" s="129"/>
      <c r="BA911" s="129"/>
      <c r="BB911" s="129"/>
    </row>
    <row r="912" ht="15.75" customHeight="1">
      <c r="A912" s="141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30"/>
      <c r="AM912" s="130"/>
      <c r="AN912" s="130"/>
      <c r="AO912" s="130"/>
      <c r="AP912" s="130"/>
      <c r="AQ912" s="130"/>
      <c r="AR912" s="130"/>
      <c r="AS912" s="130"/>
      <c r="AT912" s="130"/>
      <c r="AU912" s="130"/>
      <c r="AV912" s="129"/>
      <c r="AW912" s="129"/>
      <c r="AX912" s="129"/>
      <c r="AY912" s="129"/>
      <c r="AZ912" s="129"/>
      <c r="BA912" s="129"/>
      <c r="BB912" s="129"/>
    </row>
    <row r="913" ht="15.75" customHeight="1">
      <c r="A913" s="141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30"/>
      <c r="AM913" s="130"/>
      <c r="AN913" s="130"/>
      <c r="AO913" s="130"/>
      <c r="AP913" s="130"/>
      <c r="AQ913" s="130"/>
      <c r="AR913" s="130"/>
      <c r="AS913" s="130"/>
      <c r="AT913" s="130"/>
      <c r="AU913" s="130"/>
      <c r="AV913" s="129"/>
      <c r="AW913" s="129"/>
      <c r="AX913" s="129"/>
      <c r="AY913" s="129"/>
      <c r="AZ913" s="129"/>
      <c r="BA913" s="129"/>
      <c r="BB913" s="129"/>
    </row>
    <row r="914" ht="15.75" customHeight="1">
      <c r="A914" s="141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30"/>
      <c r="AM914" s="130"/>
      <c r="AN914" s="130"/>
      <c r="AO914" s="130"/>
      <c r="AP914" s="130"/>
      <c r="AQ914" s="130"/>
      <c r="AR914" s="130"/>
      <c r="AS914" s="130"/>
      <c r="AT914" s="130"/>
      <c r="AU914" s="130"/>
      <c r="AV914" s="129"/>
      <c r="AW914" s="129"/>
      <c r="AX914" s="129"/>
      <c r="AY914" s="129"/>
      <c r="AZ914" s="129"/>
      <c r="BA914" s="129"/>
      <c r="BB914" s="129"/>
    </row>
    <row r="915" ht="15.75" customHeight="1">
      <c r="A915" s="141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30"/>
      <c r="AM915" s="130"/>
      <c r="AN915" s="130"/>
      <c r="AO915" s="130"/>
      <c r="AP915" s="130"/>
      <c r="AQ915" s="130"/>
      <c r="AR915" s="130"/>
      <c r="AS915" s="130"/>
      <c r="AT915" s="130"/>
      <c r="AU915" s="130"/>
      <c r="AV915" s="129"/>
      <c r="AW915" s="129"/>
      <c r="AX915" s="129"/>
      <c r="AY915" s="129"/>
      <c r="AZ915" s="129"/>
      <c r="BA915" s="129"/>
      <c r="BB915" s="129"/>
    </row>
    <row r="916" ht="15.75" customHeight="1">
      <c r="A916" s="141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30"/>
      <c r="AM916" s="130"/>
      <c r="AN916" s="130"/>
      <c r="AO916" s="130"/>
      <c r="AP916" s="130"/>
      <c r="AQ916" s="130"/>
      <c r="AR916" s="130"/>
      <c r="AS916" s="130"/>
      <c r="AT916" s="130"/>
      <c r="AU916" s="130"/>
      <c r="AV916" s="129"/>
      <c r="AW916" s="129"/>
      <c r="AX916" s="129"/>
      <c r="AY916" s="129"/>
      <c r="AZ916" s="129"/>
      <c r="BA916" s="129"/>
      <c r="BB916" s="129"/>
    </row>
    <row r="917" ht="15.75" customHeight="1">
      <c r="A917" s="141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30"/>
      <c r="AM917" s="130"/>
      <c r="AN917" s="130"/>
      <c r="AO917" s="130"/>
      <c r="AP917" s="130"/>
      <c r="AQ917" s="130"/>
      <c r="AR917" s="130"/>
      <c r="AS917" s="130"/>
      <c r="AT917" s="130"/>
      <c r="AU917" s="130"/>
      <c r="AV917" s="129"/>
      <c r="AW917" s="129"/>
      <c r="AX917" s="129"/>
      <c r="AY917" s="129"/>
      <c r="AZ917" s="129"/>
      <c r="BA917" s="129"/>
      <c r="BB917" s="129"/>
    </row>
    <row r="918" ht="15.75" customHeight="1">
      <c r="A918" s="141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30"/>
      <c r="AM918" s="130"/>
      <c r="AN918" s="130"/>
      <c r="AO918" s="130"/>
      <c r="AP918" s="130"/>
      <c r="AQ918" s="130"/>
      <c r="AR918" s="130"/>
      <c r="AS918" s="130"/>
      <c r="AT918" s="130"/>
      <c r="AU918" s="130"/>
      <c r="AV918" s="129"/>
      <c r="AW918" s="129"/>
      <c r="AX918" s="129"/>
      <c r="AY918" s="129"/>
      <c r="AZ918" s="129"/>
      <c r="BA918" s="129"/>
      <c r="BB918" s="129"/>
    </row>
    <row r="919" ht="15.75" customHeight="1">
      <c r="A919" s="141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30"/>
      <c r="AM919" s="130"/>
      <c r="AN919" s="130"/>
      <c r="AO919" s="130"/>
      <c r="AP919" s="130"/>
      <c r="AQ919" s="130"/>
      <c r="AR919" s="130"/>
      <c r="AS919" s="130"/>
      <c r="AT919" s="130"/>
      <c r="AU919" s="130"/>
      <c r="AV919" s="129"/>
      <c r="AW919" s="129"/>
      <c r="AX919" s="129"/>
      <c r="AY919" s="129"/>
      <c r="AZ919" s="129"/>
      <c r="BA919" s="129"/>
      <c r="BB919" s="129"/>
    </row>
    <row r="920" ht="15.75" customHeight="1">
      <c r="A920" s="141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30"/>
      <c r="AM920" s="130"/>
      <c r="AN920" s="130"/>
      <c r="AO920" s="130"/>
      <c r="AP920" s="130"/>
      <c r="AQ920" s="130"/>
      <c r="AR920" s="130"/>
      <c r="AS920" s="130"/>
      <c r="AT920" s="130"/>
      <c r="AU920" s="130"/>
      <c r="AV920" s="129"/>
      <c r="AW920" s="129"/>
      <c r="AX920" s="129"/>
      <c r="AY920" s="129"/>
      <c r="AZ920" s="129"/>
      <c r="BA920" s="129"/>
      <c r="BB920" s="129"/>
    </row>
    <row r="921" ht="15.75" customHeight="1">
      <c r="A921" s="141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30"/>
      <c r="AM921" s="130"/>
      <c r="AN921" s="130"/>
      <c r="AO921" s="130"/>
      <c r="AP921" s="130"/>
      <c r="AQ921" s="130"/>
      <c r="AR921" s="130"/>
      <c r="AS921" s="130"/>
      <c r="AT921" s="130"/>
      <c r="AU921" s="130"/>
      <c r="AV921" s="129"/>
      <c r="AW921" s="129"/>
      <c r="AX921" s="129"/>
      <c r="AY921" s="129"/>
      <c r="AZ921" s="129"/>
      <c r="BA921" s="129"/>
      <c r="BB921" s="129"/>
    </row>
    <row r="922" ht="15.75" customHeight="1">
      <c r="A922" s="141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30"/>
      <c r="AM922" s="130"/>
      <c r="AN922" s="130"/>
      <c r="AO922" s="130"/>
      <c r="AP922" s="130"/>
      <c r="AQ922" s="130"/>
      <c r="AR922" s="130"/>
      <c r="AS922" s="130"/>
      <c r="AT922" s="130"/>
      <c r="AU922" s="130"/>
      <c r="AV922" s="129"/>
      <c r="AW922" s="129"/>
      <c r="AX922" s="129"/>
      <c r="AY922" s="129"/>
      <c r="AZ922" s="129"/>
      <c r="BA922" s="129"/>
      <c r="BB922" s="129"/>
    </row>
    <row r="923" ht="15.75" customHeight="1">
      <c r="A923" s="141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30"/>
      <c r="AM923" s="130"/>
      <c r="AN923" s="130"/>
      <c r="AO923" s="130"/>
      <c r="AP923" s="130"/>
      <c r="AQ923" s="130"/>
      <c r="AR923" s="130"/>
      <c r="AS923" s="130"/>
      <c r="AT923" s="130"/>
      <c r="AU923" s="130"/>
      <c r="AV923" s="129"/>
      <c r="AW923" s="129"/>
      <c r="AX923" s="129"/>
      <c r="AY923" s="129"/>
      <c r="AZ923" s="129"/>
      <c r="BA923" s="129"/>
      <c r="BB923" s="129"/>
    </row>
    <row r="924" ht="15.75" customHeight="1">
      <c r="A924" s="141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30"/>
      <c r="AM924" s="130"/>
      <c r="AN924" s="130"/>
      <c r="AO924" s="130"/>
      <c r="AP924" s="130"/>
      <c r="AQ924" s="130"/>
      <c r="AR924" s="130"/>
      <c r="AS924" s="130"/>
      <c r="AT924" s="130"/>
      <c r="AU924" s="130"/>
      <c r="AV924" s="129"/>
      <c r="AW924" s="129"/>
      <c r="AX924" s="129"/>
      <c r="AY924" s="129"/>
      <c r="AZ924" s="129"/>
      <c r="BA924" s="129"/>
      <c r="BB924" s="129"/>
    </row>
    <row r="925" ht="15.75" customHeight="1">
      <c r="A925" s="141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30"/>
      <c r="AM925" s="130"/>
      <c r="AN925" s="130"/>
      <c r="AO925" s="130"/>
      <c r="AP925" s="130"/>
      <c r="AQ925" s="130"/>
      <c r="AR925" s="130"/>
      <c r="AS925" s="130"/>
      <c r="AT925" s="130"/>
      <c r="AU925" s="130"/>
      <c r="AV925" s="129"/>
      <c r="AW925" s="129"/>
      <c r="AX925" s="129"/>
      <c r="AY925" s="129"/>
      <c r="AZ925" s="129"/>
      <c r="BA925" s="129"/>
      <c r="BB925" s="129"/>
    </row>
    <row r="926" ht="15.75" customHeight="1">
      <c r="A926" s="141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30"/>
      <c r="AM926" s="130"/>
      <c r="AN926" s="130"/>
      <c r="AO926" s="130"/>
      <c r="AP926" s="130"/>
      <c r="AQ926" s="130"/>
      <c r="AR926" s="130"/>
      <c r="AS926" s="130"/>
      <c r="AT926" s="130"/>
      <c r="AU926" s="130"/>
      <c r="AV926" s="129"/>
      <c r="AW926" s="129"/>
      <c r="AX926" s="129"/>
      <c r="AY926" s="129"/>
      <c r="AZ926" s="129"/>
      <c r="BA926" s="129"/>
      <c r="BB926" s="129"/>
    </row>
    <row r="927" ht="15.75" customHeight="1">
      <c r="A927" s="141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30"/>
      <c r="AM927" s="130"/>
      <c r="AN927" s="130"/>
      <c r="AO927" s="130"/>
      <c r="AP927" s="130"/>
      <c r="AQ927" s="130"/>
      <c r="AR927" s="130"/>
      <c r="AS927" s="130"/>
      <c r="AT927" s="130"/>
      <c r="AU927" s="130"/>
      <c r="AV927" s="129"/>
      <c r="AW927" s="129"/>
      <c r="AX927" s="129"/>
      <c r="AY927" s="129"/>
      <c r="AZ927" s="129"/>
      <c r="BA927" s="129"/>
      <c r="BB927" s="129"/>
    </row>
    <row r="928" ht="15.75" customHeight="1">
      <c r="A928" s="141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30"/>
      <c r="AM928" s="130"/>
      <c r="AN928" s="130"/>
      <c r="AO928" s="130"/>
      <c r="AP928" s="130"/>
      <c r="AQ928" s="130"/>
      <c r="AR928" s="130"/>
      <c r="AS928" s="130"/>
      <c r="AT928" s="130"/>
      <c r="AU928" s="130"/>
      <c r="AV928" s="129"/>
      <c r="AW928" s="129"/>
      <c r="AX928" s="129"/>
      <c r="AY928" s="129"/>
      <c r="AZ928" s="129"/>
      <c r="BA928" s="129"/>
      <c r="BB928" s="129"/>
    </row>
    <row r="929" ht="15.75" customHeight="1">
      <c r="A929" s="141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30"/>
      <c r="AM929" s="130"/>
      <c r="AN929" s="130"/>
      <c r="AO929" s="130"/>
      <c r="AP929" s="130"/>
      <c r="AQ929" s="130"/>
      <c r="AR929" s="130"/>
      <c r="AS929" s="130"/>
      <c r="AT929" s="130"/>
      <c r="AU929" s="130"/>
      <c r="AV929" s="129"/>
      <c r="AW929" s="129"/>
      <c r="AX929" s="129"/>
      <c r="AY929" s="129"/>
      <c r="AZ929" s="129"/>
      <c r="BA929" s="129"/>
      <c r="BB929" s="129"/>
    </row>
    <row r="930" ht="15.75" customHeight="1">
      <c r="A930" s="141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30"/>
      <c r="AM930" s="130"/>
      <c r="AN930" s="130"/>
      <c r="AO930" s="130"/>
      <c r="AP930" s="130"/>
      <c r="AQ930" s="130"/>
      <c r="AR930" s="130"/>
      <c r="AS930" s="130"/>
      <c r="AT930" s="130"/>
      <c r="AU930" s="130"/>
      <c r="AV930" s="129"/>
      <c r="AW930" s="129"/>
      <c r="AX930" s="129"/>
      <c r="AY930" s="129"/>
      <c r="AZ930" s="129"/>
      <c r="BA930" s="129"/>
      <c r="BB930" s="129"/>
    </row>
    <row r="931" ht="15.75" customHeight="1">
      <c r="A931" s="141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30"/>
      <c r="AM931" s="130"/>
      <c r="AN931" s="130"/>
      <c r="AO931" s="130"/>
      <c r="AP931" s="130"/>
      <c r="AQ931" s="130"/>
      <c r="AR931" s="130"/>
      <c r="AS931" s="130"/>
      <c r="AT931" s="130"/>
      <c r="AU931" s="130"/>
      <c r="AV931" s="129"/>
      <c r="AW931" s="129"/>
      <c r="AX931" s="129"/>
      <c r="AY931" s="129"/>
      <c r="AZ931" s="129"/>
      <c r="BA931" s="129"/>
      <c r="BB931" s="129"/>
    </row>
    <row r="932" ht="15.75" customHeight="1">
      <c r="A932" s="141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30"/>
      <c r="AM932" s="130"/>
      <c r="AN932" s="130"/>
      <c r="AO932" s="130"/>
      <c r="AP932" s="130"/>
      <c r="AQ932" s="130"/>
      <c r="AR932" s="130"/>
      <c r="AS932" s="130"/>
      <c r="AT932" s="130"/>
      <c r="AU932" s="130"/>
      <c r="AV932" s="129"/>
      <c r="AW932" s="129"/>
      <c r="AX932" s="129"/>
      <c r="AY932" s="129"/>
      <c r="AZ932" s="129"/>
      <c r="BA932" s="129"/>
      <c r="BB932" s="129"/>
    </row>
    <row r="933" ht="15.75" customHeight="1">
      <c r="A933" s="141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30"/>
      <c r="AM933" s="130"/>
      <c r="AN933" s="130"/>
      <c r="AO933" s="130"/>
      <c r="AP933" s="130"/>
      <c r="AQ933" s="130"/>
      <c r="AR933" s="130"/>
      <c r="AS933" s="130"/>
      <c r="AT933" s="130"/>
      <c r="AU933" s="130"/>
      <c r="AV933" s="129"/>
      <c r="AW933" s="129"/>
      <c r="AX933" s="129"/>
      <c r="AY933" s="129"/>
      <c r="AZ933" s="129"/>
      <c r="BA933" s="129"/>
      <c r="BB933" s="129"/>
    </row>
    <row r="934" ht="15.75" customHeight="1">
      <c r="A934" s="141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30"/>
      <c r="AM934" s="130"/>
      <c r="AN934" s="130"/>
      <c r="AO934" s="130"/>
      <c r="AP934" s="130"/>
      <c r="AQ934" s="130"/>
      <c r="AR934" s="130"/>
      <c r="AS934" s="130"/>
      <c r="AT934" s="130"/>
      <c r="AU934" s="130"/>
      <c r="AV934" s="129"/>
      <c r="AW934" s="129"/>
      <c r="AX934" s="129"/>
      <c r="AY934" s="129"/>
      <c r="AZ934" s="129"/>
      <c r="BA934" s="129"/>
      <c r="BB934" s="129"/>
    </row>
    <row r="935" ht="15.75" customHeight="1">
      <c r="A935" s="141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30"/>
      <c r="AM935" s="130"/>
      <c r="AN935" s="130"/>
      <c r="AO935" s="130"/>
      <c r="AP935" s="130"/>
      <c r="AQ935" s="130"/>
      <c r="AR935" s="130"/>
      <c r="AS935" s="130"/>
      <c r="AT935" s="130"/>
      <c r="AU935" s="130"/>
      <c r="AV935" s="129"/>
      <c r="AW935" s="129"/>
      <c r="AX935" s="129"/>
      <c r="AY935" s="129"/>
      <c r="AZ935" s="129"/>
      <c r="BA935" s="129"/>
      <c r="BB935" s="129"/>
    </row>
    <row r="936" ht="15.75" customHeight="1">
      <c r="A936" s="141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30"/>
      <c r="AM936" s="130"/>
      <c r="AN936" s="130"/>
      <c r="AO936" s="130"/>
      <c r="AP936" s="130"/>
      <c r="AQ936" s="130"/>
      <c r="AR936" s="130"/>
      <c r="AS936" s="130"/>
      <c r="AT936" s="130"/>
      <c r="AU936" s="130"/>
      <c r="AV936" s="129"/>
      <c r="AW936" s="129"/>
      <c r="AX936" s="129"/>
      <c r="AY936" s="129"/>
      <c r="AZ936" s="129"/>
      <c r="BA936" s="129"/>
      <c r="BB936" s="129"/>
    </row>
    <row r="937" ht="15.75" customHeight="1">
      <c r="A937" s="141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30"/>
      <c r="AM937" s="130"/>
      <c r="AN937" s="130"/>
      <c r="AO937" s="130"/>
      <c r="AP937" s="130"/>
      <c r="AQ937" s="130"/>
      <c r="AR937" s="130"/>
      <c r="AS937" s="130"/>
      <c r="AT937" s="130"/>
      <c r="AU937" s="130"/>
      <c r="AV937" s="129"/>
      <c r="AW937" s="129"/>
      <c r="AX937" s="129"/>
      <c r="AY937" s="129"/>
      <c r="AZ937" s="129"/>
      <c r="BA937" s="129"/>
      <c r="BB937" s="129"/>
    </row>
    <row r="938" ht="15.75" customHeight="1">
      <c r="A938" s="141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30"/>
      <c r="AM938" s="130"/>
      <c r="AN938" s="130"/>
      <c r="AO938" s="130"/>
      <c r="AP938" s="130"/>
      <c r="AQ938" s="130"/>
      <c r="AR938" s="130"/>
      <c r="AS938" s="130"/>
      <c r="AT938" s="130"/>
      <c r="AU938" s="130"/>
      <c r="AV938" s="129"/>
      <c r="AW938" s="129"/>
      <c r="AX938" s="129"/>
      <c r="AY938" s="129"/>
      <c r="AZ938" s="129"/>
      <c r="BA938" s="129"/>
      <c r="BB938" s="129"/>
    </row>
    <row r="939" ht="15.75" customHeight="1">
      <c r="A939" s="141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30"/>
      <c r="AM939" s="130"/>
      <c r="AN939" s="130"/>
      <c r="AO939" s="130"/>
      <c r="AP939" s="130"/>
      <c r="AQ939" s="130"/>
      <c r="AR939" s="130"/>
      <c r="AS939" s="130"/>
      <c r="AT939" s="130"/>
      <c r="AU939" s="130"/>
      <c r="AV939" s="129"/>
      <c r="AW939" s="129"/>
      <c r="AX939" s="129"/>
      <c r="AY939" s="129"/>
      <c r="AZ939" s="129"/>
      <c r="BA939" s="129"/>
      <c r="BB939" s="129"/>
    </row>
    <row r="940" ht="15.75" customHeight="1">
      <c r="A940" s="141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30"/>
      <c r="AM940" s="130"/>
      <c r="AN940" s="130"/>
      <c r="AO940" s="130"/>
      <c r="AP940" s="130"/>
      <c r="AQ940" s="130"/>
      <c r="AR940" s="130"/>
      <c r="AS940" s="130"/>
      <c r="AT940" s="130"/>
      <c r="AU940" s="130"/>
      <c r="AV940" s="129"/>
      <c r="AW940" s="129"/>
      <c r="AX940" s="129"/>
      <c r="AY940" s="129"/>
      <c r="AZ940" s="129"/>
      <c r="BA940" s="129"/>
      <c r="BB940" s="129"/>
    </row>
    <row r="941" ht="15.75" customHeight="1">
      <c r="A941" s="141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30"/>
      <c r="AM941" s="130"/>
      <c r="AN941" s="130"/>
      <c r="AO941" s="130"/>
      <c r="AP941" s="130"/>
      <c r="AQ941" s="130"/>
      <c r="AR941" s="130"/>
      <c r="AS941" s="130"/>
      <c r="AT941" s="130"/>
      <c r="AU941" s="130"/>
      <c r="AV941" s="129"/>
      <c r="AW941" s="129"/>
      <c r="AX941" s="129"/>
      <c r="AY941" s="129"/>
      <c r="AZ941" s="129"/>
      <c r="BA941" s="129"/>
      <c r="BB941" s="129"/>
    </row>
    <row r="942" ht="15.75" customHeight="1">
      <c r="A942" s="141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30"/>
      <c r="AM942" s="130"/>
      <c r="AN942" s="130"/>
      <c r="AO942" s="130"/>
      <c r="AP942" s="130"/>
      <c r="AQ942" s="130"/>
      <c r="AR942" s="130"/>
      <c r="AS942" s="130"/>
      <c r="AT942" s="130"/>
      <c r="AU942" s="130"/>
      <c r="AV942" s="129"/>
      <c r="AW942" s="129"/>
      <c r="AX942" s="129"/>
      <c r="AY942" s="129"/>
      <c r="AZ942" s="129"/>
      <c r="BA942" s="129"/>
      <c r="BB942" s="129"/>
    </row>
    <row r="943" ht="15.75" customHeight="1">
      <c r="A943" s="141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30"/>
      <c r="AM943" s="130"/>
      <c r="AN943" s="130"/>
      <c r="AO943" s="130"/>
      <c r="AP943" s="130"/>
      <c r="AQ943" s="130"/>
      <c r="AR943" s="130"/>
      <c r="AS943" s="130"/>
      <c r="AT943" s="130"/>
      <c r="AU943" s="130"/>
      <c r="AV943" s="129"/>
      <c r="AW943" s="129"/>
      <c r="AX943" s="129"/>
      <c r="AY943" s="129"/>
      <c r="AZ943" s="129"/>
      <c r="BA943" s="129"/>
      <c r="BB943" s="129"/>
    </row>
    <row r="944" ht="15.75" customHeight="1">
      <c r="A944" s="141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30"/>
      <c r="AM944" s="130"/>
      <c r="AN944" s="130"/>
      <c r="AO944" s="130"/>
      <c r="AP944" s="130"/>
      <c r="AQ944" s="130"/>
      <c r="AR944" s="130"/>
      <c r="AS944" s="130"/>
      <c r="AT944" s="130"/>
      <c r="AU944" s="130"/>
      <c r="AV944" s="129"/>
      <c r="AW944" s="129"/>
      <c r="AX944" s="129"/>
      <c r="AY944" s="129"/>
      <c r="AZ944" s="129"/>
      <c r="BA944" s="129"/>
      <c r="BB944" s="129"/>
    </row>
    <row r="945" ht="15.75" customHeight="1">
      <c r="A945" s="141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30"/>
      <c r="AM945" s="130"/>
      <c r="AN945" s="130"/>
      <c r="AO945" s="130"/>
      <c r="AP945" s="130"/>
      <c r="AQ945" s="130"/>
      <c r="AR945" s="130"/>
      <c r="AS945" s="130"/>
      <c r="AT945" s="130"/>
      <c r="AU945" s="130"/>
      <c r="AV945" s="129"/>
      <c r="AW945" s="129"/>
      <c r="AX945" s="129"/>
      <c r="AY945" s="129"/>
      <c r="AZ945" s="129"/>
      <c r="BA945" s="129"/>
      <c r="BB945" s="129"/>
    </row>
    <row r="946" ht="15.75" customHeight="1">
      <c r="A946" s="141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30"/>
      <c r="AM946" s="130"/>
      <c r="AN946" s="130"/>
      <c r="AO946" s="130"/>
      <c r="AP946" s="130"/>
      <c r="AQ946" s="130"/>
      <c r="AR946" s="130"/>
      <c r="AS946" s="130"/>
      <c r="AT946" s="130"/>
      <c r="AU946" s="130"/>
      <c r="AV946" s="129"/>
      <c r="AW946" s="129"/>
      <c r="AX946" s="129"/>
      <c r="AY946" s="129"/>
      <c r="AZ946" s="129"/>
      <c r="BA946" s="129"/>
      <c r="BB946" s="129"/>
    </row>
    <row r="947" ht="15.75" customHeight="1">
      <c r="A947" s="141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30"/>
      <c r="AM947" s="130"/>
      <c r="AN947" s="130"/>
      <c r="AO947" s="130"/>
      <c r="AP947" s="130"/>
      <c r="AQ947" s="130"/>
      <c r="AR947" s="130"/>
      <c r="AS947" s="130"/>
      <c r="AT947" s="130"/>
      <c r="AU947" s="130"/>
      <c r="AV947" s="129"/>
      <c r="AW947" s="129"/>
      <c r="AX947" s="129"/>
      <c r="AY947" s="129"/>
      <c r="AZ947" s="129"/>
      <c r="BA947" s="129"/>
      <c r="BB947" s="129"/>
    </row>
    <row r="948" ht="15.75" customHeight="1">
      <c r="A948" s="141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30"/>
      <c r="AM948" s="130"/>
      <c r="AN948" s="130"/>
      <c r="AO948" s="130"/>
      <c r="AP948" s="130"/>
      <c r="AQ948" s="130"/>
      <c r="AR948" s="130"/>
      <c r="AS948" s="130"/>
      <c r="AT948" s="130"/>
      <c r="AU948" s="130"/>
      <c r="AV948" s="129"/>
      <c r="AW948" s="129"/>
      <c r="AX948" s="129"/>
      <c r="AY948" s="129"/>
      <c r="AZ948" s="129"/>
      <c r="BA948" s="129"/>
      <c r="BB948" s="129"/>
    </row>
    <row r="949" ht="15.75" customHeight="1">
      <c r="A949" s="141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30"/>
      <c r="AM949" s="130"/>
      <c r="AN949" s="130"/>
      <c r="AO949" s="130"/>
      <c r="AP949" s="130"/>
      <c r="AQ949" s="130"/>
      <c r="AR949" s="130"/>
      <c r="AS949" s="130"/>
      <c r="AT949" s="130"/>
      <c r="AU949" s="130"/>
      <c r="AV949" s="129"/>
      <c r="AW949" s="129"/>
      <c r="AX949" s="129"/>
      <c r="AY949" s="129"/>
      <c r="AZ949" s="129"/>
      <c r="BA949" s="129"/>
      <c r="BB949" s="129"/>
    </row>
    <row r="950" ht="15.75" customHeight="1">
      <c r="A950" s="141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30"/>
      <c r="AM950" s="130"/>
      <c r="AN950" s="130"/>
      <c r="AO950" s="130"/>
      <c r="AP950" s="130"/>
      <c r="AQ950" s="130"/>
      <c r="AR950" s="130"/>
      <c r="AS950" s="130"/>
      <c r="AT950" s="130"/>
      <c r="AU950" s="130"/>
      <c r="AV950" s="129"/>
      <c r="AW950" s="129"/>
      <c r="AX950" s="129"/>
      <c r="AY950" s="129"/>
      <c r="AZ950" s="129"/>
      <c r="BA950" s="129"/>
      <c r="BB950" s="129"/>
    </row>
    <row r="951" ht="15.75" customHeight="1">
      <c r="A951" s="141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30"/>
      <c r="AM951" s="130"/>
      <c r="AN951" s="130"/>
      <c r="AO951" s="130"/>
      <c r="AP951" s="130"/>
      <c r="AQ951" s="130"/>
      <c r="AR951" s="130"/>
      <c r="AS951" s="130"/>
      <c r="AT951" s="130"/>
      <c r="AU951" s="130"/>
      <c r="AV951" s="129"/>
      <c r="AW951" s="129"/>
      <c r="AX951" s="129"/>
      <c r="AY951" s="129"/>
      <c r="AZ951" s="129"/>
      <c r="BA951" s="129"/>
      <c r="BB951" s="129"/>
    </row>
    <row r="952" ht="15.75" customHeight="1">
      <c r="A952" s="141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30"/>
      <c r="AM952" s="130"/>
      <c r="AN952" s="130"/>
      <c r="AO952" s="130"/>
      <c r="AP952" s="130"/>
      <c r="AQ952" s="130"/>
      <c r="AR952" s="130"/>
      <c r="AS952" s="130"/>
      <c r="AT952" s="130"/>
      <c r="AU952" s="130"/>
      <c r="AV952" s="129"/>
      <c r="AW952" s="129"/>
      <c r="AX952" s="129"/>
      <c r="AY952" s="129"/>
      <c r="AZ952" s="129"/>
      <c r="BA952" s="129"/>
      <c r="BB952" s="129"/>
    </row>
    <row r="953" ht="15.75" customHeight="1">
      <c r="A953" s="141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30"/>
      <c r="AM953" s="130"/>
      <c r="AN953" s="130"/>
      <c r="AO953" s="130"/>
      <c r="AP953" s="130"/>
      <c r="AQ953" s="130"/>
      <c r="AR953" s="130"/>
      <c r="AS953" s="130"/>
      <c r="AT953" s="130"/>
      <c r="AU953" s="130"/>
      <c r="AV953" s="129"/>
      <c r="AW953" s="129"/>
      <c r="AX953" s="129"/>
      <c r="AY953" s="129"/>
      <c r="AZ953" s="129"/>
      <c r="BA953" s="129"/>
      <c r="BB953" s="129"/>
    </row>
    <row r="954" ht="15.75" customHeight="1">
      <c r="A954" s="141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30"/>
      <c r="AM954" s="130"/>
      <c r="AN954" s="130"/>
      <c r="AO954" s="130"/>
      <c r="AP954" s="130"/>
      <c r="AQ954" s="130"/>
      <c r="AR954" s="130"/>
      <c r="AS954" s="130"/>
      <c r="AT954" s="130"/>
      <c r="AU954" s="130"/>
      <c r="AV954" s="129"/>
      <c r="AW954" s="129"/>
      <c r="AX954" s="129"/>
      <c r="AY954" s="129"/>
      <c r="AZ954" s="129"/>
      <c r="BA954" s="129"/>
      <c r="BB954" s="129"/>
    </row>
    <row r="955" ht="15.75" customHeight="1">
      <c r="A955" s="141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30"/>
      <c r="AM955" s="130"/>
      <c r="AN955" s="130"/>
      <c r="AO955" s="130"/>
      <c r="AP955" s="130"/>
      <c r="AQ955" s="130"/>
      <c r="AR955" s="130"/>
      <c r="AS955" s="130"/>
      <c r="AT955" s="130"/>
      <c r="AU955" s="130"/>
      <c r="AV955" s="129"/>
      <c r="AW955" s="129"/>
      <c r="AX955" s="129"/>
      <c r="AY955" s="129"/>
      <c r="AZ955" s="129"/>
      <c r="BA955" s="129"/>
      <c r="BB955" s="129"/>
    </row>
    <row r="956" ht="15.75" customHeight="1">
      <c r="A956" s="141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30"/>
      <c r="AM956" s="130"/>
      <c r="AN956" s="130"/>
      <c r="AO956" s="130"/>
      <c r="AP956" s="130"/>
      <c r="AQ956" s="130"/>
      <c r="AR956" s="130"/>
      <c r="AS956" s="130"/>
      <c r="AT956" s="130"/>
      <c r="AU956" s="130"/>
      <c r="AV956" s="129"/>
      <c r="AW956" s="129"/>
      <c r="AX956" s="129"/>
      <c r="AY956" s="129"/>
      <c r="AZ956" s="129"/>
      <c r="BA956" s="129"/>
      <c r="BB956" s="129"/>
    </row>
    <row r="957" ht="15.75" customHeight="1">
      <c r="A957" s="141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30"/>
      <c r="AM957" s="130"/>
      <c r="AN957" s="130"/>
      <c r="AO957" s="130"/>
      <c r="AP957" s="130"/>
      <c r="AQ957" s="130"/>
      <c r="AR957" s="130"/>
      <c r="AS957" s="130"/>
      <c r="AT957" s="130"/>
      <c r="AU957" s="130"/>
      <c r="AV957" s="129"/>
      <c r="AW957" s="129"/>
      <c r="AX957" s="129"/>
      <c r="AY957" s="129"/>
      <c r="AZ957" s="129"/>
      <c r="BA957" s="129"/>
      <c r="BB957" s="129"/>
    </row>
    <row r="958" ht="15.75" customHeight="1">
      <c r="A958" s="141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30"/>
      <c r="AM958" s="130"/>
      <c r="AN958" s="130"/>
      <c r="AO958" s="130"/>
      <c r="AP958" s="130"/>
      <c r="AQ958" s="130"/>
      <c r="AR958" s="130"/>
      <c r="AS958" s="130"/>
      <c r="AT958" s="130"/>
      <c r="AU958" s="130"/>
      <c r="AV958" s="129"/>
      <c r="AW958" s="129"/>
      <c r="AX958" s="129"/>
      <c r="AY958" s="129"/>
      <c r="AZ958" s="129"/>
      <c r="BA958" s="129"/>
      <c r="BB958" s="129"/>
    </row>
    <row r="959" ht="15.75" customHeight="1">
      <c r="A959" s="141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30"/>
      <c r="AM959" s="130"/>
      <c r="AN959" s="130"/>
      <c r="AO959" s="130"/>
      <c r="AP959" s="130"/>
      <c r="AQ959" s="130"/>
      <c r="AR959" s="130"/>
      <c r="AS959" s="130"/>
      <c r="AT959" s="130"/>
      <c r="AU959" s="130"/>
      <c r="AV959" s="129"/>
      <c r="AW959" s="129"/>
      <c r="AX959" s="129"/>
      <c r="AY959" s="129"/>
      <c r="AZ959" s="129"/>
      <c r="BA959" s="129"/>
      <c r="BB959" s="129"/>
    </row>
    <row r="960" ht="15.75" customHeight="1">
      <c r="A960" s="141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30"/>
      <c r="AM960" s="130"/>
      <c r="AN960" s="130"/>
      <c r="AO960" s="130"/>
      <c r="AP960" s="130"/>
      <c r="AQ960" s="130"/>
      <c r="AR960" s="130"/>
      <c r="AS960" s="130"/>
      <c r="AT960" s="130"/>
      <c r="AU960" s="130"/>
      <c r="AV960" s="129"/>
      <c r="AW960" s="129"/>
      <c r="AX960" s="129"/>
      <c r="AY960" s="129"/>
      <c r="AZ960" s="129"/>
      <c r="BA960" s="129"/>
      <c r="BB960" s="129"/>
    </row>
    <row r="961" ht="15.75" customHeight="1">
      <c r="A961" s="141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30"/>
      <c r="AM961" s="130"/>
      <c r="AN961" s="130"/>
      <c r="AO961" s="130"/>
      <c r="AP961" s="130"/>
      <c r="AQ961" s="130"/>
      <c r="AR961" s="130"/>
      <c r="AS961" s="130"/>
      <c r="AT961" s="130"/>
      <c r="AU961" s="130"/>
      <c r="AV961" s="129"/>
      <c r="AW961" s="129"/>
      <c r="AX961" s="129"/>
      <c r="AY961" s="129"/>
      <c r="AZ961" s="129"/>
      <c r="BA961" s="129"/>
      <c r="BB961" s="129"/>
    </row>
    <row r="962" ht="15.75" customHeight="1">
      <c r="A962" s="141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30"/>
      <c r="AM962" s="130"/>
      <c r="AN962" s="130"/>
      <c r="AO962" s="130"/>
      <c r="AP962" s="130"/>
      <c r="AQ962" s="130"/>
      <c r="AR962" s="130"/>
      <c r="AS962" s="130"/>
      <c r="AT962" s="130"/>
      <c r="AU962" s="130"/>
      <c r="AV962" s="129"/>
      <c r="AW962" s="129"/>
      <c r="AX962" s="129"/>
      <c r="AY962" s="129"/>
      <c r="AZ962" s="129"/>
      <c r="BA962" s="129"/>
      <c r="BB962" s="129"/>
    </row>
    <row r="963" ht="15.75" customHeight="1">
      <c r="A963" s="141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30"/>
      <c r="AM963" s="130"/>
      <c r="AN963" s="130"/>
      <c r="AO963" s="130"/>
      <c r="AP963" s="130"/>
      <c r="AQ963" s="130"/>
      <c r="AR963" s="130"/>
      <c r="AS963" s="130"/>
      <c r="AT963" s="130"/>
      <c r="AU963" s="130"/>
      <c r="AV963" s="129"/>
      <c r="AW963" s="129"/>
      <c r="AX963" s="129"/>
      <c r="AY963" s="129"/>
      <c r="AZ963" s="129"/>
      <c r="BA963" s="129"/>
      <c r="BB963" s="129"/>
    </row>
    <row r="964" ht="15.75" customHeight="1">
      <c r="A964" s="141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30"/>
      <c r="AM964" s="130"/>
      <c r="AN964" s="130"/>
      <c r="AO964" s="130"/>
      <c r="AP964" s="130"/>
      <c r="AQ964" s="130"/>
      <c r="AR964" s="130"/>
      <c r="AS964" s="130"/>
      <c r="AT964" s="130"/>
      <c r="AU964" s="130"/>
      <c r="AV964" s="129"/>
      <c r="AW964" s="129"/>
      <c r="AX964" s="129"/>
      <c r="AY964" s="129"/>
      <c r="AZ964" s="129"/>
      <c r="BA964" s="129"/>
      <c r="BB964" s="129"/>
    </row>
    <row r="965" ht="15.75" customHeight="1">
      <c r="A965" s="141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30"/>
      <c r="AM965" s="130"/>
      <c r="AN965" s="130"/>
      <c r="AO965" s="130"/>
      <c r="AP965" s="130"/>
      <c r="AQ965" s="130"/>
      <c r="AR965" s="130"/>
      <c r="AS965" s="130"/>
      <c r="AT965" s="130"/>
      <c r="AU965" s="130"/>
      <c r="AV965" s="129"/>
      <c r="AW965" s="129"/>
      <c r="AX965" s="129"/>
      <c r="AY965" s="129"/>
      <c r="AZ965" s="129"/>
      <c r="BA965" s="129"/>
      <c r="BB965" s="129"/>
    </row>
    <row r="966" ht="15.75" customHeight="1">
      <c r="A966" s="141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30"/>
      <c r="AM966" s="130"/>
      <c r="AN966" s="130"/>
      <c r="AO966" s="130"/>
      <c r="AP966" s="130"/>
      <c r="AQ966" s="130"/>
      <c r="AR966" s="130"/>
      <c r="AS966" s="130"/>
      <c r="AT966" s="130"/>
      <c r="AU966" s="130"/>
      <c r="AV966" s="129"/>
      <c r="AW966" s="129"/>
      <c r="AX966" s="129"/>
      <c r="AY966" s="129"/>
      <c r="AZ966" s="129"/>
      <c r="BA966" s="129"/>
      <c r="BB966" s="129"/>
    </row>
    <row r="967" ht="15.75" customHeight="1">
      <c r="A967" s="141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30"/>
      <c r="AM967" s="130"/>
      <c r="AN967" s="130"/>
      <c r="AO967" s="130"/>
      <c r="AP967" s="130"/>
      <c r="AQ967" s="130"/>
      <c r="AR967" s="130"/>
      <c r="AS967" s="130"/>
      <c r="AT967" s="130"/>
      <c r="AU967" s="130"/>
      <c r="AV967" s="129"/>
      <c r="AW967" s="129"/>
      <c r="AX967" s="129"/>
      <c r="AY967" s="129"/>
      <c r="AZ967" s="129"/>
      <c r="BA967" s="129"/>
      <c r="BB967" s="129"/>
    </row>
    <row r="968" ht="15.75" customHeight="1">
      <c r="A968" s="141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30"/>
      <c r="AM968" s="130"/>
      <c r="AN968" s="130"/>
      <c r="AO968" s="130"/>
      <c r="AP968" s="130"/>
      <c r="AQ968" s="130"/>
      <c r="AR968" s="130"/>
      <c r="AS968" s="130"/>
      <c r="AT968" s="130"/>
      <c r="AU968" s="130"/>
      <c r="AV968" s="129"/>
      <c r="AW968" s="129"/>
      <c r="AX968" s="129"/>
      <c r="AY968" s="129"/>
      <c r="AZ968" s="129"/>
      <c r="BA968" s="129"/>
      <c r="BB968" s="129"/>
    </row>
    <row r="969" ht="15.75" customHeight="1">
      <c r="A969" s="141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30"/>
      <c r="AM969" s="130"/>
      <c r="AN969" s="130"/>
      <c r="AO969" s="130"/>
      <c r="AP969" s="130"/>
      <c r="AQ969" s="130"/>
      <c r="AR969" s="130"/>
      <c r="AS969" s="130"/>
      <c r="AT969" s="130"/>
      <c r="AU969" s="130"/>
      <c r="AV969" s="129"/>
      <c r="AW969" s="129"/>
      <c r="AX969" s="129"/>
      <c r="AY969" s="129"/>
      <c r="AZ969" s="129"/>
      <c r="BA969" s="129"/>
      <c r="BB969" s="129"/>
    </row>
    <row r="970" ht="15.75" customHeight="1">
      <c r="A970" s="141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30"/>
      <c r="AM970" s="130"/>
      <c r="AN970" s="130"/>
      <c r="AO970" s="130"/>
      <c r="AP970" s="130"/>
      <c r="AQ970" s="130"/>
      <c r="AR970" s="130"/>
      <c r="AS970" s="130"/>
      <c r="AT970" s="130"/>
      <c r="AU970" s="130"/>
      <c r="AV970" s="129"/>
      <c r="AW970" s="129"/>
      <c r="AX970" s="129"/>
      <c r="AY970" s="129"/>
      <c r="AZ970" s="129"/>
      <c r="BA970" s="129"/>
      <c r="BB970" s="129"/>
    </row>
    <row r="971" ht="15.75" customHeight="1">
      <c r="A971" s="141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30"/>
      <c r="AM971" s="130"/>
      <c r="AN971" s="130"/>
      <c r="AO971" s="130"/>
      <c r="AP971" s="130"/>
      <c r="AQ971" s="130"/>
      <c r="AR971" s="130"/>
      <c r="AS971" s="130"/>
      <c r="AT971" s="130"/>
      <c r="AU971" s="130"/>
      <c r="AV971" s="129"/>
      <c r="AW971" s="129"/>
      <c r="AX971" s="129"/>
      <c r="AY971" s="129"/>
      <c r="AZ971" s="129"/>
      <c r="BA971" s="129"/>
      <c r="BB971" s="129"/>
    </row>
    <row r="972" ht="15.75" customHeight="1">
      <c r="A972" s="141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30"/>
      <c r="AM972" s="130"/>
      <c r="AN972" s="130"/>
      <c r="AO972" s="130"/>
      <c r="AP972" s="130"/>
      <c r="AQ972" s="130"/>
      <c r="AR972" s="130"/>
      <c r="AS972" s="130"/>
      <c r="AT972" s="130"/>
      <c r="AU972" s="130"/>
      <c r="AV972" s="129"/>
      <c r="AW972" s="129"/>
      <c r="AX972" s="129"/>
      <c r="AY972" s="129"/>
      <c r="AZ972" s="129"/>
      <c r="BA972" s="129"/>
      <c r="BB972" s="129"/>
    </row>
    <row r="973" ht="15.75" customHeight="1">
      <c r="A973" s="141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30"/>
      <c r="AM973" s="130"/>
      <c r="AN973" s="130"/>
      <c r="AO973" s="130"/>
      <c r="AP973" s="130"/>
      <c r="AQ973" s="130"/>
      <c r="AR973" s="130"/>
      <c r="AS973" s="130"/>
      <c r="AT973" s="130"/>
      <c r="AU973" s="130"/>
      <c r="AV973" s="129"/>
      <c r="AW973" s="129"/>
      <c r="AX973" s="129"/>
      <c r="AY973" s="129"/>
      <c r="AZ973" s="129"/>
      <c r="BA973" s="129"/>
      <c r="BB973" s="129"/>
    </row>
    <row r="974" ht="15.75" customHeight="1">
      <c r="A974" s="141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30"/>
      <c r="AM974" s="130"/>
      <c r="AN974" s="130"/>
      <c r="AO974" s="130"/>
      <c r="AP974" s="130"/>
      <c r="AQ974" s="130"/>
      <c r="AR974" s="130"/>
      <c r="AS974" s="130"/>
      <c r="AT974" s="130"/>
      <c r="AU974" s="130"/>
      <c r="AV974" s="129"/>
      <c r="AW974" s="129"/>
      <c r="AX974" s="129"/>
      <c r="AY974" s="129"/>
      <c r="AZ974" s="129"/>
      <c r="BA974" s="129"/>
      <c r="BB974" s="129"/>
    </row>
    <row r="975" ht="15.75" customHeight="1">
      <c r="A975" s="141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30"/>
      <c r="AM975" s="130"/>
      <c r="AN975" s="130"/>
      <c r="AO975" s="130"/>
      <c r="AP975" s="130"/>
      <c r="AQ975" s="130"/>
      <c r="AR975" s="130"/>
      <c r="AS975" s="130"/>
      <c r="AT975" s="130"/>
      <c r="AU975" s="130"/>
      <c r="AV975" s="129"/>
      <c r="AW975" s="129"/>
      <c r="AX975" s="129"/>
      <c r="AY975" s="129"/>
      <c r="AZ975" s="129"/>
      <c r="BA975" s="129"/>
      <c r="BB975" s="129"/>
    </row>
    <row r="976" ht="15.75" customHeight="1">
      <c r="A976" s="141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30"/>
      <c r="AM976" s="130"/>
      <c r="AN976" s="130"/>
      <c r="AO976" s="130"/>
      <c r="AP976" s="130"/>
      <c r="AQ976" s="130"/>
      <c r="AR976" s="130"/>
      <c r="AS976" s="130"/>
      <c r="AT976" s="130"/>
      <c r="AU976" s="130"/>
      <c r="AV976" s="129"/>
      <c r="AW976" s="129"/>
      <c r="AX976" s="129"/>
      <c r="AY976" s="129"/>
      <c r="AZ976" s="129"/>
      <c r="BA976" s="129"/>
      <c r="BB976" s="129"/>
    </row>
    <row r="977" ht="15.75" customHeight="1">
      <c r="A977" s="141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30"/>
      <c r="AM977" s="130"/>
      <c r="AN977" s="130"/>
      <c r="AO977" s="130"/>
      <c r="AP977" s="130"/>
      <c r="AQ977" s="130"/>
      <c r="AR977" s="130"/>
      <c r="AS977" s="130"/>
      <c r="AT977" s="130"/>
      <c r="AU977" s="130"/>
      <c r="AV977" s="129"/>
      <c r="AW977" s="129"/>
      <c r="AX977" s="129"/>
      <c r="AY977" s="129"/>
      <c r="AZ977" s="129"/>
      <c r="BA977" s="129"/>
      <c r="BB977" s="129"/>
    </row>
    <row r="978" ht="15.75" customHeight="1">
      <c r="A978" s="141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30"/>
      <c r="AM978" s="130"/>
      <c r="AN978" s="130"/>
      <c r="AO978" s="130"/>
      <c r="AP978" s="130"/>
      <c r="AQ978" s="130"/>
      <c r="AR978" s="130"/>
      <c r="AS978" s="130"/>
      <c r="AT978" s="130"/>
      <c r="AU978" s="130"/>
      <c r="AV978" s="129"/>
      <c r="AW978" s="129"/>
      <c r="AX978" s="129"/>
      <c r="AY978" s="129"/>
      <c r="AZ978" s="129"/>
      <c r="BA978" s="129"/>
      <c r="BB978" s="129"/>
    </row>
    <row r="979" ht="15.75" customHeight="1">
      <c r="A979" s="141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30"/>
      <c r="AM979" s="130"/>
      <c r="AN979" s="130"/>
      <c r="AO979" s="130"/>
      <c r="AP979" s="130"/>
      <c r="AQ979" s="130"/>
      <c r="AR979" s="130"/>
      <c r="AS979" s="130"/>
      <c r="AT979" s="130"/>
      <c r="AU979" s="130"/>
      <c r="AV979" s="129"/>
      <c r="AW979" s="129"/>
      <c r="AX979" s="129"/>
      <c r="AY979" s="129"/>
      <c r="AZ979" s="129"/>
      <c r="BA979" s="129"/>
      <c r="BB979" s="129"/>
    </row>
    <row r="980" ht="15.75" customHeight="1">
      <c r="A980" s="141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30"/>
      <c r="AM980" s="130"/>
      <c r="AN980" s="130"/>
      <c r="AO980" s="130"/>
      <c r="AP980" s="130"/>
      <c r="AQ980" s="130"/>
      <c r="AR980" s="130"/>
      <c r="AS980" s="130"/>
      <c r="AT980" s="130"/>
      <c r="AU980" s="130"/>
      <c r="AV980" s="129"/>
      <c r="AW980" s="129"/>
      <c r="AX980" s="129"/>
      <c r="AY980" s="129"/>
      <c r="AZ980" s="129"/>
      <c r="BA980" s="129"/>
      <c r="BB980" s="129"/>
    </row>
    <row r="981" ht="15.75" customHeight="1">
      <c r="A981" s="141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30"/>
      <c r="AM981" s="130"/>
      <c r="AN981" s="130"/>
      <c r="AO981" s="130"/>
      <c r="AP981" s="130"/>
      <c r="AQ981" s="130"/>
      <c r="AR981" s="130"/>
      <c r="AS981" s="130"/>
      <c r="AT981" s="130"/>
      <c r="AU981" s="130"/>
      <c r="AV981" s="129"/>
      <c r="AW981" s="129"/>
      <c r="AX981" s="129"/>
      <c r="AY981" s="129"/>
      <c r="AZ981" s="129"/>
      <c r="BA981" s="129"/>
      <c r="BB981" s="129"/>
    </row>
    <row r="982" ht="15.75" customHeight="1">
      <c r="A982" s="141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30"/>
      <c r="AM982" s="130"/>
      <c r="AN982" s="130"/>
      <c r="AO982" s="130"/>
      <c r="AP982" s="130"/>
      <c r="AQ982" s="130"/>
      <c r="AR982" s="130"/>
      <c r="AS982" s="130"/>
      <c r="AT982" s="130"/>
      <c r="AU982" s="130"/>
      <c r="AV982" s="129"/>
      <c r="AW982" s="129"/>
      <c r="AX982" s="129"/>
      <c r="AY982" s="129"/>
      <c r="AZ982" s="129"/>
      <c r="BA982" s="129"/>
      <c r="BB982" s="129"/>
    </row>
    <row r="983" ht="15.75" customHeight="1">
      <c r="A983" s="141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30"/>
      <c r="AM983" s="130"/>
      <c r="AN983" s="130"/>
      <c r="AO983" s="130"/>
      <c r="AP983" s="130"/>
      <c r="AQ983" s="130"/>
      <c r="AR983" s="130"/>
      <c r="AS983" s="130"/>
      <c r="AT983" s="130"/>
      <c r="AU983" s="130"/>
      <c r="AV983" s="129"/>
      <c r="AW983" s="129"/>
      <c r="AX983" s="129"/>
      <c r="AY983" s="129"/>
      <c r="AZ983" s="129"/>
      <c r="BA983" s="129"/>
      <c r="BB983" s="129"/>
    </row>
    <row r="984" ht="15.75" customHeight="1">
      <c r="A984" s="141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30"/>
      <c r="AM984" s="130"/>
      <c r="AN984" s="130"/>
      <c r="AO984" s="130"/>
      <c r="AP984" s="130"/>
      <c r="AQ984" s="130"/>
      <c r="AR984" s="130"/>
      <c r="AS984" s="130"/>
      <c r="AT984" s="130"/>
      <c r="AU984" s="130"/>
      <c r="AV984" s="129"/>
      <c r="AW984" s="129"/>
      <c r="AX984" s="129"/>
      <c r="AY984" s="129"/>
      <c r="AZ984" s="129"/>
      <c r="BA984" s="129"/>
      <c r="BB984" s="129"/>
    </row>
    <row r="985" ht="15.75" customHeight="1">
      <c r="A985" s="141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30"/>
      <c r="AM985" s="130"/>
      <c r="AN985" s="130"/>
      <c r="AO985" s="130"/>
      <c r="AP985" s="130"/>
      <c r="AQ985" s="130"/>
      <c r="AR985" s="130"/>
      <c r="AS985" s="130"/>
      <c r="AT985" s="130"/>
      <c r="AU985" s="130"/>
      <c r="AV985" s="129"/>
      <c r="AW985" s="129"/>
      <c r="AX985" s="129"/>
      <c r="AY985" s="129"/>
      <c r="AZ985" s="129"/>
      <c r="BA985" s="129"/>
      <c r="BB985" s="129"/>
    </row>
    <row r="986" ht="15.75" customHeight="1">
      <c r="A986" s="141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30"/>
      <c r="AM986" s="130"/>
      <c r="AN986" s="130"/>
      <c r="AO986" s="130"/>
      <c r="AP986" s="130"/>
      <c r="AQ986" s="130"/>
      <c r="AR986" s="130"/>
      <c r="AS986" s="130"/>
      <c r="AT986" s="130"/>
      <c r="AU986" s="130"/>
      <c r="AV986" s="129"/>
      <c r="AW986" s="129"/>
      <c r="AX986" s="129"/>
      <c r="AY986" s="129"/>
      <c r="AZ986" s="129"/>
      <c r="BA986" s="129"/>
      <c r="BB986" s="129"/>
    </row>
    <row r="987" ht="15.75" customHeight="1">
      <c r="A987" s="141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30"/>
      <c r="AM987" s="130"/>
      <c r="AN987" s="130"/>
      <c r="AO987" s="130"/>
      <c r="AP987" s="130"/>
      <c r="AQ987" s="130"/>
      <c r="AR987" s="130"/>
      <c r="AS987" s="130"/>
      <c r="AT987" s="130"/>
      <c r="AU987" s="130"/>
      <c r="AV987" s="129"/>
      <c r="AW987" s="129"/>
      <c r="AX987" s="129"/>
      <c r="AY987" s="129"/>
      <c r="AZ987" s="129"/>
      <c r="BA987" s="129"/>
      <c r="BB987" s="129"/>
    </row>
    <row r="988" ht="15.75" customHeight="1">
      <c r="A988" s="141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30"/>
      <c r="AM988" s="130"/>
      <c r="AN988" s="130"/>
      <c r="AO988" s="130"/>
      <c r="AP988" s="130"/>
      <c r="AQ988" s="130"/>
      <c r="AR988" s="130"/>
      <c r="AS988" s="130"/>
      <c r="AT988" s="130"/>
      <c r="AU988" s="130"/>
      <c r="AV988" s="129"/>
      <c r="AW988" s="129"/>
      <c r="AX988" s="129"/>
      <c r="AY988" s="129"/>
      <c r="AZ988" s="129"/>
      <c r="BA988" s="129"/>
      <c r="BB988" s="129"/>
    </row>
    <row r="989" ht="15.75" customHeight="1">
      <c r="A989" s="141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30"/>
      <c r="AM989" s="130"/>
      <c r="AN989" s="130"/>
      <c r="AO989" s="130"/>
      <c r="AP989" s="130"/>
      <c r="AQ989" s="130"/>
      <c r="AR989" s="130"/>
      <c r="AS989" s="130"/>
      <c r="AT989" s="130"/>
      <c r="AU989" s="130"/>
      <c r="AV989" s="129"/>
      <c r="AW989" s="129"/>
      <c r="AX989" s="129"/>
      <c r="AY989" s="129"/>
      <c r="AZ989" s="129"/>
      <c r="BA989" s="129"/>
      <c r="BB989" s="129"/>
    </row>
    <row r="990" ht="15.75" customHeight="1">
      <c r="A990" s="141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30"/>
      <c r="AM990" s="130"/>
      <c r="AN990" s="130"/>
      <c r="AO990" s="130"/>
      <c r="AP990" s="130"/>
      <c r="AQ990" s="130"/>
      <c r="AR990" s="130"/>
      <c r="AS990" s="130"/>
      <c r="AT990" s="130"/>
      <c r="AU990" s="130"/>
      <c r="AV990" s="129"/>
      <c r="AW990" s="129"/>
      <c r="AX990" s="129"/>
      <c r="AY990" s="129"/>
      <c r="AZ990" s="129"/>
      <c r="BA990" s="129"/>
      <c r="BB990" s="129"/>
    </row>
    <row r="991" ht="15.75" customHeight="1">
      <c r="A991" s="141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30"/>
      <c r="AM991" s="130"/>
      <c r="AN991" s="130"/>
      <c r="AO991" s="130"/>
      <c r="AP991" s="130"/>
      <c r="AQ991" s="130"/>
      <c r="AR991" s="130"/>
      <c r="AS991" s="130"/>
      <c r="AT991" s="130"/>
      <c r="AU991" s="130"/>
      <c r="AV991" s="129"/>
      <c r="AW991" s="129"/>
      <c r="AX991" s="129"/>
      <c r="AY991" s="129"/>
      <c r="AZ991" s="129"/>
      <c r="BA991" s="129"/>
      <c r="BB991" s="129"/>
    </row>
    <row r="992" ht="15.75" customHeight="1">
      <c r="A992" s="141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30"/>
      <c r="AM992" s="130"/>
      <c r="AN992" s="130"/>
      <c r="AO992" s="130"/>
      <c r="AP992" s="130"/>
      <c r="AQ992" s="130"/>
      <c r="AR992" s="130"/>
      <c r="AS992" s="130"/>
      <c r="AT992" s="130"/>
      <c r="AU992" s="130"/>
      <c r="AV992" s="129"/>
      <c r="AW992" s="129"/>
      <c r="AX992" s="129"/>
      <c r="AY992" s="129"/>
      <c r="AZ992" s="129"/>
      <c r="BA992" s="129"/>
      <c r="BB992" s="129"/>
    </row>
    <row r="993" ht="15.75" customHeight="1">
      <c r="A993" s="141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30"/>
      <c r="AM993" s="130"/>
      <c r="AN993" s="130"/>
      <c r="AO993" s="130"/>
      <c r="AP993" s="130"/>
      <c r="AQ993" s="130"/>
      <c r="AR993" s="130"/>
      <c r="AS993" s="130"/>
      <c r="AT993" s="130"/>
      <c r="AU993" s="130"/>
      <c r="AV993" s="129"/>
      <c r="AW993" s="129"/>
      <c r="AX993" s="129"/>
      <c r="AY993" s="129"/>
      <c r="AZ993" s="129"/>
      <c r="BA993" s="129"/>
      <c r="BB993" s="129"/>
    </row>
    <row r="994" ht="15.75" customHeight="1">
      <c r="A994" s="141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30"/>
      <c r="AM994" s="130"/>
      <c r="AN994" s="130"/>
      <c r="AO994" s="130"/>
      <c r="AP994" s="130"/>
      <c r="AQ994" s="130"/>
      <c r="AR994" s="130"/>
      <c r="AS994" s="130"/>
      <c r="AT994" s="130"/>
      <c r="AU994" s="130"/>
      <c r="AV994" s="129"/>
      <c r="AW994" s="129"/>
      <c r="AX994" s="129"/>
      <c r="AY994" s="129"/>
      <c r="AZ994" s="129"/>
      <c r="BA994" s="129"/>
      <c r="BB994" s="129"/>
    </row>
    <row r="995" ht="15.75" customHeight="1">
      <c r="A995" s="141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30"/>
      <c r="AM995" s="130"/>
      <c r="AN995" s="130"/>
      <c r="AO995" s="130"/>
      <c r="AP995" s="130"/>
      <c r="AQ995" s="130"/>
      <c r="AR995" s="130"/>
      <c r="AS995" s="130"/>
      <c r="AT995" s="130"/>
      <c r="AU995" s="130"/>
      <c r="AV995" s="129"/>
      <c r="AW995" s="129"/>
      <c r="AX995" s="129"/>
      <c r="AY995" s="129"/>
      <c r="AZ995" s="129"/>
      <c r="BA995" s="129"/>
      <c r="BB995" s="129"/>
    </row>
    <row r="996" ht="15.75" customHeight="1">
      <c r="A996" s="141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30"/>
      <c r="AM996" s="130"/>
      <c r="AN996" s="130"/>
      <c r="AO996" s="130"/>
      <c r="AP996" s="130"/>
      <c r="AQ996" s="130"/>
      <c r="AR996" s="130"/>
      <c r="AS996" s="130"/>
      <c r="AT996" s="130"/>
      <c r="AU996" s="130"/>
      <c r="AV996" s="129"/>
      <c r="AW996" s="129"/>
      <c r="AX996" s="129"/>
      <c r="AY996" s="129"/>
      <c r="AZ996" s="129"/>
      <c r="BA996" s="129"/>
      <c r="BB996" s="129"/>
    </row>
    <row r="997" ht="15.75" customHeight="1">
      <c r="A997" s="141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30"/>
      <c r="AM997" s="130"/>
      <c r="AN997" s="130"/>
      <c r="AO997" s="130"/>
      <c r="AP997" s="130"/>
      <c r="AQ997" s="130"/>
      <c r="AR997" s="130"/>
      <c r="AS997" s="130"/>
      <c r="AT997" s="130"/>
      <c r="AU997" s="130"/>
      <c r="AV997" s="129"/>
      <c r="AW997" s="129"/>
      <c r="AX997" s="129"/>
      <c r="AY997" s="129"/>
      <c r="AZ997" s="129"/>
      <c r="BA997" s="129"/>
      <c r="BB997" s="129"/>
    </row>
    <row r="998" ht="15.75" customHeight="1">
      <c r="A998" s="141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30"/>
      <c r="AM998" s="130"/>
      <c r="AN998" s="130"/>
      <c r="AO998" s="130"/>
      <c r="AP998" s="130"/>
      <c r="AQ998" s="130"/>
      <c r="AR998" s="130"/>
      <c r="AS998" s="130"/>
      <c r="AT998" s="130"/>
      <c r="AU998" s="130"/>
      <c r="AV998" s="129"/>
      <c r="AW998" s="129"/>
      <c r="AX998" s="129"/>
      <c r="AY998" s="129"/>
      <c r="AZ998" s="129"/>
      <c r="BA998" s="129"/>
      <c r="BB998" s="129"/>
    </row>
    <row r="999" ht="15.75" customHeight="1">
      <c r="A999" s="141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30"/>
      <c r="AM999" s="130"/>
      <c r="AN999" s="130"/>
      <c r="AO999" s="130"/>
      <c r="AP999" s="130"/>
      <c r="AQ999" s="130"/>
      <c r="AR999" s="130"/>
      <c r="AS999" s="130"/>
      <c r="AT999" s="130"/>
      <c r="AU999" s="130"/>
      <c r="AV999" s="129"/>
      <c r="AW999" s="129"/>
      <c r="AX999" s="129"/>
      <c r="AY999" s="129"/>
      <c r="AZ999" s="129"/>
      <c r="BA999" s="129"/>
      <c r="BB999" s="129"/>
    </row>
    <row r="1000" ht="15.75" customHeight="1">
      <c r="A1000" s="141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30"/>
      <c r="AM1000" s="130"/>
      <c r="AN1000" s="130"/>
      <c r="AO1000" s="130"/>
      <c r="AP1000" s="130"/>
      <c r="AQ1000" s="130"/>
      <c r="AR1000" s="130"/>
      <c r="AS1000" s="130"/>
      <c r="AT1000" s="130"/>
      <c r="AU1000" s="130"/>
      <c r="AV1000" s="129"/>
      <c r="AW1000" s="129"/>
      <c r="AX1000" s="129"/>
      <c r="AY1000" s="129"/>
      <c r="AZ1000" s="129"/>
      <c r="BA1000" s="129"/>
      <c r="BB1000" s="129"/>
    </row>
    <row r="1001" ht="15.75" customHeight="1">
      <c r="A1001" s="141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30"/>
      <c r="AM1001" s="130"/>
      <c r="AN1001" s="130"/>
      <c r="AO1001" s="130"/>
      <c r="AP1001" s="130"/>
      <c r="AQ1001" s="130"/>
      <c r="AR1001" s="130"/>
      <c r="AS1001" s="130"/>
      <c r="AT1001" s="130"/>
      <c r="AU1001" s="130"/>
      <c r="AV1001" s="129"/>
      <c r="AW1001" s="129"/>
      <c r="AX1001" s="129"/>
      <c r="AY1001" s="129"/>
      <c r="AZ1001" s="129"/>
      <c r="BA1001" s="129"/>
      <c r="BB1001" s="129"/>
    </row>
  </sheetData>
  <mergeCells count="7861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2" max="12" width="26.56"/>
    <col customWidth="1" min="13" max="13" width="26.22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/>
      <c r="J1" s="1" t="s">
        <v>8</v>
      </c>
      <c r="K1" s="3" t="s">
        <v>9</v>
      </c>
      <c r="L1" s="1" t="s">
        <v>10</v>
      </c>
      <c r="M1" s="1" t="s">
        <v>11</v>
      </c>
      <c r="N1" s="4" t="s">
        <v>12</v>
      </c>
      <c r="O1" s="5" t="s">
        <v>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36.0" customHeight="1">
      <c r="A2" s="7" t="str">
        <f t="shared" ref="A2:A134" si="1">if(B2&lt;&gt;"","Rogers Blue Jays Baseball Partnership","")</f>
        <v>Rogers Blue Jays Baseball Partnership</v>
      </c>
      <c r="B2" s="8">
        <f>if(and('Actuals - Billing - 2025'!E$240=True,C2&lt;&gt;""),'Actuals - Billing - 2025'!C234,"")</f>
        <v>9.2</v>
      </c>
      <c r="C2" s="9">
        <f>IF(and('Actuals - Billing - 2025'!E$240=True,sum('Actuals - Billing - 2025'!T234:Y234)&gt;0),'Actuals - Billing - 2025'!B234,"")</f>
        <v>45887</v>
      </c>
      <c r="D2" s="10">
        <f>if(and(sum('Actuals - Billing - 2025'!T234:Y234)&gt;0,C2&lt;&gt;""),'Actuals - Billing - 2025'!$U$2,"")</f>
        <v>11.12</v>
      </c>
      <c r="E2" s="11">
        <f t="array" ref="E2">if($D2="","",index('Actuals - Billing - 2025'!$B2:$AE900,Match($C2,'Actuals - Billing - 2025'!$B2:$B900,0),Match(E$1,'Actuals - Billing - 2025'!$B$2:$AE$2,0)))</f>
        <v>150</v>
      </c>
      <c r="F2" s="11">
        <f t="array" ref="F2">if($D2="","",index('Actuals - Billing - 2025'!$B2:$AE900,Match($C2,'Actuals - Billing - 2025'!$B2:$B900,0),Match(F$1,'Actuals - Billing - 2025'!$B$2:$AE$2,0)))</f>
        <v>150</v>
      </c>
      <c r="G2" s="11" t="str">
        <f t="array" ref="G2">if($D2="","",index('Actuals - Billing - 2025'!$B2:$AE900,Match($C2,'Actuals - Billing - 2025'!$B2:$B900,0),Match(G$1,'Actuals - Billing - 2025'!$B$2:$AE$2,0)))</f>
        <v/>
      </c>
      <c r="H2" s="11" t="str">
        <f t="array" ref="H2">if($D2="","",index('Actuals - Billing - 2025'!$B2:$AE900,Match($C2,'Actuals - Billing - 2025'!$B2:$B900,0),Match(H$1,'Actuals - Billing - 2025'!$B$2:$AE$2,0)))</f>
        <v/>
      </c>
      <c r="I2" s="11"/>
      <c r="J2" s="11">
        <f t="shared" ref="J2:J7" si="2">sum(E2:I2)</f>
        <v>300</v>
      </c>
      <c r="K2" s="12">
        <f t="shared" ref="K2:K7" si="3">J2*D2</f>
        <v>3336</v>
      </c>
      <c r="L2" s="1" t="str">
        <f t="shared" ref="L2:L7" si="4">if(E2&gt;0,$E$1&amp;" "&amp;E2,"")&amp;IF(F2&gt;0," "&amp;$F$1&amp;" "&amp;F2,"")&amp;IF(G2&gt;0," "&amp;$G$1&amp;" "&amp;G2,"")&amp;If(H2&gt;0," "&amp;#REF!&amp;" "&amp;H2,"")&amp;if(I2&gt;0," "&amp;#REF!&amp;" "&amp;I2,"")</f>
        <v>Breakfast -Mi 150 Lunch -Mi 150</v>
      </c>
      <c r="M2" s="4" t="s">
        <v>14</v>
      </c>
      <c r="N2" s="6"/>
      <c r="O2" s="13"/>
      <c r="P2" s="1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tr">
        <f t="shared" si="1"/>
        <v>Rogers Blue Jays Baseball Partnership</v>
      </c>
      <c r="B3" s="8">
        <f>if(and('Actuals - Billing - 2025'!E$240=True,C3&lt;&gt;""),'Actuals - Billing - 2025'!C235,"")</f>
        <v>9.2</v>
      </c>
      <c r="C3" s="9">
        <f>IF(and('Actuals - Billing - 2025'!E$240=True,sum('Actuals - Billing - 2025'!T235:Y235)&gt;0),'Actuals - Billing - 2025'!B235,"")</f>
        <v>45888</v>
      </c>
      <c r="D3" s="10">
        <f>if(and(sum('Actuals - Billing - 2025'!T235:Y235)&gt;0,C3&lt;&gt;""),'Actuals - Billing - 2025'!$U$2,"")</f>
        <v>11.12</v>
      </c>
      <c r="E3" s="11">
        <f t="array" ref="E3">if($D3="","",index('Actuals - Billing - 2025'!$B3:$AE901,Match($C3,'Actuals - Billing - 2025'!$B3:$B901,0),Match(E$1,'Actuals - Billing - 2025'!$B$2:$AE$2,0)))</f>
        <v>150</v>
      </c>
      <c r="F3" s="11">
        <f t="array" ref="F3">if($D3="","",index('Actuals - Billing - 2025'!$B3:$AE901,Match($C3,'Actuals - Billing - 2025'!$B3:$B901,0),Match(F$1,'Actuals - Billing - 2025'!$B$2:$AE$2,0)))</f>
        <v>105</v>
      </c>
      <c r="G3" s="11" t="str">
        <f t="array" ref="G3">if($D3="","",index('Actuals - Billing - 2025'!$B3:$AE901,Match($C3,'Actuals - Billing - 2025'!$B3:$B901,0),Match(G$1,'Actuals - Billing - 2025'!$B$2:$AE$2,0)))</f>
        <v/>
      </c>
      <c r="H3" s="11" t="str">
        <f t="array" ref="H3">if($D3="","",index('Actuals - Billing - 2025'!$B3:$AE901,Match($C3,'Actuals - Billing - 2025'!$B3:$B901,0),Match(H$1,'Actuals - Billing - 2025'!$B$2:$AE$2,0)))</f>
        <v/>
      </c>
      <c r="I3" s="11"/>
      <c r="J3" s="11">
        <f t="shared" si="2"/>
        <v>255</v>
      </c>
      <c r="K3" s="12">
        <f t="shared" si="3"/>
        <v>2835.6</v>
      </c>
      <c r="L3" s="1" t="str">
        <f t="shared" si="4"/>
        <v>Breakfast -Mi 150 Lunch -Mi 105</v>
      </c>
      <c r="M3" s="4" t="s">
        <v>14</v>
      </c>
      <c r="N3" s="6"/>
      <c r="O3" s="15"/>
    </row>
    <row r="4">
      <c r="A4" s="7" t="str">
        <f t="shared" si="1"/>
        <v>Rogers Blue Jays Baseball Partnership</v>
      </c>
      <c r="B4" s="8">
        <f>if(and('Actuals - Billing - 2025'!E$240=True,C4&lt;&gt;""),'Actuals - Billing - 2025'!C236,"")</f>
        <v>9.2</v>
      </c>
      <c r="C4" s="9">
        <f>IF(and('Actuals - Billing - 2025'!E$240=True,sum('Actuals - Billing - 2025'!T236:Y236)&gt;0),'Actuals - Billing - 2025'!B236,"")</f>
        <v>45889</v>
      </c>
      <c r="D4" s="10">
        <f>if(and(sum('Actuals - Billing - 2025'!T236:Y236)&gt;0,C4&lt;&gt;""),'Actuals - Billing - 2025'!$U$2,"")</f>
        <v>11.12</v>
      </c>
      <c r="E4" s="11">
        <f t="array" ref="E4">if($D4="","",index('Actuals - Billing - 2025'!$B4:$AE902,Match($C4,'Actuals - Billing - 2025'!$B4:$B902,0),Match(E$1,'Actuals - Billing - 2025'!$B$2:$AE$2,0)))</f>
        <v>150</v>
      </c>
      <c r="F4" s="11">
        <f t="array" ref="F4">if($D4="","",index('Actuals - Billing - 2025'!$B4:$AE902,Match($C4,'Actuals - Billing - 2025'!$B4:$B902,0),Match(F$1,'Actuals - Billing - 2025'!$B$2:$AE$2,0)))</f>
        <v>150</v>
      </c>
      <c r="G4" s="11" t="str">
        <f t="array" ref="G4">if($D4="","",index('Actuals - Billing - 2025'!$B4:$AE902,Match($C4,'Actuals - Billing - 2025'!$B4:$B902,0),Match(G$1,'Actuals - Billing - 2025'!$B$2:$AE$2,0)))</f>
        <v/>
      </c>
      <c r="H4" s="11" t="str">
        <f t="array" ref="H4">if($D4="","",index('Actuals - Billing - 2025'!$B4:$AE902,Match($C4,'Actuals - Billing - 2025'!$B4:$B902,0),Match(H$1,'Actuals - Billing - 2025'!$B$2:$AE$2,0)))</f>
        <v/>
      </c>
      <c r="I4" s="11"/>
      <c r="J4" s="11">
        <f t="shared" si="2"/>
        <v>300</v>
      </c>
      <c r="K4" s="12">
        <f t="shared" si="3"/>
        <v>3336</v>
      </c>
      <c r="L4" s="1" t="str">
        <f t="shared" si="4"/>
        <v>Breakfast -Mi 150 Lunch -Mi 150</v>
      </c>
      <c r="M4" s="4" t="s">
        <v>14</v>
      </c>
      <c r="N4" s="6"/>
      <c r="O4" s="15"/>
    </row>
    <row r="5">
      <c r="A5" s="7" t="str">
        <f t="shared" si="1"/>
        <v>Rogers Blue Jays Baseball Partnership</v>
      </c>
      <c r="B5" s="8">
        <f>if(and('Actuals - Billing - 2025'!E$240=True,C5&lt;&gt;""),'Actuals - Billing - 2025'!C237,"")</f>
        <v>9.2</v>
      </c>
      <c r="C5" s="9">
        <f>IF(and('Actuals - Billing - 2025'!E$240=True,sum('Actuals - Billing - 2025'!T237:Y237)&gt;0),'Actuals - Billing - 2025'!B237,"")</f>
        <v>45890</v>
      </c>
      <c r="D5" s="10">
        <f>if(and(sum('Actuals - Billing - 2025'!T237:Y237)&gt;0,C5&lt;&gt;""),'Actuals - Billing - 2025'!$U$2,"")</f>
        <v>11.12</v>
      </c>
      <c r="E5" s="11">
        <f t="array" ref="E5">if($D5="","",index('Actuals - Billing - 2025'!$B5:$AE903,Match($C5,'Actuals - Billing - 2025'!$B5:$B903,0),Match(E$1,'Actuals - Billing - 2025'!$B$2:$AE$2,0)))</f>
        <v>150</v>
      </c>
      <c r="F5" s="11">
        <f t="array" ref="F5">if($D5="","",index('Actuals - Billing - 2025'!$B5:$AE903,Match($C5,'Actuals - Billing - 2025'!$B5:$B903,0),Match(F$1,'Actuals - Billing - 2025'!$B$2:$AE$2,0)))</f>
        <v>150</v>
      </c>
      <c r="G5" s="11" t="str">
        <f t="array" ref="G5">if($D5="","",index('Actuals - Billing - 2025'!$B5:$AE903,Match($C5,'Actuals - Billing - 2025'!$B5:$B903,0),Match(G$1,'Actuals - Billing - 2025'!$B$2:$AE$2,0)))</f>
        <v/>
      </c>
      <c r="H5" s="11" t="str">
        <f t="array" ref="H5">if($D5="","",index('Actuals - Billing - 2025'!$B5:$AE903,Match($C5,'Actuals - Billing - 2025'!$B5:$B903,0),Match(H$1,'Actuals - Billing - 2025'!$B$2:$AE$2,0)))</f>
        <v/>
      </c>
      <c r="I5" s="11"/>
      <c r="J5" s="11">
        <f t="shared" si="2"/>
        <v>300</v>
      </c>
      <c r="K5" s="12">
        <f t="shared" si="3"/>
        <v>3336</v>
      </c>
      <c r="L5" s="1" t="str">
        <f t="shared" si="4"/>
        <v>Breakfast -Mi 150 Lunch -Mi 150</v>
      </c>
      <c r="M5" s="4" t="s">
        <v>14</v>
      </c>
      <c r="N5" s="6"/>
      <c r="O5" s="15"/>
    </row>
    <row r="6">
      <c r="A6" s="7" t="str">
        <f t="shared" si="1"/>
        <v>Rogers Blue Jays Baseball Partnership</v>
      </c>
      <c r="B6" s="8">
        <f>if(and('Actuals - Billing - 2025'!E$240=True,C6&lt;&gt;""),'Actuals - Billing - 2025'!C238,"")</f>
        <v>9.2</v>
      </c>
      <c r="C6" s="9">
        <f>IF(and('Actuals - Billing - 2025'!E$240=True,sum('Actuals - Billing - 2025'!T238:Y238)&gt;0),'Actuals - Billing - 2025'!B238,"")</f>
        <v>45891</v>
      </c>
      <c r="D6" s="10">
        <f>if(and(sum('Actuals - Billing - 2025'!T238:Y238)&gt;0,C6&lt;&gt;""),'Actuals - Billing - 2025'!$U$2,"")</f>
        <v>11.12</v>
      </c>
      <c r="E6" s="11">
        <f t="array" ref="E6">if($D6="","",index('Actuals - Billing - 2025'!$B6:$AE904,Match($C6,'Actuals - Billing - 2025'!$B6:$B904,0),Match(E$1,'Actuals - Billing - 2025'!$B$2:$AE$2,0)))</f>
        <v>160</v>
      </c>
      <c r="F6" s="11">
        <f t="array" ref="F6">if($D6="","",index('Actuals - Billing - 2025'!$B6:$AE904,Match($C6,'Actuals - Billing - 2025'!$B6:$B904,0),Match(F$1,'Actuals - Billing - 2025'!$B$2:$AE$2,0)))</f>
        <v>160</v>
      </c>
      <c r="G6" s="11" t="str">
        <f t="array" ref="G6">if($D6="","",index('Actuals - Billing - 2025'!$B6:$AE904,Match($C6,'Actuals - Billing - 2025'!$B6:$B904,0),Match(G$1,'Actuals - Billing - 2025'!$B$2:$AE$2,0)))</f>
        <v/>
      </c>
      <c r="H6" s="11" t="str">
        <f t="array" ref="H6">if($D6="","",index('Actuals - Billing - 2025'!$B6:$AE904,Match($C6,'Actuals - Billing - 2025'!$B6:$B904,0),Match(H$1,'Actuals - Billing - 2025'!$B$2:$AE$2,0)))</f>
        <v/>
      </c>
      <c r="I6" s="11"/>
      <c r="J6" s="11">
        <f t="shared" si="2"/>
        <v>320</v>
      </c>
      <c r="K6" s="12">
        <f t="shared" si="3"/>
        <v>3558.4</v>
      </c>
      <c r="L6" s="1" t="str">
        <f t="shared" si="4"/>
        <v>Breakfast -Mi 160 Lunch -Mi 160</v>
      </c>
      <c r="M6" s="4" t="s">
        <v>14</v>
      </c>
      <c r="N6" s="6"/>
      <c r="O6" s="15"/>
    </row>
    <row r="7">
      <c r="A7" s="7" t="str">
        <f t="shared" si="1"/>
        <v>Rogers Blue Jays Baseball Partnership</v>
      </c>
      <c r="B7" s="8">
        <f>if(and('Actuals - Billing - 2025'!E$240=True,C7&lt;&gt;""),'Actuals - Billing - 2025'!C239,"")</f>
        <v>9.2</v>
      </c>
      <c r="C7" s="9">
        <f>IF(and('Actuals - Billing - 2025'!E$240=True,sum('Actuals - Billing - 2025'!T239:Y239)&gt;0),'Actuals - Billing - 2025'!B239,"")</f>
        <v>45892</v>
      </c>
      <c r="D7" s="10">
        <f>if(and(sum('Actuals - Billing - 2025'!T239:Y239)&gt;0,C7&lt;&gt;""),'Actuals - Billing - 2025'!$U$2,"")</f>
        <v>11.12</v>
      </c>
      <c r="E7" s="11">
        <f t="array" ref="E7">if($D7="","",index('Actuals - Billing - 2025'!$B7:$AE905,Match($C7,'Actuals - Billing - 2025'!$B7:$B905,0),Match(E$1,'Actuals - Billing - 2025'!$B$2:$AE$2,0)))</f>
        <v>150</v>
      </c>
      <c r="F7" s="11">
        <f t="array" ref="F7">if($D7="","",index('Actuals - Billing - 2025'!$B7:$AE905,Match($C7,'Actuals - Billing - 2025'!$B7:$B905,0),Match(F$1,'Actuals - Billing - 2025'!$B$2:$AE$2,0)))</f>
        <v>150</v>
      </c>
      <c r="G7" s="11" t="str">
        <f t="array" ref="G7">if($D7="","",index('Actuals - Billing - 2025'!$B7:$AE905,Match($C7,'Actuals - Billing - 2025'!$B7:$B905,0),Match(G$1,'Actuals - Billing - 2025'!$B$2:$AE$2,0)))</f>
        <v/>
      </c>
      <c r="H7" s="11" t="str">
        <f t="array" ref="H7">if($D7="","",index('Actuals - Billing - 2025'!$B7:$AE905,Match($C7,'Actuals - Billing - 2025'!$B7:$B905,0),Match(H$1,'Actuals - Billing - 2025'!$B$2:$AE$2,0)))</f>
        <v/>
      </c>
      <c r="I7" s="11"/>
      <c r="J7" s="11">
        <f t="shared" si="2"/>
        <v>300</v>
      </c>
      <c r="K7" s="12">
        <f t="shared" si="3"/>
        <v>3336</v>
      </c>
      <c r="L7" s="1" t="str">
        <f t="shared" si="4"/>
        <v>Breakfast -Mi 150 Lunch -Mi 150</v>
      </c>
      <c r="M7" s="4" t="s">
        <v>14</v>
      </c>
      <c r="N7" s="6"/>
      <c r="O7" s="15"/>
    </row>
    <row r="8">
      <c r="A8" s="7" t="str">
        <f t="shared" si="1"/>
        <v/>
      </c>
      <c r="B8" s="8" t="str">
        <f>if(and('Actuals - Billing - 2025'!E$240=True,C8&lt;&gt;""),'Actuals - Billing - 2025'!C240,"")</f>
        <v/>
      </c>
      <c r="C8" s="9" t="str">
        <f>IF(and('Actuals - Billing - 2025'!E$240=True,sum('Actuals - Billing - 2025'!T240:Y240)&gt;0),'Actuals - Billing - 2025'!B240,"")</f>
        <v/>
      </c>
      <c r="D8" s="10" t="str">
        <f>if(and(sum('Actuals - Billing - 2025'!T240:Y240)&gt;0,C8&lt;&gt;""),'Actuals - Billing - 2025'!$U$2,"")</f>
        <v/>
      </c>
      <c r="E8" s="11" t="str">
        <f t="array" ref="E8">if($D8="","",index('Actuals - Billing - 2025'!$B8:$AE906,Match($C8,'Actuals - Billing - 2025'!$B8:$B906,0),Match(E$1,'Actuals - Billing - 2025'!$B$2:$AE$2,0)))</f>
        <v/>
      </c>
      <c r="F8" s="11" t="str">
        <f t="array" ref="F8">if($D8="","",index('Actuals - Billing - 2025'!$B8:$AE906,Match($C8,'Actuals - Billing - 2025'!$B8:$B906,0),Match(F$1,'Actuals - Billing - 2025'!$B$2:$AE$2,0)))</f>
        <v/>
      </c>
      <c r="G8" s="11" t="str">
        <f t="array" ref="G8">if($D8="","",index('Actuals - Billing - 2025'!$B8:$AE906,Match($C8,'Actuals - Billing - 2025'!$B8:$B906,0),Match(G$1,'Actuals - Billing - 2025'!$B$2:$AE$2,0)))</f>
        <v/>
      </c>
      <c r="H8" s="11" t="str">
        <f t="array" ref="H8">if($D8="","",index('Actuals - Billing - 2025'!$B8:$AE906,Match($C8,'Actuals - Billing - 2025'!$B8:$B906,0),Match(H$1,'Actuals - Billing - 2025'!$B$2:$AE$2,0)))</f>
        <v/>
      </c>
      <c r="I8" s="11"/>
      <c r="J8" s="11" t="str">
        <f t="shared" ref="J8:J134" si="5">if(sum(E8:I8)&gt;0,sum(E8:I8),"")</f>
        <v/>
      </c>
      <c r="K8" s="12" t="str">
        <f t="shared" ref="K8:K134" si="6">if(J8&lt;&gt;"",J8*D8,"")</f>
        <v/>
      </c>
      <c r="L8" s="1" t="str">
        <f t="shared" ref="L8:L15" si="7">iferror(if(E8&gt;0,$E$1&amp;" "&amp;E8,"")&amp;IF(F8&gt;0," "&amp;$F$1&amp;" "&amp;F8,"")&amp;IF(G8&gt;0," "&amp;$G$1&amp;" "&amp;G8,"")&amp;If(H8&gt;0," "&amp;#REF!&amp;" "&amp;H8,"")&amp;if(I8&gt;0," "&amp;#REF!&amp;" "&amp;I8,""),"")</f>
        <v/>
      </c>
      <c r="M8" s="4" t="str">
        <f t="shared" ref="M8:M134" si="8">if(B8&lt;&gt;"","TBJ MiLB - Breakfast/Lunch/Dinner","")</f>
        <v/>
      </c>
      <c r="N8" s="6"/>
      <c r="O8" s="15"/>
    </row>
    <row r="9">
      <c r="A9" s="7" t="str">
        <f t="shared" si="1"/>
        <v/>
      </c>
      <c r="B9" s="8" t="str">
        <f>if(and('Actuals - Billing - 2025'!E$247=True,C9&lt;&gt;""),'Actuals - Billing - 2025'!C241,"")</f>
        <v/>
      </c>
      <c r="C9" s="9" t="str">
        <f>IF(and('Actuals - Billing - 2025'!E$247=True,sum('Actuals - Billing - 2025'!T241:Y241)&gt;0),'Actuals - Billing - 2025'!B241,"")</f>
        <v/>
      </c>
      <c r="D9" s="10" t="str">
        <f>if(and(sum('Actuals - Billing - 2025'!T241:Y241)&gt;0,C9&lt;&gt;""),'Actuals - Billing - 2025'!$U$2,"")</f>
        <v/>
      </c>
      <c r="E9" s="11" t="str">
        <f t="array" ref="E9">if($D9="","",index('Actuals - Billing - 2025'!$B9:$AE907,Match($C9,'Actuals - Billing - 2025'!$B9:$B907,0),Match(E$1,'Actuals - Billing - 2025'!$B$2:$AE$2,0)))</f>
        <v/>
      </c>
      <c r="F9" s="11" t="str">
        <f t="array" ref="F9">if($D9="","",index('Actuals - Billing - 2025'!$B9:$AE907,Match($C9,'Actuals - Billing - 2025'!$B9:$B907,0),Match(F$1,'Actuals - Billing - 2025'!$B$2:$AE$2,0)))</f>
        <v/>
      </c>
      <c r="G9" s="11" t="str">
        <f t="array" ref="G9">if($D9="","",index('Actuals - Billing - 2025'!$B9:$AE907,Match($C9,'Actuals - Billing - 2025'!$B9:$B907,0),Match(G$1,'Actuals - Billing - 2025'!$B$2:$AE$2,0)))</f>
        <v/>
      </c>
      <c r="H9" s="11" t="str">
        <f t="array" ref="H9">if($D9="","",index('Actuals - Billing - 2025'!$B9:$AE907,Match($C9,'Actuals - Billing - 2025'!$B9:$B907,0),Match(H$1,'Actuals - Billing - 2025'!$B$2:$AE$2,0)))</f>
        <v/>
      </c>
      <c r="I9" s="11"/>
      <c r="J9" s="11" t="str">
        <f t="shared" si="5"/>
        <v/>
      </c>
      <c r="K9" s="12" t="str">
        <f t="shared" si="6"/>
        <v/>
      </c>
      <c r="L9" s="1" t="str">
        <f t="shared" si="7"/>
        <v/>
      </c>
      <c r="M9" s="4" t="str">
        <f t="shared" si="8"/>
        <v/>
      </c>
      <c r="N9" s="6"/>
      <c r="O9" s="15"/>
      <c r="P9" s="14"/>
    </row>
    <row r="10">
      <c r="A10" s="7" t="str">
        <f t="shared" si="1"/>
        <v/>
      </c>
      <c r="B10" s="8" t="str">
        <f>if(and('Actuals - Billing - 2025'!E$247=True,C10&lt;&gt;""),'Actuals - Billing - 2025'!C242,"")</f>
        <v/>
      </c>
      <c r="C10" s="9" t="str">
        <f>IF(and('Actuals - Billing - 2025'!E$247=True,sum('Actuals - Billing - 2025'!T242:Y242)&gt;0),'Actuals - Billing - 2025'!B242,"")</f>
        <v/>
      </c>
      <c r="D10" s="10" t="str">
        <f>if(and(sum('Actuals - Billing - 2025'!T242:Y242)&gt;0,C10&lt;&gt;""),'Actuals - Billing - 2025'!$U$2,"")</f>
        <v/>
      </c>
      <c r="E10" s="11" t="str">
        <f t="array" ref="E10">if($D10="","",index('Actuals - Billing - 2025'!$B10:$AE908,Match($C10,'Actuals - Billing - 2025'!$B10:$B908,0),Match(E$1,'Actuals - Billing - 2025'!$B$2:$AE$2,0)))</f>
        <v/>
      </c>
      <c r="F10" s="11" t="str">
        <f t="array" ref="F10">if($D10="","",index('Actuals - Billing - 2025'!$B10:$AE908,Match($C10,'Actuals - Billing - 2025'!$B10:$B908,0),Match(F$1,'Actuals - Billing - 2025'!$B$2:$AE$2,0)))</f>
        <v/>
      </c>
      <c r="G10" s="11" t="str">
        <f t="array" ref="G10">if($D10="","",index('Actuals - Billing - 2025'!$B10:$AE908,Match($C10,'Actuals - Billing - 2025'!$B10:$B908,0),Match(G$1,'Actuals - Billing - 2025'!$B$2:$AE$2,0)))</f>
        <v/>
      </c>
      <c r="H10" s="11" t="str">
        <f t="array" ref="H10">if($D10="","",index('Actuals - Billing - 2025'!$B10:$AE908,Match($C10,'Actuals - Billing - 2025'!$B10:$B908,0),Match(H$1,'Actuals - Billing - 2025'!$B$2:$AE$2,0)))</f>
        <v/>
      </c>
      <c r="I10" s="11"/>
      <c r="J10" s="11" t="str">
        <f t="shared" si="5"/>
        <v/>
      </c>
      <c r="K10" s="12" t="str">
        <f t="shared" si="6"/>
        <v/>
      </c>
      <c r="L10" s="1" t="str">
        <f t="shared" si="7"/>
        <v/>
      </c>
      <c r="M10" s="4" t="str">
        <f t="shared" si="8"/>
        <v/>
      </c>
      <c r="N10" s="6"/>
      <c r="O10" s="15"/>
    </row>
    <row r="11">
      <c r="A11" s="7" t="str">
        <f t="shared" si="1"/>
        <v/>
      </c>
      <c r="B11" s="8" t="str">
        <f>if(and('Actuals - Billing - 2025'!E$247=True,C11&lt;&gt;""),'Actuals - Billing - 2025'!C243,"")</f>
        <v/>
      </c>
      <c r="C11" s="9" t="str">
        <f>IF(and('Actuals - Billing - 2025'!E$247=True,sum('Actuals - Billing - 2025'!T243:Y243)&gt;0),'Actuals - Billing - 2025'!B243,"")</f>
        <v/>
      </c>
      <c r="D11" s="10" t="str">
        <f>if(and(sum('Actuals - Billing - 2025'!T243:Y243)&gt;0,C11&lt;&gt;""),'Actuals - Billing - 2025'!$U$2,"")</f>
        <v/>
      </c>
      <c r="E11" s="11" t="str">
        <f t="array" ref="E11">if($D11="","",index('Actuals - Billing - 2025'!$B11:$AE909,Match($C11,'Actuals - Billing - 2025'!$B11:$B909,0),Match(E$1,'Actuals - Billing - 2025'!$B$2:$AE$2,0)))</f>
        <v/>
      </c>
      <c r="F11" s="11" t="str">
        <f t="array" ref="F11">if($D11="","",index('Actuals - Billing - 2025'!$B11:$AE909,Match($C11,'Actuals - Billing - 2025'!$B11:$B909,0),Match(F$1,'Actuals - Billing - 2025'!$B$2:$AE$2,0)))</f>
        <v/>
      </c>
      <c r="G11" s="11" t="str">
        <f t="array" ref="G11">if($D11="","",index('Actuals - Billing - 2025'!$B11:$AE909,Match($C11,'Actuals - Billing - 2025'!$B11:$B909,0),Match(G$1,'Actuals - Billing - 2025'!$B$2:$AE$2,0)))</f>
        <v/>
      </c>
      <c r="H11" s="11" t="str">
        <f t="array" ref="H11">if($D11="","",index('Actuals - Billing - 2025'!$B11:$AE909,Match($C11,'Actuals - Billing - 2025'!$B11:$B909,0),Match(H$1,'Actuals - Billing - 2025'!$B$2:$AE$2,0)))</f>
        <v/>
      </c>
      <c r="I11" s="11"/>
      <c r="J11" s="11" t="str">
        <f t="shared" si="5"/>
        <v/>
      </c>
      <c r="K11" s="12" t="str">
        <f t="shared" si="6"/>
        <v/>
      </c>
      <c r="L11" s="1" t="str">
        <f t="shared" si="7"/>
        <v/>
      </c>
      <c r="M11" s="4" t="str">
        <f t="shared" si="8"/>
        <v/>
      </c>
      <c r="N11" s="6"/>
      <c r="O11" s="15"/>
    </row>
    <row r="12">
      <c r="A12" s="7" t="str">
        <f t="shared" si="1"/>
        <v/>
      </c>
      <c r="B12" s="8" t="str">
        <f>if(and('Actuals - Billing - 2025'!E$247=True,C12&lt;&gt;""),'Actuals - Billing - 2025'!C244,"")</f>
        <v/>
      </c>
      <c r="C12" s="9" t="str">
        <f>IF(and('Actuals - Billing - 2025'!E$247=True,sum('Actuals - Billing - 2025'!T244:Y244)&gt;0),'Actuals - Billing - 2025'!B244,"")</f>
        <v/>
      </c>
      <c r="D12" s="10" t="str">
        <f>if(and(sum('Actuals - Billing - 2025'!T244:Y244)&gt;0,C12&lt;&gt;""),'Actuals - Billing - 2025'!$U$2,"")</f>
        <v/>
      </c>
      <c r="E12" s="11" t="str">
        <f t="array" ref="E12">if($D12="","",index('Actuals - Billing - 2025'!$B12:$AE910,Match($C12,'Actuals - Billing - 2025'!$B12:$B910,0),Match(E$1,'Actuals - Billing - 2025'!$B$2:$AE$2,0)))</f>
        <v/>
      </c>
      <c r="F12" s="11" t="str">
        <f t="array" ref="F12">if($D12="","",index('Actuals - Billing - 2025'!$B12:$AE910,Match($C12,'Actuals - Billing - 2025'!$B12:$B910,0),Match(F$1,'Actuals - Billing - 2025'!$B$2:$AE$2,0)))</f>
        <v/>
      </c>
      <c r="G12" s="11" t="str">
        <f t="array" ref="G12">if($D12="","",index('Actuals - Billing - 2025'!$B12:$AE910,Match($C12,'Actuals - Billing - 2025'!$B12:$B910,0),Match(G$1,'Actuals - Billing - 2025'!$B$2:$AE$2,0)))</f>
        <v/>
      </c>
      <c r="H12" s="11" t="str">
        <f t="array" ref="H12">if($D12="","",index('Actuals - Billing - 2025'!$B12:$AE910,Match($C12,'Actuals - Billing - 2025'!$B12:$B910,0),Match(H$1,'Actuals - Billing - 2025'!$B$2:$AE$2,0)))</f>
        <v/>
      </c>
      <c r="I12" s="11"/>
      <c r="J12" s="11" t="str">
        <f t="shared" si="5"/>
        <v/>
      </c>
      <c r="K12" s="12" t="str">
        <f t="shared" si="6"/>
        <v/>
      </c>
      <c r="L12" s="1" t="str">
        <f t="shared" si="7"/>
        <v/>
      </c>
      <c r="M12" s="4" t="str">
        <f t="shared" si="8"/>
        <v/>
      </c>
      <c r="N12" s="6"/>
      <c r="O12" s="15"/>
    </row>
    <row r="13">
      <c r="A13" s="7" t="str">
        <f t="shared" si="1"/>
        <v/>
      </c>
      <c r="B13" s="8" t="str">
        <f>if(and('Actuals - Billing - 2025'!E$247=True,C13&lt;&gt;""),'Actuals - Billing - 2025'!C245,"")</f>
        <v/>
      </c>
      <c r="C13" s="9" t="str">
        <f>IF(and('Actuals - Billing - 2025'!E$247=True,sum('Actuals - Billing - 2025'!T245:Y245)&gt;0),'Actuals - Billing - 2025'!B245,"")</f>
        <v/>
      </c>
      <c r="D13" s="10" t="str">
        <f>if(and(sum('Actuals - Billing - 2025'!T245:Y245)&gt;0,C13&lt;&gt;""),'Actuals - Billing - 2025'!$U$2,"")</f>
        <v/>
      </c>
      <c r="E13" s="11" t="str">
        <f t="array" ref="E13">if($D13="","",index('Actuals - Billing - 2025'!$B13:$AE911,Match($C13,'Actuals - Billing - 2025'!$B13:$B911,0),Match(E$1,'Actuals - Billing - 2025'!$B$2:$AE$2,0)))</f>
        <v/>
      </c>
      <c r="F13" s="11" t="str">
        <f t="array" ref="F13">if($D13="","",index('Actuals - Billing - 2025'!$B13:$AE911,Match($C13,'Actuals - Billing - 2025'!$B13:$B911,0),Match(F$1,'Actuals - Billing - 2025'!$B$2:$AE$2,0)))</f>
        <v/>
      </c>
      <c r="G13" s="11" t="str">
        <f t="array" ref="G13">if($D13="","",index('Actuals - Billing - 2025'!$B13:$AE911,Match($C13,'Actuals - Billing - 2025'!$B13:$B911,0),Match(G$1,'Actuals - Billing - 2025'!$B$2:$AE$2,0)))</f>
        <v/>
      </c>
      <c r="H13" s="11" t="str">
        <f t="array" ref="H13">if($D13="","",index('Actuals - Billing - 2025'!$B13:$AE911,Match($C13,'Actuals - Billing - 2025'!$B13:$B911,0),Match(H$1,'Actuals - Billing - 2025'!$B$2:$AE$2,0)))</f>
        <v/>
      </c>
      <c r="I13" s="11"/>
      <c r="J13" s="11" t="str">
        <f t="shared" si="5"/>
        <v/>
      </c>
      <c r="K13" s="12" t="str">
        <f t="shared" si="6"/>
        <v/>
      </c>
      <c r="L13" s="1" t="str">
        <f t="shared" si="7"/>
        <v/>
      </c>
      <c r="M13" s="4" t="str">
        <f t="shared" si="8"/>
        <v/>
      </c>
      <c r="N13" s="6"/>
      <c r="O13" s="15"/>
    </row>
    <row r="14">
      <c r="A14" s="7" t="str">
        <f t="shared" si="1"/>
        <v/>
      </c>
      <c r="B14" s="8" t="str">
        <f>if(and('Actuals - Billing - 2025'!E$247=True,C14&lt;&gt;""),'Actuals - Billing - 2025'!C246,"")</f>
        <v/>
      </c>
      <c r="C14" s="9" t="str">
        <f>IF(and('Actuals - Billing - 2025'!E$247=True,sum('Actuals - Billing - 2025'!T246:Y246)&gt;0),'Actuals - Billing - 2025'!B246,"")</f>
        <v/>
      </c>
      <c r="D14" s="10" t="str">
        <f>if(and(sum('Actuals - Billing - 2025'!T246:Y246)&gt;0,C14&lt;&gt;""),'Actuals - Billing - 2025'!$U$2,"")</f>
        <v/>
      </c>
      <c r="E14" s="11" t="str">
        <f t="array" ref="E14">if($D14="","",index('Actuals - Billing - 2025'!$B14:$AE912,Match($C14,'Actuals - Billing - 2025'!$B14:$B912,0),Match(E$1,'Actuals - Billing - 2025'!$B$2:$AE$2,0)))</f>
        <v/>
      </c>
      <c r="F14" s="11" t="str">
        <f t="array" ref="F14">if($D14="","",index('Actuals - Billing - 2025'!$B14:$AE912,Match($C14,'Actuals - Billing - 2025'!$B14:$B912,0),Match(F$1,'Actuals - Billing - 2025'!$B$2:$AE$2,0)))</f>
        <v/>
      </c>
      <c r="G14" s="11" t="str">
        <f t="array" ref="G14">if($D14="","",index('Actuals - Billing - 2025'!$B14:$AE912,Match($C14,'Actuals - Billing - 2025'!$B14:$B912,0),Match(G$1,'Actuals - Billing - 2025'!$B$2:$AE$2,0)))</f>
        <v/>
      </c>
      <c r="H14" s="11" t="str">
        <f t="array" ref="H14">if($D14="","",index('Actuals - Billing - 2025'!$B14:$AE912,Match($C14,'Actuals - Billing - 2025'!$B14:$B912,0),Match(H$1,'Actuals - Billing - 2025'!$B$2:$AE$2,0)))</f>
        <v/>
      </c>
      <c r="I14" s="11"/>
      <c r="J14" s="11" t="str">
        <f t="shared" si="5"/>
        <v/>
      </c>
      <c r="K14" s="12" t="str">
        <f t="shared" si="6"/>
        <v/>
      </c>
      <c r="L14" s="1" t="str">
        <f t="shared" si="7"/>
        <v/>
      </c>
      <c r="M14" s="4" t="str">
        <f t="shared" si="8"/>
        <v/>
      </c>
      <c r="N14" s="6"/>
      <c r="O14" s="15"/>
    </row>
    <row r="15">
      <c r="A15" s="7" t="str">
        <f t="shared" si="1"/>
        <v/>
      </c>
      <c r="B15" s="8" t="str">
        <f>if(and('Actuals - Billing - 2025'!E$247=True,C15&lt;&gt;""),'Actuals - Billing - 2025'!C247,"")</f>
        <v/>
      </c>
      <c r="C15" s="9" t="str">
        <f>IF(and('Actuals - Billing - 2025'!E$247=True,sum('Actuals - Billing - 2025'!T247:Y247)&gt;0),'Actuals - Billing - 2025'!B247,"")</f>
        <v/>
      </c>
      <c r="D15" s="10" t="str">
        <f>if(and(sum('Actuals - Billing - 2025'!T247:Y247)&gt;0,C15&lt;&gt;""),'Actuals - Billing - 2025'!$U$2,"")</f>
        <v/>
      </c>
      <c r="E15" s="11" t="str">
        <f t="array" ref="E15">if($D15="","",index('Actuals - Billing - 2025'!$B15:$AE913,Match($C15,'Actuals - Billing - 2025'!$B15:$B913,0),Match(E$1,'Actuals - Billing - 2025'!$B$2:$AE$2,0)))</f>
        <v/>
      </c>
      <c r="F15" s="11" t="str">
        <f t="array" ref="F15">if($D15="","",index('Actuals - Billing - 2025'!$B15:$AE913,Match($C15,'Actuals - Billing - 2025'!$B15:$B913,0),Match(F$1,'Actuals - Billing - 2025'!$B$2:$AE$2,0)))</f>
        <v/>
      </c>
      <c r="G15" s="11" t="str">
        <f t="array" ref="G15">if($D15="","",index('Actuals - Billing - 2025'!$B15:$AE913,Match($C15,'Actuals - Billing - 2025'!$B15:$B913,0),Match(G$1,'Actuals - Billing - 2025'!$B$2:$AE$2,0)))</f>
        <v/>
      </c>
      <c r="H15" s="11" t="str">
        <f t="array" ref="H15">if($D15="","",index('Actuals - Billing - 2025'!$B15:$AE913,Match($C15,'Actuals - Billing - 2025'!$B15:$B913,0),Match(H$1,'Actuals - Billing - 2025'!$B$2:$AE$2,0)))</f>
        <v/>
      </c>
      <c r="I15" s="11"/>
      <c r="J15" s="11" t="str">
        <f t="shared" si="5"/>
        <v/>
      </c>
      <c r="K15" s="12" t="str">
        <f t="shared" si="6"/>
        <v/>
      </c>
      <c r="L15" s="1" t="str">
        <f t="shared" si="7"/>
        <v/>
      </c>
      <c r="M15" s="4" t="str">
        <f t="shared" si="8"/>
        <v/>
      </c>
      <c r="N15" s="6"/>
      <c r="O15" s="15"/>
    </row>
    <row r="16">
      <c r="A16" s="7" t="str">
        <f t="shared" si="1"/>
        <v>Rogers Blue Jays Baseball Partnership</v>
      </c>
      <c r="B16" s="8">
        <f>if(and('Actuals - Billing - 2025'!E$254=True,C16&lt;&gt;""),'Actuals - Billing - 2025'!C248,"")</f>
        <v>9.4</v>
      </c>
      <c r="C16" s="9">
        <f>IF(and('Actuals - Billing - 2025'!E$254=True,sum('Actuals - Billing - 2025'!T248:Y248)&gt;0),'Actuals - Billing - 2025'!B248,"")</f>
        <v>45901</v>
      </c>
      <c r="D16" s="10">
        <f>if(and(sum('Actuals - Billing - 2025'!T248:Y248)&gt;0,C16&lt;&gt;""),'Actuals - Billing - 2025'!$U$2,"")</f>
        <v>11.12</v>
      </c>
      <c r="E16" s="11">
        <f t="array" ref="E16">if($D16="","",index('Actuals - Billing - 2025'!$B16:$AE914,Match($C16,'Actuals - Billing - 2025'!$B16:$B914,0),Match(E$1,'Actuals - Billing - 2025'!$B$2:$AE$2,0)))</f>
        <v>150</v>
      </c>
      <c r="F16" s="11">
        <f t="array" ref="F16">if($D16="","",index('Actuals - Billing - 2025'!$B16:$AE914,Match($C16,'Actuals - Billing - 2025'!$B16:$B914,0),Match(F$1,'Actuals - Billing - 2025'!$B$2:$AE$2,0)))</f>
        <v>150</v>
      </c>
      <c r="G16" s="11" t="str">
        <f t="array" ref="G16">if($D16="","",index('Actuals - Billing - 2025'!$B16:$AE914,Match($C16,'Actuals - Billing - 2025'!$B16:$B914,0),Match(G$1,'Actuals - Billing - 2025'!$B$2:$AE$2,0)))</f>
        <v/>
      </c>
      <c r="H16" s="11" t="str">
        <f t="array" ref="H16">if($D16="","",index('Actuals - Billing - 2025'!$B16:$AE914,Match($C16,'Actuals - Billing - 2025'!$B16:$B914,0),Match(H$1,'Actuals - Billing - 2025'!$B$2:$AE$2,0)))</f>
        <v/>
      </c>
      <c r="I16" s="11"/>
      <c r="J16" s="11">
        <f t="shared" si="5"/>
        <v>300</v>
      </c>
      <c r="K16" s="12">
        <f t="shared" si="6"/>
        <v>3336</v>
      </c>
      <c r="L16" s="1" t="str">
        <f t="shared" ref="L16:L21" si="9">iferror(if(E16&gt;0,"Breakfast"&amp;" "&amp;E16,"")&amp;IF(F16&gt;0," "&amp;"Lunch"&amp;" "&amp;F16,"")&amp;IF(G16&gt;0," "&amp;"Dinner"&amp;" "&amp;G16,"")&amp;IF(H16&gt;0," "&amp;"Florida Ops"&amp;" "&amp;H16,""),"")</f>
        <v>Breakfast 150 Lunch 150</v>
      </c>
      <c r="M16" s="4" t="str">
        <f t="shared" si="8"/>
        <v>TBJ MiLB - Breakfast/Lunch/Dinner</v>
      </c>
      <c r="O16" s="15"/>
      <c r="P16" s="14"/>
    </row>
    <row r="17">
      <c r="A17" s="7" t="str">
        <f t="shared" si="1"/>
        <v>Rogers Blue Jays Baseball Partnership</v>
      </c>
      <c r="B17" s="8">
        <f>if(and('Actuals - Billing - 2025'!E$254=True,C17&lt;&gt;""),'Actuals - Billing - 2025'!C249,"")</f>
        <v>9.4</v>
      </c>
      <c r="C17" s="9">
        <f>IF(and('Actuals - Billing - 2025'!E$254=True,sum('Actuals - Billing - 2025'!T249:Y249)&gt;0),'Actuals - Billing - 2025'!B249,"")</f>
        <v>45902</v>
      </c>
      <c r="D17" s="10">
        <f>if(and(sum('Actuals - Billing - 2025'!T249:Y249)&gt;0,C17&lt;&gt;""),'Actuals - Billing - 2025'!$U$2,"")</f>
        <v>11.12</v>
      </c>
      <c r="E17" s="11">
        <f t="array" ref="E17">if($D17="","",index('Actuals - Billing - 2025'!$B17:$AE915,Match($C17,'Actuals - Billing - 2025'!$B17:$B915,0),Match(E$1,'Actuals - Billing - 2025'!$B$2:$AE$2,0)))</f>
        <v>150</v>
      </c>
      <c r="F17" s="11">
        <f t="array" ref="F17">if($D17="","",index('Actuals - Billing - 2025'!$B17:$AE915,Match($C17,'Actuals - Billing - 2025'!$B17:$B915,0),Match(F$1,'Actuals - Billing - 2025'!$B$2:$AE$2,0)))</f>
        <v>150</v>
      </c>
      <c r="G17" s="11" t="str">
        <f t="array" ref="G17">if($D17="","",index('Actuals - Billing - 2025'!$B17:$AE915,Match($C17,'Actuals - Billing - 2025'!$B17:$B915,0),Match(G$1,'Actuals - Billing - 2025'!$B$2:$AE$2,0)))</f>
        <v/>
      </c>
      <c r="H17" s="11" t="str">
        <f t="array" ref="H17">if($D17="","",index('Actuals - Billing - 2025'!$B17:$AE915,Match($C17,'Actuals - Billing - 2025'!$B17:$B915,0),Match(H$1,'Actuals - Billing - 2025'!$B$2:$AE$2,0)))</f>
        <v/>
      </c>
      <c r="I17" s="11"/>
      <c r="J17" s="11">
        <f t="shared" si="5"/>
        <v>300</v>
      </c>
      <c r="K17" s="12">
        <f t="shared" si="6"/>
        <v>3336</v>
      </c>
      <c r="L17" s="1" t="str">
        <f t="shared" si="9"/>
        <v>Breakfast 150 Lunch 150</v>
      </c>
      <c r="M17" s="4" t="str">
        <f t="shared" si="8"/>
        <v>TBJ MiLB - Breakfast/Lunch/Dinner</v>
      </c>
      <c r="O17" s="15"/>
    </row>
    <row r="18">
      <c r="A18" s="7" t="str">
        <f t="shared" si="1"/>
        <v>Rogers Blue Jays Baseball Partnership</v>
      </c>
      <c r="B18" s="8">
        <f>if(and('Actuals - Billing - 2025'!E$254=True,C18&lt;&gt;""),'Actuals - Billing - 2025'!C250,"")</f>
        <v>9.4</v>
      </c>
      <c r="C18" s="9">
        <f>IF(and('Actuals - Billing - 2025'!E$254=True,sum('Actuals - Billing - 2025'!T250:Y250)&gt;0),'Actuals - Billing - 2025'!B250,"")</f>
        <v>45903</v>
      </c>
      <c r="D18" s="10">
        <f>if(and(sum('Actuals - Billing - 2025'!T250:Y250)&gt;0,C18&lt;&gt;""),'Actuals - Billing - 2025'!$U$2,"")</f>
        <v>11.12</v>
      </c>
      <c r="E18" s="11">
        <f t="array" ref="E18">if($D18="","",index('Actuals - Billing - 2025'!$B18:$AE916,Match($C18,'Actuals - Billing - 2025'!$B18:$B916,0),Match(E$1,'Actuals - Billing - 2025'!$B$2:$AE$2,0)))</f>
        <v>150</v>
      </c>
      <c r="F18" s="11">
        <f t="array" ref="F18">if($D18="","",index('Actuals - Billing - 2025'!$B18:$AE916,Match($C18,'Actuals - Billing - 2025'!$B18:$B916,0),Match(F$1,'Actuals - Billing - 2025'!$B$2:$AE$2,0)))</f>
        <v>150</v>
      </c>
      <c r="G18" s="11" t="str">
        <f t="array" ref="G18">if($D18="","",index('Actuals - Billing - 2025'!$B18:$AE916,Match($C18,'Actuals - Billing - 2025'!$B18:$B916,0),Match(G$1,'Actuals - Billing - 2025'!$B$2:$AE$2,0)))</f>
        <v/>
      </c>
      <c r="H18" s="11" t="str">
        <f t="array" ref="H18">if($D18="","",index('Actuals - Billing - 2025'!$B18:$AE916,Match($C18,'Actuals - Billing - 2025'!$B18:$B916,0),Match(H$1,'Actuals - Billing - 2025'!$B$2:$AE$2,0)))</f>
        <v/>
      </c>
      <c r="I18" s="11"/>
      <c r="J18" s="11">
        <f t="shared" si="5"/>
        <v>300</v>
      </c>
      <c r="K18" s="12">
        <f t="shared" si="6"/>
        <v>3336</v>
      </c>
      <c r="L18" s="1" t="str">
        <f t="shared" si="9"/>
        <v>Breakfast 150 Lunch 150</v>
      </c>
      <c r="M18" s="4" t="str">
        <f t="shared" si="8"/>
        <v>TBJ MiLB - Breakfast/Lunch/Dinner</v>
      </c>
      <c r="O18" s="15"/>
    </row>
    <row r="19">
      <c r="A19" s="7" t="str">
        <f t="shared" si="1"/>
        <v>Rogers Blue Jays Baseball Partnership</v>
      </c>
      <c r="B19" s="8">
        <f>if(and('Actuals - Billing - 2025'!E$254=True,C19&lt;&gt;""),'Actuals - Billing - 2025'!C251,"")</f>
        <v>9.4</v>
      </c>
      <c r="C19" s="9">
        <f>IF(and('Actuals - Billing - 2025'!E$254=True,sum('Actuals - Billing - 2025'!T251:Y251)&gt;0),'Actuals - Billing - 2025'!B251,"")</f>
        <v>45904</v>
      </c>
      <c r="D19" s="10">
        <f>if(and(sum('Actuals - Billing - 2025'!T251:Y251)&gt;0,C19&lt;&gt;""),'Actuals - Billing - 2025'!$U$2,"")</f>
        <v>11.12</v>
      </c>
      <c r="E19" s="11">
        <f t="array" ref="E19">if($D19="","",index('Actuals - Billing - 2025'!$B19:$AE917,Match($C19,'Actuals - Billing - 2025'!$B19:$B917,0),Match(E$1,'Actuals - Billing - 2025'!$B$2:$AE$2,0)))</f>
        <v>150</v>
      </c>
      <c r="F19" s="11">
        <f t="array" ref="F19">if($D19="","",index('Actuals - Billing - 2025'!$B19:$AE917,Match($C19,'Actuals - Billing - 2025'!$B19:$B917,0),Match(F$1,'Actuals - Billing - 2025'!$B$2:$AE$2,0)))</f>
        <v>150</v>
      </c>
      <c r="G19" s="11" t="str">
        <f t="array" ref="G19">if($D19="","",index('Actuals - Billing - 2025'!$B19:$AE917,Match($C19,'Actuals - Billing - 2025'!$B19:$B917,0),Match(G$1,'Actuals - Billing - 2025'!$B$2:$AE$2,0)))</f>
        <v/>
      </c>
      <c r="H19" s="11" t="str">
        <f t="array" ref="H19">if($D19="","",index('Actuals - Billing - 2025'!$B19:$AE917,Match($C19,'Actuals - Billing - 2025'!$B19:$B917,0),Match(H$1,'Actuals - Billing - 2025'!$B$2:$AE$2,0)))</f>
        <v/>
      </c>
      <c r="I19" s="11"/>
      <c r="J19" s="11">
        <f t="shared" si="5"/>
        <v>300</v>
      </c>
      <c r="K19" s="12">
        <f t="shared" si="6"/>
        <v>3336</v>
      </c>
      <c r="L19" s="1" t="str">
        <f t="shared" si="9"/>
        <v>Breakfast 150 Lunch 150</v>
      </c>
      <c r="M19" s="4" t="str">
        <f t="shared" si="8"/>
        <v>TBJ MiLB - Breakfast/Lunch/Dinner</v>
      </c>
      <c r="O19" s="15"/>
    </row>
    <row r="20">
      <c r="A20" s="7" t="str">
        <f t="shared" si="1"/>
        <v>Rogers Blue Jays Baseball Partnership</v>
      </c>
      <c r="B20" s="8">
        <f>if(and('Actuals - Billing - 2025'!E$254=True,C20&lt;&gt;""),'Actuals - Billing - 2025'!C252,"")</f>
        <v>9.4</v>
      </c>
      <c r="C20" s="9">
        <f>IF(and('Actuals - Billing - 2025'!E$254=True,sum('Actuals - Billing - 2025'!T252:Y252)&gt;0),'Actuals - Billing - 2025'!B252,"")</f>
        <v>45905</v>
      </c>
      <c r="D20" s="10">
        <f>if(and(sum('Actuals - Billing - 2025'!T252:Y252)&gt;0,C20&lt;&gt;""),'Actuals - Billing - 2025'!$U$2,"")</f>
        <v>11.12</v>
      </c>
      <c r="E20" s="11">
        <f t="array" ref="E20">if($D20="","",index('Actuals - Billing - 2025'!$B20:$AE918,Match($C20,'Actuals - Billing - 2025'!$B20:$B918,0),Match(E$1,'Actuals - Billing - 2025'!$B$2:$AE$2,0)))</f>
        <v>150</v>
      </c>
      <c r="F20" s="11">
        <f t="array" ref="F20">if($D20="","",index('Actuals - Billing - 2025'!$B20:$AE918,Match($C20,'Actuals - Billing - 2025'!$B20:$B918,0),Match(F$1,'Actuals - Billing - 2025'!$B$2:$AE$2,0)))</f>
        <v>150</v>
      </c>
      <c r="G20" s="11" t="str">
        <f t="array" ref="G20">if($D20="","",index('Actuals - Billing - 2025'!$B20:$AE918,Match($C20,'Actuals - Billing - 2025'!$B20:$B918,0),Match(G$1,'Actuals - Billing - 2025'!$B$2:$AE$2,0)))</f>
        <v/>
      </c>
      <c r="H20" s="11" t="str">
        <f t="array" ref="H20">if($D20="","",index('Actuals - Billing - 2025'!$B20:$AE918,Match($C20,'Actuals - Billing - 2025'!$B20:$B918,0),Match(H$1,'Actuals - Billing - 2025'!$B$2:$AE$2,0)))</f>
        <v/>
      </c>
      <c r="I20" s="11"/>
      <c r="J20" s="11">
        <f t="shared" si="5"/>
        <v>300</v>
      </c>
      <c r="K20" s="12">
        <f t="shared" si="6"/>
        <v>3336</v>
      </c>
      <c r="L20" s="1" t="str">
        <f t="shared" si="9"/>
        <v>Breakfast 150 Lunch 150</v>
      </c>
      <c r="M20" s="4" t="str">
        <f t="shared" si="8"/>
        <v>TBJ MiLB - Breakfast/Lunch/Dinner</v>
      </c>
      <c r="O20" s="15"/>
    </row>
    <row r="21">
      <c r="A21" s="7" t="str">
        <f t="shared" si="1"/>
        <v>Rogers Blue Jays Baseball Partnership</v>
      </c>
      <c r="B21" s="8">
        <f>if(and('Actuals - Billing - 2025'!E$254=True,C21&lt;&gt;""),'Actuals - Billing - 2025'!C253,"")</f>
        <v>9.4</v>
      </c>
      <c r="C21" s="9">
        <f>IF(and('Actuals - Billing - 2025'!E$254=True,sum('Actuals - Billing - 2025'!T253:Y253)&gt;0),'Actuals - Billing - 2025'!B253,"")</f>
        <v>45906</v>
      </c>
      <c r="D21" s="10">
        <f>if(and(sum('Actuals - Billing - 2025'!T253:Y253)&gt;0,C21&lt;&gt;""),'Actuals - Billing - 2025'!$U$2,"")</f>
        <v>11.12</v>
      </c>
      <c r="E21" s="11">
        <f t="array" ref="E21">if($D21="","",index('Actuals - Billing - 2025'!$B21:$AE919,Match($C21,'Actuals - Billing - 2025'!$B21:$B919,0),Match(E$1,'Actuals - Billing - 2025'!$B$2:$AE$2,0)))</f>
        <v>75</v>
      </c>
      <c r="F21" s="11">
        <f t="array" ref="F21">if($D21="","",index('Actuals - Billing - 2025'!$B21:$AE919,Match($C21,'Actuals - Billing - 2025'!$B21:$B919,0),Match(F$1,'Actuals - Billing - 2025'!$B$2:$AE$2,0)))</f>
        <v>75</v>
      </c>
      <c r="G21" s="11" t="str">
        <f t="array" ref="G21">if($D21="","",index('Actuals - Billing - 2025'!$B21:$AE919,Match($C21,'Actuals - Billing - 2025'!$B21:$B919,0),Match(G$1,'Actuals - Billing - 2025'!$B$2:$AE$2,0)))</f>
        <v/>
      </c>
      <c r="H21" s="11" t="str">
        <f t="array" ref="H21">if($D21="","",index('Actuals - Billing - 2025'!$B21:$AE919,Match($C21,'Actuals - Billing - 2025'!$B21:$B919,0),Match(H$1,'Actuals - Billing - 2025'!$B$2:$AE$2,0)))</f>
        <v/>
      </c>
      <c r="I21" s="11"/>
      <c r="J21" s="11">
        <f t="shared" si="5"/>
        <v>150</v>
      </c>
      <c r="K21" s="12">
        <f t="shared" si="6"/>
        <v>1668</v>
      </c>
      <c r="L21" s="1" t="str">
        <f t="shared" si="9"/>
        <v>Breakfast 75 Lunch 75</v>
      </c>
      <c r="M21" s="4" t="str">
        <f t="shared" si="8"/>
        <v>TBJ MiLB - Breakfast/Lunch/Dinner</v>
      </c>
      <c r="O21" s="15"/>
    </row>
    <row r="22">
      <c r="A22" s="7" t="str">
        <f t="shared" si="1"/>
        <v/>
      </c>
      <c r="B22" s="8" t="str">
        <f>if(and('Actuals - Billing - 2025'!E$254=True,C22&lt;&gt;""),'Actuals - Billing - 2025'!C254,"")</f>
        <v/>
      </c>
      <c r="C22" s="9" t="str">
        <f>IF(and('Actuals - Billing - 2025'!E$254=True,sum('Actuals - Billing - 2025'!T254:Y254)&gt;0),'Actuals - Billing - 2025'!B254,"")</f>
        <v/>
      </c>
      <c r="D22" s="10" t="str">
        <f>if(and(sum('Actuals - Billing - 2025'!T254:Y254)&gt;0,C22&lt;&gt;""),'Actuals - Billing - 2025'!$U$2,"")</f>
        <v/>
      </c>
      <c r="E22" s="11" t="str">
        <f t="array" ref="E22">if($D22="","",index('Actuals - Billing - 2025'!$B22:$AE920,Match($C22,'Actuals - Billing - 2025'!$B22:$B920,0),Match(E$1,'Actuals - Billing - 2025'!$B$2:$AE$2,0)))</f>
        <v/>
      </c>
      <c r="F22" s="11" t="str">
        <f t="array" ref="F22">if($D22="","",index('Actuals - Billing - 2025'!$B22:$AE920,Match($C22,'Actuals - Billing - 2025'!$B22:$B920,0),Match(F$1,'Actuals - Billing - 2025'!$B$2:$AE$2,0)))</f>
        <v/>
      </c>
      <c r="G22" s="11" t="str">
        <f t="array" ref="G22">if($D22="","",index('Actuals - Billing - 2025'!$B22:$AE920,Match($C22,'Actuals - Billing - 2025'!$B22:$B920,0),Match(G$1,'Actuals - Billing - 2025'!$B$2:$AE$2,0)))</f>
        <v/>
      </c>
      <c r="H22" s="11" t="str">
        <f t="array" ref="H22">if($D22="","",index('Actuals - Billing - 2025'!$B22:$AE920,Match($C22,'Actuals - Billing - 2025'!$B22:$B920,0),Match(H$1,'Actuals - Billing - 2025'!$B$2:$AE$2,0)))</f>
        <v/>
      </c>
      <c r="I22" s="11"/>
      <c r="J22" s="11" t="str">
        <f t="shared" si="5"/>
        <v/>
      </c>
      <c r="K22" s="12" t="str">
        <f t="shared" si="6"/>
        <v/>
      </c>
      <c r="L22" s="1" t="str">
        <f t="shared" ref="L22:L400" si="10">if(J22&lt;&gt;"",iferror(if(E22&gt;0,"Breakfast"&amp;" "&amp;E22,"")&amp;IF(F22&gt;0," "&amp;"Lunch"&amp;" "&amp;F22,"")&amp;IF(G22&gt;0," "&amp;"Dinner"&amp;" "&amp;G22,"")&amp;IF(H22&gt;0," "&amp;"Florida Ops"&amp;" "&amp;H22,""),""),"")</f>
        <v/>
      </c>
      <c r="M22" s="4" t="str">
        <f t="shared" si="8"/>
        <v/>
      </c>
      <c r="N22" s="6"/>
      <c r="O22" s="15"/>
    </row>
    <row r="23">
      <c r="A23" s="7" t="str">
        <f t="shared" si="1"/>
        <v>Rogers Blue Jays Baseball Partnership</v>
      </c>
      <c r="B23" s="8">
        <f>if(and('Actuals - Billing - 2025'!E$261=True,C23&lt;&gt;""),'Actuals - Billing - 2025'!C255,"")</f>
        <v>10.1</v>
      </c>
      <c r="C23" s="9">
        <f>IF(and('Actuals - Billing - 2025'!E$261=True,sum('Actuals - Billing - 2025'!T255:Y255)&gt;0),'Actuals - Billing - 2025'!B255,"")</f>
        <v>45908</v>
      </c>
      <c r="D23" s="10">
        <f>if(and(sum('Actuals - Billing - 2025'!T255:Y255)&gt;0,C23&lt;&gt;""),'Actuals - Billing - 2025'!$U$2,"")</f>
        <v>11.12</v>
      </c>
      <c r="E23" s="11">
        <f t="array" ref="E23">if($D23="","",index('Actuals - Billing - 2025'!$B23:$AE921,Match($C23,'Actuals - Billing - 2025'!$B23:$B921,0),Match(E$1,'Actuals - Billing - 2025'!$B$2:$AE$2,0)))</f>
        <v>100</v>
      </c>
      <c r="F23" s="11">
        <f t="array" ref="F23">if($D23="","",index('Actuals - Billing - 2025'!$B23:$AE921,Match($C23,'Actuals - Billing - 2025'!$B23:$B921,0),Match(F$1,'Actuals - Billing - 2025'!$B$2:$AE$2,0)))</f>
        <v>100</v>
      </c>
      <c r="G23" s="11" t="str">
        <f t="array" ref="G23">if($D23="","",index('Actuals - Billing - 2025'!$B23:$AE921,Match($C23,'Actuals - Billing - 2025'!$B23:$B921,0),Match(G$1,'Actuals - Billing - 2025'!$B$2:$AE$2,0)))</f>
        <v/>
      </c>
      <c r="H23" s="11" t="str">
        <f t="array" ref="H23">if($D23="","",index('Actuals - Billing - 2025'!$B23:$AE921,Match($C23,'Actuals - Billing - 2025'!$B23:$B921,0),Match(H$1,'Actuals - Billing - 2025'!$B$2:$AE$2,0)))</f>
        <v/>
      </c>
      <c r="I23" s="11"/>
      <c r="J23" s="11">
        <f t="shared" si="5"/>
        <v>200</v>
      </c>
      <c r="K23" s="12">
        <f t="shared" si="6"/>
        <v>2224</v>
      </c>
      <c r="L23" s="1" t="str">
        <f t="shared" si="10"/>
        <v>Breakfast 100 Lunch 100</v>
      </c>
      <c r="M23" s="4" t="str">
        <f t="shared" si="8"/>
        <v>TBJ MiLB - Breakfast/Lunch/Dinner</v>
      </c>
      <c r="N23" s="16">
        <v>45915.0</v>
      </c>
      <c r="O23" s="15"/>
      <c r="P23" s="14"/>
    </row>
    <row r="24">
      <c r="A24" s="7" t="str">
        <f t="shared" si="1"/>
        <v>Rogers Blue Jays Baseball Partnership</v>
      </c>
      <c r="B24" s="8">
        <f>if(and('Actuals - Billing - 2025'!E$261=True,C24&lt;&gt;""),'Actuals - Billing - 2025'!C256,"")</f>
        <v>10.1</v>
      </c>
      <c r="C24" s="9">
        <f>IF(and('Actuals - Billing - 2025'!E$261=True,sum('Actuals - Billing - 2025'!T256:Y256)&gt;0),'Actuals - Billing - 2025'!B256,"")</f>
        <v>45909</v>
      </c>
      <c r="D24" s="10">
        <f>if(and(sum('Actuals - Billing - 2025'!T256:Y256)&gt;0,C24&lt;&gt;""),'Actuals - Billing - 2025'!$U$2,"")</f>
        <v>11.12</v>
      </c>
      <c r="E24" s="11">
        <f t="array" ref="E24">if($D24="","",index('Actuals - Billing - 2025'!$B24:$AE922,Match($C24,'Actuals - Billing - 2025'!$B24:$B922,0),Match(E$1,'Actuals - Billing - 2025'!$B$2:$AE$2,0)))</f>
        <v>150</v>
      </c>
      <c r="F24" s="11">
        <f t="array" ref="F24">if($D24="","",index('Actuals - Billing - 2025'!$B24:$AE922,Match($C24,'Actuals - Billing - 2025'!$B24:$B922,0),Match(F$1,'Actuals - Billing - 2025'!$B$2:$AE$2,0)))</f>
        <v>150</v>
      </c>
      <c r="G24" s="11" t="str">
        <f t="array" ref="G24">if($D24="","",index('Actuals - Billing - 2025'!$B24:$AE922,Match($C24,'Actuals - Billing - 2025'!$B24:$B922,0),Match(G$1,'Actuals - Billing - 2025'!$B$2:$AE$2,0)))</f>
        <v/>
      </c>
      <c r="H24" s="11" t="str">
        <f t="array" ref="H24">if($D24="","",index('Actuals - Billing - 2025'!$B24:$AE922,Match($C24,'Actuals - Billing - 2025'!$B24:$B922,0),Match(H$1,'Actuals - Billing - 2025'!$B$2:$AE$2,0)))</f>
        <v/>
      </c>
      <c r="I24" s="11"/>
      <c r="J24" s="11">
        <f t="shared" si="5"/>
        <v>300</v>
      </c>
      <c r="K24" s="12">
        <f t="shared" si="6"/>
        <v>3336</v>
      </c>
      <c r="L24" s="1" t="str">
        <f t="shared" si="10"/>
        <v>Breakfast 150 Lunch 150</v>
      </c>
      <c r="M24" s="4" t="str">
        <f t="shared" si="8"/>
        <v>TBJ MiLB - Breakfast/Lunch/Dinner</v>
      </c>
      <c r="N24" s="16">
        <v>45915.0</v>
      </c>
      <c r="O24" s="15"/>
    </row>
    <row r="25">
      <c r="A25" s="7" t="str">
        <f t="shared" si="1"/>
        <v>Rogers Blue Jays Baseball Partnership</v>
      </c>
      <c r="B25" s="8">
        <f>if(and('Actuals - Billing - 2025'!E$261=True,C25&lt;&gt;""),'Actuals - Billing - 2025'!C257,"")</f>
        <v>10.1</v>
      </c>
      <c r="C25" s="9">
        <f>IF(and('Actuals - Billing - 2025'!E$261=True,sum('Actuals - Billing - 2025'!T257:Y257)&gt;0),'Actuals - Billing - 2025'!B257,"")</f>
        <v>45910</v>
      </c>
      <c r="D25" s="10">
        <f>if(and(sum('Actuals - Billing - 2025'!T257:Y257)&gt;0,C25&lt;&gt;""),'Actuals - Billing - 2025'!$U$2,"")</f>
        <v>11.12</v>
      </c>
      <c r="E25" s="11">
        <f t="array" ref="E25">if($D25="","",index('Actuals - Billing - 2025'!$B25:$AE923,Match($C25,'Actuals - Billing - 2025'!$B25:$B923,0),Match(E$1,'Actuals - Billing - 2025'!$B$2:$AE$2,0)))</f>
        <v>150</v>
      </c>
      <c r="F25" s="11">
        <f t="array" ref="F25">if($D25="","",index('Actuals - Billing - 2025'!$B25:$AE923,Match($C25,'Actuals - Billing - 2025'!$B25:$B923,0),Match(F$1,'Actuals - Billing - 2025'!$B$2:$AE$2,0)))</f>
        <v>150</v>
      </c>
      <c r="G25" s="11" t="str">
        <f t="array" ref="G25">if($D25="","",index('Actuals - Billing - 2025'!$B25:$AE923,Match($C25,'Actuals - Billing - 2025'!$B25:$B923,0),Match(G$1,'Actuals - Billing - 2025'!$B$2:$AE$2,0)))</f>
        <v/>
      </c>
      <c r="H25" s="11" t="str">
        <f t="array" ref="H25">if($D25="","",index('Actuals - Billing - 2025'!$B25:$AE923,Match($C25,'Actuals - Billing - 2025'!$B25:$B923,0),Match(H$1,'Actuals - Billing - 2025'!$B$2:$AE$2,0)))</f>
        <v/>
      </c>
      <c r="I25" s="11"/>
      <c r="J25" s="11">
        <f t="shared" si="5"/>
        <v>300</v>
      </c>
      <c r="K25" s="12">
        <f t="shared" si="6"/>
        <v>3336</v>
      </c>
      <c r="L25" s="1" t="str">
        <f t="shared" si="10"/>
        <v>Breakfast 150 Lunch 150</v>
      </c>
      <c r="M25" s="4" t="str">
        <f t="shared" si="8"/>
        <v>TBJ MiLB - Breakfast/Lunch/Dinner</v>
      </c>
      <c r="N25" s="16">
        <v>45915.0</v>
      </c>
      <c r="O25" s="15"/>
    </row>
    <row r="26">
      <c r="A26" s="7" t="str">
        <f t="shared" si="1"/>
        <v>Rogers Blue Jays Baseball Partnership</v>
      </c>
      <c r="B26" s="8">
        <f>if(and('Actuals - Billing - 2025'!E$261=True,C26&lt;&gt;""),'Actuals - Billing - 2025'!C258,"")</f>
        <v>10.1</v>
      </c>
      <c r="C26" s="9">
        <f>IF(and('Actuals - Billing - 2025'!E$261=True,sum('Actuals - Billing - 2025'!T258:Y258)&gt;0),'Actuals - Billing - 2025'!B258,"")</f>
        <v>45911</v>
      </c>
      <c r="D26" s="10">
        <f>if(and(sum('Actuals - Billing - 2025'!T258:Y258)&gt;0,C26&lt;&gt;""),'Actuals - Billing - 2025'!$U$2,"")</f>
        <v>11.12</v>
      </c>
      <c r="E26" s="11">
        <f t="array" ref="E26">if($D26="","",index('Actuals - Billing - 2025'!$B26:$AE924,Match($C26,'Actuals - Billing - 2025'!$B26:$B924,0),Match(E$1,'Actuals - Billing - 2025'!$B$2:$AE$2,0)))</f>
        <v>150</v>
      </c>
      <c r="F26" s="11">
        <f t="array" ref="F26">if($D26="","",index('Actuals - Billing - 2025'!$B26:$AE924,Match($C26,'Actuals - Billing - 2025'!$B26:$B924,0),Match(F$1,'Actuals - Billing - 2025'!$B$2:$AE$2,0)))</f>
        <v>150</v>
      </c>
      <c r="G26" s="11" t="str">
        <f t="array" ref="G26">if($D26="","",index('Actuals - Billing - 2025'!$B26:$AE924,Match($C26,'Actuals - Billing - 2025'!$B26:$B924,0),Match(G$1,'Actuals - Billing - 2025'!$B$2:$AE$2,0)))</f>
        <v/>
      </c>
      <c r="H26" s="11" t="str">
        <f t="array" ref="H26">if($D26="","",index('Actuals - Billing - 2025'!$B26:$AE924,Match($C26,'Actuals - Billing - 2025'!$B26:$B924,0),Match(H$1,'Actuals - Billing - 2025'!$B$2:$AE$2,0)))</f>
        <v/>
      </c>
      <c r="I26" s="11"/>
      <c r="J26" s="11">
        <f t="shared" si="5"/>
        <v>300</v>
      </c>
      <c r="K26" s="12">
        <f t="shared" si="6"/>
        <v>3336</v>
      </c>
      <c r="L26" s="1" t="str">
        <f t="shared" si="10"/>
        <v>Breakfast 150 Lunch 150</v>
      </c>
      <c r="M26" s="4" t="str">
        <f t="shared" si="8"/>
        <v>TBJ MiLB - Breakfast/Lunch/Dinner</v>
      </c>
      <c r="N26" s="16">
        <v>45915.0</v>
      </c>
      <c r="O26" s="15"/>
    </row>
    <row r="27">
      <c r="A27" s="7" t="str">
        <f t="shared" si="1"/>
        <v>Rogers Blue Jays Baseball Partnership</v>
      </c>
      <c r="B27" s="8">
        <f>if(and('Actuals - Billing - 2025'!E$261=True,C27&lt;&gt;""),'Actuals - Billing - 2025'!C259,"")</f>
        <v>10.1</v>
      </c>
      <c r="C27" s="9">
        <f>IF(and('Actuals - Billing - 2025'!E$261=True,sum('Actuals - Billing - 2025'!T259:Y259)&gt;0),'Actuals - Billing - 2025'!B259,"")</f>
        <v>45912</v>
      </c>
      <c r="D27" s="10">
        <f>if(and(sum('Actuals - Billing - 2025'!T259:Y259)&gt;0,C27&lt;&gt;""),'Actuals - Billing - 2025'!$U$2,"")</f>
        <v>11.12</v>
      </c>
      <c r="E27" s="11">
        <f t="array" ref="E27">if($D27="","",index('Actuals - Billing - 2025'!$B27:$AE925,Match($C27,'Actuals - Billing - 2025'!$B27:$B925,0),Match(E$1,'Actuals - Billing - 2025'!$B$2:$AE$2,0)))</f>
        <v>150</v>
      </c>
      <c r="F27" s="11">
        <f t="array" ref="F27">if($D27="","",index('Actuals - Billing - 2025'!$B27:$AE925,Match($C27,'Actuals - Billing - 2025'!$B27:$B925,0),Match(F$1,'Actuals - Billing - 2025'!$B$2:$AE$2,0)))</f>
        <v>150</v>
      </c>
      <c r="G27" s="11" t="str">
        <f t="array" ref="G27">if($D27="","",index('Actuals - Billing - 2025'!$B27:$AE925,Match($C27,'Actuals - Billing - 2025'!$B27:$B925,0),Match(G$1,'Actuals - Billing - 2025'!$B$2:$AE$2,0)))</f>
        <v/>
      </c>
      <c r="H27" s="11" t="str">
        <f t="array" ref="H27">if($D27="","",index('Actuals - Billing - 2025'!$B27:$AE925,Match($C27,'Actuals - Billing - 2025'!$B27:$B925,0),Match(H$1,'Actuals - Billing - 2025'!$B$2:$AE$2,0)))</f>
        <v/>
      </c>
      <c r="I27" s="11"/>
      <c r="J27" s="11">
        <f t="shared" si="5"/>
        <v>300</v>
      </c>
      <c r="K27" s="12">
        <f t="shared" si="6"/>
        <v>3336</v>
      </c>
      <c r="L27" s="1" t="str">
        <f t="shared" si="10"/>
        <v>Breakfast 150 Lunch 150</v>
      </c>
      <c r="M27" s="4" t="str">
        <f t="shared" si="8"/>
        <v>TBJ MiLB - Breakfast/Lunch/Dinner</v>
      </c>
      <c r="N27" s="16">
        <v>45915.0</v>
      </c>
      <c r="O27" s="15"/>
    </row>
    <row r="28">
      <c r="A28" s="7" t="str">
        <f t="shared" si="1"/>
        <v>Rogers Blue Jays Baseball Partnership</v>
      </c>
      <c r="B28" s="8">
        <f>if(and('Actuals - Billing - 2025'!E$261=True,C28&lt;&gt;""),'Actuals - Billing - 2025'!C260,"")</f>
        <v>10.1</v>
      </c>
      <c r="C28" s="9">
        <f>IF(and('Actuals - Billing - 2025'!E$261=True,sum('Actuals - Billing - 2025'!T260:Y260)&gt;0),'Actuals - Billing - 2025'!B260,"")</f>
        <v>45913</v>
      </c>
      <c r="D28" s="10">
        <f>if(and(sum('Actuals - Billing - 2025'!T260:Y260)&gt;0,C28&lt;&gt;""),'Actuals - Billing - 2025'!$U$2,"")</f>
        <v>11.12</v>
      </c>
      <c r="E28" s="11">
        <f t="array" ref="E28">if($D28="","",index('Actuals - Billing - 2025'!$B28:$AE926,Match($C28,'Actuals - Billing - 2025'!$B28:$B926,0),Match(E$1,'Actuals - Billing - 2025'!$B$2:$AE$2,0)))</f>
        <v>150</v>
      </c>
      <c r="F28" s="11">
        <f t="array" ref="F28">if($D28="","",index('Actuals - Billing - 2025'!$B28:$AE926,Match($C28,'Actuals - Billing - 2025'!$B28:$B926,0),Match(F$1,'Actuals - Billing - 2025'!$B$2:$AE$2,0)))</f>
        <v>150</v>
      </c>
      <c r="G28" s="11" t="str">
        <f t="array" ref="G28">if($D28="","",index('Actuals - Billing - 2025'!$B28:$AE926,Match($C28,'Actuals - Billing - 2025'!$B28:$B926,0),Match(G$1,'Actuals - Billing - 2025'!$B$2:$AE$2,0)))</f>
        <v/>
      </c>
      <c r="H28" s="11" t="str">
        <f t="array" ref="H28">if($D28="","",index('Actuals - Billing - 2025'!$B28:$AE926,Match($C28,'Actuals - Billing - 2025'!$B28:$B926,0),Match(H$1,'Actuals - Billing - 2025'!$B$2:$AE$2,0)))</f>
        <v/>
      </c>
      <c r="I28" s="11"/>
      <c r="J28" s="11">
        <f t="shared" si="5"/>
        <v>300</v>
      </c>
      <c r="K28" s="12">
        <f t="shared" si="6"/>
        <v>3336</v>
      </c>
      <c r="L28" s="1" t="str">
        <f t="shared" si="10"/>
        <v>Breakfast 150 Lunch 150</v>
      </c>
      <c r="M28" s="4" t="str">
        <f t="shared" si="8"/>
        <v>TBJ MiLB - Breakfast/Lunch/Dinner</v>
      </c>
      <c r="N28" s="16">
        <v>45915.0</v>
      </c>
      <c r="O28" s="15"/>
    </row>
    <row r="29">
      <c r="A29" s="7" t="str">
        <f t="shared" si="1"/>
        <v/>
      </c>
      <c r="B29" s="8" t="str">
        <f>if(and('Actuals - Billing - 2025'!E$261=True,C29&lt;&gt;""),'Actuals - Billing - 2025'!C261,"")</f>
        <v/>
      </c>
      <c r="C29" s="9" t="str">
        <f>IF(and('Actuals - Billing - 2025'!E$261=True,sum('Actuals - Billing - 2025'!T261:Y261)&gt;0),'Actuals - Billing - 2025'!B261,"")</f>
        <v/>
      </c>
      <c r="D29" s="10" t="str">
        <f>if(and(sum('Actuals - Billing - 2025'!T261:Y261)&gt;0,C29&lt;&gt;""),'Actuals - Billing - 2025'!$U$2,"")</f>
        <v/>
      </c>
      <c r="E29" s="11" t="str">
        <f t="array" ref="E29">if($D29="","",index('Actuals - Billing - 2025'!$B29:$AE927,Match($C29,'Actuals - Billing - 2025'!$B29:$B927,0),Match(E$1,'Actuals - Billing - 2025'!$B$2:$AE$2,0)))</f>
        <v/>
      </c>
      <c r="F29" s="11" t="str">
        <f t="array" ref="F29">if($D29="","",index('Actuals - Billing - 2025'!$B29:$AE927,Match($C29,'Actuals - Billing - 2025'!$B29:$B927,0),Match(F$1,'Actuals - Billing - 2025'!$B$2:$AE$2,0)))</f>
        <v/>
      </c>
      <c r="G29" s="11" t="str">
        <f t="array" ref="G29">if($D29="","",index('Actuals - Billing - 2025'!$B29:$AE927,Match($C29,'Actuals - Billing - 2025'!$B29:$B927,0),Match(G$1,'Actuals - Billing - 2025'!$B$2:$AE$2,0)))</f>
        <v/>
      </c>
      <c r="H29" s="11" t="str">
        <f t="array" ref="H29">if($D29="","",index('Actuals - Billing - 2025'!$B29:$AE927,Match($C29,'Actuals - Billing - 2025'!$B29:$B927,0),Match(H$1,'Actuals - Billing - 2025'!$B$2:$AE$2,0)))</f>
        <v/>
      </c>
      <c r="I29" s="11"/>
      <c r="J29" s="11" t="str">
        <f t="shared" si="5"/>
        <v/>
      </c>
      <c r="K29" s="12" t="str">
        <f t="shared" si="6"/>
        <v/>
      </c>
      <c r="L29" s="1" t="str">
        <f t="shared" si="10"/>
        <v/>
      </c>
      <c r="M29" s="4" t="str">
        <f t="shared" si="8"/>
        <v/>
      </c>
      <c r="N29" s="6"/>
      <c r="O29" s="15"/>
    </row>
    <row r="30">
      <c r="A30" s="7" t="str">
        <f t="shared" si="1"/>
        <v/>
      </c>
      <c r="B30" s="8" t="str">
        <f>if(and('Actuals - Billing - 2025'!E$268=True,C30&lt;&gt;""),'Actuals - Billing - 2025'!C262,"")</f>
        <v/>
      </c>
      <c r="C30" s="9" t="str">
        <f>IF(and('Actuals - Billing - 2025'!E$268=True,sum('Actuals - Billing - 2025'!T262:Y262)&gt;0),'Actuals - Billing - 2025'!B262,"")</f>
        <v/>
      </c>
      <c r="D30" s="10" t="str">
        <f>if(and(sum('Actuals - Billing - 2025'!T262:Y262)&gt;0,C30&lt;&gt;""),'Actuals - Billing - 2025'!$U$2,"")</f>
        <v/>
      </c>
      <c r="E30" s="11" t="str">
        <f t="array" ref="E30">if($D30="","",index('Actuals - Billing - 2025'!$B30:$AE928,Match($C30,'Actuals - Billing - 2025'!$B30:$B928,0),Match(E$1,'Actuals - Billing - 2025'!$B$2:$AE$2,0)))</f>
        <v/>
      </c>
      <c r="F30" s="11" t="str">
        <f t="array" ref="F30">if($D30="","",index('Actuals - Billing - 2025'!$B30:$AE928,Match($C30,'Actuals - Billing - 2025'!$B30:$B928,0),Match(F$1,'Actuals - Billing - 2025'!$B$2:$AE$2,0)))</f>
        <v/>
      </c>
      <c r="G30" s="11" t="str">
        <f t="array" ref="G30">if($D30="","",index('Actuals - Billing - 2025'!$B30:$AE928,Match($C30,'Actuals - Billing - 2025'!$B30:$B928,0),Match(G$1,'Actuals - Billing - 2025'!$B$2:$AE$2,0)))</f>
        <v/>
      </c>
      <c r="H30" s="11" t="str">
        <f t="array" ref="H30">if($D30="","",index('Actuals - Billing - 2025'!$B30:$AE928,Match($C30,'Actuals - Billing - 2025'!$B30:$B928,0),Match(H$1,'Actuals - Billing - 2025'!$B$2:$AE$2,0)))</f>
        <v/>
      </c>
      <c r="I30" s="11"/>
      <c r="J30" s="11" t="str">
        <f t="shared" si="5"/>
        <v/>
      </c>
      <c r="K30" s="12" t="str">
        <f t="shared" si="6"/>
        <v/>
      </c>
      <c r="L30" s="1" t="str">
        <f t="shared" si="10"/>
        <v/>
      </c>
      <c r="M30" s="4" t="str">
        <f t="shared" si="8"/>
        <v/>
      </c>
      <c r="N30" s="17" t="str">
        <f>if(M30&lt;&gt;"",'Actuals - Billing - 2025'!BG262,"")</f>
        <v/>
      </c>
      <c r="O30" s="15"/>
      <c r="P30" s="14"/>
    </row>
    <row r="31">
      <c r="A31" s="7" t="str">
        <f t="shared" si="1"/>
        <v/>
      </c>
      <c r="B31" s="8" t="str">
        <f>if(and('Actuals - Billing - 2025'!E$268=True,C31&lt;&gt;""),'Actuals - Billing - 2025'!C263,"")</f>
        <v/>
      </c>
      <c r="C31" s="9" t="str">
        <f>IF(and('Actuals - Billing - 2025'!E$268=True,sum('Actuals - Billing - 2025'!T263:Y263)&gt;0),'Actuals - Billing - 2025'!B263,"")</f>
        <v/>
      </c>
      <c r="D31" s="10" t="str">
        <f>if(and(sum('Actuals - Billing - 2025'!T263:Y263)&gt;0,C31&lt;&gt;""),'Actuals - Billing - 2025'!$U$2,"")</f>
        <v/>
      </c>
      <c r="E31" s="11" t="str">
        <f t="array" ref="E31">if($D31="","",index('Actuals - Billing - 2025'!$B31:$AE929,Match($C31,'Actuals - Billing - 2025'!$B31:$B929,0),Match(E$1,'Actuals - Billing - 2025'!$B$2:$AE$2,0)))</f>
        <v/>
      </c>
      <c r="F31" s="11" t="str">
        <f t="array" ref="F31">if($D31="","",index('Actuals - Billing - 2025'!$B31:$AE929,Match($C31,'Actuals - Billing - 2025'!$B31:$B929,0),Match(F$1,'Actuals - Billing - 2025'!$B$2:$AE$2,0)))</f>
        <v/>
      </c>
      <c r="G31" s="11" t="str">
        <f t="array" ref="G31">if($D31="","",index('Actuals - Billing - 2025'!$B31:$AE929,Match($C31,'Actuals - Billing - 2025'!$B31:$B929,0),Match(G$1,'Actuals - Billing - 2025'!$B$2:$AE$2,0)))</f>
        <v/>
      </c>
      <c r="H31" s="11" t="str">
        <f t="array" ref="H31">if($D31="","",index('Actuals - Billing - 2025'!$B31:$AE929,Match($C31,'Actuals - Billing - 2025'!$B31:$B929,0),Match(H$1,'Actuals - Billing - 2025'!$B$2:$AE$2,0)))</f>
        <v/>
      </c>
      <c r="I31" s="11"/>
      <c r="J31" s="11" t="str">
        <f t="shared" si="5"/>
        <v/>
      </c>
      <c r="K31" s="12" t="str">
        <f t="shared" si="6"/>
        <v/>
      </c>
      <c r="L31" s="1" t="str">
        <f t="shared" si="10"/>
        <v/>
      </c>
      <c r="M31" s="4" t="str">
        <f t="shared" si="8"/>
        <v/>
      </c>
      <c r="N31" s="17" t="str">
        <f>if(M31&lt;&gt;"",'Actuals - Billing - 2025'!BG263,"")</f>
        <v/>
      </c>
      <c r="O31" s="15"/>
    </row>
    <row r="32">
      <c r="A32" s="7" t="str">
        <f t="shared" si="1"/>
        <v/>
      </c>
      <c r="B32" s="8" t="str">
        <f>if(and('Actuals - Billing - 2025'!E$268=True,C32&lt;&gt;""),'Actuals - Billing - 2025'!C264,"")</f>
        <v/>
      </c>
      <c r="C32" s="9" t="str">
        <f>IF(and('Actuals - Billing - 2025'!E$268=True,sum('Actuals - Billing - 2025'!T264:Y264)&gt;0),'Actuals - Billing - 2025'!B264,"")</f>
        <v/>
      </c>
      <c r="D32" s="10" t="str">
        <f>if(and(sum('Actuals - Billing - 2025'!T264:Y264)&gt;0,C32&lt;&gt;""),'Actuals - Billing - 2025'!$U$2,"")</f>
        <v/>
      </c>
      <c r="E32" s="11" t="str">
        <f t="array" ref="E32">if($D32="","",index('Actuals - Billing - 2025'!$B32:$AE930,Match($C32,'Actuals - Billing - 2025'!$B32:$B930,0),Match(E$1,'Actuals - Billing - 2025'!$B$2:$AE$2,0)))</f>
        <v/>
      </c>
      <c r="F32" s="11" t="str">
        <f t="array" ref="F32">if($D32="","",index('Actuals - Billing - 2025'!$B32:$AE930,Match($C32,'Actuals - Billing - 2025'!$B32:$B930,0),Match(F$1,'Actuals - Billing - 2025'!$B$2:$AE$2,0)))</f>
        <v/>
      </c>
      <c r="G32" s="11" t="str">
        <f t="array" ref="G32">if($D32="","",index('Actuals - Billing - 2025'!$B32:$AE930,Match($C32,'Actuals - Billing - 2025'!$B32:$B930,0),Match(G$1,'Actuals - Billing - 2025'!$B$2:$AE$2,0)))</f>
        <v/>
      </c>
      <c r="H32" s="11" t="str">
        <f t="array" ref="H32">if($D32="","",index('Actuals - Billing - 2025'!$B32:$AE930,Match($C32,'Actuals - Billing - 2025'!$B32:$B930,0),Match(H$1,'Actuals - Billing - 2025'!$B$2:$AE$2,0)))</f>
        <v/>
      </c>
      <c r="I32" s="11"/>
      <c r="J32" s="11" t="str">
        <f t="shared" si="5"/>
        <v/>
      </c>
      <c r="K32" s="12" t="str">
        <f t="shared" si="6"/>
        <v/>
      </c>
      <c r="L32" s="1" t="str">
        <f t="shared" si="10"/>
        <v/>
      </c>
      <c r="M32" s="4" t="str">
        <f t="shared" si="8"/>
        <v/>
      </c>
      <c r="N32" s="17" t="str">
        <f>if(M32&lt;&gt;"",'Actuals - Billing - 2025'!BG264,"")</f>
        <v/>
      </c>
      <c r="O32" s="15"/>
    </row>
    <row r="33">
      <c r="A33" s="7" t="str">
        <f t="shared" si="1"/>
        <v/>
      </c>
      <c r="B33" s="8" t="str">
        <f>if(and('Actuals - Billing - 2025'!E$268=True,C33&lt;&gt;""),'Actuals - Billing - 2025'!C265,"")</f>
        <v/>
      </c>
      <c r="C33" s="9" t="str">
        <f>IF(and('Actuals - Billing - 2025'!E$268=True,sum('Actuals - Billing - 2025'!T265:Y265)&gt;0),'Actuals - Billing - 2025'!B265,"")</f>
        <v/>
      </c>
      <c r="D33" s="10" t="str">
        <f>if(and(sum('Actuals - Billing - 2025'!T265:Y265)&gt;0,C33&lt;&gt;""),'Actuals - Billing - 2025'!$U$2,"")</f>
        <v/>
      </c>
      <c r="E33" s="11" t="str">
        <f t="array" ref="E33">if($D33="","",index('Actuals - Billing - 2025'!$B33:$AE931,Match($C33,'Actuals - Billing - 2025'!$B33:$B931,0),Match(E$1,'Actuals - Billing - 2025'!$B$2:$AE$2,0)))</f>
        <v/>
      </c>
      <c r="F33" s="11" t="str">
        <f t="array" ref="F33">if($D33="","",index('Actuals - Billing - 2025'!$B33:$AE931,Match($C33,'Actuals - Billing - 2025'!$B33:$B931,0),Match(F$1,'Actuals - Billing - 2025'!$B$2:$AE$2,0)))</f>
        <v/>
      </c>
      <c r="G33" s="11" t="str">
        <f t="array" ref="G33">if($D33="","",index('Actuals - Billing - 2025'!$B33:$AE931,Match($C33,'Actuals - Billing - 2025'!$B33:$B931,0),Match(G$1,'Actuals - Billing - 2025'!$B$2:$AE$2,0)))</f>
        <v/>
      </c>
      <c r="H33" s="11" t="str">
        <f t="array" ref="H33">if($D33="","",index('Actuals - Billing - 2025'!$B33:$AE931,Match($C33,'Actuals - Billing - 2025'!$B33:$B931,0),Match(H$1,'Actuals - Billing - 2025'!$B$2:$AE$2,0)))</f>
        <v/>
      </c>
      <c r="I33" s="11"/>
      <c r="J33" s="11" t="str">
        <f t="shared" si="5"/>
        <v/>
      </c>
      <c r="K33" s="12" t="str">
        <f t="shared" si="6"/>
        <v/>
      </c>
      <c r="L33" s="1" t="str">
        <f t="shared" si="10"/>
        <v/>
      </c>
      <c r="M33" s="4" t="str">
        <f t="shared" si="8"/>
        <v/>
      </c>
      <c r="N33" s="17" t="str">
        <f>if(M33&lt;&gt;"",'Actuals - Billing - 2025'!BG265,"")</f>
        <v/>
      </c>
      <c r="O33" s="15"/>
    </row>
    <row r="34">
      <c r="A34" s="7" t="str">
        <f t="shared" si="1"/>
        <v/>
      </c>
      <c r="B34" s="8" t="str">
        <f>if(and('Actuals - Billing - 2025'!E$268=True,C34&lt;&gt;""),'Actuals - Billing - 2025'!C266,"")</f>
        <v/>
      </c>
      <c r="C34" s="9" t="str">
        <f>IF(and('Actuals - Billing - 2025'!E$268=True,sum('Actuals - Billing - 2025'!T266:Y266)&gt;0),'Actuals - Billing - 2025'!B266,"")</f>
        <v/>
      </c>
      <c r="D34" s="10" t="str">
        <f>if(and(sum('Actuals - Billing - 2025'!T266:Y266)&gt;0,C34&lt;&gt;""),'Actuals - Billing - 2025'!$U$2,"")</f>
        <v/>
      </c>
      <c r="E34" s="11" t="str">
        <f t="array" ref="E34">if($D34="","",index('Actuals - Billing - 2025'!$B34:$AE932,Match($C34,'Actuals - Billing - 2025'!$B34:$B932,0),Match(E$1,'Actuals - Billing - 2025'!$B$2:$AE$2,0)))</f>
        <v/>
      </c>
      <c r="F34" s="11" t="str">
        <f t="array" ref="F34">if($D34="","",index('Actuals - Billing - 2025'!$B34:$AE932,Match($C34,'Actuals - Billing - 2025'!$B34:$B932,0),Match(F$1,'Actuals - Billing - 2025'!$B$2:$AE$2,0)))</f>
        <v/>
      </c>
      <c r="G34" s="11" t="str">
        <f t="array" ref="G34">if($D34="","",index('Actuals - Billing - 2025'!$B34:$AE932,Match($C34,'Actuals - Billing - 2025'!$B34:$B932,0),Match(G$1,'Actuals - Billing - 2025'!$B$2:$AE$2,0)))</f>
        <v/>
      </c>
      <c r="H34" s="11" t="str">
        <f t="array" ref="H34">if($D34="","",index('Actuals - Billing - 2025'!$B34:$AE932,Match($C34,'Actuals - Billing - 2025'!$B34:$B932,0),Match(H$1,'Actuals - Billing - 2025'!$B$2:$AE$2,0)))</f>
        <v/>
      </c>
      <c r="I34" s="11"/>
      <c r="J34" s="11" t="str">
        <f t="shared" si="5"/>
        <v/>
      </c>
      <c r="K34" s="12" t="str">
        <f t="shared" si="6"/>
        <v/>
      </c>
      <c r="L34" s="1" t="str">
        <f t="shared" si="10"/>
        <v/>
      </c>
      <c r="M34" s="4" t="str">
        <f t="shared" si="8"/>
        <v/>
      </c>
      <c r="N34" s="17" t="str">
        <f>if(M34&lt;&gt;"",'Actuals - Billing - 2025'!BG266,"")</f>
        <v/>
      </c>
      <c r="O34" s="15"/>
    </row>
    <row r="35">
      <c r="A35" s="7" t="str">
        <f t="shared" si="1"/>
        <v/>
      </c>
      <c r="B35" s="8" t="str">
        <f>if(and('Actuals - Billing - 2025'!E$268=True,C35&lt;&gt;""),'Actuals - Billing - 2025'!C267,"")</f>
        <v/>
      </c>
      <c r="C35" s="9" t="str">
        <f>IF(and('Actuals - Billing - 2025'!E$268=True,sum('Actuals - Billing - 2025'!T267:Y267)&gt;0),'Actuals - Billing - 2025'!B267,"")</f>
        <v/>
      </c>
      <c r="D35" s="10" t="str">
        <f>if(and(sum('Actuals - Billing - 2025'!T267:Y267)&gt;0,C35&lt;&gt;""),'Actuals - Billing - 2025'!$U$2,"")</f>
        <v/>
      </c>
      <c r="E35" s="11" t="str">
        <f t="array" ref="E35">if($D35="","",index('Actuals - Billing - 2025'!$B35:$AE933,Match($C35,'Actuals - Billing - 2025'!$B35:$B933,0),Match(E$1,'Actuals - Billing - 2025'!$B$2:$AE$2,0)))</f>
        <v/>
      </c>
      <c r="F35" s="11" t="str">
        <f t="array" ref="F35">if($D35="","",index('Actuals - Billing - 2025'!$B35:$AE933,Match($C35,'Actuals - Billing - 2025'!$B35:$B933,0),Match(F$1,'Actuals - Billing - 2025'!$B$2:$AE$2,0)))</f>
        <v/>
      </c>
      <c r="G35" s="11" t="str">
        <f t="array" ref="G35">if($D35="","",index('Actuals - Billing - 2025'!$B35:$AE933,Match($C35,'Actuals - Billing - 2025'!$B35:$B933,0),Match(G$1,'Actuals - Billing - 2025'!$B$2:$AE$2,0)))</f>
        <v/>
      </c>
      <c r="H35" s="11" t="str">
        <f t="array" ref="H35">if($D35="","",index('Actuals - Billing - 2025'!$B35:$AE933,Match($C35,'Actuals - Billing - 2025'!$B35:$B933,0),Match(H$1,'Actuals - Billing - 2025'!$B$2:$AE$2,0)))</f>
        <v/>
      </c>
      <c r="I35" s="11"/>
      <c r="J35" s="11" t="str">
        <f t="shared" si="5"/>
        <v/>
      </c>
      <c r="K35" s="12" t="str">
        <f t="shared" si="6"/>
        <v/>
      </c>
      <c r="L35" s="1" t="str">
        <f t="shared" si="10"/>
        <v/>
      </c>
      <c r="M35" s="4" t="str">
        <f t="shared" si="8"/>
        <v/>
      </c>
      <c r="N35" s="17" t="str">
        <f>if(M35&lt;&gt;"",'Actuals - Billing - 2025'!BG267,"")</f>
        <v/>
      </c>
      <c r="O35" s="15"/>
    </row>
    <row r="36">
      <c r="A36" s="7" t="str">
        <f t="shared" si="1"/>
        <v/>
      </c>
      <c r="B36" s="8" t="str">
        <f>if(and('Actuals - Billing - 2025'!E$268=True,C36&lt;&gt;""),'Actuals - Billing - 2025'!C268,"")</f>
        <v/>
      </c>
      <c r="C36" s="9" t="str">
        <f>IF(and('Actuals - Billing - 2025'!E$268=True,sum('Actuals - Billing - 2025'!T268:Y268)&gt;0),'Actuals - Billing - 2025'!B268,"")</f>
        <v/>
      </c>
      <c r="D36" s="10" t="str">
        <f>if(and(sum('Actuals - Billing - 2025'!T268:Y268)&gt;0,C36&lt;&gt;""),'Actuals - Billing - 2025'!$U$2,"")</f>
        <v/>
      </c>
      <c r="E36" s="11" t="str">
        <f t="array" ref="E36">if($D36="","",index('Actuals - Billing - 2025'!$B36:$AE934,Match($C36,'Actuals - Billing - 2025'!$B36:$B934,0),Match(E$1,'Actuals - Billing - 2025'!$B$2:$AE$2,0)))</f>
        <v/>
      </c>
      <c r="F36" s="11" t="str">
        <f t="array" ref="F36">if($D36="","",index('Actuals - Billing - 2025'!$B36:$AE934,Match($C36,'Actuals - Billing - 2025'!$B36:$B934,0),Match(F$1,'Actuals - Billing - 2025'!$B$2:$AE$2,0)))</f>
        <v/>
      </c>
      <c r="G36" s="11" t="str">
        <f t="array" ref="G36">if($D36="","",index('Actuals - Billing - 2025'!$B36:$AE934,Match($C36,'Actuals - Billing - 2025'!$B36:$B934,0),Match(G$1,'Actuals - Billing - 2025'!$B$2:$AE$2,0)))</f>
        <v/>
      </c>
      <c r="H36" s="11" t="str">
        <f t="array" ref="H36">if($D36="","",index('Actuals - Billing - 2025'!$B36:$AE934,Match($C36,'Actuals - Billing - 2025'!$B36:$B934,0),Match(H$1,'Actuals - Billing - 2025'!$B$2:$AE$2,0)))</f>
        <v/>
      </c>
      <c r="I36" s="11"/>
      <c r="J36" s="11" t="str">
        <f t="shared" si="5"/>
        <v/>
      </c>
      <c r="K36" s="12" t="str">
        <f t="shared" si="6"/>
        <v/>
      </c>
      <c r="L36" s="1" t="str">
        <f t="shared" si="10"/>
        <v/>
      </c>
      <c r="M36" s="4" t="str">
        <f t="shared" si="8"/>
        <v/>
      </c>
      <c r="N36" s="17" t="str">
        <f>if(M36&lt;&gt;"",'Actuals - Billing - 2025'!BG268,"")</f>
        <v/>
      </c>
      <c r="O36" s="15"/>
    </row>
    <row r="37">
      <c r="A37" s="7" t="str">
        <f t="shared" si="1"/>
        <v>Rogers Blue Jays Baseball Partnership</v>
      </c>
      <c r="B37" s="8">
        <f>if(and('Actuals - Billing - 2025'!E$275=True,C37&lt;&gt;""),'Actuals - Billing - 2025'!C269,"")</f>
        <v>10.3</v>
      </c>
      <c r="C37" s="9">
        <f>IF(and('Actuals - Billing - 2025'!E$275=True,sum('Actuals - Billing - 2025'!T269:Y269)&gt;0),'Actuals - Billing - 2025'!B269,"")</f>
        <v>45922</v>
      </c>
      <c r="D37" s="10">
        <f>if(and(sum('Actuals - Billing - 2025'!T269:Y269)&gt;0,C37&lt;&gt;""),'Actuals - Billing - 2025'!$U$2,"")</f>
        <v>11.12</v>
      </c>
      <c r="E37" s="11">
        <f t="array" ref="E37">if($D37="","",index('Actuals - Billing - 2025'!$B37:$AE935,Match($C37,'Actuals - Billing - 2025'!$B37:$B935,0),Match(E$1,'Actuals - Billing - 2025'!$B$2:$AE$2,0)))</f>
        <v>180</v>
      </c>
      <c r="F37" s="11">
        <f t="array" ref="F37">if($D37="","",index('Actuals - Billing - 2025'!$B37:$AE935,Match($C37,'Actuals - Billing - 2025'!$B37:$B935,0),Match(F$1,'Actuals - Billing - 2025'!$B$2:$AE$2,0)))</f>
        <v>180</v>
      </c>
      <c r="G37" s="11" t="str">
        <f t="array" ref="G37">if($D37="","",index('Actuals - Billing - 2025'!$B37:$AE935,Match($C37,'Actuals - Billing - 2025'!$B37:$B935,0),Match(G$1,'Actuals - Billing - 2025'!$B$2:$AE$2,0)))</f>
        <v/>
      </c>
      <c r="H37" s="11" t="str">
        <f t="array" ref="H37">if($D37="","",index('Actuals - Billing - 2025'!$B37:$AE935,Match($C37,'Actuals - Billing - 2025'!$B37:$B935,0),Match(H$1,'Actuals - Billing - 2025'!$B$2:$AE$2,0)))</f>
        <v/>
      </c>
      <c r="I37" s="11"/>
      <c r="J37" s="11">
        <f t="shared" si="5"/>
        <v>360</v>
      </c>
      <c r="K37" s="12">
        <f t="shared" si="6"/>
        <v>4003.2</v>
      </c>
      <c r="L37" s="1" t="str">
        <f t="shared" si="10"/>
        <v>Breakfast 180 Lunch 180</v>
      </c>
      <c r="M37" s="4" t="str">
        <f t="shared" si="8"/>
        <v>TBJ MiLB - Breakfast/Lunch/Dinner</v>
      </c>
      <c r="N37" s="17">
        <f>if(M37&lt;&gt;"",'Actuals - Billing - 2025'!BG269,"")</f>
        <v>45928</v>
      </c>
      <c r="O37" s="15"/>
      <c r="P37" s="14"/>
    </row>
    <row r="38">
      <c r="A38" s="7" t="str">
        <f t="shared" si="1"/>
        <v>Rogers Blue Jays Baseball Partnership</v>
      </c>
      <c r="B38" s="8">
        <f>if(and('Actuals - Billing - 2025'!E$275=True,C38&lt;&gt;""),'Actuals - Billing - 2025'!C270,"")</f>
        <v>10.3</v>
      </c>
      <c r="C38" s="9">
        <f>IF(and('Actuals - Billing - 2025'!E$275=True,sum('Actuals - Billing - 2025'!T270:Y270)&gt;0),'Actuals - Billing - 2025'!B270,"")</f>
        <v>45923</v>
      </c>
      <c r="D38" s="10">
        <f>if(and(sum('Actuals - Billing - 2025'!T270:Y270)&gt;0,C38&lt;&gt;""),'Actuals - Billing - 2025'!$U$2,"")</f>
        <v>11.12</v>
      </c>
      <c r="E38" s="11">
        <f t="array" ref="E38">if($D38="","",index('Actuals - Billing - 2025'!$B38:$AE936,Match($C38,'Actuals - Billing - 2025'!$B38:$B936,0),Match(E$1,'Actuals - Billing - 2025'!$B$2:$AE$2,0)))</f>
        <v>180</v>
      </c>
      <c r="F38" s="11">
        <f t="array" ref="F38">if($D38="","",index('Actuals - Billing - 2025'!$B38:$AE936,Match($C38,'Actuals - Billing - 2025'!$B38:$B936,0),Match(F$1,'Actuals - Billing - 2025'!$B$2:$AE$2,0)))</f>
        <v>180</v>
      </c>
      <c r="G38" s="11" t="str">
        <f t="array" ref="G38">if($D38="","",index('Actuals - Billing - 2025'!$B38:$AE936,Match($C38,'Actuals - Billing - 2025'!$B38:$B936,0),Match(G$1,'Actuals - Billing - 2025'!$B$2:$AE$2,0)))</f>
        <v/>
      </c>
      <c r="H38" s="11" t="str">
        <f t="array" ref="H38">if($D38="","",index('Actuals - Billing - 2025'!$B38:$AE936,Match($C38,'Actuals - Billing - 2025'!$B38:$B936,0),Match(H$1,'Actuals - Billing - 2025'!$B$2:$AE$2,0)))</f>
        <v/>
      </c>
      <c r="I38" s="11"/>
      <c r="J38" s="11">
        <f t="shared" si="5"/>
        <v>360</v>
      </c>
      <c r="K38" s="12">
        <f t="shared" si="6"/>
        <v>4003.2</v>
      </c>
      <c r="L38" s="1" t="str">
        <f t="shared" si="10"/>
        <v>Breakfast 180 Lunch 180</v>
      </c>
      <c r="M38" s="4" t="str">
        <f t="shared" si="8"/>
        <v>TBJ MiLB - Breakfast/Lunch/Dinner</v>
      </c>
      <c r="N38" s="17">
        <f>if(M38&lt;&gt;"",'Actuals - Billing - 2025'!BG270,"")</f>
        <v>45928</v>
      </c>
      <c r="O38" s="15"/>
    </row>
    <row r="39">
      <c r="A39" s="7" t="str">
        <f t="shared" si="1"/>
        <v>Rogers Blue Jays Baseball Partnership</v>
      </c>
      <c r="B39" s="8">
        <f>if(and('Actuals - Billing - 2025'!E$275=True,C39&lt;&gt;""),'Actuals - Billing - 2025'!C271,"")</f>
        <v>10.3</v>
      </c>
      <c r="C39" s="9">
        <f>IF(and('Actuals - Billing - 2025'!E$275=True,sum('Actuals - Billing - 2025'!T271:Y271)&gt;0),'Actuals - Billing - 2025'!B271,"")</f>
        <v>45924</v>
      </c>
      <c r="D39" s="10">
        <f>if(and(sum('Actuals - Billing - 2025'!T271:Y271)&gt;0,C39&lt;&gt;""),'Actuals - Billing - 2025'!$U$2,"")</f>
        <v>11.12</v>
      </c>
      <c r="E39" s="11">
        <f t="array" ref="E39">if($D39="","",index('Actuals - Billing - 2025'!$B39:$AE937,Match($C39,'Actuals - Billing - 2025'!$B39:$B937,0),Match(E$1,'Actuals - Billing - 2025'!$B$2:$AE$2,0)))</f>
        <v>180</v>
      </c>
      <c r="F39" s="11">
        <f t="array" ref="F39">if($D39="","",index('Actuals - Billing - 2025'!$B39:$AE937,Match($C39,'Actuals - Billing - 2025'!$B39:$B937,0),Match(F$1,'Actuals - Billing - 2025'!$B$2:$AE$2,0)))</f>
        <v>180</v>
      </c>
      <c r="G39" s="11" t="str">
        <f t="array" ref="G39">if($D39="","",index('Actuals - Billing - 2025'!$B39:$AE937,Match($C39,'Actuals - Billing - 2025'!$B39:$B937,0),Match(G$1,'Actuals - Billing - 2025'!$B$2:$AE$2,0)))</f>
        <v/>
      </c>
      <c r="H39" s="11" t="str">
        <f t="array" ref="H39">if($D39="","",index('Actuals - Billing - 2025'!$B39:$AE937,Match($C39,'Actuals - Billing - 2025'!$B39:$B937,0),Match(H$1,'Actuals - Billing - 2025'!$B$2:$AE$2,0)))</f>
        <v/>
      </c>
      <c r="I39" s="11"/>
      <c r="J39" s="11">
        <f t="shared" si="5"/>
        <v>360</v>
      </c>
      <c r="K39" s="12">
        <f t="shared" si="6"/>
        <v>4003.2</v>
      </c>
      <c r="L39" s="1" t="str">
        <f t="shared" si="10"/>
        <v>Breakfast 180 Lunch 180</v>
      </c>
      <c r="M39" s="4" t="str">
        <f t="shared" si="8"/>
        <v>TBJ MiLB - Breakfast/Lunch/Dinner</v>
      </c>
      <c r="N39" s="17">
        <f>if(M39&lt;&gt;"",'Actuals - Billing - 2025'!BG271,"")</f>
        <v>45928</v>
      </c>
      <c r="O39" s="15"/>
    </row>
    <row r="40">
      <c r="A40" s="7" t="str">
        <f t="shared" si="1"/>
        <v>Rogers Blue Jays Baseball Partnership</v>
      </c>
      <c r="B40" s="8">
        <f>if(and('Actuals - Billing - 2025'!E$275=True,C40&lt;&gt;""),'Actuals - Billing - 2025'!C272,"")</f>
        <v>10.3</v>
      </c>
      <c r="C40" s="9">
        <f>IF(and('Actuals - Billing - 2025'!E$275=True,sum('Actuals - Billing - 2025'!T272:Y272)&gt;0),'Actuals - Billing - 2025'!B272,"")</f>
        <v>45925</v>
      </c>
      <c r="D40" s="10">
        <f>if(and(sum('Actuals - Billing - 2025'!T272:Y272)&gt;0,C40&lt;&gt;""),'Actuals - Billing - 2025'!$U$2,"")</f>
        <v>11.12</v>
      </c>
      <c r="E40" s="11">
        <f t="array" ref="E40">if($D40="","",index('Actuals - Billing - 2025'!$B40:$AE938,Match($C40,'Actuals - Billing - 2025'!$B40:$B938,0),Match(E$1,'Actuals - Billing - 2025'!$B$2:$AE$2,0)))</f>
        <v>180</v>
      </c>
      <c r="F40" s="11">
        <f t="array" ref="F40">if($D40="","",index('Actuals - Billing - 2025'!$B40:$AE938,Match($C40,'Actuals - Billing - 2025'!$B40:$B938,0),Match(F$1,'Actuals - Billing - 2025'!$B$2:$AE$2,0)))</f>
        <v>180</v>
      </c>
      <c r="G40" s="11" t="str">
        <f t="array" ref="G40">if($D40="","",index('Actuals - Billing - 2025'!$B40:$AE938,Match($C40,'Actuals - Billing - 2025'!$B40:$B938,0),Match(G$1,'Actuals - Billing - 2025'!$B$2:$AE$2,0)))</f>
        <v/>
      </c>
      <c r="H40" s="11" t="str">
        <f t="array" ref="H40">if($D40="","",index('Actuals - Billing - 2025'!$B40:$AE938,Match($C40,'Actuals - Billing - 2025'!$B40:$B938,0),Match(H$1,'Actuals - Billing - 2025'!$B$2:$AE$2,0)))</f>
        <v/>
      </c>
      <c r="I40" s="11"/>
      <c r="J40" s="11">
        <f t="shared" si="5"/>
        <v>360</v>
      </c>
      <c r="K40" s="12">
        <f t="shared" si="6"/>
        <v>4003.2</v>
      </c>
      <c r="L40" s="1" t="str">
        <f t="shared" si="10"/>
        <v>Breakfast 180 Lunch 180</v>
      </c>
      <c r="M40" s="4" t="str">
        <f t="shared" si="8"/>
        <v>TBJ MiLB - Breakfast/Lunch/Dinner</v>
      </c>
      <c r="N40" s="17">
        <f>if(M40&lt;&gt;"",'Actuals - Billing - 2025'!BG272,"")</f>
        <v>45928</v>
      </c>
      <c r="O40" s="15"/>
    </row>
    <row r="41">
      <c r="A41" s="7" t="str">
        <f t="shared" si="1"/>
        <v>Rogers Blue Jays Baseball Partnership</v>
      </c>
      <c r="B41" s="8">
        <f>if(and('Actuals - Billing - 2025'!E$275=True,C41&lt;&gt;""),'Actuals - Billing - 2025'!C273,"")</f>
        <v>10.3</v>
      </c>
      <c r="C41" s="9">
        <f>IF(and('Actuals - Billing - 2025'!E$275=True,sum('Actuals - Billing - 2025'!T273:Y273)&gt;0),'Actuals - Billing - 2025'!B273,"")</f>
        <v>45926</v>
      </c>
      <c r="D41" s="10">
        <f>if(and(sum('Actuals - Billing - 2025'!T273:Y273)&gt;0,C41&lt;&gt;""),'Actuals - Billing - 2025'!$U$2,"")</f>
        <v>11.12</v>
      </c>
      <c r="E41" s="11">
        <f t="array" ref="E41">if($D41="","",index('Actuals - Billing - 2025'!$B41:$AE939,Match($C41,'Actuals - Billing - 2025'!$B41:$B939,0),Match(E$1,'Actuals - Billing - 2025'!$B$2:$AE$2,0)))</f>
        <v>180</v>
      </c>
      <c r="F41" s="11">
        <f t="array" ref="F41">if($D41="","",index('Actuals - Billing - 2025'!$B41:$AE939,Match($C41,'Actuals - Billing - 2025'!$B41:$B939,0),Match(F$1,'Actuals - Billing - 2025'!$B$2:$AE$2,0)))</f>
        <v>180</v>
      </c>
      <c r="G41" s="11" t="str">
        <f t="array" ref="G41">if($D41="","",index('Actuals - Billing - 2025'!$B41:$AE939,Match($C41,'Actuals - Billing - 2025'!$B41:$B939,0),Match(G$1,'Actuals - Billing - 2025'!$B$2:$AE$2,0)))</f>
        <v/>
      </c>
      <c r="H41" s="11" t="str">
        <f t="array" ref="H41">if($D41="","",index('Actuals - Billing - 2025'!$B41:$AE939,Match($C41,'Actuals - Billing - 2025'!$B41:$B939,0),Match(H$1,'Actuals - Billing - 2025'!$B$2:$AE$2,0)))</f>
        <v/>
      </c>
      <c r="I41" s="11"/>
      <c r="J41" s="11">
        <f t="shared" si="5"/>
        <v>360</v>
      </c>
      <c r="K41" s="12">
        <f t="shared" si="6"/>
        <v>4003.2</v>
      </c>
      <c r="L41" s="1" t="str">
        <f t="shared" si="10"/>
        <v>Breakfast 180 Lunch 180</v>
      </c>
      <c r="M41" s="4" t="str">
        <f t="shared" si="8"/>
        <v>TBJ MiLB - Breakfast/Lunch/Dinner</v>
      </c>
      <c r="N41" s="17">
        <f>if(M41&lt;&gt;"",'Actuals - Billing - 2025'!BG273,"")</f>
        <v>45928</v>
      </c>
      <c r="O41" s="15"/>
    </row>
    <row r="42">
      <c r="A42" s="7" t="str">
        <f t="shared" si="1"/>
        <v>Rogers Blue Jays Baseball Partnership</v>
      </c>
      <c r="B42" s="8">
        <f>if(and('Actuals - Billing - 2025'!E$275=True,C42&lt;&gt;""),'Actuals - Billing - 2025'!C274,"")</f>
        <v>10.3</v>
      </c>
      <c r="C42" s="9">
        <f>IF(and('Actuals - Billing - 2025'!E$275=True,sum('Actuals - Billing - 2025'!T274:Y274)&gt;0),'Actuals - Billing - 2025'!B274,"")</f>
        <v>45927</v>
      </c>
      <c r="D42" s="10">
        <f>if(and(sum('Actuals - Billing - 2025'!T274:Y274)&gt;0,C42&lt;&gt;""),'Actuals - Billing - 2025'!$U$2,"")</f>
        <v>11.12</v>
      </c>
      <c r="E42" s="11">
        <f t="array" ref="E42">if($D42="","",index('Actuals - Billing - 2025'!$B42:$AE940,Match($C42,'Actuals - Billing - 2025'!$B42:$B940,0),Match(E$1,'Actuals - Billing - 2025'!$B$2:$AE$2,0)))</f>
        <v>180</v>
      </c>
      <c r="F42" s="11">
        <f t="array" ref="F42">if($D42="","",index('Actuals - Billing - 2025'!$B42:$AE940,Match($C42,'Actuals - Billing - 2025'!$B42:$B940,0),Match(F$1,'Actuals - Billing - 2025'!$B$2:$AE$2,0)))</f>
        <v>180</v>
      </c>
      <c r="G42" s="11" t="str">
        <f t="array" ref="G42">if($D42="","",index('Actuals - Billing - 2025'!$B42:$AE940,Match($C42,'Actuals - Billing - 2025'!$B42:$B940,0),Match(G$1,'Actuals - Billing - 2025'!$B$2:$AE$2,0)))</f>
        <v/>
      </c>
      <c r="H42" s="11" t="str">
        <f t="array" ref="H42">if($D42="","",index('Actuals - Billing - 2025'!$B42:$AE940,Match($C42,'Actuals - Billing - 2025'!$B42:$B940,0),Match(H$1,'Actuals - Billing - 2025'!$B$2:$AE$2,0)))</f>
        <v/>
      </c>
      <c r="I42" s="11"/>
      <c r="J42" s="11">
        <f t="shared" si="5"/>
        <v>360</v>
      </c>
      <c r="K42" s="12">
        <f t="shared" si="6"/>
        <v>4003.2</v>
      </c>
      <c r="L42" s="1" t="str">
        <f t="shared" si="10"/>
        <v>Breakfast 180 Lunch 180</v>
      </c>
      <c r="M42" s="4" t="str">
        <f t="shared" si="8"/>
        <v>TBJ MiLB - Breakfast/Lunch/Dinner</v>
      </c>
      <c r="N42" s="17">
        <f>if(M42&lt;&gt;"",'Actuals - Billing - 2025'!BG274,"")</f>
        <v>45928</v>
      </c>
      <c r="O42" s="80" t="s">
        <v>67</v>
      </c>
    </row>
    <row r="43">
      <c r="A43" s="7" t="str">
        <f t="shared" si="1"/>
        <v/>
      </c>
      <c r="B43" s="8" t="str">
        <f>if(and('Actuals - Billing - 2025'!E$275=True,C43&lt;&gt;""),'Actuals - Billing - 2025'!C275,"")</f>
        <v/>
      </c>
      <c r="C43" s="9" t="str">
        <f>IF(and('Actuals - Billing - 2025'!E$275=True,sum('Actuals - Billing - 2025'!T275:Y275)&gt;0),'Actuals - Billing - 2025'!B275,"")</f>
        <v/>
      </c>
      <c r="D43" s="10" t="str">
        <f>if(and(sum('Actuals - Billing - 2025'!T275:Y275)&gt;0,C43&lt;&gt;""),'Actuals - Billing - 2025'!$U$2,"")</f>
        <v/>
      </c>
      <c r="E43" s="11" t="str">
        <f t="array" ref="E43">if($D43="","",index('Actuals - Billing - 2025'!$B43:$AE941,Match($C43,'Actuals - Billing - 2025'!$B43:$B941,0),Match(E$1,'Actuals - Billing - 2025'!$B$2:$AE$2,0)))</f>
        <v/>
      </c>
      <c r="F43" s="11" t="str">
        <f t="array" ref="F43">if($D43="","",index('Actuals - Billing - 2025'!$B43:$AE941,Match($C43,'Actuals - Billing - 2025'!$B43:$B941,0),Match(F$1,'Actuals - Billing - 2025'!$B$2:$AE$2,0)))</f>
        <v/>
      </c>
      <c r="G43" s="11" t="str">
        <f t="array" ref="G43">if($D43="","",index('Actuals - Billing - 2025'!$B43:$AE941,Match($C43,'Actuals - Billing - 2025'!$B43:$B941,0),Match(G$1,'Actuals - Billing - 2025'!$B$2:$AE$2,0)))</f>
        <v/>
      </c>
      <c r="H43" s="11" t="str">
        <f t="array" ref="H43">if($D43="","",index('Actuals - Billing - 2025'!$B43:$AE941,Match($C43,'Actuals - Billing - 2025'!$B43:$B941,0),Match(H$1,'Actuals - Billing - 2025'!$B$2:$AE$2,0)))</f>
        <v/>
      </c>
      <c r="I43" s="11"/>
      <c r="J43" s="11" t="str">
        <f t="shared" si="5"/>
        <v/>
      </c>
      <c r="K43" s="12" t="str">
        <f t="shared" si="6"/>
        <v/>
      </c>
      <c r="L43" s="1" t="str">
        <f t="shared" si="10"/>
        <v/>
      </c>
      <c r="M43" s="4" t="str">
        <f t="shared" si="8"/>
        <v/>
      </c>
      <c r="N43" s="17" t="str">
        <f>if(M43&lt;&gt;"",'Actuals - Billing - 2025'!BG275,"")</f>
        <v/>
      </c>
      <c r="O43" s="15"/>
    </row>
    <row r="44">
      <c r="A44" s="7" t="str">
        <f t="shared" si="1"/>
        <v>Rogers Blue Jays Baseball Partnership</v>
      </c>
      <c r="B44" s="8">
        <f>if(and('Actuals - Billing - 2025'!E$282=True,C44&lt;&gt;""),'Actuals - Billing - 2025'!C276,"")</f>
        <v>10.4</v>
      </c>
      <c r="C44" s="9">
        <f>IF(and('Actuals - Billing - 2025'!E$282=True,sum('Actuals - Billing - 2025'!T276:Y276)&gt;0),'Actuals - Billing - 2025'!B276,"")</f>
        <v>45929</v>
      </c>
      <c r="D44" s="10">
        <f>if(and(sum('Actuals - Billing - 2025'!T276:Y276)&gt;0,C44&lt;&gt;""),'Actuals - Billing - 2025'!$U$2,"")</f>
        <v>11.12</v>
      </c>
      <c r="E44" s="11">
        <f t="array" ref="E44">if($D44="","",index('Actuals - Billing - 2025'!$B44:$AE942,Match($C44,'Actuals - Billing - 2025'!$B44:$B942,0),Match(E$1,'Actuals - Billing - 2025'!$B$2:$AE$2,0)))</f>
        <v>145</v>
      </c>
      <c r="F44" s="11">
        <f t="array" ref="F44">if($D44="","",index('Actuals - Billing - 2025'!$B44:$AE942,Match($C44,'Actuals - Billing - 2025'!$B44:$B942,0),Match(F$1,'Actuals - Billing - 2025'!$B$2:$AE$2,0)))</f>
        <v>145</v>
      </c>
      <c r="G44" s="11" t="str">
        <f t="array" ref="G44">if($D44="","",index('Actuals - Billing - 2025'!$B44:$AE942,Match($C44,'Actuals - Billing - 2025'!$B44:$B942,0),Match(G$1,'Actuals - Billing - 2025'!$B$2:$AE$2,0)))</f>
        <v/>
      </c>
      <c r="H44" s="11" t="str">
        <f t="array" ref="H44">if($D44="","",index('Actuals - Billing - 2025'!$B44:$AE942,Match($C44,'Actuals - Billing - 2025'!$B44:$B942,0),Match(H$1,'Actuals - Billing - 2025'!$B$2:$AE$2,0)))</f>
        <v/>
      </c>
      <c r="I44" s="11"/>
      <c r="J44" s="11">
        <f t="shared" si="5"/>
        <v>290</v>
      </c>
      <c r="K44" s="12">
        <f t="shared" si="6"/>
        <v>3224.8</v>
      </c>
      <c r="L44" s="1" t="str">
        <f t="shared" si="10"/>
        <v>Breakfast 145 Lunch 145</v>
      </c>
      <c r="M44" s="4" t="str">
        <f t="shared" si="8"/>
        <v>TBJ MiLB - Breakfast/Lunch/Dinner</v>
      </c>
      <c r="N44" s="17">
        <f>if(M44&lt;&gt;"",'Actuals - Billing - 2025'!BG276,"")</f>
        <v>45935</v>
      </c>
      <c r="O44" s="15"/>
      <c r="P44" s="14"/>
    </row>
    <row r="45">
      <c r="A45" s="7" t="str">
        <f t="shared" si="1"/>
        <v>Rogers Blue Jays Baseball Partnership</v>
      </c>
      <c r="B45" s="8">
        <f>if(and('Actuals - Billing - 2025'!E$282=True,C45&lt;&gt;""),'Actuals - Billing - 2025'!C277,"")</f>
        <v>10.4</v>
      </c>
      <c r="C45" s="9">
        <f>IF(and('Actuals - Billing - 2025'!E$282=True,sum('Actuals - Billing - 2025'!T277:Y277)&gt;0),'Actuals - Billing - 2025'!B277,"")</f>
        <v>45930</v>
      </c>
      <c r="D45" s="10">
        <f>if(and(sum('Actuals - Billing - 2025'!T277:Y277)&gt;0,C45&lt;&gt;""),'Actuals - Billing - 2025'!$U$2,"")</f>
        <v>11.12</v>
      </c>
      <c r="E45" s="11">
        <f t="array" ref="E45">if($D45="","",index('Actuals - Billing - 2025'!$B45:$AE943,Match($C45,'Actuals - Billing - 2025'!$B45:$B943,0),Match(E$1,'Actuals - Billing - 2025'!$B$2:$AE$2,0)))</f>
        <v>145</v>
      </c>
      <c r="F45" s="11">
        <f t="array" ref="F45">if($D45="","",index('Actuals - Billing - 2025'!$B45:$AE943,Match($C45,'Actuals - Billing - 2025'!$B45:$B943,0),Match(F$1,'Actuals - Billing - 2025'!$B$2:$AE$2,0)))</f>
        <v>145</v>
      </c>
      <c r="G45" s="11" t="str">
        <f t="array" ref="G45">if($D45="","",index('Actuals - Billing - 2025'!$B45:$AE943,Match($C45,'Actuals - Billing - 2025'!$B45:$B943,0),Match(G$1,'Actuals - Billing - 2025'!$B$2:$AE$2,0)))</f>
        <v/>
      </c>
      <c r="H45" s="11" t="str">
        <f t="array" ref="H45">if($D45="","",index('Actuals - Billing - 2025'!$B45:$AE943,Match($C45,'Actuals - Billing - 2025'!$B45:$B943,0),Match(H$1,'Actuals - Billing - 2025'!$B$2:$AE$2,0)))</f>
        <v/>
      </c>
      <c r="I45" s="11"/>
      <c r="J45" s="11">
        <f t="shared" si="5"/>
        <v>290</v>
      </c>
      <c r="K45" s="12">
        <f t="shared" si="6"/>
        <v>3224.8</v>
      </c>
      <c r="L45" s="1" t="str">
        <f t="shared" si="10"/>
        <v>Breakfast 145 Lunch 145</v>
      </c>
      <c r="M45" s="4" t="str">
        <f t="shared" si="8"/>
        <v>TBJ MiLB - Breakfast/Lunch/Dinner</v>
      </c>
      <c r="N45" s="17">
        <f>if(M45&lt;&gt;"",'Actuals - Billing - 2025'!BG277,"")</f>
        <v>45935</v>
      </c>
      <c r="O45" s="15"/>
    </row>
    <row r="46">
      <c r="A46" s="7" t="str">
        <f t="shared" si="1"/>
        <v>Rogers Blue Jays Baseball Partnership</v>
      </c>
      <c r="B46" s="8">
        <f>if(and('Actuals - Billing - 2025'!E$282=True,C46&lt;&gt;""),'Actuals - Billing - 2025'!C278,"")</f>
        <v>10.4</v>
      </c>
      <c r="C46" s="9">
        <f>IF(and('Actuals - Billing - 2025'!E$282=True,sum('Actuals - Billing - 2025'!T278:Y278)&gt;0),'Actuals - Billing - 2025'!B278,"")</f>
        <v>45931</v>
      </c>
      <c r="D46" s="10">
        <f>if(and(sum('Actuals - Billing - 2025'!T278:Y278)&gt;0,C46&lt;&gt;""),'Actuals - Billing - 2025'!$U$2,"")</f>
        <v>11.12</v>
      </c>
      <c r="E46" s="11">
        <f t="array" ref="E46">if($D46="","",index('Actuals - Billing - 2025'!$B46:$AE944,Match($C46,'Actuals - Billing - 2025'!$B46:$B944,0),Match(E$1,'Actuals - Billing - 2025'!$B$2:$AE$2,0)))</f>
        <v>145</v>
      </c>
      <c r="F46" s="11">
        <f t="array" ref="F46">if($D46="","",index('Actuals - Billing - 2025'!$B46:$AE944,Match($C46,'Actuals - Billing - 2025'!$B46:$B944,0),Match(F$1,'Actuals - Billing - 2025'!$B$2:$AE$2,0)))</f>
        <v>145</v>
      </c>
      <c r="G46" s="11" t="str">
        <f t="array" ref="G46">if($D46="","",index('Actuals - Billing - 2025'!$B46:$AE944,Match($C46,'Actuals - Billing - 2025'!$B46:$B944,0),Match(G$1,'Actuals - Billing - 2025'!$B$2:$AE$2,0)))</f>
        <v/>
      </c>
      <c r="H46" s="11" t="str">
        <f t="array" ref="H46">if($D46="","",index('Actuals - Billing - 2025'!$B46:$AE944,Match($C46,'Actuals - Billing - 2025'!$B46:$B944,0),Match(H$1,'Actuals - Billing - 2025'!$B$2:$AE$2,0)))</f>
        <v/>
      </c>
      <c r="I46" s="11"/>
      <c r="J46" s="11">
        <f t="shared" si="5"/>
        <v>290</v>
      </c>
      <c r="K46" s="12">
        <f t="shared" si="6"/>
        <v>3224.8</v>
      </c>
      <c r="L46" s="1" t="str">
        <f t="shared" si="10"/>
        <v>Breakfast 145 Lunch 145</v>
      </c>
      <c r="M46" s="4" t="str">
        <f t="shared" si="8"/>
        <v>TBJ MiLB - Breakfast/Lunch/Dinner</v>
      </c>
      <c r="N46" s="17">
        <f>if(M46&lt;&gt;"",'Actuals - Billing - 2025'!BG278,"")</f>
        <v>45935</v>
      </c>
      <c r="O46" s="15"/>
    </row>
    <row r="47">
      <c r="A47" s="7" t="str">
        <f t="shared" si="1"/>
        <v>Rogers Blue Jays Baseball Partnership</v>
      </c>
      <c r="B47" s="8">
        <f>if(and('Actuals - Billing - 2025'!E$282=True,C47&lt;&gt;""),'Actuals - Billing - 2025'!C279,"")</f>
        <v>10.4</v>
      </c>
      <c r="C47" s="9">
        <f>IF(and('Actuals - Billing - 2025'!E$282=True,sum('Actuals - Billing - 2025'!T279:Y279)&gt;0),'Actuals - Billing - 2025'!B279,"")</f>
        <v>45932</v>
      </c>
      <c r="D47" s="10">
        <f>if(and(sum('Actuals - Billing - 2025'!T279:Y279)&gt;0,C47&lt;&gt;""),'Actuals - Billing - 2025'!$U$2,"")</f>
        <v>11.12</v>
      </c>
      <c r="E47" s="11">
        <f t="array" ref="E47">if($D47="","",index('Actuals - Billing - 2025'!$B47:$AE945,Match($C47,'Actuals - Billing - 2025'!$B47:$B945,0),Match(E$1,'Actuals - Billing - 2025'!$B$2:$AE$2,0)))</f>
        <v>145</v>
      </c>
      <c r="F47" s="11">
        <f t="array" ref="F47">if($D47="","",index('Actuals - Billing - 2025'!$B47:$AE945,Match($C47,'Actuals - Billing - 2025'!$B47:$B945,0),Match(F$1,'Actuals - Billing - 2025'!$B$2:$AE$2,0)))</f>
        <v>145</v>
      </c>
      <c r="G47" s="11" t="str">
        <f t="array" ref="G47">if($D47="","",index('Actuals - Billing - 2025'!$B47:$AE945,Match($C47,'Actuals - Billing - 2025'!$B47:$B945,0),Match(G$1,'Actuals - Billing - 2025'!$B$2:$AE$2,0)))</f>
        <v/>
      </c>
      <c r="H47" s="11" t="str">
        <f t="array" ref="H47">if($D47="","",index('Actuals - Billing - 2025'!$B47:$AE945,Match($C47,'Actuals - Billing - 2025'!$B47:$B945,0),Match(H$1,'Actuals - Billing - 2025'!$B$2:$AE$2,0)))</f>
        <v/>
      </c>
      <c r="I47" s="11"/>
      <c r="J47" s="11">
        <f t="shared" si="5"/>
        <v>290</v>
      </c>
      <c r="K47" s="12">
        <f t="shared" si="6"/>
        <v>3224.8</v>
      </c>
      <c r="L47" s="1" t="str">
        <f t="shared" si="10"/>
        <v>Breakfast 145 Lunch 145</v>
      </c>
      <c r="M47" s="4" t="str">
        <f t="shared" si="8"/>
        <v>TBJ MiLB - Breakfast/Lunch/Dinner</v>
      </c>
      <c r="N47" s="17">
        <f>if(M47&lt;&gt;"",'Actuals - Billing - 2025'!BG279,"")</f>
        <v>45935</v>
      </c>
      <c r="O47" s="15"/>
    </row>
    <row r="48">
      <c r="A48" s="7" t="str">
        <f t="shared" si="1"/>
        <v>Rogers Blue Jays Baseball Partnership</v>
      </c>
      <c r="B48" s="8">
        <f>if(and('Actuals - Billing - 2025'!E$282=True,C48&lt;&gt;""),'Actuals - Billing - 2025'!C280,"")</f>
        <v>10.4</v>
      </c>
      <c r="C48" s="9">
        <f>IF(and('Actuals - Billing - 2025'!E$282=True,sum('Actuals - Billing - 2025'!T280:Y280)&gt;0),'Actuals - Billing - 2025'!B280,"")</f>
        <v>45933</v>
      </c>
      <c r="D48" s="10">
        <f>if(and(sum('Actuals - Billing - 2025'!T280:Y280)&gt;0,C48&lt;&gt;""),'Actuals - Billing - 2025'!$U$2,"")</f>
        <v>11.12</v>
      </c>
      <c r="E48" s="11">
        <f t="array" ref="E48">if($D48="","",index('Actuals - Billing - 2025'!$B48:$AE946,Match($C48,'Actuals - Billing - 2025'!$B48:$B946,0),Match(E$1,'Actuals - Billing - 2025'!$B$2:$AE$2,0)))</f>
        <v>145</v>
      </c>
      <c r="F48" s="11">
        <f t="array" ref="F48">if($D48="","",index('Actuals - Billing - 2025'!$B48:$AE946,Match($C48,'Actuals - Billing - 2025'!$B48:$B946,0),Match(F$1,'Actuals - Billing - 2025'!$B$2:$AE$2,0)))</f>
        <v>145</v>
      </c>
      <c r="G48" s="11" t="str">
        <f t="array" ref="G48">if($D48="","",index('Actuals - Billing - 2025'!$B48:$AE946,Match($C48,'Actuals - Billing - 2025'!$B48:$B946,0),Match(G$1,'Actuals - Billing - 2025'!$B$2:$AE$2,0)))</f>
        <v/>
      </c>
      <c r="H48" s="11" t="str">
        <f t="array" ref="H48">if($D48="","",index('Actuals - Billing - 2025'!$B48:$AE946,Match($C48,'Actuals - Billing - 2025'!$B48:$B946,0),Match(H$1,'Actuals - Billing - 2025'!$B$2:$AE$2,0)))</f>
        <v/>
      </c>
      <c r="I48" s="11"/>
      <c r="J48" s="11">
        <f t="shared" si="5"/>
        <v>290</v>
      </c>
      <c r="K48" s="12">
        <f t="shared" si="6"/>
        <v>3224.8</v>
      </c>
      <c r="L48" s="1" t="str">
        <f t="shared" si="10"/>
        <v>Breakfast 145 Lunch 145</v>
      </c>
      <c r="M48" s="4" t="str">
        <f t="shared" si="8"/>
        <v>TBJ MiLB - Breakfast/Lunch/Dinner</v>
      </c>
      <c r="N48" s="17">
        <f>if(M48&lt;&gt;"",'Actuals - Billing - 2025'!BG280,"")</f>
        <v>45935</v>
      </c>
      <c r="O48" s="15"/>
    </row>
    <row r="49">
      <c r="A49" s="7" t="str">
        <f t="shared" si="1"/>
        <v>Rogers Blue Jays Baseball Partnership</v>
      </c>
      <c r="B49" s="8">
        <f>if(and('Actuals - Billing - 2025'!E$282=True,C49&lt;&gt;""),'Actuals - Billing - 2025'!C281,"")</f>
        <v>10.4</v>
      </c>
      <c r="C49" s="9">
        <f>IF(and('Actuals - Billing - 2025'!E$282=True,sum('Actuals - Billing - 2025'!T281:Y281)&gt;0),'Actuals - Billing - 2025'!B281,"")</f>
        <v>45934</v>
      </c>
      <c r="D49" s="10">
        <f>if(and(sum('Actuals - Billing - 2025'!T281:Y281)&gt;0,C49&lt;&gt;""),'Actuals - Billing - 2025'!$U$2,"")</f>
        <v>11.12</v>
      </c>
      <c r="E49" s="11">
        <f t="array" ref="E49">if($D49="","",index('Actuals - Billing - 2025'!$B49:$AE947,Match($C49,'Actuals - Billing - 2025'!$B49:$B947,0),Match(E$1,'Actuals - Billing - 2025'!$B$2:$AE$2,0)))</f>
        <v>145</v>
      </c>
      <c r="F49" s="11">
        <f t="array" ref="F49">if($D49="","",index('Actuals - Billing - 2025'!$B49:$AE947,Match($C49,'Actuals - Billing - 2025'!$B49:$B947,0),Match(F$1,'Actuals - Billing - 2025'!$B$2:$AE$2,0)))</f>
        <v>145</v>
      </c>
      <c r="G49" s="11" t="str">
        <f t="array" ref="G49">if($D49="","",index('Actuals - Billing - 2025'!$B49:$AE947,Match($C49,'Actuals - Billing - 2025'!$B49:$B947,0),Match(G$1,'Actuals - Billing - 2025'!$B$2:$AE$2,0)))</f>
        <v/>
      </c>
      <c r="H49" s="11" t="str">
        <f t="array" ref="H49">if($D49="","",index('Actuals - Billing - 2025'!$B49:$AE947,Match($C49,'Actuals - Billing - 2025'!$B49:$B947,0),Match(H$1,'Actuals - Billing - 2025'!$B$2:$AE$2,0)))</f>
        <v/>
      </c>
      <c r="I49" s="11"/>
      <c r="J49" s="11">
        <f t="shared" si="5"/>
        <v>290</v>
      </c>
      <c r="K49" s="12">
        <f t="shared" si="6"/>
        <v>3224.8</v>
      </c>
      <c r="L49" s="1" t="str">
        <f t="shared" si="10"/>
        <v>Breakfast 145 Lunch 145</v>
      </c>
      <c r="M49" s="4" t="str">
        <f t="shared" si="8"/>
        <v>TBJ MiLB - Breakfast/Lunch/Dinner</v>
      </c>
      <c r="N49" s="17">
        <f>if(M49&lt;&gt;"",'Actuals - Billing - 2025'!BG281,"")</f>
        <v>45935</v>
      </c>
      <c r="O49" s="15"/>
    </row>
    <row r="50">
      <c r="A50" s="7" t="str">
        <f t="shared" si="1"/>
        <v/>
      </c>
      <c r="B50" s="8" t="str">
        <f>if(and('Actuals - Billing - 2025'!E$282=True,C50&lt;&gt;""),'Actuals - Billing - 2025'!C282,"")</f>
        <v/>
      </c>
      <c r="C50" s="9" t="str">
        <f>IF(and('Actuals - Billing - 2025'!E$282=True,sum('Actuals - Billing - 2025'!T282:Y282)&gt;0),'Actuals - Billing - 2025'!B282,"")</f>
        <v/>
      </c>
      <c r="D50" s="10" t="str">
        <f>if(and(sum('Actuals - Billing - 2025'!T282:Y282)&gt;0,C50&lt;&gt;""),'Actuals - Billing - 2025'!$U$2,"")</f>
        <v/>
      </c>
      <c r="E50" s="11" t="str">
        <f t="array" ref="E50">if($D50="","",index('Actuals - Billing - 2025'!$B50:$AE948,Match($C50,'Actuals - Billing - 2025'!$B50:$B948,0),Match(E$1,'Actuals - Billing - 2025'!$B$2:$AE$2,0)))</f>
        <v/>
      </c>
      <c r="F50" s="11" t="str">
        <f t="array" ref="F50">if($D50="","",index('Actuals - Billing - 2025'!$B50:$AE948,Match($C50,'Actuals - Billing - 2025'!$B50:$B948,0),Match(F$1,'Actuals - Billing - 2025'!$B$2:$AE$2,0)))</f>
        <v/>
      </c>
      <c r="G50" s="11" t="str">
        <f t="array" ref="G50">if($D50="","",index('Actuals - Billing - 2025'!$B50:$AE948,Match($C50,'Actuals - Billing - 2025'!$B50:$B948,0),Match(G$1,'Actuals - Billing - 2025'!$B$2:$AE$2,0)))</f>
        <v/>
      </c>
      <c r="H50" s="11" t="str">
        <f t="array" ref="H50">if($D50="","",index('Actuals - Billing - 2025'!$B50:$AE948,Match($C50,'Actuals - Billing - 2025'!$B50:$B948,0),Match(H$1,'Actuals - Billing - 2025'!$B$2:$AE$2,0)))</f>
        <v/>
      </c>
      <c r="I50" s="11"/>
      <c r="J50" s="11" t="str">
        <f t="shared" si="5"/>
        <v/>
      </c>
      <c r="K50" s="12" t="str">
        <f t="shared" si="6"/>
        <v/>
      </c>
      <c r="L50" s="1" t="str">
        <f t="shared" si="10"/>
        <v/>
      </c>
      <c r="M50" s="4" t="str">
        <f t="shared" si="8"/>
        <v/>
      </c>
      <c r="N50" s="17" t="str">
        <f>if(M50&lt;&gt;"",'Actuals - Billing - 2025'!BG282,"")</f>
        <v/>
      </c>
      <c r="O50" s="15"/>
    </row>
    <row r="51">
      <c r="A51" s="7" t="str">
        <f t="shared" si="1"/>
        <v>Rogers Blue Jays Baseball Partnership</v>
      </c>
      <c r="B51" s="8">
        <f>if(and('Actuals - Billing - 2025'!E$289=True,C51&lt;&gt;""),'Actuals - Billing - 2025'!C283,"")</f>
        <v>11.1</v>
      </c>
      <c r="C51" s="9">
        <f>IF(and('Actuals - Billing - 2025'!E$289=True,sum('Actuals - Billing - 2025'!T283:Y283)&gt;0),'Actuals - Billing - 2025'!B283,"")</f>
        <v>45936</v>
      </c>
      <c r="D51" s="10">
        <f>if(and(sum('Actuals - Billing - 2025'!T283:Y283)&gt;0,C51&lt;&gt;""),'Actuals - Billing - 2025'!$U$2,"")</f>
        <v>11.12</v>
      </c>
      <c r="E51" s="11">
        <f t="array" ref="E51">if($D51="","",index('Actuals - Billing - 2025'!$B51:$AE949,Match($C51,'Actuals - Billing - 2025'!$B51:$B949,0),Match(E$1,'Actuals - Billing - 2025'!$B$2:$AE$2,0)))</f>
        <v>60</v>
      </c>
      <c r="F51" s="11">
        <f t="array" ref="F51">if($D51="","",index('Actuals - Billing - 2025'!$B51:$AE949,Match($C51,'Actuals - Billing - 2025'!$B51:$B949,0),Match(F$1,'Actuals - Billing - 2025'!$B$2:$AE$2,0)))</f>
        <v>60</v>
      </c>
      <c r="G51" s="11" t="str">
        <f t="array" ref="G51">if($D51="","",index('Actuals - Billing - 2025'!$B51:$AE949,Match($C51,'Actuals - Billing - 2025'!$B51:$B949,0),Match(G$1,'Actuals - Billing - 2025'!$B$2:$AE$2,0)))</f>
        <v/>
      </c>
      <c r="H51" s="11" t="str">
        <f t="array" ref="H51">if($D51="","",index('Actuals - Billing - 2025'!$B51:$AE949,Match($C51,'Actuals - Billing - 2025'!$B51:$B949,0),Match(H$1,'Actuals - Billing - 2025'!$B$2:$AE$2,0)))</f>
        <v/>
      </c>
      <c r="I51" s="11"/>
      <c r="J51" s="11">
        <f t="shared" si="5"/>
        <v>120</v>
      </c>
      <c r="K51" s="12">
        <f t="shared" si="6"/>
        <v>1334.4</v>
      </c>
      <c r="L51" s="1" t="str">
        <f t="shared" si="10"/>
        <v>Breakfast 60 Lunch 60</v>
      </c>
      <c r="M51" s="4" t="str">
        <f t="shared" si="8"/>
        <v>TBJ MiLB - Breakfast/Lunch/Dinner</v>
      </c>
      <c r="N51" s="17">
        <f>if(M51&lt;&gt;"",'Actuals - Billing - 2025'!BG283,"")</f>
        <v>45942</v>
      </c>
      <c r="O51" s="15"/>
      <c r="P51" s="14"/>
    </row>
    <row r="52">
      <c r="A52" s="7" t="str">
        <f t="shared" si="1"/>
        <v>Rogers Blue Jays Baseball Partnership</v>
      </c>
      <c r="B52" s="8">
        <f>if(and('Actuals - Billing - 2025'!E$289=True,C52&lt;&gt;""),'Actuals - Billing - 2025'!C284,"")</f>
        <v>11.1</v>
      </c>
      <c r="C52" s="9">
        <f>IF(and('Actuals - Billing - 2025'!E$289=True,sum('Actuals - Billing - 2025'!T284:Y284)&gt;0),'Actuals - Billing - 2025'!B284,"")</f>
        <v>45937</v>
      </c>
      <c r="D52" s="10">
        <f>if(and(sum('Actuals - Billing - 2025'!T284:Y284)&gt;0,C52&lt;&gt;""),'Actuals - Billing - 2025'!$U$2,"")</f>
        <v>11.12</v>
      </c>
      <c r="E52" s="11">
        <f t="array" ref="E52">if($D52="","",index('Actuals - Billing - 2025'!$B52:$AE950,Match($C52,'Actuals - Billing - 2025'!$B52:$B950,0),Match(E$1,'Actuals - Billing - 2025'!$B$2:$AE$2,0)))</f>
        <v>60</v>
      </c>
      <c r="F52" s="11">
        <f t="array" ref="F52">if($D52="","",index('Actuals - Billing - 2025'!$B52:$AE950,Match($C52,'Actuals - Billing - 2025'!$B52:$B950,0),Match(F$1,'Actuals - Billing - 2025'!$B$2:$AE$2,0)))</f>
        <v>60</v>
      </c>
      <c r="G52" s="11" t="str">
        <f t="array" ref="G52">if($D52="","",index('Actuals - Billing - 2025'!$B52:$AE950,Match($C52,'Actuals - Billing - 2025'!$B52:$B950,0),Match(G$1,'Actuals - Billing - 2025'!$B$2:$AE$2,0)))</f>
        <v/>
      </c>
      <c r="H52" s="11" t="str">
        <f t="array" ref="H52">if($D52="","",index('Actuals - Billing - 2025'!$B52:$AE950,Match($C52,'Actuals - Billing - 2025'!$B52:$B950,0),Match(H$1,'Actuals - Billing - 2025'!$B$2:$AE$2,0)))</f>
        <v/>
      </c>
      <c r="I52" s="11"/>
      <c r="J52" s="11">
        <f t="shared" si="5"/>
        <v>120</v>
      </c>
      <c r="K52" s="12">
        <f t="shared" si="6"/>
        <v>1334.4</v>
      </c>
      <c r="L52" s="1" t="str">
        <f t="shared" si="10"/>
        <v>Breakfast 60 Lunch 60</v>
      </c>
      <c r="M52" s="4" t="str">
        <f t="shared" si="8"/>
        <v>TBJ MiLB - Breakfast/Lunch/Dinner</v>
      </c>
      <c r="N52" s="17">
        <f>if(M52&lt;&gt;"",'Actuals - Billing - 2025'!BG284,"")</f>
        <v>45942</v>
      </c>
      <c r="O52" s="15"/>
    </row>
    <row r="53">
      <c r="A53" s="7" t="str">
        <f t="shared" si="1"/>
        <v>Rogers Blue Jays Baseball Partnership</v>
      </c>
      <c r="B53" s="8">
        <f>if(and('Actuals - Billing - 2025'!E$289=True,C53&lt;&gt;""),'Actuals - Billing - 2025'!C285,"")</f>
        <v>11.1</v>
      </c>
      <c r="C53" s="9">
        <f>IF(and('Actuals - Billing - 2025'!E$289=True,sum('Actuals - Billing - 2025'!T285:Y285)&gt;0),'Actuals - Billing - 2025'!B285,"")</f>
        <v>45938</v>
      </c>
      <c r="D53" s="10">
        <f>if(and(sum('Actuals - Billing - 2025'!T285:Y285)&gt;0,C53&lt;&gt;""),'Actuals - Billing - 2025'!$U$2,"")</f>
        <v>11.12</v>
      </c>
      <c r="E53" s="11">
        <f t="array" ref="E53">if($D53="","",index('Actuals - Billing - 2025'!$B53:$AE951,Match($C53,'Actuals - Billing - 2025'!$B53:$B951,0),Match(E$1,'Actuals - Billing - 2025'!$B$2:$AE$2,0)))</f>
        <v>60</v>
      </c>
      <c r="F53" s="11">
        <f t="array" ref="F53">if($D53="","",index('Actuals - Billing - 2025'!$B53:$AE951,Match($C53,'Actuals - Billing - 2025'!$B53:$B951,0),Match(F$1,'Actuals - Billing - 2025'!$B$2:$AE$2,0)))</f>
        <v>60</v>
      </c>
      <c r="G53" s="11" t="str">
        <f t="array" ref="G53">if($D53="","",index('Actuals - Billing - 2025'!$B53:$AE951,Match($C53,'Actuals - Billing - 2025'!$B53:$B951,0),Match(G$1,'Actuals - Billing - 2025'!$B$2:$AE$2,0)))</f>
        <v/>
      </c>
      <c r="H53" s="11" t="str">
        <f t="array" ref="H53">if($D53="","",index('Actuals - Billing - 2025'!$B53:$AE951,Match($C53,'Actuals - Billing - 2025'!$B53:$B951,0),Match(H$1,'Actuals - Billing - 2025'!$B$2:$AE$2,0)))</f>
        <v/>
      </c>
      <c r="I53" s="11"/>
      <c r="J53" s="11">
        <f t="shared" si="5"/>
        <v>120</v>
      </c>
      <c r="K53" s="12">
        <f t="shared" si="6"/>
        <v>1334.4</v>
      </c>
      <c r="L53" s="1" t="str">
        <f t="shared" si="10"/>
        <v>Breakfast 60 Lunch 60</v>
      </c>
      <c r="M53" s="4" t="str">
        <f t="shared" si="8"/>
        <v>TBJ MiLB - Breakfast/Lunch/Dinner</v>
      </c>
      <c r="N53" s="17">
        <f>if(M53&lt;&gt;"",'Actuals - Billing - 2025'!BG285,"")</f>
        <v>45942</v>
      </c>
      <c r="O53" s="15"/>
    </row>
    <row r="54">
      <c r="A54" s="7" t="str">
        <f t="shared" si="1"/>
        <v>Rogers Blue Jays Baseball Partnership</v>
      </c>
      <c r="B54" s="8">
        <f>if(and('Actuals - Billing - 2025'!E$289=True,C54&lt;&gt;""),'Actuals - Billing - 2025'!C286,"")</f>
        <v>11.1</v>
      </c>
      <c r="C54" s="9">
        <f>IF(and('Actuals - Billing - 2025'!E$289=True,sum('Actuals - Billing - 2025'!T286:Y286)&gt;0),'Actuals - Billing - 2025'!B286,"")</f>
        <v>45939</v>
      </c>
      <c r="D54" s="10">
        <f>if(and(sum('Actuals - Billing - 2025'!T286:Y286)&gt;0,C54&lt;&gt;""),'Actuals - Billing - 2025'!$U$2,"")</f>
        <v>11.12</v>
      </c>
      <c r="E54" s="11">
        <f t="array" ref="E54">if($D54="","",index('Actuals - Billing - 2025'!$B54:$AE952,Match($C54,'Actuals - Billing - 2025'!$B54:$B952,0),Match(E$1,'Actuals - Billing - 2025'!$B$2:$AE$2,0)))</f>
        <v>60</v>
      </c>
      <c r="F54" s="11">
        <f t="array" ref="F54">if($D54="","",index('Actuals - Billing - 2025'!$B54:$AE952,Match($C54,'Actuals - Billing - 2025'!$B54:$B952,0),Match(F$1,'Actuals - Billing - 2025'!$B$2:$AE$2,0)))</f>
        <v>60</v>
      </c>
      <c r="G54" s="11" t="str">
        <f t="array" ref="G54">if($D54="","",index('Actuals - Billing - 2025'!$B54:$AE952,Match($C54,'Actuals - Billing - 2025'!$B54:$B952,0),Match(G$1,'Actuals - Billing - 2025'!$B$2:$AE$2,0)))</f>
        <v/>
      </c>
      <c r="H54" s="11" t="str">
        <f t="array" ref="H54">if($D54="","",index('Actuals - Billing - 2025'!$B54:$AE952,Match($C54,'Actuals - Billing - 2025'!$B54:$B952,0),Match(H$1,'Actuals - Billing - 2025'!$B$2:$AE$2,0)))</f>
        <v/>
      </c>
      <c r="I54" s="11"/>
      <c r="J54" s="11">
        <f t="shared" si="5"/>
        <v>120</v>
      </c>
      <c r="K54" s="12">
        <f t="shared" si="6"/>
        <v>1334.4</v>
      </c>
      <c r="L54" s="1" t="str">
        <f t="shared" si="10"/>
        <v>Breakfast 60 Lunch 60</v>
      </c>
      <c r="M54" s="4" t="str">
        <f t="shared" si="8"/>
        <v>TBJ MiLB - Breakfast/Lunch/Dinner</v>
      </c>
      <c r="N54" s="17">
        <f>if(M54&lt;&gt;"",'Actuals - Billing - 2025'!BG286,"")</f>
        <v>45942</v>
      </c>
      <c r="O54" s="15"/>
    </row>
    <row r="55">
      <c r="A55" s="7" t="str">
        <f t="shared" si="1"/>
        <v>Rogers Blue Jays Baseball Partnership</v>
      </c>
      <c r="B55" s="8">
        <f>if(and('Actuals - Billing - 2025'!E$289=True,C55&lt;&gt;""),'Actuals - Billing - 2025'!C287,"")</f>
        <v>11.1</v>
      </c>
      <c r="C55" s="9">
        <f>IF(and('Actuals - Billing - 2025'!E$289=True,sum('Actuals - Billing - 2025'!T287:Y287)&gt;0),'Actuals - Billing - 2025'!B287,"")</f>
        <v>45940</v>
      </c>
      <c r="D55" s="10">
        <f>if(and(sum('Actuals - Billing - 2025'!T287:Y287)&gt;0,C55&lt;&gt;""),'Actuals - Billing - 2025'!$U$2,"")</f>
        <v>11.12</v>
      </c>
      <c r="E55" s="11">
        <f t="array" ref="E55">if($D55="","",index('Actuals - Billing - 2025'!$B55:$AE953,Match($C55,'Actuals - Billing - 2025'!$B55:$B953,0),Match(E$1,'Actuals - Billing - 2025'!$B$2:$AE$2,0)))</f>
        <v>60</v>
      </c>
      <c r="F55" s="11">
        <f t="array" ref="F55">if($D55="","",index('Actuals - Billing - 2025'!$B55:$AE953,Match($C55,'Actuals - Billing - 2025'!$B55:$B953,0),Match(F$1,'Actuals - Billing - 2025'!$B$2:$AE$2,0)))</f>
        <v>60</v>
      </c>
      <c r="G55" s="11" t="str">
        <f t="array" ref="G55">if($D55="","",index('Actuals - Billing - 2025'!$B55:$AE953,Match($C55,'Actuals - Billing - 2025'!$B55:$B953,0),Match(G$1,'Actuals - Billing - 2025'!$B$2:$AE$2,0)))</f>
        <v/>
      </c>
      <c r="H55" s="11" t="str">
        <f t="array" ref="H55">if($D55="","",index('Actuals - Billing - 2025'!$B55:$AE953,Match($C55,'Actuals - Billing - 2025'!$B55:$B953,0),Match(H$1,'Actuals - Billing - 2025'!$B$2:$AE$2,0)))</f>
        <v/>
      </c>
      <c r="I55" s="11"/>
      <c r="J55" s="11">
        <f t="shared" si="5"/>
        <v>120</v>
      </c>
      <c r="K55" s="12">
        <f t="shared" si="6"/>
        <v>1334.4</v>
      </c>
      <c r="L55" s="1" t="str">
        <f t="shared" si="10"/>
        <v>Breakfast 60 Lunch 60</v>
      </c>
      <c r="M55" s="4" t="str">
        <f t="shared" si="8"/>
        <v>TBJ MiLB - Breakfast/Lunch/Dinner</v>
      </c>
      <c r="N55" s="17">
        <f>if(M55&lt;&gt;"",'Actuals - Billing - 2025'!BG287,"")</f>
        <v>45942</v>
      </c>
      <c r="O55" s="15"/>
    </row>
    <row r="56">
      <c r="A56" s="7" t="str">
        <f t="shared" si="1"/>
        <v/>
      </c>
      <c r="B56" s="8" t="str">
        <f>if(and('Actuals - Billing - 2025'!E$289=True,C56&lt;&gt;""),'Actuals - Billing - 2025'!C288,"")</f>
        <v/>
      </c>
      <c r="C56" s="9" t="str">
        <f>IF(and('Actuals - Billing - 2025'!E$289=True,sum('Actuals - Billing - 2025'!T288:Y288)&gt;0),'Actuals - Billing - 2025'!B288,"")</f>
        <v/>
      </c>
      <c r="D56" s="10" t="str">
        <f>if(and(sum('Actuals - Billing - 2025'!T288:Y288)&gt;0,C56&lt;&gt;""),'Actuals - Billing - 2025'!$U$2,"")</f>
        <v/>
      </c>
      <c r="E56" s="11" t="str">
        <f t="array" ref="E56">if($D56="","",index('Actuals - Billing - 2025'!$B56:$AE954,Match($C56,'Actuals - Billing - 2025'!$B56:$B954,0),Match(E$1,'Actuals - Billing - 2025'!$B$2:$AE$2,0)))</f>
        <v/>
      </c>
      <c r="F56" s="11" t="str">
        <f t="array" ref="F56">if($D56="","",index('Actuals - Billing - 2025'!$B56:$AE954,Match($C56,'Actuals - Billing - 2025'!$B56:$B954,0),Match(F$1,'Actuals - Billing - 2025'!$B$2:$AE$2,0)))</f>
        <v/>
      </c>
      <c r="G56" s="11" t="str">
        <f t="array" ref="G56">if($D56="","",index('Actuals - Billing - 2025'!$B56:$AE954,Match($C56,'Actuals - Billing - 2025'!$B56:$B954,0),Match(G$1,'Actuals - Billing - 2025'!$B$2:$AE$2,0)))</f>
        <v/>
      </c>
      <c r="H56" s="11" t="str">
        <f t="array" ref="H56">if($D56="","",index('Actuals - Billing - 2025'!$B56:$AE954,Match($C56,'Actuals - Billing - 2025'!$B56:$B954,0),Match(H$1,'Actuals - Billing - 2025'!$B$2:$AE$2,0)))</f>
        <v/>
      </c>
      <c r="I56" s="11"/>
      <c r="J56" s="11" t="str">
        <f t="shared" si="5"/>
        <v/>
      </c>
      <c r="K56" s="12" t="str">
        <f t="shared" si="6"/>
        <v/>
      </c>
      <c r="L56" s="1" t="str">
        <f t="shared" si="10"/>
        <v/>
      </c>
      <c r="M56" s="4" t="str">
        <f t="shared" si="8"/>
        <v/>
      </c>
      <c r="N56" s="17" t="str">
        <f>if(M56&lt;&gt;"",'Actuals - Billing - 2025'!BG288,"")</f>
        <v/>
      </c>
      <c r="O56" s="15"/>
    </row>
    <row r="57">
      <c r="A57" s="7" t="str">
        <f t="shared" si="1"/>
        <v/>
      </c>
      <c r="B57" s="8" t="str">
        <f>if(and('Actuals - Billing - 2025'!E$289=True,C57&lt;&gt;""),'Actuals - Billing - 2025'!C289,"")</f>
        <v/>
      </c>
      <c r="C57" s="9" t="str">
        <f>IF(and('Actuals - Billing - 2025'!E$289=True,sum('Actuals - Billing - 2025'!T289:Y289)&gt;0),'Actuals - Billing - 2025'!B289,"")</f>
        <v/>
      </c>
      <c r="D57" s="10" t="str">
        <f>if(and(sum('Actuals - Billing - 2025'!T289:Y289)&gt;0,C57&lt;&gt;""),'Actuals - Billing - 2025'!$U$2,"")</f>
        <v/>
      </c>
      <c r="E57" s="11" t="str">
        <f t="array" ref="E57">if($D57="","",index('Actuals - Billing - 2025'!$B57:$AE955,Match($C57,'Actuals - Billing - 2025'!$B57:$B955,0),Match(E$1,'Actuals - Billing - 2025'!$B$2:$AE$2,0)))</f>
        <v/>
      </c>
      <c r="F57" s="11" t="str">
        <f t="array" ref="F57">if($D57="","",index('Actuals - Billing - 2025'!$B57:$AE955,Match($C57,'Actuals - Billing - 2025'!$B57:$B955,0),Match(F$1,'Actuals - Billing - 2025'!$B$2:$AE$2,0)))</f>
        <v/>
      </c>
      <c r="G57" s="11" t="str">
        <f t="array" ref="G57">if($D57="","",index('Actuals - Billing - 2025'!$B57:$AE955,Match($C57,'Actuals - Billing - 2025'!$B57:$B955,0),Match(G$1,'Actuals - Billing - 2025'!$B$2:$AE$2,0)))</f>
        <v/>
      </c>
      <c r="H57" s="11" t="str">
        <f t="array" ref="H57">if($D57="","",index('Actuals - Billing - 2025'!$B57:$AE955,Match($C57,'Actuals - Billing - 2025'!$B57:$B955,0),Match(H$1,'Actuals - Billing - 2025'!$B$2:$AE$2,0)))</f>
        <v/>
      </c>
      <c r="I57" s="11"/>
      <c r="J57" s="11" t="str">
        <f t="shared" si="5"/>
        <v/>
      </c>
      <c r="K57" s="12" t="str">
        <f t="shared" si="6"/>
        <v/>
      </c>
      <c r="L57" s="1" t="str">
        <f t="shared" si="10"/>
        <v/>
      </c>
      <c r="M57" s="4" t="str">
        <f t="shared" si="8"/>
        <v/>
      </c>
      <c r="N57" s="17" t="str">
        <f>if(M57&lt;&gt;"",'Actuals - Billing - 2025'!BG289,"")</f>
        <v/>
      </c>
      <c r="O57" s="15"/>
    </row>
    <row r="58">
      <c r="A58" s="7" t="str">
        <f t="shared" si="1"/>
        <v>Rogers Blue Jays Baseball Partnership</v>
      </c>
      <c r="B58" s="8">
        <f>if(and('Actuals - Billing - 2025'!E$296=True,C58&lt;&gt;""),'Actuals - Billing - 2025'!C290,"")</f>
        <v>11.2</v>
      </c>
      <c r="C58" s="9">
        <f>IF(and('Actuals - Billing - 2025'!E$296=True,sum('Actuals - Billing - 2025'!T290:Y290)&gt;0),'Actuals - Billing - 2025'!B290,"")</f>
        <v>45943</v>
      </c>
      <c r="D58" s="10">
        <f>if(and(sum('Actuals - Billing - 2025'!T290:Y290)&gt;0,C58&lt;&gt;""),'Actuals - Billing - 2025'!$U$2,"")</f>
        <v>11.12</v>
      </c>
      <c r="E58" s="11">
        <f t="array" ref="E58">if($D58="","",index('Actuals - Billing - 2025'!$B58:$AE956,Match($C58,'Actuals - Billing - 2025'!$B58:$B956,0),Match(E$1,'Actuals - Billing - 2025'!$B$2:$AE$2,0)))</f>
        <v>170</v>
      </c>
      <c r="F58" s="11">
        <f t="array" ref="F58">if($D58="","",index('Actuals - Billing - 2025'!$B58:$AE956,Match($C58,'Actuals - Billing - 2025'!$B58:$B956,0),Match(F$1,'Actuals - Billing - 2025'!$B$2:$AE$2,0)))</f>
        <v>170</v>
      </c>
      <c r="G58" s="11" t="str">
        <f t="array" ref="G58">if($D58="","",index('Actuals - Billing - 2025'!$B58:$AE956,Match($C58,'Actuals - Billing - 2025'!$B58:$B956,0),Match(G$1,'Actuals - Billing - 2025'!$B$2:$AE$2,0)))</f>
        <v/>
      </c>
      <c r="H58" s="11" t="str">
        <f t="array" ref="H58">if($D58="","",index('Actuals - Billing - 2025'!$B58:$AE956,Match($C58,'Actuals - Billing - 2025'!$B58:$B956,0),Match(H$1,'Actuals - Billing - 2025'!$B$2:$AE$2,0)))</f>
        <v/>
      </c>
      <c r="I58" s="11"/>
      <c r="J58" s="11">
        <f t="shared" si="5"/>
        <v>340</v>
      </c>
      <c r="K58" s="12">
        <f t="shared" si="6"/>
        <v>3780.8</v>
      </c>
      <c r="L58" s="1" t="str">
        <f t="shared" si="10"/>
        <v>Breakfast 170 Lunch 170</v>
      </c>
      <c r="M58" s="4" t="str">
        <f t="shared" si="8"/>
        <v>TBJ MiLB - Breakfast/Lunch/Dinner</v>
      </c>
      <c r="N58" s="17">
        <f>if(M58&lt;&gt;"",'Actuals - Billing - 2025'!BG290,"")</f>
        <v>45949</v>
      </c>
      <c r="O58" s="15"/>
      <c r="P58" s="14"/>
    </row>
    <row r="59">
      <c r="A59" s="7" t="str">
        <f t="shared" si="1"/>
        <v>Rogers Blue Jays Baseball Partnership</v>
      </c>
      <c r="B59" s="8">
        <f>if(and('Actuals - Billing - 2025'!E$296=True,C59&lt;&gt;""),'Actuals - Billing - 2025'!C291,"")</f>
        <v>11.2</v>
      </c>
      <c r="C59" s="9">
        <f>IF(and('Actuals - Billing - 2025'!E$296=True,sum('Actuals - Billing - 2025'!T291:Y291)&gt;0),'Actuals - Billing - 2025'!B291,"")</f>
        <v>45944</v>
      </c>
      <c r="D59" s="10">
        <f>if(and(sum('Actuals - Billing - 2025'!T291:Y291)&gt;0,C59&lt;&gt;""),'Actuals - Billing - 2025'!$U$2,"")</f>
        <v>11.12</v>
      </c>
      <c r="E59" s="11">
        <f t="array" ref="E59">if($D59="","",index('Actuals - Billing - 2025'!$B59:$AE957,Match($C59,'Actuals - Billing - 2025'!$B59:$B957,0),Match(E$1,'Actuals - Billing - 2025'!$B$2:$AE$2,0)))</f>
        <v>170</v>
      </c>
      <c r="F59" s="11">
        <f t="array" ref="F59">if($D59="","",index('Actuals - Billing - 2025'!$B59:$AE957,Match($C59,'Actuals - Billing - 2025'!$B59:$B957,0),Match(F$1,'Actuals - Billing - 2025'!$B$2:$AE$2,0)))</f>
        <v>170</v>
      </c>
      <c r="G59" s="11" t="str">
        <f t="array" ref="G59">if($D59="","",index('Actuals - Billing - 2025'!$B59:$AE957,Match($C59,'Actuals - Billing - 2025'!$B59:$B957,0),Match(G$1,'Actuals - Billing - 2025'!$B$2:$AE$2,0)))</f>
        <v/>
      </c>
      <c r="H59" s="11" t="str">
        <f t="array" ref="H59">if($D59="","",index('Actuals - Billing - 2025'!$B59:$AE957,Match($C59,'Actuals - Billing - 2025'!$B59:$B957,0),Match(H$1,'Actuals - Billing - 2025'!$B$2:$AE$2,0)))</f>
        <v/>
      </c>
      <c r="I59" s="11"/>
      <c r="J59" s="11">
        <f t="shared" si="5"/>
        <v>340</v>
      </c>
      <c r="K59" s="12">
        <f t="shared" si="6"/>
        <v>3780.8</v>
      </c>
      <c r="L59" s="1" t="str">
        <f t="shared" si="10"/>
        <v>Breakfast 170 Lunch 170</v>
      </c>
      <c r="M59" s="4" t="str">
        <f t="shared" si="8"/>
        <v>TBJ MiLB - Breakfast/Lunch/Dinner</v>
      </c>
      <c r="N59" s="17">
        <f>if(M59&lt;&gt;"",'Actuals - Billing - 2025'!BG291,"")</f>
        <v>45949</v>
      </c>
      <c r="O59" s="15"/>
    </row>
    <row r="60">
      <c r="A60" s="7" t="str">
        <f t="shared" si="1"/>
        <v>Rogers Blue Jays Baseball Partnership</v>
      </c>
      <c r="B60" s="8">
        <f>if(and('Actuals - Billing - 2025'!E$296=True,C60&lt;&gt;""),'Actuals - Billing - 2025'!C292,"")</f>
        <v>11.2</v>
      </c>
      <c r="C60" s="9">
        <f>IF(and('Actuals - Billing - 2025'!E$296=True,sum('Actuals - Billing - 2025'!T292:Y292)&gt;0),'Actuals - Billing - 2025'!B292,"")</f>
        <v>45945</v>
      </c>
      <c r="D60" s="10">
        <f>if(and(sum('Actuals - Billing - 2025'!T292:Y292)&gt;0,C60&lt;&gt;""),'Actuals - Billing - 2025'!$U$2,"")</f>
        <v>11.12</v>
      </c>
      <c r="E60" s="11">
        <f t="array" ref="E60">if($D60="","",index('Actuals - Billing - 2025'!$B60:$AE958,Match($C60,'Actuals - Billing - 2025'!$B60:$B958,0),Match(E$1,'Actuals - Billing - 2025'!$B$2:$AE$2,0)))</f>
        <v>170</v>
      </c>
      <c r="F60" s="11">
        <f t="array" ref="F60">if($D60="","",index('Actuals - Billing - 2025'!$B60:$AE958,Match($C60,'Actuals - Billing - 2025'!$B60:$B958,0),Match(F$1,'Actuals - Billing - 2025'!$B$2:$AE$2,0)))</f>
        <v>170</v>
      </c>
      <c r="G60" s="11" t="str">
        <f t="array" ref="G60">if($D60="","",index('Actuals - Billing - 2025'!$B60:$AE958,Match($C60,'Actuals - Billing - 2025'!$B60:$B958,0),Match(G$1,'Actuals - Billing - 2025'!$B$2:$AE$2,0)))</f>
        <v/>
      </c>
      <c r="H60" s="11" t="str">
        <f t="array" ref="H60">if($D60="","",index('Actuals - Billing - 2025'!$B60:$AE958,Match($C60,'Actuals - Billing - 2025'!$B60:$B958,0),Match(H$1,'Actuals - Billing - 2025'!$B$2:$AE$2,0)))</f>
        <v/>
      </c>
      <c r="I60" s="11"/>
      <c r="J60" s="11">
        <f t="shared" si="5"/>
        <v>340</v>
      </c>
      <c r="K60" s="12">
        <f t="shared" si="6"/>
        <v>3780.8</v>
      </c>
      <c r="L60" s="1" t="str">
        <f t="shared" si="10"/>
        <v>Breakfast 170 Lunch 170</v>
      </c>
      <c r="M60" s="4" t="str">
        <f t="shared" si="8"/>
        <v>TBJ MiLB - Breakfast/Lunch/Dinner</v>
      </c>
      <c r="N60" s="17">
        <f>if(M60&lt;&gt;"",'Actuals - Billing - 2025'!BG292,"")</f>
        <v>45949</v>
      </c>
      <c r="O60" s="15"/>
    </row>
    <row r="61">
      <c r="A61" s="7" t="str">
        <f t="shared" si="1"/>
        <v>Rogers Blue Jays Baseball Partnership</v>
      </c>
      <c r="B61" s="8">
        <f>if(and('Actuals - Billing - 2025'!E$296=True,C61&lt;&gt;""),'Actuals - Billing - 2025'!C293,"")</f>
        <v>11.2</v>
      </c>
      <c r="C61" s="9">
        <f>IF(and('Actuals - Billing - 2025'!E$296=True,sum('Actuals - Billing - 2025'!T293:Y293)&gt;0),'Actuals - Billing - 2025'!B293,"")</f>
        <v>45946</v>
      </c>
      <c r="D61" s="10">
        <f>if(and(sum('Actuals - Billing - 2025'!T293:Y293)&gt;0,C61&lt;&gt;""),'Actuals - Billing - 2025'!$U$2,"")</f>
        <v>11.12</v>
      </c>
      <c r="E61" s="11">
        <f t="array" ref="E61">if($D61="","",index('Actuals - Billing - 2025'!$B61:$AE959,Match($C61,'Actuals - Billing - 2025'!$B61:$B959,0),Match(E$1,'Actuals - Billing - 2025'!$B$2:$AE$2,0)))</f>
        <v>170</v>
      </c>
      <c r="F61" s="11">
        <f t="array" ref="F61">if($D61="","",index('Actuals - Billing - 2025'!$B61:$AE959,Match($C61,'Actuals - Billing - 2025'!$B61:$B959,0),Match(F$1,'Actuals - Billing - 2025'!$B$2:$AE$2,0)))</f>
        <v>170</v>
      </c>
      <c r="G61" s="11" t="str">
        <f t="array" ref="G61">if($D61="","",index('Actuals - Billing - 2025'!$B61:$AE959,Match($C61,'Actuals - Billing - 2025'!$B61:$B959,0),Match(G$1,'Actuals - Billing - 2025'!$B$2:$AE$2,0)))</f>
        <v/>
      </c>
      <c r="H61" s="11" t="str">
        <f t="array" ref="H61">if($D61="","",index('Actuals - Billing - 2025'!$B61:$AE959,Match($C61,'Actuals - Billing - 2025'!$B61:$B959,0),Match(H$1,'Actuals - Billing - 2025'!$B$2:$AE$2,0)))</f>
        <v/>
      </c>
      <c r="I61" s="11"/>
      <c r="J61" s="11">
        <f t="shared" si="5"/>
        <v>340</v>
      </c>
      <c r="K61" s="12">
        <f t="shared" si="6"/>
        <v>3780.8</v>
      </c>
      <c r="L61" s="1" t="str">
        <f t="shared" si="10"/>
        <v>Breakfast 170 Lunch 170</v>
      </c>
      <c r="M61" s="4" t="str">
        <f t="shared" si="8"/>
        <v>TBJ MiLB - Breakfast/Lunch/Dinner</v>
      </c>
      <c r="N61" s="17">
        <f>if(M61&lt;&gt;"",'Actuals - Billing - 2025'!BG293,"")</f>
        <v>45949</v>
      </c>
      <c r="O61" s="15"/>
    </row>
    <row r="62">
      <c r="A62" s="7" t="str">
        <f t="shared" si="1"/>
        <v>Rogers Blue Jays Baseball Partnership</v>
      </c>
      <c r="B62" s="8">
        <f>if(and('Actuals - Billing - 2025'!E$296=True,C62&lt;&gt;""),'Actuals - Billing - 2025'!C294,"")</f>
        <v>11.2</v>
      </c>
      <c r="C62" s="9">
        <f>IF(and('Actuals - Billing - 2025'!E$296=True,sum('Actuals - Billing - 2025'!T294:Y294)&gt;0),'Actuals - Billing - 2025'!B294,"")</f>
        <v>45947</v>
      </c>
      <c r="D62" s="10">
        <f>if(and(sum('Actuals - Billing - 2025'!T294:Y294)&gt;0,C62&lt;&gt;""),'Actuals - Billing - 2025'!$U$2,"")</f>
        <v>11.12</v>
      </c>
      <c r="E62" s="11">
        <f t="array" ref="E62">if($D62="","",index('Actuals - Billing - 2025'!$B62:$AE960,Match($C62,'Actuals - Billing - 2025'!$B62:$B960,0),Match(E$1,'Actuals - Billing - 2025'!$B$2:$AE$2,0)))</f>
        <v>170</v>
      </c>
      <c r="F62" s="11">
        <f t="array" ref="F62">if($D62="","",index('Actuals - Billing - 2025'!$B62:$AE960,Match($C62,'Actuals - Billing - 2025'!$B62:$B960,0),Match(F$1,'Actuals - Billing - 2025'!$B$2:$AE$2,0)))</f>
        <v>170</v>
      </c>
      <c r="G62" s="11" t="str">
        <f t="array" ref="G62">if($D62="","",index('Actuals - Billing - 2025'!$B62:$AE960,Match($C62,'Actuals - Billing - 2025'!$B62:$B960,0),Match(G$1,'Actuals - Billing - 2025'!$B$2:$AE$2,0)))</f>
        <v/>
      </c>
      <c r="H62" s="11" t="str">
        <f t="array" ref="H62">if($D62="","",index('Actuals - Billing - 2025'!$B62:$AE960,Match($C62,'Actuals - Billing - 2025'!$B62:$B960,0),Match(H$1,'Actuals - Billing - 2025'!$B$2:$AE$2,0)))</f>
        <v/>
      </c>
      <c r="I62" s="11"/>
      <c r="J62" s="11">
        <f t="shared" si="5"/>
        <v>340</v>
      </c>
      <c r="K62" s="12">
        <f t="shared" si="6"/>
        <v>3780.8</v>
      </c>
      <c r="L62" s="1" t="str">
        <f t="shared" si="10"/>
        <v>Breakfast 170 Lunch 170</v>
      </c>
      <c r="M62" s="4" t="str">
        <f t="shared" si="8"/>
        <v>TBJ MiLB - Breakfast/Lunch/Dinner</v>
      </c>
      <c r="N62" s="17">
        <f>if(M62&lt;&gt;"",'Actuals - Billing - 2025'!BG294,"")</f>
        <v>45949</v>
      </c>
      <c r="O62" s="15"/>
    </row>
    <row r="63">
      <c r="A63" s="7" t="str">
        <f t="shared" si="1"/>
        <v/>
      </c>
      <c r="B63" s="8" t="str">
        <f>if(and('Actuals - Billing - 2025'!E$296=True,C63&lt;&gt;""),'Actuals - Billing - 2025'!C295,"")</f>
        <v/>
      </c>
      <c r="C63" s="9" t="str">
        <f>IF(and('Actuals - Billing - 2025'!E$296=True,sum('Actuals - Billing - 2025'!T295:Y295)&gt;0),'Actuals - Billing - 2025'!B295,"")</f>
        <v/>
      </c>
      <c r="D63" s="10" t="str">
        <f>if(and(sum('Actuals - Billing - 2025'!T295:Y295)&gt;0,C63&lt;&gt;""),'Actuals - Billing - 2025'!$U$2,"")</f>
        <v/>
      </c>
      <c r="E63" s="11" t="str">
        <f t="array" ref="E63">if($D63="","",index('Actuals - Billing - 2025'!$B63:$AE961,Match($C63,'Actuals - Billing - 2025'!$B63:$B961,0),Match(E$1,'Actuals - Billing - 2025'!$B$2:$AE$2,0)))</f>
        <v/>
      </c>
      <c r="F63" s="11" t="str">
        <f t="array" ref="F63">if($D63="","",index('Actuals - Billing - 2025'!$B63:$AE961,Match($C63,'Actuals - Billing - 2025'!$B63:$B961,0),Match(F$1,'Actuals - Billing - 2025'!$B$2:$AE$2,0)))</f>
        <v/>
      </c>
      <c r="G63" s="11" t="str">
        <f t="array" ref="G63">if($D63="","",index('Actuals - Billing - 2025'!$B63:$AE961,Match($C63,'Actuals - Billing - 2025'!$B63:$B961,0),Match(G$1,'Actuals - Billing - 2025'!$B$2:$AE$2,0)))</f>
        <v/>
      </c>
      <c r="H63" s="11" t="str">
        <f t="array" ref="H63">if($D63="","",index('Actuals - Billing - 2025'!$B63:$AE961,Match($C63,'Actuals - Billing - 2025'!$B63:$B961,0),Match(H$1,'Actuals - Billing - 2025'!$B$2:$AE$2,0)))</f>
        <v/>
      </c>
      <c r="I63" s="11"/>
      <c r="J63" s="11" t="str">
        <f t="shared" si="5"/>
        <v/>
      </c>
      <c r="K63" s="12" t="str">
        <f t="shared" si="6"/>
        <v/>
      </c>
      <c r="L63" s="1" t="str">
        <f t="shared" si="10"/>
        <v/>
      </c>
      <c r="M63" s="4" t="str">
        <f t="shared" si="8"/>
        <v/>
      </c>
      <c r="N63" s="17" t="str">
        <f>if(M63&lt;&gt;"",'Actuals - Billing - 2025'!BG295,"")</f>
        <v/>
      </c>
      <c r="O63" s="15"/>
    </row>
    <row r="64">
      <c r="A64" s="7" t="str">
        <f t="shared" si="1"/>
        <v/>
      </c>
      <c r="B64" s="8" t="str">
        <f>if(and('Actuals - Billing - 2025'!E$296=True,C64&lt;&gt;""),'Actuals - Billing - 2025'!C296,"")</f>
        <v/>
      </c>
      <c r="C64" s="9" t="str">
        <f>IF(and('Actuals - Billing - 2025'!E$296=True,sum('Actuals - Billing - 2025'!T296:Y296)&gt;0),'Actuals - Billing - 2025'!B296,"")</f>
        <v/>
      </c>
      <c r="D64" s="10" t="str">
        <f>if(and(sum('Actuals - Billing - 2025'!T296:Y296)&gt;0,C64&lt;&gt;""),'Actuals - Billing - 2025'!$U$2,"")</f>
        <v/>
      </c>
      <c r="E64" s="11" t="str">
        <f t="array" ref="E64">if($D64="","",index('Actuals - Billing - 2025'!$B64:$AE962,Match($C64,'Actuals - Billing - 2025'!$B64:$B962,0),Match(E$1,'Actuals - Billing - 2025'!$B$2:$AE$2,0)))</f>
        <v/>
      </c>
      <c r="F64" s="11" t="str">
        <f t="array" ref="F64">if($D64="","",index('Actuals - Billing - 2025'!$B64:$AE962,Match($C64,'Actuals - Billing - 2025'!$B64:$B962,0),Match(F$1,'Actuals - Billing - 2025'!$B$2:$AE$2,0)))</f>
        <v/>
      </c>
      <c r="G64" s="11" t="str">
        <f t="array" ref="G64">if($D64="","",index('Actuals - Billing - 2025'!$B64:$AE962,Match($C64,'Actuals - Billing - 2025'!$B64:$B962,0),Match(G$1,'Actuals - Billing - 2025'!$B$2:$AE$2,0)))</f>
        <v/>
      </c>
      <c r="H64" s="11" t="str">
        <f t="array" ref="H64">if($D64="","",index('Actuals - Billing - 2025'!$B64:$AE962,Match($C64,'Actuals - Billing - 2025'!$B64:$B962,0),Match(H$1,'Actuals - Billing - 2025'!$B$2:$AE$2,0)))</f>
        <v/>
      </c>
      <c r="I64" s="11"/>
      <c r="J64" s="11" t="str">
        <f t="shared" si="5"/>
        <v/>
      </c>
      <c r="K64" s="12" t="str">
        <f t="shared" si="6"/>
        <v/>
      </c>
      <c r="L64" s="1" t="str">
        <f t="shared" si="10"/>
        <v/>
      </c>
      <c r="M64" s="4" t="str">
        <f t="shared" si="8"/>
        <v/>
      </c>
      <c r="N64" s="17" t="str">
        <f>if(M64&lt;&gt;"",'Actuals - Billing - 2025'!BG296,"")</f>
        <v/>
      </c>
      <c r="O64" s="15"/>
    </row>
    <row r="65">
      <c r="A65" s="7" t="str">
        <f t="shared" si="1"/>
        <v>Rogers Blue Jays Baseball Partnership</v>
      </c>
      <c r="B65" s="8">
        <f>if(and('Actuals - Billing - 2025'!E$303=True,C65&lt;&gt;""),'Actuals - Billing - 2025'!C297,"")</f>
        <v>11.3</v>
      </c>
      <c r="C65" s="9">
        <f>IF(and('Actuals - Billing - 2025'!E$303=True,sum('Actuals - Billing - 2025'!T297:Y297)&gt;0),'Actuals - Billing - 2025'!B297,"")</f>
        <v>45950</v>
      </c>
      <c r="D65" s="10">
        <f>if(and(sum('Actuals - Billing - 2025'!T297:Y297)&gt;0,C65&lt;&gt;""),'Actuals - Billing - 2025'!$U$2,"")</f>
        <v>11.12</v>
      </c>
      <c r="E65" s="11">
        <f t="array" ref="E65">if($D65="","",index('Actuals - Billing - 2025'!$B65:$AE963,Match($C65,'Actuals - Billing - 2025'!$B65:$B963,0),Match(E$1,'Actuals - Billing - 2025'!$B$2:$AE$2,0)))</f>
        <v>185</v>
      </c>
      <c r="F65" s="11">
        <f t="array" ref="F65">if($D65="","",index('Actuals - Billing - 2025'!$B65:$AE963,Match($C65,'Actuals - Billing - 2025'!$B65:$B963,0),Match(F$1,'Actuals - Billing - 2025'!$B$2:$AE$2,0)))</f>
        <v>185</v>
      </c>
      <c r="G65" s="11" t="str">
        <f t="array" ref="G65">if($D65="","",index('Actuals - Billing - 2025'!$B65:$AE963,Match($C65,'Actuals - Billing - 2025'!$B65:$B963,0),Match(G$1,'Actuals - Billing - 2025'!$B$2:$AE$2,0)))</f>
        <v/>
      </c>
      <c r="H65" s="11" t="str">
        <f t="array" ref="H65">if($D65="","",index('Actuals - Billing - 2025'!$B65:$AE963,Match($C65,'Actuals - Billing - 2025'!$B65:$B963,0),Match(H$1,'Actuals - Billing - 2025'!$B$2:$AE$2,0)))</f>
        <v/>
      </c>
      <c r="I65" s="11"/>
      <c r="J65" s="11">
        <f t="shared" si="5"/>
        <v>370</v>
      </c>
      <c r="K65" s="12">
        <f t="shared" si="6"/>
        <v>4114.4</v>
      </c>
      <c r="L65" s="1" t="str">
        <f t="shared" si="10"/>
        <v>Breakfast 185 Lunch 185</v>
      </c>
      <c r="M65" s="4" t="str">
        <f t="shared" si="8"/>
        <v>TBJ MiLB - Breakfast/Lunch/Dinner</v>
      </c>
      <c r="N65" s="17">
        <f>if(M65&lt;&gt;"",'Actuals - Billing - 2025'!BG297,"")</f>
        <v>45956</v>
      </c>
      <c r="O65" s="15"/>
      <c r="P65" s="14"/>
    </row>
    <row r="66">
      <c r="A66" s="7" t="str">
        <f t="shared" si="1"/>
        <v>Rogers Blue Jays Baseball Partnership</v>
      </c>
      <c r="B66" s="8">
        <f>if(and('Actuals - Billing - 2025'!E$303=True,C66&lt;&gt;""),'Actuals - Billing - 2025'!C298,"")</f>
        <v>11.3</v>
      </c>
      <c r="C66" s="9">
        <f>IF(and('Actuals - Billing - 2025'!E$303=True,sum('Actuals - Billing - 2025'!T298:Y298)&gt;0),'Actuals - Billing - 2025'!B298,"")</f>
        <v>45951</v>
      </c>
      <c r="D66" s="10">
        <f>if(and(sum('Actuals - Billing - 2025'!T298:Y298)&gt;0,C66&lt;&gt;""),'Actuals - Billing - 2025'!$U$2,"")</f>
        <v>11.12</v>
      </c>
      <c r="E66" s="11">
        <f t="array" ref="E66">if($D66="","",index('Actuals - Billing - 2025'!$B66:$AE964,Match($C66,'Actuals - Billing - 2025'!$B66:$B964,0),Match(E$1,'Actuals - Billing - 2025'!$B$2:$AE$2,0)))</f>
        <v>185</v>
      </c>
      <c r="F66" s="11">
        <f t="array" ref="F66">if($D66="","",index('Actuals - Billing - 2025'!$B66:$AE964,Match($C66,'Actuals - Billing - 2025'!$B66:$B964,0),Match(F$1,'Actuals - Billing - 2025'!$B$2:$AE$2,0)))</f>
        <v>185</v>
      </c>
      <c r="G66" s="11" t="str">
        <f t="array" ref="G66">if($D66="","",index('Actuals - Billing - 2025'!$B66:$AE964,Match($C66,'Actuals - Billing - 2025'!$B66:$B964,0),Match(G$1,'Actuals - Billing - 2025'!$B$2:$AE$2,0)))</f>
        <v/>
      </c>
      <c r="H66" s="11" t="str">
        <f t="array" ref="H66">if($D66="","",index('Actuals - Billing - 2025'!$B66:$AE964,Match($C66,'Actuals - Billing - 2025'!$B66:$B964,0),Match(H$1,'Actuals - Billing - 2025'!$B$2:$AE$2,0)))</f>
        <v/>
      </c>
      <c r="I66" s="11"/>
      <c r="J66" s="11">
        <f t="shared" si="5"/>
        <v>370</v>
      </c>
      <c r="K66" s="12">
        <f t="shared" si="6"/>
        <v>4114.4</v>
      </c>
      <c r="L66" s="1" t="str">
        <f t="shared" si="10"/>
        <v>Breakfast 185 Lunch 185</v>
      </c>
      <c r="M66" s="4" t="str">
        <f t="shared" si="8"/>
        <v>TBJ MiLB - Breakfast/Lunch/Dinner</v>
      </c>
      <c r="N66" s="17">
        <f>if(M66&lt;&gt;"",'Actuals - Billing - 2025'!BG298,"")</f>
        <v>45956</v>
      </c>
      <c r="O66" s="15"/>
    </row>
    <row r="67">
      <c r="A67" s="7" t="str">
        <f t="shared" si="1"/>
        <v>Rogers Blue Jays Baseball Partnership</v>
      </c>
      <c r="B67" s="8">
        <f>if(and('Actuals - Billing - 2025'!E$303=True,C67&lt;&gt;""),'Actuals - Billing - 2025'!C299,"")</f>
        <v>11.3</v>
      </c>
      <c r="C67" s="9">
        <f>IF(and('Actuals - Billing - 2025'!E$303=True,sum('Actuals - Billing - 2025'!T299:Y299)&gt;0),'Actuals - Billing - 2025'!B299,"")</f>
        <v>45952</v>
      </c>
      <c r="D67" s="10">
        <f>if(and(sum('Actuals - Billing - 2025'!T299:Y299)&gt;0,C67&lt;&gt;""),'Actuals - Billing - 2025'!$U$2,"")</f>
        <v>11.12</v>
      </c>
      <c r="E67" s="11">
        <f t="array" ref="E67">if($D67="","",index('Actuals - Billing - 2025'!$B67:$AE965,Match($C67,'Actuals - Billing - 2025'!$B67:$B965,0),Match(E$1,'Actuals - Billing - 2025'!$B$2:$AE$2,0)))</f>
        <v>185</v>
      </c>
      <c r="F67" s="11">
        <f t="array" ref="F67">if($D67="","",index('Actuals - Billing - 2025'!$B67:$AE965,Match($C67,'Actuals - Billing - 2025'!$B67:$B965,0),Match(F$1,'Actuals - Billing - 2025'!$B$2:$AE$2,0)))</f>
        <v>185</v>
      </c>
      <c r="G67" s="11" t="str">
        <f t="array" ref="G67">if($D67="","",index('Actuals - Billing - 2025'!$B67:$AE965,Match($C67,'Actuals - Billing - 2025'!$B67:$B965,0),Match(G$1,'Actuals - Billing - 2025'!$B$2:$AE$2,0)))</f>
        <v/>
      </c>
      <c r="H67" s="11" t="str">
        <f t="array" ref="H67">if($D67="","",index('Actuals - Billing - 2025'!$B67:$AE965,Match($C67,'Actuals - Billing - 2025'!$B67:$B965,0),Match(H$1,'Actuals - Billing - 2025'!$B$2:$AE$2,0)))</f>
        <v/>
      </c>
      <c r="I67" s="11"/>
      <c r="J67" s="11">
        <f t="shared" si="5"/>
        <v>370</v>
      </c>
      <c r="K67" s="12">
        <f t="shared" si="6"/>
        <v>4114.4</v>
      </c>
      <c r="L67" s="1" t="str">
        <f t="shared" si="10"/>
        <v>Breakfast 185 Lunch 185</v>
      </c>
      <c r="M67" s="4" t="str">
        <f t="shared" si="8"/>
        <v>TBJ MiLB - Breakfast/Lunch/Dinner</v>
      </c>
      <c r="N67" s="17">
        <f>if(M67&lt;&gt;"",'Actuals - Billing - 2025'!BG299,"")</f>
        <v>45956</v>
      </c>
      <c r="O67" s="15"/>
    </row>
    <row r="68">
      <c r="A68" s="7" t="str">
        <f t="shared" si="1"/>
        <v>Rogers Blue Jays Baseball Partnership</v>
      </c>
      <c r="B68" s="8">
        <f>if(and('Actuals - Billing - 2025'!E$303=True,C68&lt;&gt;""),'Actuals - Billing - 2025'!C300,"")</f>
        <v>11.3</v>
      </c>
      <c r="C68" s="9">
        <f>IF(and('Actuals - Billing - 2025'!E$303=True,sum('Actuals - Billing - 2025'!T300:Y300)&gt;0),'Actuals - Billing - 2025'!B300,"")</f>
        <v>45953</v>
      </c>
      <c r="D68" s="10">
        <f>if(and(sum('Actuals - Billing - 2025'!T300:Y300)&gt;0,C68&lt;&gt;""),'Actuals - Billing - 2025'!$U$2,"")</f>
        <v>11.12</v>
      </c>
      <c r="E68" s="11">
        <f t="array" ref="E68">if($D68="","",index('Actuals - Billing - 2025'!$B68:$AE966,Match($C68,'Actuals - Billing - 2025'!$B68:$B966,0),Match(E$1,'Actuals - Billing - 2025'!$B$2:$AE$2,0)))</f>
        <v>185</v>
      </c>
      <c r="F68" s="11">
        <f t="array" ref="F68">if($D68="","",index('Actuals - Billing - 2025'!$B68:$AE966,Match($C68,'Actuals - Billing - 2025'!$B68:$B966,0),Match(F$1,'Actuals - Billing - 2025'!$B$2:$AE$2,0)))</f>
        <v>185</v>
      </c>
      <c r="G68" s="11" t="str">
        <f t="array" ref="G68">if($D68="","",index('Actuals - Billing - 2025'!$B68:$AE966,Match($C68,'Actuals - Billing - 2025'!$B68:$B966,0),Match(G$1,'Actuals - Billing - 2025'!$B$2:$AE$2,0)))</f>
        <v/>
      </c>
      <c r="H68" s="11" t="str">
        <f t="array" ref="H68">if($D68="","",index('Actuals - Billing - 2025'!$B68:$AE966,Match($C68,'Actuals - Billing - 2025'!$B68:$B966,0),Match(H$1,'Actuals - Billing - 2025'!$B$2:$AE$2,0)))</f>
        <v/>
      </c>
      <c r="I68" s="11"/>
      <c r="J68" s="11">
        <f t="shared" si="5"/>
        <v>370</v>
      </c>
      <c r="K68" s="12">
        <f t="shared" si="6"/>
        <v>4114.4</v>
      </c>
      <c r="L68" s="1" t="str">
        <f t="shared" si="10"/>
        <v>Breakfast 185 Lunch 185</v>
      </c>
      <c r="M68" s="4" t="str">
        <f t="shared" si="8"/>
        <v>TBJ MiLB - Breakfast/Lunch/Dinner</v>
      </c>
      <c r="N68" s="17">
        <f>if(M68&lt;&gt;"",'Actuals - Billing - 2025'!BG300,"")</f>
        <v>45956</v>
      </c>
      <c r="O68" s="15"/>
    </row>
    <row r="69">
      <c r="A69" s="7" t="str">
        <f t="shared" si="1"/>
        <v>Rogers Blue Jays Baseball Partnership</v>
      </c>
      <c r="B69" s="8">
        <f>if(and('Actuals - Billing - 2025'!E$303=True,C69&lt;&gt;""),'Actuals - Billing - 2025'!C301,"")</f>
        <v>11.3</v>
      </c>
      <c r="C69" s="9">
        <f>IF(and('Actuals - Billing - 2025'!E$303=True,sum('Actuals - Billing - 2025'!T301:Y301)&gt;0),'Actuals - Billing - 2025'!B301,"")</f>
        <v>45954</v>
      </c>
      <c r="D69" s="10">
        <f>if(and(sum('Actuals - Billing - 2025'!T301:Y301)&gt;0,C69&lt;&gt;""),'Actuals - Billing - 2025'!$U$2,"")</f>
        <v>11.12</v>
      </c>
      <c r="E69" s="11">
        <f t="array" ref="E69">if($D69="","",index('Actuals - Billing - 2025'!$B69:$AE967,Match($C69,'Actuals - Billing - 2025'!$B69:$B967,0),Match(E$1,'Actuals - Billing - 2025'!$B$2:$AE$2,0)))</f>
        <v>175</v>
      </c>
      <c r="F69" s="11">
        <f t="array" ref="F69">if($D69="","",index('Actuals - Billing - 2025'!$B69:$AE967,Match($C69,'Actuals - Billing - 2025'!$B69:$B967,0),Match(F$1,'Actuals - Billing - 2025'!$B$2:$AE$2,0)))</f>
        <v>175</v>
      </c>
      <c r="G69" s="11" t="str">
        <f t="array" ref="G69">if($D69="","",index('Actuals - Billing - 2025'!$B69:$AE967,Match($C69,'Actuals - Billing - 2025'!$B69:$B967,0),Match(G$1,'Actuals - Billing - 2025'!$B$2:$AE$2,0)))</f>
        <v/>
      </c>
      <c r="H69" s="11" t="str">
        <f t="array" ref="H69">if($D69="","",index('Actuals - Billing - 2025'!$B69:$AE967,Match($C69,'Actuals - Billing - 2025'!$B69:$B967,0),Match(H$1,'Actuals - Billing - 2025'!$B$2:$AE$2,0)))</f>
        <v/>
      </c>
      <c r="I69" s="11"/>
      <c r="J69" s="11">
        <f t="shared" si="5"/>
        <v>350</v>
      </c>
      <c r="K69" s="12">
        <f t="shared" si="6"/>
        <v>3892</v>
      </c>
      <c r="L69" s="1" t="str">
        <f t="shared" si="10"/>
        <v>Breakfast 175 Lunch 175</v>
      </c>
      <c r="M69" s="4" t="str">
        <f t="shared" si="8"/>
        <v>TBJ MiLB - Breakfast/Lunch/Dinner</v>
      </c>
      <c r="N69" s="17">
        <f>if(M69&lt;&gt;"",'Actuals - Billing - 2025'!BG301,"")</f>
        <v>45956</v>
      </c>
      <c r="O69" s="15"/>
    </row>
    <row r="70">
      <c r="A70" s="7" t="str">
        <f t="shared" si="1"/>
        <v/>
      </c>
      <c r="B70" s="8" t="str">
        <f>if(and('Actuals - Billing - 2025'!E$303=True,C70&lt;&gt;""),'Actuals - Billing - 2025'!C302,"")</f>
        <v/>
      </c>
      <c r="C70" s="9" t="str">
        <f>IF(and('Actuals - Billing - 2025'!E$303=True,sum('Actuals - Billing - 2025'!T302:Y302)&gt;0),'Actuals - Billing - 2025'!B302,"")</f>
        <v/>
      </c>
      <c r="D70" s="10" t="str">
        <f>if(and(sum('Actuals - Billing - 2025'!T302:Y302)&gt;0,C70&lt;&gt;""),'Actuals - Billing - 2025'!$U$2,"")</f>
        <v/>
      </c>
      <c r="E70" s="11" t="str">
        <f t="array" ref="E70">if($D70="","",index('Actuals - Billing - 2025'!$B70:$AE968,Match($C70,'Actuals - Billing - 2025'!$B70:$B968,0),Match(E$1,'Actuals - Billing - 2025'!$B$2:$AE$2,0)))</f>
        <v/>
      </c>
      <c r="F70" s="11" t="str">
        <f t="array" ref="F70">if($D70="","",index('Actuals - Billing - 2025'!$B70:$AE968,Match($C70,'Actuals - Billing - 2025'!$B70:$B968,0),Match(F$1,'Actuals - Billing - 2025'!$B$2:$AE$2,0)))</f>
        <v/>
      </c>
      <c r="G70" s="11" t="str">
        <f t="array" ref="G70">if($D70="","",index('Actuals - Billing - 2025'!$B70:$AE968,Match($C70,'Actuals - Billing - 2025'!$B70:$B968,0),Match(G$1,'Actuals - Billing - 2025'!$B$2:$AE$2,0)))</f>
        <v/>
      </c>
      <c r="H70" s="11" t="str">
        <f t="array" ref="H70">if($D70="","",index('Actuals - Billing - 2025'!$B70:$AE968,Match($C70,'Actuals - Billing - 2025'!$B70:$B968,0),Match(H$1,'Actuals - Billing - 2025'!$B$2:$AE$2,0)))</f>
        <v/>
      </c>
      <c r="I70" s="11"/>
      <c r="J70" s="11" t="str">
        <f t="shared" si="5"/>
        <v/>
      </c>
      <c r="K70" s="12" t="str">
        <f t="shared" si="6"/>
        <v/>
      </c>
      <c r="L70" s="1" t="str">
        <f t="shared" si="10"/>
        <v/>
      </c>
      <c r="M70" s="4" t="str">
        <f t="shared" si="8"/>
        <v/>
      </c>
      <c r="N70" s="17" t="str">
        <f>if(M70&lt;&gt;"",'Actuals - Billing - 2025'!BG302,"")</f>
        <v/>
      </c>
      <c r="O70" s="15"/>
    </row>
    <row r="71">
      <c r="A71" s="7" t="str">
        <f t="shared" si="1"/>
        <v/>
      </c>
      <c r="B71" s="8" t="str">
        <f>if(and('Actuals - Billing - 2025'!E$303=True,C71&lt;&gt;""),'Actuals - Billing - 2025'!C303,"")</f>
        <v/>
      </c>
      <c r="C71" s="9" t="str">
        <f>IF(and('Actuals - Billing - 2025'!E$303=True,sum('Actuals - Billing - 2025'!T303:Y303)&gt;0),'Actuals - Billing - 2025'!B303,"")</f>
        <v/>
      </c>
      <c r="D71" s="10" t="str">
        <f>if(and(sum('Actuals - Billing - 2025'!T303:Y303)&gt;0,C71&lt;&gt;""),'Actuals - Billing - 2025'!$U$2,"")</f>
        <v/>
      </c>
      <c r="E71" s="11" t="str">
        <f t="array" ref="E71">if($D71="","",index('Actuals - Billing - 2025'!$B71:$AE969,Match($C71,'Actuals - Billing - 2025'!$B71:$B969,0),Match(E$1,'Actuals - Billing - 2025'!$B$2:$AE$2,0)))</f>
        <v/>
      </c>
      <c r="F71" s="11" t="str">
        <f t="array" ref="F71">if($D71="","",index('Actuals - Billing - 2025'!$B71:$AE969,Match($C71,'Actuals - Billing - 2025'!$B71:$B969,0),Match(F$1,'Actuals - Billing - 2025'!$B$2:$AE$2,0)))</f>
        <v/>
      </c>
      <c r="G71" s="11" t="str">
        <f t="array" ref="G71">if($D71="","",index('Actuals - Billing - 2025'!$B71:$AE969,Match($C71,'Actuals - Billing - 2025'!$B71:$B969,0),Match(G$1,'Actuals - Billing - 2025'!$B$2:$AE$2,0)))</f>
        <v/>
      </c>
      <c r="H71" s="11" t="str">
        <f t="array" ref="H71">if($D71="","",index('Actuals - Billing - 2025'!$B71:$AE969,Match($C71,'Actuals - Billing - 2025'!$B71:$B969,0),Match(H$1,'Actuals - Billing - 2025'!$B$2:$AE$2,0)))</f>
        <v/>
      </c>
      <c r="I71" s="11"/>
      <c r="J71" s="11" t="str">
        <f t="shared" si="5"/>
        <v/>
      </c>
      <c r="K71" s="12" t="str">
        <f t="shared" si="6"/>
        <v/>
      </c>
      <c r="L71" s="1" t="str">
        <f t="shared" si="10"/>
        <v/>
      </c>
      <c r="M71" s="4" t="str">
        <f t="shared" si="8"/>
        <v/>
      </c>
      <c r="N71" s="17" t="str">
        <f>if(M71&lt;&gt;"",'Actuals - Billing - 2025'!BG303,"")</f>
        <v/>
      </c>
      <c r="O71" s="15"/>
    </row>
    <row r="72">
      <c r="A72" s="7" t="str">
        <f t="shared" si="1"/>
        <v>Rogers Blue Jays Baseball Partnership</v>
      </c>
      <c r="B72" s="8">
        <f>if(and('Actuals - Billing - 2025'!E$310=True,C72&lt;&gt;""),'Actuals - Billing - 2025'!C304,"")</f>
        <v>11.4</v>
      </c>
      <c r="C72" s="9">
        <f>IF(and('Actuals - Billing - 2025'!E$310=True,sum('Actuals - Billing - 2025'!T304:Y304)&gt;0),'Actuals - Billing - 2025'!B304,"")</f>
        <v>45957</v>
      </c>
      <c r="D72" s="10">
        <f>if(and(sum('Actuals - Billing - 2025'!T304:Y304)&gt;0,C72&lt;&gt;""),'Actuals - Billing - 2025'!$U$2,"")</f>
        <v>11.12</v>
      </c>
      <c r="E72" s="11">
        <f t="array" ref="E72">if($D72="","",index('Actuals - Billing - 2025'!$B72:$AE970,Match($C72,'Actuals - Billing - 2025'!$B72:$B970,0),Match(E$1,'Actuals - Billing - 2025'!$B$2:$AE$2,0)))</f>
        <v>175</v>
      </c>
      <c r="F72" s="11">
        <f t="array" ref="F72">if($D72="","",index('Actuals - Billing - 2025'!$B72:$AE970,Match($C72,'Actuals - Billing - 2025'!$B72:$B970,0),Match(F$1,'Actuals - Billing - 2025'!$B$2:$AE$2,0)))</f>
        <v>175</v>
      </c>
      <c r="G72" s="11" t="str">
        <f t="array" ref="G72">if($D72="","",index('Actuals - Billing - 2025'!$B72:$AE970,Match($C72,'Actuals - Billing - 2025'!$B72:$B970,0),Match(G$1,'Actuals - Billing - 2025'!$B$2:$AE$2,0)))</f>
        <v/>
      </c>
      <c r="H72" s="11" t="str">
        <f t="array" ref="H72">if($D72="","",index('Actuals - Billing - 2025'!$B72:$AE970,Match($C72,'Actuals - Billing - 2025'!$B72:$B970,0),Match(H$1,'Actuals - Billing - 2025'!$B$2:$AE$2,0)))</f>
        <v/>
      </c>
      <c r="I72" s="11"/>
      <c r="J72" s="11">
        <f t="shared" si="5"/>
        <v>350</v>
      </c>
      <c r="K72" s="12">
        <f t="shared" si="6"/>
        <v>3892</v>
      </c>
      <c r="L72" s="1" t="str">
        <f t="shared" si="10"/>
        <v>Breakfast 175 Lunch 175</v>
      </c>
      <c r="M72" s="4" t="str">
        <f t="shared" si="8"/>
        <v>TBJ MiLB - Breakfast/Lunch/Dinner</v>
      </c>
      <c r="N72" s="17">
        <f>if(M72&lt;&gt;"",'Actuals - Billing - 2025'!BG304,"")</f>
        <v>45963</v>
      </c>
      <c r="O72" s="15"/>
      <c r="P72" s="14"/>
    </row>
    <row r="73">
      <c r="A73" s="7" t="str">
        <f t="shared" si="1"/>
        <v>Rogers Blue Jays Baseball Partnership</v>
      </c>
      <c r="B73" s="8">
        <f>if(and('Actuals - Billing - 2025'!E$310=True,C73&lt;&gt;""),'Actuals - Billing - 2025'!C305,"")</f>
        <v>11.4</v>
      </c>
      <c r="C73" s="9">
        <f>IF(and('Actuals - Billing - 2025'!E$310=True,sum('Actuals - Billing - 2025'!T305:Y305)&gt;0),'Actuals - Billing - 2025'!B305,"")</f>
        <v>45958</v>
      </c>
      <c r="D73" s="10">
        <f>if(and(sum('Actuals - Billing - 2025'!T305:Y305)&gt;0,C73&lt;&gt;""),'Actuals - Billing - 2025'!$U$2,"")</f>
        <v>11.12</v>
      </c>
      <c r="E73" s="11">
        <f t="array" ref="E73">if($D73="","",index('Actuals - Billing - 2025'!$B73:$AE971,Match($C73,'Actuals - Billing - 2025'!$B73:$B971,0),Match(E$1,'Actuals - Billing - 2025'!$B$2:$AE$2,0)))</f>
        <v>175</v>
      </c>
      <c r="F73" s="11">
        <f t="array" ref="F73">if($D73="","",index('Actuals - Billing - 2025'!$B73:$AE971,Match($C73,'Actuals - Billing - 2025'!$B73:$B971,0),Match(F$1,'Actuals - Billing - 2025'!$B$2:$AE$2,0)))</f>
        <v>175</v>
      </c>
      <c r="G73" s="11" t="str">
        <f t="array" ref="G73">if($D73="","",index('Actuals - Billing - 2025'!$B73:$AE971,Match($C73,'Actuals - Billing - 2025'!$B73:$B971,0),Match(G$1,'Actuals - Billing - 2025'!$B$2:$AE$2,0)))</f>
        <v/>
      </c>
      <c r="H73" s="11" t="str">
        <f t="array" ref="H73">if($D73="","",index('Actuals - Billing - 2025'!$B73:$AE971,Match($C73,'Actuals - Billing - 2025'!$B73:$B971,0),Match(H$1,'Actuals - Billing - 2025'!$B$2:$AE$2,0)))</f>
        <v/>
      </c>
      <c r="I73" s="11"/>
      <c r="J73" s="11">
        <f t="shared" si="5"/>
        <v>350</v>
      </c>
      <c r="K73" s="12">
        <f t="shared" si="6"/>
        <v>3892</v>
      </c>
      <c r="L73" s="1" t="str">
        <f t="shared" si="10"/>
        <v>Breakfast 175 Lunch 175</v>
      </c>
      <c r="M73" s="4" t="str">
        <f t="shared" si="8"/>
        <v>TBJ MiLB - Breakfast/Lunch/Dinner</v>
      </c>
      <c r="N73" s="17">
        <f>if(M73&lt;&gt;"",'Actuals - Billing - 2025'!BG305,"")</f>
        <v>45963</v>
      </c>
      <c r="O73" s="15"/>
    </row>
    <row r="74">
      <c r="A74" s="7" t="str">
        <f t="shared" si="1"/>
        <v>Rogers Blue Jays Baseball Partnership</v>
      </c>
      <c r="B74" s="8">
        <f>if(and('Actuals - Billing - 2025'!E$310=True,C74&lt;&gt;""),'Actuals - Billing - 2025'!C306,"")</f>
        <v>11.4</v>
      </c>
      <c r="C74" s="9">
        <f>IF(and('Actuals - Billing - 2025'!E$310=True,sum('Actuals - Billing - 2025'!T306:Y306)&gt;0),'Actuals - Billing - 2025'!B306,"")</f>
        <v>45959</v>
      </c>
      <c r="D74" s="10">
        <f>if(and(sum('Actuals - Billing - 2025'!T306:Y306)&gt;0,C74&lt;&gt;""),'Actuals - Billing - 2025'!$U$2,"")</f>
        <v>11.12</v>
      </c>
      <c r="E74" s="11">
        <f t="array" ref="E74">if($D74="","",index('Actuals - Billing - 2025'!$B74:$AE972,Match($C74,'Actuals - Billing - 2025'!$B74:$B972,0),Match(E$1,'Actuals - Billing - 2025'!$B$2:$AE$2,0)))</f>
        <v>175</v>
      </c>
      <c r="F74" s="11">
        <f t="array" ref="F74">if($D74="","",index('Actuals - Billing - 2025'!$B74:$AE972,Match($C74,'Actuals - Billing - 2025'!$B74:$B972,0),Match(F$1,'Actuals - Billing - 2025'!$B$2:$AE$2,0)))</f>
        <v>175</v>
      </c>
      <c r="G74" s="11" t="str">
        <f t="array" ref="G74">if($D74="","",index('Actuals - Billing - 2025'!$B74:$AE972,Match($C74,'Actuals - Billing - 2025'!$B74:$B972,0),Match(G$1,'Actuals - Billing - 2025'!$B$2:$AE$2,0)))</f>
        <v/>
      </c>
      <c r="H74" s="11" t="str">
        <f t="array" ref="H74">if($D74="","",index('Actuals - Billing - 2025'!$B74:$AE972,Match($C74,'Actuals - Billing - 2025'!$B74:$B972,0),Match(H$1,'Actuals - Billing - 2025'!$B$2:$AE$2,0)))</f>
        <v/>
      </c>
      <c r="I74" s="11"/>
      <c r="J74" s="11">
        <f t="shared" si="5"/>
        <v>350</v>
      </c>
      <c r="K74" s="12">
        <f t="shared" si="6"/>
        <v>3892</v>
      </c>
      <c r="L74" s="1" t="str">
        <f t="shared" si="10"/>
        <v>Breakfast 175 Lunch 175</v>
      </c>
      <c r="M74" s="4" t="str">
        <f t="shared" si="8"/>
        <v>TBJ MiLB - Breakfast/Lunch/Dinner</v>
      </c>
      <c r="N74" s="17">
        <f>if(M74&lt;&gt;"",'Actuals - Billing - 2025'!BG306,"")</f>
        <v>45963</v>
      </c>
      <c r="O74" s="15"/>
    </row>
    <row r="75">
      <c r="A75" s="7" t="str">
        <f t="shared" si="1"/>
        <v>Rogers Blue Jays Baseball Partnership</v>
      </c>
      <c r="B75" s="8">
        <f>if(and('Actuals - Billing - 2025'!E$310=True,C75&lt;&gt;""),'Actuals - Billing - 2025'!C307,"")</f>
        <v>11.4</v>
      </c>
      <c r="C75" s="9">
        <f>IF(and('Actuals - Billing - 2025'!E$310=True,sum('Actuals - Billing - 2025'!T307:Y307)&gt;0),'Actuals - Billing - 2025'!B307,"")</f>
        <v>45960</v>
      </c>
      <c r="D75" s="10">
        <f>if(and(sum('Actuals - Billing - 2025'!T307:Y307)&gt;0,C75&lt;&gt;""),'Actuals - Billing - 2025'!$U$2,"")</f>
        <v>11.12</v>
      </c>
      <c r="E75" s="11">
        <f t="array" ref="E75">if($D75="","",index('Actuals - Billing - 2025'!$B75:$AE973,Match($C75,'Actuals - Billing - 2025'!$B75:$B973,0),Match(E$1,'Actuals - Billing - 2025'!$B$2:$AE$2,0)))</f>
        <v>175</v>
      </c>
      <c r="F75" s="11">
        <f t="array" ref="F75">if($D75="","",index('Actuals - Billing - 2025'!$B75:$AE973,Match($C75,'Actuals - Billing - 2025'!$B75:$B973,0),Match(F$1,'Actuals - Billing - 2025'!$B$2:$AE$2,0)))</f>
        <v>175</v>
      </c>
      <c r="G75" s="11" t="str">
        <f t="array" ref="G75">if($D75="","",index('Actuals - Billing - 2025'!$B75:$AE973,Match($C75,'Actuals - Billing - 2025'!$B75:$B973,0),Match(G$1,'Actuals - Billing - 2025'!$B$2:$AE$2,0)))</f>
        <v/>
      </c>
      <c r="H75" s="11" t="str">
        <f t="array" ref="H75">if($D75="","",index('Actuals - Billing - 2025'!$B75:$AE973,Match($C75,'Actuals - Billing - 2025'!$B75:$B973,0),Match(H$1,'Actuals - Billing - 2025'!$B$2:$AE$2,0)))</f>
        <v/>
      </c>
      <c r="I75" s="11"/>
      <c r="J75" s="11">
        <f t="shared" si="5"/>
        <v>350</v>
      </c>
      <c r="K75" s="12">
        <f t="shared" si="6"/>
        <v>3892</v>
      </c>
      <c r="L75" s="1" t="str">
        <f t="shared" si="10"/>
        <v>Breakfast 175 Lunch 175</v>
      </c>
      <c r="M75" s="4" t="str">
        <f t="shared" si="8"/>
        <v>TBJ MiLB - Breakfast/Lunch/Dinner</v>
      </c>
      <c r="N75" s="17">
        <f>if(M75&lt;&gt;"",'Actuals - Billing - 2025'!BG307,"")</f>
        <v>45963</v>
      </c>
      <c r="O75" s="15"/>
    </row>
    <row r="76">
      <c r="A76" s="7" t="str">
        <f t="shared" si="1"/>
        <v>Rogers Blue Jays Baseball Partnership</v>
      </c>
      <c r="B76" s="8">
        <f>if(and('Actuals - Billing - 2025'!E$310=True,C76&lt;&gt;""),'Actuals - Billing - 2025'!C308,"")</f>
        <v>11.4</v>
      </c>
      <c r="C76" s="9">
        <f>IF(and('Actuals - Billing - 2025'!E$310=True,sum('Actuals - Billing - 2025'!T308:Y308)&gt;0),'Actuals - Billing - 2025'!B308,"")</f>
        <v>45961</v>
      </c>
      <c r="D76" s="10">
        <f>if(and(sum('Actuals - Billing - 2025'!T308:Y308)&gt;0,C76&lt;&gt;""),'Actuals - Billing - 2025'!$U$2,"")</f>
        <v>11.12</v>
      </c>
      <c r="E76" s="11">
        <f t="array" ref="E76">if($D76="","",index('Actuals - Billing - 2025'!$B76:$AE974,Match($C76,'Actuals - Billing - 2025'!$B76:$B974,0),Match(E$1,'Actuals - Billing - 2025'!$B$2:$AE$2,0)))</f>
        <v>175</v>
      </c>
      <c r="F76" s="11">
        <f t="array" ref="F76">if($D76="","",index('Actuals - Billing - 2025'!$B76:$AE974,Match($C76,'Actuals - Billing - 2025'!$B76:$B974,0),Match(F$1,'Actuals - Billing - 2025'!$B$2:$AE$2,0)))</f>
        <v>175</v>
      </c>
      <c r="G76" s="11" t="str">
        <f t="array" ref="G76">if($D76="","",index('Actuals - Billing - 2025'!$B76:$AE974,Match($C76,'Actuals - Billing - 2025'!$B76:$B974,0),Match(G$1,'Actuals - Billing - 2025'!$B$2:$AE$2,0)))</f>
        <v/>
      </c>
      <c r="H76" s="11" t="str">
        <f t="array" ref="H76">if($D76="","",index('Actuals - Billing - 2025'!$B76:$AE974,Match($C76,'Actuals - Billing - 2025'!$B76:$B974,0),Match(H$1,'Actuals - Billing - 2025'!$B$2:$AE$2,0)))</f>
        <v/>
      </c>
      <c r="I76" s="11"/>
      <c r="J76" s="11">
        <f t="shared" si="5"/>
        <v>350</v>
      </c>
      <c r="K76" s="12">
        <f t="shared" si="6"/>
        <v>3892</v>
      </c>
      <c r="L76" s="1" t="str">
        <f t="shared" si="10"/>
        <v>Breakfast 175 Lunch 175</v>
      </c>
      <c r="M76" s="4" t="str">
        <f t="shared" si="8"/>
        <v>TBJ MiLB - Breakfast/Lunch/Dinner</v>
      </c>
      <c r="N76" s="17">
        <f>if(M76&lt;&gt;"",'Actuals - Billing - 2025'!BG308,"")</f>
        <v>45963</v>
      </c>
      <c r="O76" s="15"/>
    </row>
    <row r="77">
      <c r="A77" s="7" t="str">
        <f t="shared" si="1"/>
        <v/>
      </c>
      <c r="B77" s="8" t="str">
        <f>if(and('Actuals - Billing - 2025'!E$310=True,C77&lt;&gt;""),'Actuals - Billing - 2025'!C309,"")</f>
        <v/>
      </c>
      <c r="C77" s="9" t="str">
        <f>IF(and('Actuals - Billing - 2025'!E$310=True,sum('Actuals - Billing - 2025'!T309:Y309)&gt;0),'Actuals - Billing - 2025'!B309,"")</f>
        <v/>
      </c>
      <c r="D77" s="10" t="str">
        <f>if(and(sum('Actuals - Billing - 2025'!T309:Y309)&gt;0,C77&lt;&gt;""),'Actuals - Billing - 2025'!$U$2,"")</f>
        <v/>
      </c>
      <c r="E77" s="11" t="str">
        <f t="array" ref="E77">if($D77="","",index('Actuals - Billing - 2025'!$B77:$AE975,Match($C77,'Actuals - Billing - 2025'!$B77:$B975,0),Match(E$1,'Actuals - Billing - 2025'!$B$2:$AE$2,0)))</f>
        <v/>
      </c>
      <c r="F77" s="11" t="str">
        <f t="array" ref="F77">if($D77="","",index('Actuals - Billing - 2025'!$B77:$AE975,Match($C77,'Actuals - Billing - 2025'!$B77:$B975,0),Match(F$1,'Actuals - Billing - 2025'!$B$2:$AE$2,0)))</f>
        <v/>
      </c>
      <c r="G77" s="11" t="str">
        <f t="array" ref="G77">if($D77="","",index('Actuals - Billing - 2025'!$B77:$AE975,Match($C77,'Actuals - Billing - 2025'!$B77:$B975,0),Match(G$1,'Actuals - Billing - 2025'!$B$2:$AE$2,0)))</f>
        <v/>
      </c>
      <c r="H77" s="11" t="str">
        <f t="array" ref="H77">if($D77="","",index('Actuals - Billing - 2025'!$B77:$AE975,Match($C77,'Actuals - Billing - 2025'!$B77:$B975,0),Match(H$1,'Actuals - Billing - 2025'!$B$2:$AE$2,0)))</f>
        <v/>
      </c>
      <c r="I77" s="11"/>
      <c r="J77" s="11" t="str">
        <f t="shared" si="5"/>
        <v/>
      </c>
      <c r="K77" s="12" t="str">
        <f t="shared" si="6"/>
        <v/>
      </c>
      <c r="L77" s="1" t="str">
        <f t="shared" si="10"/>
        <v/>
      </c>
      <c r="M77" s="4" t="str">
        <f t="shared" si="8"/>
        <v/>
      </c>
      <c r="N77" s="17" t="str">
        <f>if(M77&lt;&gt;"",'Actuals - Billing - 2025'!BG309,"")</f>
        <v/>
      </c>
      <c r="O77" s="15"/>
    </row>
    <row r="78">
      <c r="A78" s="7" t="str">
        <f t="shared" si="1"/>
        <v/>
      </c>
      <c r="B78" s="8" t="str">
        <f>if(and('Actuals - Billing - 2025'!E$310=True,C78&lt;&gt;""),'Actuals - Billing - 2025'!C310,"")</f>
        <v/>
      </c>
      <c r="C78" s="9" t="str">
        <f>IF(and('Actuals - Billing - 2025'!E$310=True,sum('Actuals - Billing - 2025'!T310:Y310)&gt;0),'Actuals - Billing - 2025'!B310,"")</f>
        <v/>
      </c>
      <c r="D78" s="10" t="str">
        <f>if(and(sum('Actuals - Billing - 2025'!T310:Y310)&gt;0,C78&lt;&gt;""),'Actuals - Billing - 2025'!$U$2,"")</f>
        <v/>
      </c>
      <c r="E78" s="11" t="str">
        <f t="array" ref="E78">if($D78="","",index('Actuals - Billing - 2025'!$B78:$AE976,Match($C78,'Actuals - Billing - 2025'!$B78:$B976,0),Match(E$1,'Actuals - Billing - 2025'!$B$2:$AE$2,0)))</f>
        <v/>
      </c>
      <c r="F78" s="11" t="str">
        <f t="array" ref="F78">if($D78="","",index('Actuals - Billing - 2025'!$B78:$AE976,Match($C78,'Actuals - Billing - 2025'!$B78:$B976,0),Match(F$1,'Actuals - Billing - 2025'!$B$2:$AE$2,0)))</f>
        <v/>
      </c>
      <c r="G78" s="11" t="str">
        <f t="array" ref="G78">if($D78="","",index('Actuals - Billing - 2025'!$B78:$AE976,Match($C78,'Actuals - Billing - 2025'!$B78:$B976,0),Match(G$1,'Actuals - Billing - 2025'!$B$2:$AE$2,0)))</f>
        <v/>
      </c>
      <c r="H78" s="11" t="str">
        <f t="array" ref="H78">if($D78="","",index('Actuals - Billing - 2025'!$B78:$AE976,Match($C78,'Actuals - Billing - 2025'!$B78:$B976,0),Match(H$1,'Actuals - Billing - 2025'!$B$2:$AE$2,0)))</f>
        <v/>
      </c>
      <c r="I78" s="11"/>
      <c r="J78" s="11" t="str">
        <f t="shared" si="5"/>
        <v/>
      </c>
      <c r="K78" s="12" t="str">
        <f t="shared" si="6"/>
        <v/>
      </c>
      <c r="L78" s="1" t="str">
        <f t="shared" si="10"/>
        <v/>
      </c>
      <c r="M78" s="4" t="str">
        <f t="shared" si="8"/>
        <v/>
      </c>
      <c r="N78" s="17" t="str">
        <f>if(M78&lt;&gt;"",'Actuals - Billing - 2025'!BG310,"")</f>
        <v/>
      </c>
      <c r="O78" s="15"/>
    </row>
    <row r="79">
      <c r="A79" s="7" t="str">
        <f t="shared" si="1"/>
        <v>Rogers Blue Jays Baseball Partnership</v>
      </c>
      <c r="B79" s="8">
        <f>if(and('Actuals - Billing - 2025'!E$317=True,C79&lt;&gt;""),'Actuals - Billing - 2025'!C311,"")</f>
        <v>12.1</v>
      </c>
      <c r="C79" s="9">
        <f>IF(and('Actuals - Billing - 2025'!E$317=True,sum('Actuals - Billing - 2025'!T311:Y311)&gt;0),'Actuals - Billing - 2025'!B311,"")</f>
        <v>45964</v>
      </c>
      <c r="D79" s="10">
        <f>if(and(sum('Actuals - Billing - 2025'!T311:Y311)&gt;0,C79&lt;&gt;""),'Actuals - Billing - 2025'!$U$2,"")</f>
        <v>11.12</v>
      </c>
      <c r="E79" s="11">
        <f t="array" ref="E79">if($D79="","",index('Actuals - Billing - 2025'!$B79:$AE977,Match($C79,'Actuals - Billing - 2025'!$B79:$B977,0),Match(E$1,'Actuals - Billing - 2025'!$B$2:$AE$2,0)))</f>
        <v>175</v>
      </c>
      <c r="F79" s="11">
        <f t="array" ref="F79">if($D79="","",index('Actuals - Billing - 2025'!$B79:$AE977,Match($C79,'Actuals - Billing - 2025'!$B79:$B977,0),Match(F$1,'Actuals - Billing - 2025'!$B$2:$AE$2,0)))</f>
        <v>175</v>
      </c>
      <c r="G79" s="11" t="str">
        <f t="array" ref="G79">if($D79="","",index('Actuals - Billing - 2025'!$B79:$AE977,Match($C79,'Actuals - Billing - 2025'!$B79:$B977,0),Match(G$1,'Actuals - Billing - 2025'!$B$2:$AE$2,0)))</f>
        <v/>
      </c>
      <c r="H79" s="11" t="str">
        <f t="array" ref="H79">if($D79="","",index('Actuals - Billing - 2025'!$B79:$AE977,Match($C79,'Actuals - Billing - 2025'!$B79:$B977,0),Match(H$1,'Actuals - Billing - 2025'!$B$2:$AE$2,0)))</f>
        <v/>
      </c>
      <c r="I79" s="11"/>
      <c r="J79" s="11">
        <f t="shared" si="5"/>
        <v>350</v>
      </c>
      <c r="K79" s="12">
        <f t="shared" si="6"/>
        <v>3892</v>
      </c>
      <c r="L79" s="1" t="str">
        <f t="shared" si="10"/>
        <v>Breakfast 175 Lunch 175</v>
      </c>
      <c r="M79" s="4" t="str">
        <f t="shared" si="8"/>
        <v>TBJ MiLB - Breakfast/Lunch/Dinner</v>
      </c>
      <c r="N79" s="17">
        <f>if(M79&lt;&gt;"",'Actuals - Billing - 2025'!BG311,"")</f>
        <v>45970</v>
      </c>
      <c r="O79" s="15"/>
    </row>
    <row r="80">
      <c r="A80" s="7" t="str">
        <f t="shared" si="1"/>
        <v>Rogers Blue Jays Baseball Partnership</v>
      </c>
      <c r="B80" s="8">
        <f>if(and('Actuals - Billing - 2025'!E$317=True,C80&lt;&gt;""),'Actuals - Billing - 2025'!C312,"")</f>
        <v>12.1</v>
      </c>
      <c r="C80" s="9">
        <f>IF(and('Actuals - Billing - 2025'!E$317=True,sum('Actuals - Billing - 2025'!T312:Y312)&gt;0),'Actuals - Billing - 2025'!B312,"")</f>
        <v>45965</v>
      </c>
      <c r="D80" s="10">
        <f>if(and(sum('Actuals - Billing - 2025'!T312:Y312)&gt;0,C80&lt;&gt;""),'Actuals - Billing - 2025'!$U$2,"")</f>
        <v>11.12</v>
      </c>
      <c r="E80" s="11">
        <f t="array" ref="E80">if($D80="","",index('Actuals - Billing - 2025'!$B80:$AE978,Match($C80,'Actuals - Billing - 2025'!$B80:$B978,0),Match(E$1,'Actuals - Billing - 2025'!$B$2:$AE$2,0)))</f>
        <v>175</v>
      </c>
      <c r="F80" s="11">
        <f t="array" ref="F80">if($D80="","",index('Actuals - Billing - 2025'!$B80:$AE978,Match($C80,'Actuals - Billing - 2025'!$B80:$B978,0),Match(F$1,'Actuals - Billing - 2025'!$B$2:$AE$2,0)))</f>
        <v>175</v>
      </c>
      <c r="G80" s="11" t="str">
        <f t="array" ref="G80">if($D80="","",index('Actuals - Billing - 2025'!$B80:$AE978,Match($C80,'Actuals - Billing - 2025'!$B80:$B978,0),Match(G$1,'Actuals - Billing - 2025'!$B$2:$AE$2,0)))</f>
        <v/>
      </c>
      <c r="H80" s="11" t="str">
        <f t="array" ref="H80">if($D80="","",index('Actuals - Billing - 2025'!$B80:$AE978,Match($C80,'Actuals - Billing - 2025'!$B80:$B978,0),Match(H$1,'Actuals - Billing - 2025'!$B$2:$AE$2,0)))</f>
        <v/>
      </c>
      <c r="I80" s="11"/>
      <c r="J80" s="11">
        <f t="shared" si="5"/>
        <v>350</v>
      </c>
      <c r="K80" s="12">
        <f t="shared" si="6"/>
        <v>3892</v>
      </c>
      <c r="L80" s="1" t="str">
        <f t="shared" si="10"/>
        <v>Breakfast 175 Lunch 175</v>
      </c>
      <c r="M80" s="4" t="str">
        <f t="shared" si="8"/>
        <v>TBJ MiLB - Breakfast/Lunch/Dinner</v>
      </c>
      <c r="N80" s="17">
        <f>if(M80&lt;&gt;"",'Actuals - Billing - 2025'!BG312,"")</f>
        <v>45970</v>
      </c>
      <c r="O80" s="15"/>
    </row>
    <row r="81">
      <c r="A81" s="7" t="str">
        <f t="shared" si="1"/>
        <v>Rogers Blue Jays Baseball Partnership</v>
      </c>
      <c r="B81" s="8">
        <f>if(and('Actuals - Billing - 2025'!E$317=True,C81&lt;&gt;""),'Actuals - Billing - 2025'!C313,"")</f>
        <v>12.1</v>
      </c>
      <c r="C81" s="9">
        <f>IF(and('Actuals - Billing - 2025'!E$317=True,sum('Actuals - Billing - 2025'!T313:Y313)&gt;0),'Actuals - Billing - 2025'!B313,"")</f>
        <v>45966</v>
      </c>
      <c r="D81" s="10">
        <f>if(and(sum('Actuals - Billing - 2025'!T313:Y313)&gt;0,C81&lt;&gt;""),'Actuals - Billing - 2025'!$U$2,"")</f>
        <v>11.12</v>
      </c>
      <c r="E81" s="11">
        <f t="array" ref="E81">if($D81="","",index('Actuals - Billing - 2025'!$B81:$AE979,Match($C81,'Actuals - Billing - 2025'!$B81:$B979,0),Match(E$1,'Actuals - Billing - 2025'!$B$2:$AE$2,0)))</f>
        <v>175</v>
      </c>
      <c r="F81" s="11">
        <f t="array" ref="F81">if($D81="","",index('Actuals - Billing - 2025'!$B81:$AE979,Match($C81,'Actuals - Billing - 2025'!$B81:$B979,0),Match(F$1,'Actuals - Billing - 2025'!$B$2:$AE$2,0)))</f>
        <v>175</v>
      </c>
      <c r="G81" s="11" t="str">
        <f t="array" ref="G81">if($D81="","",index('Actuals - Billing - 2025'!$B81:$AE979,Match($C81,'Actuals - Billing - 2025'!$B81:$B979,0),Match(G$1,'Actuals - Billing - 2025'!$B$2:$AE$2,0)))</f>
        <v/>
      </c>
      <c r="H81" s="11" t="str">
        <f t="array" ref="H81">if($D81="","",index('Actuals - Billing - 2025'!$B81:$AE979,Match($C81,'Actuals - Billing - 2025'!$B81:$B979,0),Match(H$1,'Actuals - Billing - 2025'!$B$2:$AE$2,0)))</f>
        <v/>
      </c>
      <c r="I81" s="11"/>
      <c r="J81" s="11">
        <f t="shared" si="5"/>
        <v>350</v>
      </c>
      <c r="K81" s="12">
        <f t="shared" si="6"/>
        <v>3892</v>
      </c>
      <c r="L81" s="1" t="str">
        <f t="shared" si="10"/>
        <v>Breakfast 175 Lunch 175</v>
      </c>
      <c r="M81" s="4" t="str">
        <f t="shared" si="8"/>
        <v>TBJ MiLB - Breakfast/Lunch/Dinner</v>
      </c>
      <c r="N81" s="17">
        <f>if(M81&lt;&gt;"",'Actuals - Billing - 2025'!BG313,"")</f>
        <v>45970</v>
      </c>
      <c r="O81" s="15"/>
    </row>
    <row r="82">
      <c r="A82" s="7" t="str">
        <f t="shared" si="1"/>
        <v>Rogers Blue Jays Baseball Partnership</v>
      </c>
      <c r="B82" s="8">
        <f>if(and('Actuals - Billing - 2025'!E$317=True,C82&lt;&gt;""),'Actuals - Billing - 2025'!C314,"")</f>
        <v>12.1</v>
      </c>
      <c r="C82" s="9">
        <f>IF(and('Actuals - Billing - 2025'!E$317=True,sum('Actuals - Billing - 2025'!T314:Y314)&gt;0),'Actuals - Billing - 2025'!B314,"")</f>
        <v>45967</v>
      </c>
      <c r="D82" s="10">
        <f>if(and(sum('Actuals - Billing - 2025'!T314:Y314)&gt;0,C82&lt;&gt;""),'Actuals - Billing - 2025'!$U$2,"")</f>
        <v>11.12</v>
      </c>
      <c r="E82" s="11">
        <f t="array" ref="E82">if($D82="","",index('Actuals - Billing - 2025'!$B82:$AE980,Match($C82,'Actuals - Billing - 2025'!$B82:$B980,0),Match(E$1,'Actuals - Billing - 2025'!$B$2:$AE$2,0)))</f>
        <v>175</v>
      </c>
      <c r="F82" s="11">
        <f t="array" ref="F82">if($D82="","",index('Actuals - Billing - 2025'!$B82:$AE980,Match($C82,'Actuals - Billing - 2025'!$B82:$B980,0),Match(F$1,'Actuals - Billing - 2025'!$B$2:$AE$2,0)))</f>
        <v>175</v>
      </c>
      <c r="G82" s="11" t="str">
        <f t="array" ref="G82">if($D82="","",index('Actuals - Billing - 2025'!$B82:$AE980,Match($C82,'Actuals - Billing - 2025'!$B82:$B980,0),Match(G$1,'Actuals - Billing - 2025'!$B$2:$AE$2,0)))</f>
        <v/>
      </c>
      <c r="H82" s="11" t="str">
        <f t="array" ref="H82">if($D82="","",index('Actuals - Billing - 2025'!$B82:$AE980,Match($C82,'Actuals - Billing - 2025'!$B82:$B980,0),Match(H$1,'Actuals - Billing - 2025'!$B$2:$AE$2,0)))</f>
        <v/>
      </c>
      <c r="I82" s="11"/>
      <c r="J82" s="11">
        <f t="shared" si="5"/>
        <v>350</v>
      </c>
      <c r="K82" s="12">
        <f t="shared" si="6"/>
        <v>3892</v>
      </c>
      <c r="L82" s="1" t="str">
        <f t="shared" si="10"/>
        <v>Breakfast 175 Lunch 175</v>
      </c>
      <c r="M82" s="4" t="str">
        <f t="shared" si="8"/>
        <v>TBJ MiLB - Breakfast/Lunch/Dinner</v>
      </c>
      <c r="N82" s="17">
        <f>if(M82&lt;&gt;"",'Actuals - Billing - 2025'!BG314,"")</f>
        <v>45970</v>
      </c>
      <c r="O82" s="15"/>
    </row>
    <row r="83">
      <c r="A83" s="7" t="str">
        <f t="shared" si="1"/>
        <v>Rogers Blue Jays Baseball Partnership</v>
      </c>
      <c r="B83" s="8">
        <f>if(and('Actuals - Billing - 2025'!E$317=True,C83&lt;&gt;""),'Actuals - Billing - 2025'!C315,"")</f>
        <v>12.1</v>
      </c>
      <c r="C83" s="9">
        <f>IF(and('Actuals - Billing - 2025'!E$317=True,sum('Actuals - Billing - 2025'!T315:Y315)&gt;0),'Actuals - Billing - 2025'!B315,"")</f>
        <v>45968</v>
      </c>
      <c r="D83" s="10">
        <f>if(and(sum('Actuals - Billing - 2025'!T315:Y315)&gt;0,C83&lt;&gt;""),'Actuals - Billing - 2025'!$U$2,"")</f>
        <v>11.12</v>
      </c>
      <c r="E83" s="11">
        <f t="array" ref="E83">if($D83="","",index('Actuals - Billing - 2025'!$B83:$AE981,Match($C83,'Actuals - Billing - 2025'!$B83:$B981,0),Match(E$1,'Actuals - Billing - 2025'!$B$2:$AE$2,0)))</f>
        <v>175</v>
      </c>
      <c r="F83" s="11">
        <f t="array" ref="F83">if($D83="","",index('Actuals - Billing - 2025'!$B83:$AE981,Match($C83,'Actuals - Billing - 2025'!$B83:$B981,0),Match(F$1,'Actuals - Billing - 2025'!$B$2:$AE$2,0)))</f>
        <v>175</v>
      </c>
      <c r="G83" s="11" t="str">
        <f t="array" ref="G83">if($D83="","",index('Actuals - Billing - 2025'!$B83:$AE981,Match($C83,'Actuals - Billing - 2025'!$B83:$B981,0),Match(G$1,'Actuals - Billing - 2025'!$B$2:$AE$2,0)))</f>
        <v/>
      </c>
      <c r="H83" s="11" t="str">
        <f t="array" ref="H83">if($D83="","",index('Actuals - Billing - 2025'!$B83:$AE981,Match($C83,'Actuals - Billing - 2025'!$B83:$B981,0),Match(H$1,'Actuals - Billing - 2025'!$B$2:$AE$2,0)))</f>
        <v/>
      </c>
      <c r="I83" s="11"/>
      <c r="J83" s="11">
        <f t="shared" si="5"/>
        <v>350</v>
      </c>
      <c r="K83" s="12">
        <f t="shared" si="6"/>
        <v>3892</v>
      </c>
      <c r="L83" s="1" t="str">
        <f t="shared" si="10"/>
        <v>Breakfast 175 Lunch 175</v>
      </c>
      <c r="M83" s="4" t="str">
        <f t="shared" si="8"/>
        <v>TBJ MiLB - Breakfast/Lunch/Dinner</v>
      </c>
      <c r="N83" s="17">
        <f>if(M83&lt;&gt;"",'Actuals - Billing - 2025'!BG315,"")</f>
        <v>45970</v>
      </c>
      <c r="O83" s="15"/>
    </row>
    <row r="84">
      <c r="A84" s="7" t="str">
        <f t="shared" si="1"/>
        <v/>
      </c>
      <c r="B84" s="8" t="str">
        <f>if(and('Actuals - Billing - 2025'!E$317=True,C84&lt;&gt;""),'Actuals - Billing - 2025'!C316,"")</f>
        <v/>
      </c>
      <c r="C84" s="9" t="str">
        <f>IF(and('Actuals - Billing - 2025'!E$317=True,sum('Actuals - Billing - 2025'!T316:Y316)&gt;0),'Actuals - Billing - 2025'!B316,"")</f>
        <v/>
      </c>
      <c r="D84" s="10" t="str">
        <f>if(and(sum('Actuals - Billing - 2025'!T316:Y316)&gt;0,C84&lt;&gt;""),'Actuals - Billing - 2025'!$U$2,"")</f>
        <v/>
      </c>
      <c r="E84" s="11" t="str">
        <f t="array" ref="E84">if($D84="","",index('Actuals - Billing - 2025'!$B84:$AE982,Match($C84,'Actuals - Billing - 2025'!$B84:$B982,0),Match(E$1,'Actuals - Billing - 2025'!$B$2:$AE$2,0)))</f>
        <v/>
      </c>
      <c r="F84" s="11" t="str">
        <f t="array" ref="F84">if($D84="","",index('Actuals - Billing - 2025'!$B84:$AE982,Match($C84,'Actuals - Billing - 2025'!$B84:$B982,0),Match(F$1,'Actuals - Billing - 2025'!$B$2:$AE$2,0)))</f>
        <v/>
      </c>
      <c r="G84" s="11" t="str">
        <f t="array" ref="G84">if($D84="","",index('Actuals - Billing - 2025'!$B84:$AE982,Match($C84,'Actuals - Billing - 2025'!$B84:$B982,0),Match(G$1,'Actuals - Billing - 2025'!$B$2:$AE$2,0)))</f>
        <v/>
      </c>
      <c r="H84" s="11" t="str">
        <f t="array" ref="H84">if($D84="","",index('Actuals - Billing - 2025'!$B84:$AE982,Match($C84,'Actuals - Billing - 2025'!$B84:$B982,0),Match(H$1,'Actuals - Billing - 2025'!$B$2:$AE$2,0)))</f>
        <v/>
      </c>
      <c r="I84" s="11"/>
      <c r="J84" s="11" t="str">
        <f t="shared" si="5"/>
        <v/>
      </c>
      <c r="K84" s="12" t="str">
        <f t="shared" si="6"/>
        <v/>
      </c>
      <c r="L84" s="1" t="str">
        <f t="shared" si="10"/>
        <v/>
      </c>
      <c r="M84" s="4" t="str">
        <f t="shared" si="8"/>
        <v/>
      </c>
      <c r="N84" s="17" t="str">
        <f>if(M84&lt;&gt;"",'Actuals - Billing - 2025'!BG316,"")</f>
        <v/>
      </c>
      <c r="O84" s="15"/>
    </row>
    <row r="85">
      <c r="A85" s="7" t="str">
        <f t="shared" si="1"/>
        <v/>
      </c>
      <c r="B85" s="8" t="str">
        <f>if(and('Actuals - Billing - 2025'!E$317=True,C85&lt;&gt;""),'Actuals - Billing - 2025'!C317,"")</f>
        <v/>
      </c>
      <c r="C85" s="9" t="str">
        <f>IF(and('Actuals - Billing - 2025'!E$317=True,sum('Actuals - Billing - 2025'!T317:Y317)&gt;0),'Actuals - Billing - 2025'!B317,"")</f>
        <v/>
      </c>
      <c r="D85" s="10" t="str">
        <f>if(and(sum('Actuals - Billing - 2025'!T317:Y317)&gt;0,C85&lt;&gt;""),'Actuals - Billing - 2025'!$U$2,"")</f>
        <v/>
      </c>
      <c r="E85" s="11" t="str">
        <f t="array" ref="E85">if($D85="","",index('Actuals - Billing - 2025'!$B85:$AE983,Match($C85,'Actuals - Billing - 2025'!$B85:$B983,0),Match(E$1,'Actuals - Billing - 2025'!$B$2:$AE$2,0)))</f>
        <v/>
      </c>
      <c r="F85" s="11" t="str">
        <f t="array" ref="F85">if($D85="","",index('Actuals - Billing - 2025'!$B85:$AE983,Match($C85,'Actuals - Billing - 2025'!$B85:$B983,0),Match(F$1,'Actuals - Billing - 2025'!$B$2:$AE$2,0)))</f>
        <v/>
      </c>
      <c r="G85" s="11" t="str">
        <f t="array" ref="G85">if($D85="","",index('Actuals - Billing - 2025'!$B85:$AE983,Match($C85,'Actuals - Billing - 2025'!$B85:$B983,0),Match(G$1,'Actuals - Billing - 2025'!$B$2:$AE$2,0)))</f>
        <v/>
      </c>
      <c r="H85" s="11" t="str">
        <f t="array" ref="H85">if($D85="","",index('Actuals - Billing - 2025'!$B85:$AE983,Match($C85,'Actuals - Billing - 2025'!$B85:$B983,0),Match(H$1,'Actuals - Billing - 2025'!$B$2:$AE$2,0)))</f>
        <v/>
      </c>
      <c r="I85" s="11"/>
      <c r="J85" s="11" t="str">
        <f t="shared" si="5"/>
        <v/>
      </c>
      <c r="K85" s="12" t="str">
        <f t="shared" si="6"/>
        <v/>
      </c>
      <c r="L85" s="1" t="str">
        <f t="shared" si="10"/>
        <v/>
      </c>
      <c r="M85" s="4" t="str">
        <f t="shared" si="8"/>
        <v/>
      </c>
      <c r="N85" s="17" t="str">
        <f>if(M85&lt;&gt;"",'Actuals - Billing - 2025'!BG317,"")</f>
        <v/>
      </c>
      <c r="O85" s="15"/>
    </row>
    <row r="86">
      <c r="A86" s="7" t="str">
        <f t="shared" si="1"/>
        <v>Rogers Blue Jays Baseball Partnership</v>
      </c>
      <c r="B86" s="8">
        <f>if(and('Actuals - Billing - 2025'!E$324=True,C86&lt;&gt;""),'Actuals - Billing - 2025'!C318,"")</f>
        <v>12.2</v>
      </c>
      <c r="C86" s="9">
        <f>IF(and('Actuals - Billing - 2025'!E$324=True,sum('Actuals - Billing - 2025'!T318:Y318)&gt;0),'Actuals - Billing - 2025'!B318,"")</f>
        <v>45971</v>
      </c>
      <c r="D86" s="10">
        <f>if(and(sum('Actuals - Billing - 2025'!T318:Y318)&gt;0,C86&lt;&gt;""),'Actuals - Billing - 2025'!$U$2,"")</f>
        <v>11.12</v>
      </c>
      <c r="E86" s="11">
        <f t="array" ref="E86">if($D86="","",index('Actuals - Billing - 2025'!$B86:$AE984,Match($C86,'Actuals - Billing - 2025'!$B86:$B984,0),Match(E$1,'Actuals - Billing - 2025'!$B$2:$AE$2,0)))</f>
        <v>150</v>
      </c>
      <c r="F86" s="11">
        <f t="array" ref="F86">if($D86="","",index('Actuals - Billing - 2025'!$B86:$AE984,Match($C86,'Actuals - Billing - 2025'!$B86:$B984,0),Match(F$1,'Actuals - Billing - 2025'!$B$2:$AE$2,0)))</f>
        <v>150</v>
      </c>
      <c r="G86" s="11" t="str">
        <f t="array" ref="G86">if($D86="","",index('Actuals - Billing - 2025'!$B86:$AE984,Match($C86,'Actuals - Billing - 2025'!$B86:$B984,0),Match(G$1,'Actuals - Billing - 2025'!$B$2:$AE$2,0)))</f>
        <v/>
      </c>
      <c r="H86" s="11" t="str">
        <f t="array" ref="H86">if($D86="","",index('Actuals - Billing - 2025'!$B86:$AE984,Match($C86,'Actuals - Billing - 2025'!$B86:$B984,0),Match(H$1,'Actuals - Billing - 2025'!$B$2:$AE$2,0)))</f>
        <v/>
      </c>
      <c r="I86" s="11"/>
      <c r="J86" s="11">
        <f t="shared" si="5"/>
        <v>300</v>
      </c>
      <c r="K86" s="12">
        <f t="shared" si="6"/>
        <v>3336</v>
      </c>
      <c r="L86" s="1" t="str">
        <f t="shared" si="10"/>
        <v>Breakfast 150 Lunch 150</v>
      </c>
      <c r="M86" s="4" t="str">
        <f t="shared" si="8"/>
        <v>TBJ MiLB - Breakfast/Lunch/Dinner</v>
      </c>
      <c r="N86" s="17">
        <f>if(M86&lt;&gt;"",'Actuals - Billing - 2025'!BG318,"")</f>
        <v>45977</v>
      </c>
      <c r="O86" s="15"/>
    </row>
    <row r="87">
      <c r="A87" s="7" t="str">
        <f t="shared" si="1"/>
        <v>Rogers Blue Jays Baseball Partnership</v>
      </c>
      <c r="B87" s="8">
        <f>if(and('Actuals - Billing - 2025'!E$324=True,C87&lt;&gt;""),'Actuals - Billing - 2025'!C319,"")</f>
        <v>12.2</v>
      </c>
      <c r="C87" s="9">
        <f>IF(and('Actuals - Billing - 2025'!E$324=True,sum('Actuals - Billing - 2025'!T319:Y319)&gt;0),'Actuals - Billing - 2025'!B319,"")</f>
        <v>45972</v>
      </c>
      <c r="D87" s="10">
        <f>if(and(sum('Actuals - Billing - 2025'!T319:Y319)&gt;0,C87&lt;&gt;""),'Actuals - Billing - 2025'!$U$2,"")</f>
        <v>11.12</v>
      </c>
      <c r="E87" s="11">
        <f t="array" ref="E87">if($D87="","",index('Actuals - Billing - 2025'!$B87:$AE985,Match($C87,'Actuals - Billing - 2025'!$B87:$B985,0),Match(E$1,'Actuals - Billing - 2025'!$B$2:$AE$2,0)))</f>
        <v>150</v>
      </c>
      <c r="F87" s="11">
        <f t="array" ref="F87">if($D87="","",index('Actuals - Billing - 2025'!$B87:$AE985,Match($C87,'Actuals - Billing - 2025'!$B87:$B985,0),Match(F$1,'Actuals - Billing - 2025'!$B$2:$AE$2,0)))</f>
        <v>150</v>
      </c>
      <c r="G87" s="11" t="str">
        <f t="array" ref="G87">if($D87="","",index('Actuals - Billing - 2025'!$B87:$AE985,Match($C87,'Actuals - Billing - 2025'!$B87:$B985,0),Match(G$1,'Actuals - Billing - 2025'!$B$2:$AE$2,0)))</f>
        <v/>
      </c>
      <c r="H87" s="11" t="str">
        <f t="array" ref="H87">if($D87="","",index('Actuals - Billing - 2025'!$B87:$AE985,Match($C87,'Actuals - Billing - 2025'!$B87:$B985,0),Match(H$1,'Actuals - Billing - 2025'!$B$2:$AE$2,0)))</f>
        <v/>
      </c>
      <c r="I87" s="11"/>
      <c r="J87" s="11">
        <f t="shared" si="5"/>
        <v>300</v>
      </c>
      <c r="K87" s="12">
        <f t="shared" si="6"/>
        <v>3336</v>
      </c>
      <c r="L87" s="1" t="str">
        <f t="shared" si="10"/>
        <v>Breakfast 150 Lunch 150</v>
      </c>
      <c r="M87" s="4" t="str">
        <f t="shared" si="8"/>
        <v>TBJ MiLB - Breakfast/Lunch/Dinner</v>
      </c>
      <c r="N87" s="17">
        <f>if(M87&lt;&gt;"",'Actuals - Billing - 2025'!BG319,"")</f>
        <v>45977</v>
      </c>
      <c r="O87" s="15"/>
    </row>
    <row r="88">
      <c r="A88" s="7" t="str">
        <f t="shared" si="1"/>
        <v>Rogers Blue Jays Baseball Partnership</v>
      </c>
      <c r="B88" s="8">
        <f>if(and('Actuals - Billing - 2025'!E$324=True,C88&lt;&gt;""),'Actuals - Billing - 2025'!C320,"")</f>
        <v>12.2</v>
      </c>
      <c r="C88" s="9">
        <f>IF(and('Actuals - Billing - 2025'!E$324=True,sum('Actuals - Billing - 2025'!T320:Y320)&gt;0),'Actuals - Billing - 2025'!B320,"")</f>
        <v>45973</v>
      </c>
      <c r="D88" s="10">
        <f>if(and(sum('Actuals - Billing - 2025'!T320:Y320)&gt;0,C88&lt;&gt;""),'Actuals - Billing - 2025'!$U$2,"")</f>
        <v>11.12</v>
      </c>
      <c r="E88" s="11">
        <f t="array" ref="E88">if($D88="","",index('Actuals - Billing - 2025'!$B88:$AE986,Match($C88,'Actuals - Billing - 2025'!$B88:$B986,0),Match(E$1,'Actuals - Billing - 2025'!$B$2:$AE$2,0)))</f>
        <v>150</v>
      </c>
      <c r="F88" s="11">
        <f t="array" ref="F88">if($D88="","",index('Actuals - Billing - 2025'!$B88:$AE986,Match($C88,'Actuals - Billing - 2025'!$B88:$B986,0),Match(F$1,'Actuals - Billing - 2025'!$B$2:$AE$2,0)))</f>
        <v>150</v>
      </c>
      <c r="G88" s="11" t="str">
        <f t="array" ref="G88">if($D88="","",index('Actuals - Billing - 2025'!$B88:$AE986,Match($C88,'Actuals - Billing - 2025'!$B88:$B986,0),Match(G$1,'Actuals - Billing - 2025'!$B$2:$AE$2,0)))</f>
        <v/>
      </c>
      <c r="H88" s="11" t="str">
        <f t="array" ref="H88">if($D88="","",index('Actuals - Billing - 2025'!$B88:$AE986,Match($C88,'Actuals - Billing - 2025'!$B88:$B986,0),Match(H$1,'Actuals - Billing - 2025'!$B$2:$AE$2,0)))</f>
        <v/>
      </c>
      <c r="I88" s="11"/>
      <c r="J88" s="11">
        <f t="shared" si="5"/>
        <v>300</v>
      </c>
      <c r="K88" s="12">
        <f t="shared" si="6"/>
        <v>3336</v>
      </c>
      <c r="L88" s="1" t="str">
        <f t="shared" si="10"/>
        <v>Breakfast 150 Lunch 150</v>
      </c>
      <c r="M88" s="4" t="str">
        <f t="shared" si="8"/>
        <v>TBJ MiLB - Breakfast/Lunch/Dinner</v>
      </c>
      <c r="N88" s="17">
        <f>if(M88&lt;&gt;"",'Actuals - Billing - 2025'!BG320,"")</f>
        <v>45977</v>
      </c>
      <c r="O88" s="15"/>
    </row>
    <row r="89">
      <c r="A89" s="7" t="str">
        <f t="shared" si="1"/>
        <v>Rogers Blue Jays Baseball Partnership</v>
      </c>
      <c r="B89" s="8">
        <f>if(and('Actuals - Billing - 2025'!E$324=True,C89&lt;&gt;""),'Actuals - Billing - 2025'!C321,"")</f>
        <v>12.2</v>
      </c>
      <c r="C89" s="9">
        <f>IF(and('Actuals - Billing - 2025'!E$324=True,sum('Actuals - Billing - 2025'!T321:Y321)&gt;0),'Actuals - Billing - 2025'!B321,"")</f>
        <v>45974</v>
      </c>
      <c r="D89" s="10">
        <f>if(and(sum('Actuals - Billing - 2025'!T321:Y321)&gt;0,C89&lt;&gt;""),'Actuals - Billing - 2025'!$U$2,"")</f>
        <v>11.12</v>
      </c>
      <c r="E89" s="11">
        <f t="array" ref="E89">if($D89="","",index('Actuals - Billing - 2025'!$B89:$AE987,Match($C89,'Actuals - Billing - 2025'!$B89:$B987,0),Match(E$1,'Actuals - Billing - 2025'!$B$2:$AE$2,0)))</f>
        <v>150</v>
      </c>
      <c r="F89" s="11">
        <f t="array" ref="F89">if($D89="","",index('Actuals - Billing - 2025'!$B89:$AE987,Match($C89,'Actuals - Billing - 2025'!$B89:$B987,0),Match(F$1,'Actuals - Billing - 2025'!$B$2:$AE$2,0)))</f>
        <v>150</v>
      </c>
      <c r="G89" s="11" t="str">
        <f t="array" ref="G89">if($D89="","",index('Actuals - Billing - 2025'!$B89:$AE987,Match($C89,'Actuals - Billing - 2025'!$B89:$B987,0),Match(G$1,'Actuals - Billing - 2025'!$B$2:$AE$2,0)))</f>
        <v/>
      </c>
      <c r="H89" s="11" t="str">
        <f t="array" ref="H89">if($D89="","",index('Actuals - Billing - 2025'!$B89:$AE987,Match($C89,'Actuals - Billing - 2025'!$B89:$B987,0),Match(H$1,'Actuals - Billing - 2025'!$B$2:$AE$2,0)))</f>
        <v/>
      </c>
      <c r="I89" s="11"/>
      <c r="J89" s="11">
        <f t="shared" si="5"/>
        <v>300</v>
      </c>
      <c r="K89" s="12">
        <f t="shared" si="6"/>
        <v>3336</v>
      </c>
      <c r="L89" s="1" t="str">
        <f t="shared" si="10"/>
        <v>Breakfast 150 Lunch 150</v>
      </c>
      <c r="M89" s="4" t="str">
        <f t="shared" si="8"/>
        <v>TBJ MiLB - Breakfast/Lunch/Dinner</v>
      </c>
      <c r="N89" s="17">
        <f>if(M89&lt;&gt;"",'Actuals - Billing - 2025'!BG321,"")</f>
        <v>45977</v>
      </c>
      <c r="O89" s="15"/>
    </row>
    <row r="90">
      <c r="A90" s="7" t="str">
        <f t="shared" si="1"/>
        <v>Rogers Blue Jays Baseball Partnership</v>
      </c>
      <c r="B90" s="8">
        <f>if(and('Actuals - Billing - 2025'!E$324=True,C90&lt;&gt;""),'Actuals - Billing - 2025'!C322,"")</f>
        <v>12.2</v>
      </c>
      <c r="C90" s="9">
        <f>IF(and('Actuals - Billing - 2025'!E$324=True,sum('Actuals - Billing - 2025'!T322:Y322)&gt;0),'Actuals - Billing - 2025'!B322,"")</f>
        <v>45975</v>
      </c>
      <c r="D90" s="10">
        <f>if(and(sum('Actuals - Billing - 2025'!T322:Y322)&gt;0,C90&lt;&gt;""),'Actuals - Billing - 2025'!$U$2,"")</f>
        <v>11.12</v>
      </c>
      <c r="E90" s="11">
        <f t="array" ref="E90">if($D90="","",index('Actuals - Billing - 2025'!$B90:$AE988,Match($C90,'Actuals - Billing - 2025'!$B90:$B988,0),Match(E$1,'Actuals - Billing - 2025'!$B$2:$AE$2,0)))</f>
        <v>150</v>
      </c>
      <c r="F90" s="11">
        <f t="array" ref="F90">if($D90="","",index('Actuals - Billing - 2025'!$B90:$AE988,Match($C90,'Actuals - Billing - 2025'!$B90:$B988,0),Match(F$1,'Actuals - Billing - 2025'!$B$2:$AE$2,0)))</f>
        <v>150</v>
      </c>
      <c r="G90" s="11" t="str">
        <f t="array" ref="G90">if($D90="","",index('Actuals - Billing - 2025'!$B90:$AE988,Match($C90,'Actuals - Billing - 2025'!$B90:$B988,0),Match(G$1,'Actuals - Billing - 2025'!$B$2:$AE$2,0)))</f>
        <v/>
      </c>
      <c r="H90" s="11" t="str">
        <f t="array" ref="H90">if($D90="","",index('Actuals - Billing - 2025'!$B90:$AE988,Match($C90,'Actuals - Billing - 2025'!$B90:$B988,0),Match(H$1,'Actuals - Billing - 2025'!$B$2:$AE$2,0)))</f>
        <v/>
      </c>
      <c r="I90" s="11"/>
      <c r="J90" s="11">
        <f t="shared" si="5"/>
        <v>300</v>
      </c>
      <c r="K90" s="12">
        <f t="shared" si="6"/>
        <v>3336</v>
      </c>
      <c r="L90" s="1" t="str">
        <f t="shared" si="10"/>
        <v>Breakfast 150 Lunch 150</v>
      </c>
      <c r="M90" s="4" t="str">
        <f t="shared" si="8"/>
        <v>TBJ MiLB - Breakfast/Lunch/Dinner</v>
      </c>
      <c r="N90" s="17">
        <f>if(M90&lt;&gt;"",'Actuals - Billing - 2025'!BG322,"")</f>
        <v>45977</v>
      </c>
      <c r="O90" s="15"/>
    </row>
    <row r="91">
      <c r="A91" s="7" t="str">
        <f t="shared" si="1"/>
        <v/>
      </c>
      <c r="B91" s="8" t="str">
        <f>if(and('Actuals - Billing - 2025'!E$324=True,C91&lt;&gt;""),'Actuals - Billing - 2025'!C323,"")</f>
        <v/>
      </c>
      <c r="C91" s="9" t="str">
        <f>IF(and('Actuals - Billing - 2025'!E$324=True,sum('Actuals - Billing - 2025'!T323:Y323)&gt;0),'Actuals - Billing - 2025'!B323,"")</f>
        <v/>
      </c>
      <c r="D91" s="10" t="str">
        <f>if(and(sum('Actuals - Billing - 2025'!T323:Y323)&gt;0,C91&lt;&gt;""),'Actuals - Billing - 2025'!$U$2,"")</f>
        <v/>
      </c>
      <c r="E91" s="11" t="str">
        <f t="array" ref="E91">if($D91="","",index('Actuals - Billing - 2025'!$B91:$AE989,Match($C91,'Actuals - Billing - 2025'!$B91:$B989,0),Match(E$1,'Actuals - Billing - 2025'!$B$2:$AE$2,0)))</f>
        <v/>
      </c>
      <c r="F91" s="11" t="str">
        <f t="array" ref="F91">if($D91="","",index('Actuals - Billing - 2025'!$B91:$AE989,Match($C91,'Actuals - Billing - 2025'!$B91:$B989,0),Match(F$1,'Actuals - Billing - 2025'!$B$2:$AE$2,0)))</f>
        <v/>
      </c>
      <c r="G91" s="11" t="str">
        <f t="array" ref="G91">if($D91="","",index('Actuals - Billing - 2025'!$B91:$AE989,Match($C91,'Actuals - Billing - 2025'!$B91:$B989,0),Match(G$1,'Actuals - Billing - 2025'!$B$2:$AE$2,0)))</f>
        <v/>
      </c>
      <c r="H91" s="11" t="str">
        <f t="array" ref="H91">if($D91="","",index('Actuals - Billing - 2025'!$B91:$AE989,Match($C91,'Actuals - Billing - 2025'!$B91:$B989,0),Match(H$1,'Actuals - Billing - 2025'!$B$2:$AE$2,0)))</f>
        <v/>
      </c>
      <c r="I91" s="11"/>
      <c r="J91" s="11" t="str">
        <f t="shared" si="5"/>
        <v/>
      </c>
      <c r="K91" s="12" t="str">
        <f t="shared" si="6"/>
        <v/>
      </c>
      <c r="L91" s="1" t="str">
        <f t="shared" si="10"/>
        <v/>
      </c>
      <c r="M91" s="4" t="str">
        <f t="shared" si="8"/>
        <v/>
      </c>
      <c r="N91" s="17" t="str">
        <f>if(M91&lt;&gt;"",'Actuals - Billing - 2025'!BG323,"")</f>
        <v/>
      </c>
      <c r="O91" s="15"/>
    </row>
    <row r="92">
      <c r="A92" s="7" t="str">
        <f t="shared" si="1"/>
        <v/>
      </c>
      <c r="B92" s="8" t="str">
        <f>if(and('Actuals - Billing - 2025'!E$324=True,C92&lt;&gt;""),'Actuals - Billing - 2025'!C324,"")</f>
        <v/>
      </c>
      <c r="C92" s="9" t="str">
        <f>IF(and('Actuals - Billing - 2025'!E$324=True,sum('Actuals - Billing - 2025'!T324:Y324)&gt;0),'Actuals - Billing - 2025'!B324,"")</f>
        <v/>
      </c>
      <c r="D92" s="10" t="str">
        <f>if(and(sum('Actuals - Billing - 2025'!T324:Y324)&gt;0,C92&lt;&gt;""),'Actuals - Billing - 2025'!$U$2,"")</f>
        <v/>
      </c>
      <c r="E92" s="11" t="str">
        <f t="array" ref="E92">if($D92="","",index('Actuals - Billing - 2025'!$B92:$AE990,Match($C92,'Actuals - Billing - 2025'!$B92:$B990,0),Match(E$1,'Actuals - Billing - 2025'!$B$2:$AE$2,0)))</f>
        <v/>
      </c>
      <c r="F92" s="11" t="str">
        <f t="array" ref="F92">if($D92="","",index('Actuals - Billing - 2025'!$B92:$AE990,Match($C92,'Actuals - Billing - 2025'!$B92:$B990,0),Match(F$1,'Actuals - Billing - 2025'!$B$2:$AE$2,0)))</f>
        <v/>
      </c>
      <c r="G92" s="11" t="str">
        <f t="array" ref="G92">if($D92="","",index('Actuals - Billing - 2025'!$B92:$AE990,Match($C92,'Actuals - Billing - 2025'!$B92:$B990,0),Match(G$1,'Actuals - Billing - 2025'!$B$2:$AE$2,0)))</f>
        <v/>
      </c>
      <c r="H92" s="11" t="str">
        <f t="array" ref="H92">if($D92="","",index('Actuals - Billing - 2025'!$B92:$AE990,Match($C92,'Actuals - Billing - 2025'!$B92:$B990,0),Match(H$1,'Actuals - Billing - 2025'!$B$2:$AE$2,0)))</f>
        <v/>
      </c>
      <c r="I92" s="11"/>
      <c r="J92" s="11" t="str">
        <f t="shared" si="5"/>
        <v/>
      </c>
      <c r="K92" s="12" t="str">
        <f t="shared" si="6"/>
        <v/>
      </c>
      <c r="L92" s="1" t="str">
        <f t="shared" si="10"/>
        <v/>
      </c>
      <c r="M92" s="4" t="str">
        <f t="shared" si="8"/>
        <v/>
      </c>
      <c r="N92" s="17" t="str">
        <f>if(M92&lt;&gt;"",'Actuals - Billing - 2025'!BG324,"")</f>
        <v/>
      </c>
      <c r="O92" s="15"/>
    </row>
    <row r="93">
      <c r="A93" s="7" t="str">
        <f t="shared" si="1"/>
        <v>Rogers Blue Jays Baseball Partnership</v>
      </c>
      <c r="B93" s="8">
        <f>if(and('Actuals - Billing - 2025'!E$331=True,C93&lt;&gt;""),'Actuals - Billing - 2025'!C325,"")</f>
        <v>12.3</v>
      </c>
      <c r="C93" s="9">
        <f>IF(and('Actuals - Billing - 2025'!E$331=True,sum('Actuals - Billing - 2025'!T325:Y325)&gt;0),'Actuals - Billing - 2025'!B325,"")</f>
        <v>45978</v>
      </c>
      <c r="D93" s="10">
        <f>if(and(sum('Actuals - Billing - 2025'!T325:Y325)&gt;0,C93&lt;&gt;""),'Actuals - Billing - 2025'!$U$2,"")</f>
        <v>11.12</v>
      </c>
      <c r="E93" s="11">
        <f t="array" ref="E93">if($D93="","",index('Actuals - Billing - 2025'!$B93:$AE991,Match($C93,'Actuals - Billing - 2025'!$B93:$B991,0),Match(E$1,'Actuals - Billing - 2025'!$B$2:$AE$2,0)))</f>
        <v>140</v>
      </c>
      <c r="F93" s="11">
        <f t="array" ref="F93">if($D93="","",index('Actuals - Billing - 2025'!$B93:$AE991,Match($C93,'Actuals - Billing - 2025'!$B93:$B991,0),Match(F$1,'Actuals - Billing - 2025'!$B$2:$AE$2,0)))</f>
        <v>140</v>
      </c>
      <c r="G93" s="11" t="str">
        <f t="array" ref="G93">if($D93="","",index('Actuals - Billing - 2025'!$B93:$AE991,Match($C93,'Actuals - Billing - 2025'!$B93:$B991,0),Match(G$1,'Actuals - Billing - 2025'!$B$2:$AE$2,0)))</f>
        <v/>
      </c>
      <c r="H93" s="11" t="str">
        <f t="array" ref="H93">if($D93="","",index('Actuals - Billing - 2025'!$B93:$AE991,Match($C93,'Actuals - Billing - 2025'!$B93:$B991,0),Match(H$1,'Actuals - Billing - 2025'!$B$2:$AE$2,0)))</f>
        <v/>
      </c>
      <c r="I93" s="11"/>
      <c r="J93" s="11">
        <f t="shared" si="5"/>
        <v>280</v>
      </c>
      <c r="K93" s="12">
        <f t="shared" si="6"/>
        <v>3113.6</v>
      </c>
      <c r="L93" s="1" t="str">
        <f t="shared" si="10"/>
        <v>Breakfast 140 Lunch 140</v>
      </c>
      <c r="M93" s="4" t="str">
        <f t="shared" si="8"/>
        <v>TBJ MiLB - Breakfast/Lunch/Dinner</v>
      </c>
      <c r="N93" s="17">
        <f>if(M93&lt;&gt;"",'Actuals - Billing - 2025'!BG325,"")</f>
        <v>45984</v>
      </c>
      <c r="O93" s="15"/>
    </row>
    <row r="94">
      <c r="A94" s="7" t="str">
        <f t="shared" si="1"/>
        <v>Rogers Blue Jays Baseball Partnership</v>
      </c>
      <c r="B94" s="8">
        <f>if(and('Actuals - Billing - 2025'!E$331=True,C94&lt;&gt;""),'Actuals - Billing - 2025'!C326,"")</f>
        <v>12.3</v>
      </c>
      <c r="C94" s="9">
        <f>IF(and('Actuals - Billing - 2025'!E$331=True,sum('Actuals - Billing - 2025'!T326:Y326)&gt;0),'Actuals - Billing - 2025'!B326,"")</f>
        <v>45979</v>
      </c>
      <c r="D94" s="10">
        <f>if(and(sum('Actuals - Billing - 2025'!T326:Y326)&gt;0,C94&lt;&gt;""),'Actuals - Billing - 2025'!$U$2,"")</f>
        <v>11.12</v>
      </c>
      <c r="E94" s="11">
        <f t="array" ref="E94">if($D94="","",index('Actuals - Billing - 2025'!$B94:$AE992,Match($C94,'Actuals - Billing - 2025'!$B94:$B992,0),Match(E$1,'Actuals - Billing - 2025'!$B$2:$AE$2,0)))</f>
        <v>140</v>
      </c>
      <c r="F94" s="11">
        <f t="array" ref="F94">if($D94="","",index('Actuals - Billing - 2025'!$B94:$AE992,Match($C94,'Actuals - Billing - 2025'!$B94:$B992,0),Match(F$1,'Actuals - Billing - 2025'!$B$2:$AE$2,0)))</f>
        <v>140</v>
      </c>
      <c r="G94" s="11" t="str">
        <f t="array" ref="G94">if($D94="","",index('Actuals - Billing - 2025'!$B94:$AE992,Match($C94,'Actuals - Billing - 2025'!$B94:$B992,0),Match(G$1,'Actuals - Billing - 2025'!$B$2:$AE$2,0)))</f>
        <v/>
      </c>
      <c r="H94" s="11" t="str">
        <f t="array" ref="H94">if($D94="","",index('Actuals - Billing - 2025'!$B94:$AE992,Match($C94,'Actuals - Billing - 2025'!$B94:$B992,0),Match(H$1,'Actuals - Billing - 2025'!$B$2:$AE$2,0)))</f>
        <v/>
      </c>
      <c r="I94" s="11"/>
      <c r="J94" s="11">
        <f t="shared" si="5"/>
        <v>280</v>
      </c>
      <c r="K94" s="12">
        <f t="shared" si="6"/>
        <v>3113.6</v>
      </c>
      <c r="L94" s="1" t="str">
        <f t="shared" si="10"/>
        <v>Breakfast 140 Lunch 140</v>
      </c>
      <c r="M94" s="4" t="str">
        <f t="shared" si="8"/>
        <v>TBJ MiLB - Breakfast/Lunch/Dinner</v>
      </c>
      <c r="N94" s="17">
        <f>if(M94&lt;&gt;"",'Actuals - Billing - 2025'!BG326,"")</f>
        <v>45984</v>
      </c>
      <c r="O94" s="15"/>
    </row>
    <row r="95">
      <c r="A95" s="7" t="str">
        <f t="shared" si="1"/>
        <v>Rogers Blue Jays Baseball Partnership</v>
      </c>
      <c r="B95" s="8">
        <f>if(and('Actuals - Billing - 2025'!E$331=True,C95&lt;&gt;""),'Actuals - Billing - 2025'!C327,"")</f>
        <v>12.3</v>
      </c>
      <c r="C95" s="9">
        <f>IF(and('Actuals - Billing - 2025'!E$331=True,sum('Actuals - Billing - 2025'!T327:Y327)&gt;0),'Actuals - Billing - 2025'!B327,"")</f>
        <v>45980</v>
      </c>
      <c r="D95" s="10">
        <f>if(and(sum('Actuals - Billing - 2025'!T327:Y327)&gt;0,C95&lt;&gt;""),'Actuals - Billing - 2025'!$U$2,"")</f>
        <v>11.12</v>
      </c>
      <c r="E95" s="11">
        <f t="array" ref="E95">if($D95="","",index('Actuals - Billing - 2025'!$B95:$AE993,Match($C95,'Actuals - Billing - 2025'!$B95:$B993,0),Match(E$1,'Actuals - Billing - 2025'!$B$2:$AE$2,0)))</f>
        <v>140</v>
      </c>
      <c r="F95" s="11">
        <f t="array" ref="F95">if($D95="","",index('Actuals - Billing - 2025'!$B95:$AE993,Match($C95,'Actuals - Billing - 2025'!$B95:$B993,0),Match(F$1,'Actuals - Billing - 2025'!$B$2:$AE$2,0)))</f>
        <v>140</v>
      </c>
      <c r="G95" s="11" t="str">
        <f t="array" ref="G95">if($D95="","",index('Actuals - Billing - 2025'!$B95:$AE993,Match($C95,'Actuals - Billing - 2025'!$B95:$B993,0),Match(G$1,'Actuals - Billing - 2025'!$B$2:$AE$2,0)))</f>
        <v/>
      </c>
      <c r="H95" s="11" t="str">
        <f t="array" ref="H95">if($D95="","",index('Actuals - Billing - 2025'!$B95:$AE993,Match($C95,'Actuals - Billing - 2025'!$B95:$B993,0),Match(H$1,'Actuals - Billing - 2025'!$B$2:$AE$2,0)))</f>
        <v/>
      </c>
      <c r="I95" s="11"/>
      <c r="J95" s="11">
        <f t="shared" si="5"/>
        <v>280</v>
      </c>
      <c r="K95" s="12">
        <f t="shared" si="6"/>
        <v>3113.6</v>
      </c>
      <c r="L95" s="1" t="str">
        <f t="shared" si="10"/>
        <v>Breakfast 140 Lunch 140</v>
      </c>
      <c r="M95" s="4" t="str">
        <f t="shared" si="8"/>
        <v>TBJ MiLB - Breakfast/Lunch/Dinner</v>
      </c>
      <c r="N95" s="17">
        <f>if(M95&lt;&gt;"",'Actuals - Billing - 2025'!BG327,"")</f>
        <v>45984</v>
      </c>
      <c r="O95" s="15"/>
    </row>
    <row r="96">
      <c r="A96" s="7" t="str">
        <f t="shared" si="1"/>
        <v>Rogers Blue Jays Baseball Partnership</v>
      </c>
      <c r="B96" s="8">
        <f>if(and('Actuals - Billing - 2025'!E$331=True,C96&lt;&gt;""),'Actuals - Billing - 2025'!C328,"")</f>
        <v>12.3</v>
      </c>
      <c r="C96" s="9">
        <f>IF(and('Actuals - Billing - 2025'!E$331=True,sum('Actuals - Billing - 2025'!T328:Y328)&gt;0),'Actuals - Billing - 2025'!B328,"")</f>
        <v>45981</v>
      </c>
      <c r="D96" s="10">
        <f>if(and(sum('Actuals - Billing - 2025'!T328:Y328)&gt;0,C96&lt;&gt;""),'Actuals - Billing - 2025'!$U$2,"")</f>
        <v>11.12</v>
      </c>
      <c r="E96" s="11">
        <f t="array" ref="E96">if($D96="","",index('Actuals - Billing - 2025'!$B96:$AE994,Match($C96,'Actuals - Billing - 2025'!$B96:$B994,0),Match(E$1,'Actuals - Billing - 2025'!$B$2:$AE$2,0)))</f>
        <v>140</v>
      </c>
      <c r="F96" s="11">
        <f t="array" ref="F96">if($D96="","",index('Actuals - Billing - 2025'!$B96:$AE994,Match($C96,'Actuals - Billing - 2025'!$B96:$B994,0),Match(F$1,'Actuals - Billing - 2025'!$B$2:$AE$2,0)))</f>
        <v>140</v>
      </c>
      <c r="G96" s="11" t="str">
        <f t="array" ref="G96">if($D96="","",index('Actuals - Billing - 2025'!$B96:$AE994,Match($C96,'Actuals - Billing - 2025'!$B96:$B994,0),Match(G$1,'Actuals - Billing - 2025'!$B$2:$AE$2,0)))</f>
        <v/>
      </c>
      <c r="H96" s="11" t="str">
        <f t="array" ref="H96">if($D96="","",index('Actuals - Billing - 2025'!$B96:$AE994,Match($C96,'Actuals - Billing - 2025'!$B96:$B994,0),Match(H$1,'Actuals - Billing - 2025'!$B$2:$AE$2,0)))</f>
        <v/>
      </c>
      <c r="I96" s="11"/>
      <c r="J96" s="11">
        <f t="shared" si="5"/>
        <v>280</v>
      </c>
      <c r="K96" s="12">
        <f t="shared" si="6"/>
        <v>3113.6</v>
      </c>
      <c r="L96" s="1" t="str">
        <f t="shared" si="10"/>
        <v>Breakfast 140 Lunch 140</v>
      </c>
      <c r="M96" s="4" t="str">
        <f t="shared" si="8"/>
        <v>TBJ MiLB - Breakfast/Lunch/Dinner</v>
      </c>
      <c r="N96" s="17">
        <f>if(M96&lt;&gt;"",'Actuals - Billing - 2025'!BG328,"")</f>
        <v>45984</v>
      </c>
      <c r="O96" s="15"/>
    </row>
    <row r="97">
      <c r="A97" s="7" t="str">
        <f t="shared" si="1"/>
        <v>Rogers Blue Jays Baseball Partnership</v>
      </c>
      <c r="B97" s="8">
        <f>if(and('Actuals - Billing - 2025'!E$331=True,C97&lt;&gt;""),'Actuals - Billing - 2025'!C329,"")</f>
        <v>12.3</v>
      </c>
      <c r="C97" s="9">
        <f>IF(and('Actuals - Billing - 2025'!E$331=True,sum('Actuals - Billing - 2025'!T329:Y329)&gt;0),'Actuals - Billing - 2025'!B329,"")</f>
        <v>45982</v>
      </c>
      <c r="D97" s="10">
        <f>if(and(sum('Actuals - Billing - 2025'!T329:Y329)&gt;0,C97&lt;&gt;""),'Actuals - Billing - 2025'!$U$2,"")</f>
        <v>11.12</v>
      </c>
      <c r="E97" s="11">
        <f t="array" ref="E97">if($D97="","",index('Actuals - Billing - 2025'!$B97:$AE995,Match($C97,'Actuals - Billing - 2025'!$B97:$B995,0),Match(E$1,'Actuals - Billing - 2025'!$B$2:$AE$2,0)))</f>
        <v>140</v>
      </c>
      <c r="F97" s="11">
        <f t="array" ref="F97">if($D97="","",index('Actuals - Billing - 2025'!$B97:$AE995,Match($C97,'Actuals - Billing - 2025'!$B97:$B995,0),Match(F$1,'Actuals - Billing - 2025'!$B$2:$AE$2,0)))</f>
        <v>140</v>
      </c>
      <c r="G97" s="11" t="str">
        <f t="array" ref="G97">if($D97="","",index('Actuals - Billing - 2025'!$B97:$AE995,Match($C97,'Actuals - Billing - 2025'!$B97:$B995,0),Match(G$1,'Actuals - Billing - 2025'!$B$2:$AE$2,0)))</f>
        <v/>
      </c>
      <c r="H97" s="11" t="str">
        <f t="array" ref="H97">if($D97="","",index('Actuals - Billing - 2025'!$B97:$AE995,Match($C97,'Actuals - Billing - 2025'!$B97:$B995,0),Match(H$1,'Actuals - Billing - 2025'!$B$2:$AE$2,0)))</f>
        <v/>
      </c>
      <c r="I97" s="11"/>
      <c r="J97" s="11">
        <f t="shared" si="5"/>
        <v>280</v>
      </c>
      <c r="K97" s="12">
        <f t="shared" si="6"/>
        <v>3113.6</v>
      </c>
      <c r="L97" s="1" t="str">
        <f t="shared" si="10"/>
        <v>Breakfast 140 Lunch 140</v>
      </c>
      <c r="M97" s="4" t="str">
        <f t="shared" si="8"/>
        <v>TBJ MiLB - Breakfast/Lunch/Dinner</v>
      </c>
      <c r="N97" s="17">
        <f>if(M97&lt;&gt;"",'Actuals - Billing - 2025'!BG329,"")</f>
        <v>45984</v>
      </c>
      <c r="O97" s="15"/>
    </row>
    <row r="98">
      <c r="A98" s="7" t="str">
        <f t="shared" si="1"/>
        <v/>
      </c>
      <c r="B98" s="8" t="str">
        <f>if(and('Actuals - Billing - 2025'!E$331=True,C98&lt;&gt;""),'Actuals - Billing - 2025'!C330,"")</f>
        <v/>
      </c>
      <c r="C98" s="9" t="str">
        <f>IF(and('Actuals - Billing - 2025'!E$331=True,sum('Actuals - Billing - 2025'!T330:Y330)&gt;0),'Actuals - Billing - 2025'!B330,"")</f>
        <v/>
      </c>
      <c r="D98" s="10" t="str">
        <f>if(and(sum('Actuals - Billing - 2025'!T330:Y330)&gt;0,C98&lt;&gt;""),'Actuals - Billing - 2025'!$U$2,"")</f>
        <v/>
      </c>
      <c r="E98" s="11" t="str">
        <f t="array" ref="E98">if($D98="","",index('Actuals - Billing - 2025'!$B98:$AE996,Match($C98,'Actuals - Billing - 2025'!$B98:$B996,0),Match(E$1,'Actuals - Billing - 2025'!$B$2:$AE$2,0)))</f>
        <v/>
      </c>
      <c r="F98" s="11" t="str">
        <f t="array" ref="F98">if($D98="","",index('Actuals - Billing - 2025'!$B98:$AE996,Match($C98,'Actuals - Billing - 2025'!$B98:$B996,0),Match(F$1,'Actuals - Billing - 2025'!$B$2:$AE$2,0)))</f>
        <v/>
      </c>
      <c r="G98" s="11" t="str">
        <f t="array" ref="G98">if($D98="","",index('Actuals - Billing - 2025'!$B98:$AE996,Match($C98,'Actuals - Billing - 2025'!$B98:$B996,0),Match(G$1,'Actuals - Billing - 2025'!$B$2:$AE$2,0)))</f>
        <v/>
      </c>
      <c r="H98" s="11" t="str">
        <f t="array" ref="H98">if($D98="","",index('Actuals - Billing - 2025'!$B98:$AE996,Match($C98,'Actuals - Billing - 2025'!$B98:$B996,0),Match(H$1,'Actuals - Billing - 2025'!$B$2:$AE$2,0)))</f>
        <v/>
      </c>
      <c r="I98" s="11"/>
      <c r="J98" s="11" t="str">
        <f t="shared" si="5"/>
        <v/>
      </c>
      <c r="K98" s="12" t="str">
        <f t="shared" si="6"/>
        <v/>
      </c>
      <c r="L98" s="1" t="str">
        <f t="shared" si="10"/>
        <v/>
      </c>
      <c r="M98" s="4" t="str">
        <f t="shared" si="8"/>
        <v/>
      </c>
      <c r="N98" s="17" t="str">
        <f>if(M98&lt;&gt;"",'Actuals - Billing - 2025'!BG330,"")</f>
        <v/>
      </c>
      <c r="O98" s="15"/>
    </row>
    <row r="99">
      <c r="A99" s="7" t="str">
        <f t="shared" si="1"/>
        <v/>
      </c>
      <c r="B99" s="8" t="str">
        <f>if(and('Actuals - Billing - 2025'!E$331=True,C99&lt;&gt;""),'Actuals - Billing - 2025'!C331,"")</f>
        <v/>
      </c>
      <c r="C99" s="9" t="str">
        <f>IF(and('Actuals - Billing - 2025'!E$331=True,sum('Actuals - Billing - 2025'!T331:Y331)&gt;0),'Actuals - Billing - 2025'!B331,"")</f>
        <v/>
      </c>
      <c r="D99" s="10" t="str">
        <f>if(and(sum('Actuals - Billing - 2025'!T331:Y331)&gt;0,C99&lt;&gt;""),'Actuals - Billing - 2025'!$U$2,"")</f>
        <v/>
      </c>
      <c r="E99" s="11" t="str">
        <f t="array" ref="E99">if($D99="","",index('Actuals - Billing - 2025'!$B99:$AE997,Match($C99,'Actuals - Billing - 2025'!$B99:$B997,0),Match(E$1,'Actuals - Billing - 2025'!$B$2:$AE$2,0)))</f>
        <v/>
      </c>
      <c r="F99" s="11" t="str">
        <f t="array" ref="F99">if($D99="","",index('Actuals - Billing - 2025'!$B99:$AE997,Match($C99,'Actuals - Billing - 2025'!$B99:$B997,0),Match(F$1,'Actuals - Billing - 2025'!$B$2:$AE$2,0)))</f>
        <v/>
      </c>
      <c r="G99" s="11" t="str">
        <f t="array" ref="G99">if($D99="","",index('Actuals - Billing - 2025'!$B99:$AE997,Match($C99,'Actuals - Billing - 2025'!$B99:$B997,0),Match(G$1,'Actuals - Billing - 2025'!$B$2:$AE$2,0)))</f>
        <v/>
      </c>
      <c r="H99" s="11" t="str">
        <f t="array" ref="H99">if($D99="","",index('Actuals - Billing - 2025'!$B99:$AE997,Match($C99,'Actuals - Billing - 2025'!$B99:$B997,0),Match(H$1,'Actuals - Billing - 2025'!$B$2:$AE$2,0)))</f>
        <v/>
      </c>
      <c r="I99" s="11"/>
      <c r="J99" s="11" t="str">
        <f t="shared" si="5"/>
        <v/>
      </c>
      <c r="K99" s="12" t="str">
        <f t="shared" si="6"/>
        <v/>
      </c>
      <c r="L99" s="1" t="str">
        <f t="shared" si="10"/>
        <v/>
      </c>
      <c r="M99" s="4" t="str">
        <f t="shared" si="8"/>
        <v/>
      </c>
      <c r="N99" s="17" t="str">
        <f>if(M99&lt;&gt;"",'Actuals - Billing - 2025'!BG331,"")</f>
        <v/>
      </c>
      <c r="O99" s="15"/>
    </row>
    <row r="100">
      <c r="A100" s="7" t="str">
        <f t="shared" si="1"/>
        <v/>
      </c>
      <c r="B100" s="8" t="str">
        <f>if(and('Actuals - Billing - 2025'!E$338=True,C100&lt;&gt;""),'Actuals - Billing - 2025'!C332,"")</f>
        <v/>
      </c>
      <c r="C100" s="9" t="str">
        <f>IF(and('Actuals - Billing - 2025'!E$338=True,sum('Actuals - Billing - 2025'!T332:Y332)&gt;0),'Actuals - Billing - 2025'!B332,"")</f>
        <v/>
      </c>
      <c r="D100" s="10" t="str">
        <f>if(and(sum('Actuals - Billing - 2025'!T332:Y332)&gt;0,C100&lt;&gt;""),'Actuals - Billing - 2025'!$U$2,"")</f>
        <v/>
      </c>
      <c r="E100" s="11" t="str">
        <f t="array" ref="E100">if($D100="","",index('Actuals - Billing - 2025'!$B100:$AE998,Match($C100,'Actuals - Billing - 2025'!$B100:$B998,0),Match(E$1,'Actuals - Billing - 2025'!$B$2:$AE$2,0)))</f>
        <v/>
      </c>
      <c r="F100" s="11" t="str">
        <f t="array" ref="F100">if($D100="","",index('Actuals - Billing - 2025'!$B100:$AE998,Match($C100,'Actuals - Billing - 2025'!$B100:$B998,0),Match(F$1,'Actuals - Billing - 2025'!$B$2:$AE$2,0)))</f>
        <v/>
      </c>
      <c r="G100" s="11" t="str">
        <f t="array" ref="G100">if($D100="","",index('Actuals - Billing - 2025'!$B100:$AE998,Match($C100,'Actuals - Billing - 2025'!$B100:$B998,0),Match(G$1,'Actuals - Billing - 2025'!$B$2:$AE$2,0)))</f>
        <v/>
      </c>
      <c r="H100" s="11" t="str">
        <f t="array" ref="H100">if($D100="","",index('Actuals - Billing - 2025'!$B100:$AE998,Match($C100,'Actuals - Billing - 2025'!$B100:$B998,0),Match(H$1,'Actuals - Billing - 2025'!$B$2:$AE$2,0)))</f>
        <v/>
      </c>
      <c r="I100" s="11"/>
      <c r="J100" s="11" t="str">
        <f t="shared" si="5"/>
        <v/>
      </c>
      <c r="K100" s="12" t="str">
        <f t="shared" si="6"/>
        <v/>
      </c>
      <c r="L100" s="1" t="str">
        <f t="shared" si="10"/>
        <v/>
      </c>
      <c r="M100" s="4" t="str">
        <f t="shared" si="8"/>
        <v/>
      </c>
      <c r="N100" s="17" t="str">
        <f>if(M100&lt;&gt;"",'Actuals - Billing - 2025'!BG332,"")</f>
        <v/>
      </c>
      <c r="O100" s="15"/>
    </row>
    <row r="101">
      <c r="A101" s="7" t="str">
        <f t="shared" si="1"/>
        <v/>
      </c>
      <c r="B101" s="8" t="str">
        <f>if(and('Actuals - Billing - 2025'!E$338=True,C101&lt;&gt;""),'Actuals - Billing - 2025'!C333,"")</f>
        <v/>
      </c>
      <c r="C101" s="9" t="str">
        <f>IF(and('Actuals - Billing - 2025'!E$338=True,sum('Actuals - Billing - 2025'!T333:Y333)&gt;0),'Actuals - Billing - 2025'!B333,"")</f>
        <v/>
      </c>
      <c r="D101" s="10" t="str">
        <f>if(and(sum('Actuals - Billing - 2025'!T333:Y333)&gt;0,C101&lt;&gt;""),'Actuals - Billing - 2025'!$U$2,"")</f>
        <v/>
      </c>
      <c r="E101" s="11" t="str">
        <f t="array" ref="E101">if($D101="","",index('Actuals - Billing - 2025'!$B101:$AE999,Match($C101,'Actuals - Billing - 2025'!$B101:$B999,0),Match(E$1,'Actuals - Billing - 2025'!$B$2:$AE$2,0)))</f>
        <v/>
      </c>
      <c r="F101" s="11" t="str">
        <f t="array" ref="F101">if($D101="","",index('Actuals - Billing - 2025'!$B101:$AE999,Match($C101,'Actuals - Billing - 2025'!$B101:$B999,0),Match(F$1,'Actuals - Billing - 2025'!$B$2:$AE$2,0)))</f>
        <v/>
      </c>
      <c r="G101" s="11" t="str">
        <f t="array" ref="G101">if($D101="","",index('Actuals - Billing - 2025'!$B101:$AE999,Match($C101,'Actuals - Billing - 2025'!$B101:$B999,0),Match(G$1,'Actuals - Billing - 2025'!$B$2:$AE$2,0)))</f>
        <v/>
      </c>
      <c r="H101" s="11" t="str">
        <f t="array" ref="H101">if($D101="","",index('Actuals - Billing - 2025'!$B101:$AE999,Match($C101,'Actuals - Billing - 2025'!$B101:$B999,0),Match(H$1,'Actuals - Billing - 2025'!$B$2:$AE$2,0)))</f>
        <v/>
      </c>
      <c r="I101" s="11"/>
      <c r="J101" s="11" t="str">
        <f t="shared" si="5"/>
        <v/>
      </c>
      <c r="K101" s="12" t="str">
        <f t="shared" si="6"/>
        <v/>
      </c>
      <c r="L101" s="1" t="str">
        <f t="shared" si="10"/>
        <v/>
      </c>
      <c r="M101" s="4" t="str">
        <f t="shared" si="8"/>
        <v/>
      </c>
      <c r="N101" s="17" t="str">
        <f>if(M101&lt;&gt;"",'Actuals - Billing - 2025'!BG333,"")</f>
        <v/>
      </c>
      <c r="O101" s="15"/>
    </row>
    <row r="102">
      <c r="A102" s="7" t="str">
        <f t="shared" si="1"/>
        <v/>
      </c>
      <c r="B102" s="8" t="str">
        <f>if(and('Actuals - Billing - 2025'!E$338=True,C102&lt;&gt;""),'Actuals - Billing - 2025'!C334,"")</f>
        <v/>
      </c>
      <c r="C102" s="9" t="str">
        <f>IF(and('Actuals - Billing - 2025'!E$338=True,sum('Actuals - Billing - 2025'!T334:Y334)&gt;0),'Actuals - Billing - 2025'!B334,"")</f>
        <v/>
      </c>
      <c r="D102" s="10" t="str">
        <f>if(and(sum('Actuals - Billing - 2025'!T334:Y334)&gt;0,C102&lt;&gt;""),'Actuals - Billing - 2025'!$U$2,"")</f>
        <v/>
      </c>
      <c r="E102" s="11" t="str">
        <f t="array" ref="E102">if($D102="","",index('Actuals - Billing - 2025'!$B102:$AE1000,Match($C102,'Actuals - Billing - 2025'!$B102:$B1000,0),Match(E$1,'Actuals - Billing - 2025'!$B$2:$AE$2,0)))</f>
        <v/>
      </c>
      <c r="F102" s="11" t="str">
        <f t="array" ref="F102">if($D102="","",index('Actuals - Billing - 2025'!$B102:$AE1000,Match($C102,'Actuals - Billing - 2025'!$B102:$B1000,0),Match(F$1,'Actuals - Billing - 2025'!$B$2:$AE$2,0)))</f>
        <v/>
      </c>
      <c r="G102" s="11" t="str">
        <f t="array" ref="G102">if($D102="","",index('Actuals - Billing - 2025'!$B102:$AE1000,Match($C102,'Actuals - Billing - 2025'!$B102:$B1000,0),Match(G$1,'Actuals - Billing - 2025'!$B$2:$AE$2,0)))</f>
        <v/>
      </c>
      <c r="H102" s="11" t="str">
        <f t="array" ref="H102">if($D102="","",index('Actuals - Billing - 2025'!$B102:$AE1000,Match($C102,'Actuals - Billing - 2025'!$B102:$B1000,0),Match(H$1,'Actuals - Billing - 2025'!$B$2:$AE$2,0)))</f>
        <v/>
      </c>
      <c r="I102" s="11"/>
      <c r="J102" s="11" t="str">
        <f t="shared" si="5"/>
        <v/>
      </c>
      <c r="K102" s="12" t="str">
        <f t="shared" si="6"/>
        <v/>
      </c>
      <c r="L102" s="1" t="str">
        <f t="shared" si="10"/>
        <v/>
      </c>
      <c r="M102" s="4" t="str">
        <f t="shared" si="8"/>
        <v/>
      </c>
      <c r="N102" s="17" t="str">
        <f>if(M102&lt;&gt;"",'Actuals - Billing - 2025'!BG334,"")</f>
        <v/>
      </c>
      <c r="O102" s="15"/>
    </row>
    <row r="103">
      <c r="A103" s="7" t="str">
        <f t="shared" si="1"/>
        <v/>
      </c>
      <c r="B103" s="8" t="str">
        <f>if(and('Actuals - Billing - 2025'!E$338=True,C103&lt;&gt;""),'Actuals - Billing - 2025'!C335,"")</f>
        <v/>
      </c>
      <c r="C103" s="9" t="str">
        <f>IF(and('Actuals - Billing - 2025'!E$338=True,sum('Actuals - Billing - 2025'!T335:Y335)&gt;0),'Actuals - Billing - 2025'!B335,"")</f>
        <v/>
      </c>
      <c r="D103" s="10" t="str">
        <f>if(and(sum('Actuals - Billing - 2025'!T335:Y335)&gt;0,C103&lt;&gt;""),'Actuals - Billing - 2025'!$U$2,"")</f>
        <v/>
      </c>
      <c r="E103" s="11" t="str">
        <f t="array" ref="E103">if($D103="","",index('Actuals - Billing - 2025'!$B103:$AE1001,Match($C103,'Actuals - Billing - 2025'!$B103:$B1001,0),Match(E$1,'Actuals - Billing - 2025'!$B$2:$AE$2,0)))</f>
        <v/>
      </c>
      <c r="F103" s="11" t="str">
        <f t="array" ref="F103">if($D103="","",index('Actuals - Billing - 2025'!$B103:$AE1001,Match($C103,'Actuals - Billing - 2025'!$B103:$B1001,0),Match(F$1,'Actuals - Billing - 2025'!$B$2:$AE$2,0)))</f>
        <v/>
      </c>
      <c r="G103" s="11" t="str">
        <f t="array" ref="G103">if($D103="","",index('Actuals - Billing - 2025'!$B103:$AE1001,Match($C103,'Actuals - Billing - 2025'!$B103:$B1001,0),Match(G$1,'Actuals - Billing - 2025'!$B$2:$AE$2,0)))</f>
        <v/>
      </c>
      <c r="H103" s="11" t="str">
        <f t="array" ref="H103">if($D103="","",index('Actuals - Billing - 2025'!$B103:$AE1001,Match($C103,'Actuals - Billing - 2025'!$B103:$B1001,0),Match(H$1,'Actuals - Billing - 2025'!$B$2:$AE$2,0)))</f>
        <v/>
      </c>
      <c r="I103" s="11"/>
      <c r="J103" s="11" t="str">
        <f t="shared" si="5"/>
        <v/>
      </c>
      <c r="K103" s="12" t="str">
        <f t="shared" si="6"/>
        <v/>
      </c>
      <c r="L103" s="1" t="str">
        <f t="shared" si="10"/>
        <v/>
      </c>
      <c r="M103" s="4" t="str">
        <f t="shared" si="8"/>
        <v/>
      </c>
      <c r="N103" s="17" t="str">
        <f>if(M103&lt;&gt;"",'Actuals - Billing - 2025'!BG335,"")</f>
        <v/>
      </c>
      <c r="O103" s="15"/>
    </row>
    <row r="104">
      <c r="A104" s="7" t="str">
        <f t="shared" si="1"/>
        <v/>
      </c>
      <c r="B104" s="8" t="str">
        <f>if(and('Actuals - Billing - 2025'!E$338=True,C104&lt;&gt;""),'Actuals - Billing - 2025'!C336,"")</f>
        <v/>
      </c>
      <c r="C104" s="9" t="str">
        <f>IF(and('Actuals - Billing - 2025'!E$338=True,sum('Actuals - Billing - 2025'!T336:Y336)&gt;0),'Actuals - Billing - 2025'!B336,"")</f>
        <v/>
      </c>
      <c r="D104" s="10" t="str">
        <f>if(and(sum('Actuals - Billing - 2025'!T336:Y336)&gt;0,C104&lt;&gt;""),'Actuals - Billing - 2025'!$U$2,"")</f>
        <v/>
      </c>
      <c r="E104" s="11" t="str">
        <f t="array" ref="E104">if($D104="","",index('Actuals - Billing - 2025'!$B104:$AE1002,Match($C104,'Actuals - Billing - 2025'!$B104:$B1002,0),Match(E$1,'Actuals - Billing - 2025'!$B$2:$AE$2,0)))</f>
        <v/>
      </c>
      <c r="F104" s="11" t="str">
        <f t="array" ref="F104">if($D104="","",index('Actuals - Billing - 2025'!$B104:$AE1002,Match($C104,'Actuals - Billing - 2025'!$B104:$B1002,0),Match(F$1,'Actuals - Billing - 2025'!$B$2:$AE$2,0)))</f>
        <v/>
      </c>
      <c r="G104" s="11" t="str">
        <f t="array" ref="G104">if($D104="","",index('Actuals - Billing - 2025'!$B104:$AE1002,Match($C104,'Actuals - Billing - 2025'!$B104:$B1002,0),Match(G$1,'Actuals - Billing - 2025'!$B$2:$AE$2,0)))</f>
        <v/>
      </c>
      <c r="H104" s="11" t="str">
        <f t="array" ref="H104">if($D104="","",index('Actuals - Billing - 2025'!$B104:$AE1002,Match($C104,'Actuals - Billing - 2025'!$B104:$B1002,0),Match(H$1,'Actuals - Billing - 2025'!$B$2:$AE$2,0)))</f>
        <v/>
      </c>
      <c r="I104" s="11"/>
      <c r="J104" s="11" t="str">
        <f t="shared" si="5"/>
        <v/>
      </c>
      <c r="K104" s="12" t="str">
        <f t="shared" si="6"/>
        <v/>
      </c>
      <c r="L104" s="1" t="str">
        <f t="shared" si="10"/>
        <v/>
      </c>
      <c r="M104" s="4" t="str">
        <f t="shared" si="8"/>
        <v/>
      </c>
      <c r="N104" s="17" t="str">
        <f>if(M104&lt;&gt;"",'Actuals - Billing - 2025'!BG336,"")</f>
        <v/>
      </c>
      <c r="O104" s="15"/>
    </row>
    <row r="105">
      <c r="A105" s="7" t="str">
        <f t="shared" si="1"/>
        <v/>
      </c>
      <c r="B105" s="8" t="str">
        <f>if(and('Actuals - Billing - 2025'!E$338=True,C105&lt;&gt;""),'Actuals - Billing - 2025'!C337,"")</f>
        <v/>
      </c>
      <c r="C105" s="9" t="str">
        <f>IF(and('Actuals - Billing - 2025'!E$338=True,sum('Actuals - Billing - 2025'!T337:Y337)&gt;0),'Actuals - Billing - 2025'!B337,"")</f>
        <v/>
      </c>
      <c r="D105" s="10" t="str">
        <f>if(and(sum('Actuals - Billing - 2025'!T337:Y337)&gt;0,C105&lt;&gt;""),'Actuals - Billing - 2025'!$U$2,"")</f>
        <v/>
      </c>
      <c r="E105" s="11" t="str">
        <f t="array" ref="E105">if($D105="","",index('Actuals - Billing - 2025'!$B105:$AE1003,Match($C105,'Actuals - Billing - 2025'!$B105:$B1003,0),Match(E$1,'Actuals - Billing - 2025'!$B$2:$AE$2,0)))</f>
        <v/>
      </c>
      <c r="F105" s="11" t="str">
        <f t="array" ref="F105">if($D105="","",index('Actuals - Billing - 2025'!$B105:$AE1003,Match($C105,'Actuals - Billing - 2025'!$B105:$B1003,0),Match(F$1,'Actuals - Billing - 2025'!$B$2:$AE$2,0)))</f>
        <v/>
      </c>
      <c r="G105" s="11" t="str">
        <f t="array" ref="G105">if($D105="","",index('Actuals - Billing - 2025'!$B105:$AE1003,Match($C105,'Actuals - Billing - 2025'!$B105:$B1003,0),Match(G$1,'Actuals - Billing - 2025'!$B$2:$AE$2,0)))</f>
        <v/>
      </c>
      <c r="H105" s="11" t="str">
        <f t="array" ref="H105">if($D105="","",index('Actuals - Billing - 2025'!$B105:$AE1003,Match($C105,'Actuals - Billing - 2025'!$B105:$B1003,0),Match(H$1,'Actuals - Billing - 2025'!$B$2:$AE$2,0)))</f>
        <v/>
      </c>
      <c r="I105" s="11"/>
      <c r="J105" s="11" t="str">
        <f t="shared" si="5"/>
        <v/>
      </c>
      <c r="K105" s="12" t="str">
        <f t="shared" si="6"/>
        <v/>
      </c>
      <c r="L105" s="1" t="str">
        <f t="shared" si="10"/>
        <v/>
      </c>
      <c r="M105" s="4" t="str">
        <f t="shared" si="8"/>
        <v/>
      </c>
      <c r="N105" s="17" t="str">
        <f>if(M105&lt;&gt;"",'Actuals - Billing - 2025'!BG337,"")</f>
        <v/>
      </c>
      <c r="O105" s="15"/>
    </row>
    <row r="106">
      <c r="A106" s="7" t="str">
        <f t="shared" si="1"/>
        <v/>
      </c>
      <c r="B106" s="8" t="str">
        <f>if(and('Actuals - Billing - 2025'!E$338=True,C106&lt;&gt;""),'Actuals - Billing - 2025'!C338,"")</f>
        <v/>
      </c>
      <c r="C106" s="9" t="str">
        <f>IF(and('Actuals - Billing - 2025'!E$338=True,sum('Actuals - Billing - 2025'!T338:Y338)&gt;0),'Actuals - Billing - 2025'!B338,"")</f>
        <v/>
      </c>
      <c r="D106" s="10" t="str">
        <f>if(and(sum('Actuals - Billing - 2025'!T338:Y338)&gt;0,C106&lt;&gt;""),'Actuals - Billing - 2025'!$U$2,"")</f>
        <v/>
      </c>
      <c r="E106" s="11" t="str">
        <f t="array" ref="E106">if($D106="","",index('Actuals - Billing - 2025'!$B106:$AE1004,Match($C106,'Actuals - Billing - 2025'!$B106:$B1004,0),Match(E$1,'Actuals - Billing - 2025'!$B$2:$AE$2,0)))</f>
        <v/>
      </c>
      <c r="F106" s="11" t="str">
        <f t="array" ref="F106">if($D106="","",index('Actuals - Billing - 2025'!$B106:$AE1004,Match($C106,'Actuals - Billing - 2025'!$B106:$B1004,0),Match(F$1,'Actuals - Billing - 2025'!$B$2:$AE$2,0)))</f>
        <v/>
      </c>
      <c r="G106" s="11" t="str">
        <f t="array" ref="G106">if($D106="","",index('Actuals - Billing - 2025'!$B106:$AE1004,Match($C106,'Actuals - Billing - 2025'!$B106:$B1004,0),Match(G$1,'Actuals - Billing - 2025'!$B$2:$AE$2,0)))</f>
        <v/>
      </c>
      <c r="H106" s="11" t="str">
        <f t="array" ref="H106">if($D106="","",index('Actuals - Billing - 2025'!$B106:$AE1004,Match($C106,'Actuals - Billing - 2025'!$B106:$B1004,0),Match(H$1,'Actuals - Billing - 2025'!$B$2:$AE$2,0)))</f>
        <v/>
      </c>
      <c r="I106" s="11"/>
      <c r="J106" s="11" t="str">
        <f t="shared" si="5"/>
        <v/>
      </c>
      <c r="K106" s="12" t="str">
        <f t="shared" si="6"/>
        <v/>
      </c>
      <c r="L106" s="1" t="str">
        <f t="shared" si="10"/>
        <v/>
      </c>
      <c r="M106" s="4" t="str">
        <f t="shared" si="8"/>
        <v/>
      </c>
      <c r="N106" s="17" t="str">
        <f>if(M106&lt;&gt;"",'Actuals - Billing - 2025'!BG338,"")</f>
        <v/>
      </c>
      <c r="O106" s="15"/>
    </row>
    <row r="107">
      <c r="A107" s="7" t="str">
        <f t="shared" si="1"/>
        <v>Rogers Blue Jays Baseball Partnership</v>
      </c>
      <c r="B107" s="8">
        <f>if(and('Actuals - Billing - 2025'!E$345=True,C107&lt;&gt;""),'Actuals - Billing - 2025'!C339,"")</f>
        <v>13.1</v>
      </c>
      <c r="C107" s="9">
        <f>IF(and('Actuals - Billing - 2025'!E$345=True,sum('Actuals - Billing - 2025'!T339:Y339)&gt;0),'Actuals - Billing - 2025'!B339,"")</f>
        <v>45992</v>
      </c>
      <c r="D107" s="10">
        <f>if(and(sum('Actuals - Billing - 2025'!T339:Y339)&gt;0,C107&lt;&gt;""),'Actuals - Billing - 2025'!$U$2,"")</f>
        <v>11.12</v>
      </c>
      <c r="E107" s="11">
        <f t="array" ref="E107">if($D107="","",index('Actuals - Billing - 2025'!$B107:$AE1005,Match($C107,'Actuals - Billing - 2025'!$B107:$B1005,0),Match(E$1,'Actuals - Billing - 2025'!$B$2:$AE$2,0)))</f>
        <v>50</v>
      </c>
      <c r="F107" s="11">
        <f t="array" ref="F107">if($D107="","",index('Actuals - Billing - 2025'!$B107:$AE1005,Match($C107,'Actuals - Billing - 2025'!$B107:$B1005,0),Match(F$1,'Actuals - Billing - 2025'!$B$2:$AE$2,0)))</f>
        <v>50</v>
      </c>
      <c r="G107" s="11" t="str">
        <f t="array" ref="G107">if($D107="","",index('Actuals - Billing - 2025'!$B107:$AE1005,Match($C107,'Actuals - Billing - 2025'!$B107:$B1005,0),Match(G$1,'Actuals - Billing - 2025'!$B$2:$AE$2,0)))</f>
        <v/>
      </c>
      <c r="H107" s="11" t="str">
        <f t="array" ref="H107">if($D107="","",index('Actuals - Billing - 2025'!$B107:$AE1005,Match($C107,'Actuals - Billing - 2025'!$B107:$B1005,0),Match(H$1,'Actuals - Billing - 2025'!$B$2:$AE$2,0)))</f>
        <v/>
      </c>
      <c r="I107" s="11"/>
      <c r="J107" s="11">
        <f t="shared" si="5"/>
        <v>100</v>
      </c>
      <c r="K107" s="12">
        <f t="shared" si="6"/>
        <v>1112</v>
      </c>
      <c r="L107" s="1" t="str">
        <f t="shared" si="10"/>
        <v>Breakfast 50 Lunch 50</v>
      </c>
      <c r="M107" s="4" t="str">
        <f t="shared" si="8"/>
        <v>TBJ MiLB - Breakfast/Lunch/Dinner</v>
      </c>
      <c r="N107" s="17">
        <f>if(M107&lt;&gt;"",'Actuals - Billing - 2025'!BG339,"")</f>
        <v>45998</v>
      </c>
      <c r="O107" s="15"/>
    </row>
    <row r="108">
      <c r="A108" s="7" t="str">
        <f t="shared" si="1"/>
        <v>Rogers Blue Jays Baseball Partnership</v>
      </c>
      <c r="B108" s="8">
        <f>if(and('Actuals - Billing - 2025'!E$345=True,C108&lt;&gt;""),'Actuals - Billing - 2025'!C340,"")</f>
        <v>13.1</v>
      </c>
      <c r="C108" s="9">
        <f>IF(and('Actuals - Billing - 2025'!E$345=True,sum('Actuals - Billing - 2025'!T340:Y340)&gt;0),'Actuals - Billing - 2025'!B340,"")</f>
        <v>45993</v>
      </c>
      <c r="D108" s="10">
        <f>if(and(sum('Actuals - Billing - 2025'!T340:Y340)&gt;0,C108&lt;&gt;""),'Actuals - Billing - 2025'!$U$2,"")</f>
        <v>11.12</v>
      </c>
      <c r="E108" s="11">
        <f t="array" ref="E108">if($D108="","",index('Actuals - Billing - 2025'!$B108:$AE1006,Match($C108,'Actuals - Billing - 2025'!$B108:$B1006,0),Match(E$1,'Actuals - Billing - 2025'!$B$2:$AE$2,0)))</f>
        <v>50</v>
      </c>
      <c r="F108" s="11">
        <f t="array" ref="F108">if($D108="","",index('Actuals - Billing - 2025'!$B108:$AE1006,Match($C108,'Actuals - Billing - 2025'!$B108:$B1006,0),Match(F$1,'Actuals - Billing - 2025'!$B$2:$AE$2,0)))</f>
        <v>50</v>
      </c>
      <c r="G108" s="11" t="str">
        <f t="array" ref="G108">if($D108="","",index('Actuals - Billing - 2025'!$B108:$AE1006,Match($C108,'Actuals - Billing - 2025'!$B108:$B1006,0),Match(G$1,'Actuals - Billing - 2025'!$B$2:$AE$2,0)))</f>
        <v/>
      </c>
      <c r="H108" s="11" t="str">
        <f t="array" ref="H108">if($D108="","",index('Actuals - Billing - 2025'!$B108:$AE1006,Match($C108,'Actuals - Billing - 2025'!$B108:$B1006,0),Match(H$1,'Actuals - Billing - 2025'!$B$2:$AE$2,0)))</f>
        <v/>
      </c>
      <c r="I108" s="11"/>
      <c r="J108" s="11">
        <f t="shared" si="5"/>
        <v>100</v>
      </c>
      <c r="K108" s="12">
        <f t="shared" si="6"/>
        <v>1112</v>
      </c>
      <c r="L108" s="1" t="str">
        <f t="shared" si="10"/>
        <v>Breakfast 50 Lunch 50</v>
      </c>
      <c r="M108" s="4" t="str">
        <f t="shared" si="8"/>
        <v>TBJ MiLB - Breakfast/Lunch/Dinner</v>
      </c>
      <c r="N108" s="17">
        <f>if(M108&lt;&gt;"",'Actuals - Billing - 2025'!BG340,"")</f>
        <v>45998</v>
      </c>
      <c r="O108" s="15"/>
    </row>
    <row r="109">
      <c r="A109" s="7" t="str">
        <f t="shared" si="1"/>
        <v>Rogers Blue Jays Baseball Partnership</v>
      </c>
      <c r="B109" s="8">
        <f>if(and('Actuals - Billing - 2025'!E$345=True,C109&lt;&gt;""),'Actuals - Billing - 2025'!C341,"")</f>
        <v>13.1</v>
      </c>
      <c r="C109" s="9">
        <f>IF(and('Actuals - Billing - 2025'!E$345=True,sum('Actuals - Billing - 2025'!T341:Y341)&gt;0),'Actuals - Billing - 2025'!B341,"")</f>
        <v>45994</v>
      </c>
      <c r="D109" s="10">
        <f>if(and(sum('Actuals - Billing - 2025'!T341:Y341)&gt;0,C109&lt;&gt;""),'Actuals - Billing - 2025'!$U$2,"")</f>
        <v>11.12</v>
      </c>
      <c r="E109" s="11">
        <f t="array" ref="E109">if($D109="","",index('Actuals - Billing - 2025'!$B109:$AE1007,Match($C109,'Actuals - Billing - 2025'!$B109:$B1007,0),Match(E$1,'Actuals - Billing - 2025'!$B$2:$AE$2,0)))</f>
        <v>50</v>
      </c>
      <c r="F109" s="11">
        <f t="array" ref="F109">if($D109="","",index('Actuals - Billing - 2025'!$B109:$AE1007,Match($C109,'Actuals - Billing - 2025'!$B109:$B1007,0),Match(F$1,'Actuals - Billing - 2025'!$B$2:$AE$2,0)))</f>
        <v>50</v>
      </c>
      <c r="G109" s="11" t="str">
        <f t="array" ref="G109">if($D109="","",index('Actuals - Billing - 2025'!$B109:$AE1007,Match($C109,'Actuals - Billing - 2025'!$B109:$B1007,0),Match(G$1,'Actuals - Billing - 2025'!$B$2:$AE$2,0)))</f>
        <v/>
      </c>
      <c r="H109" s="11" t="str">
        <f t="array" ref="H109">if($D109="","",index('Actuals - Billing - 2025'!$B109:$AE1007,Match($C109,'Actuals - Billing - 2025'!$B109:$B1007,0),Match(H$1,'Actuals - Billing - 2025'!$B$2:$AE$2,0)))</f>
        <v/>
      </c>
      <c r="I109" s="11"/>
      <c r="J109" s="11">
        <f t="shared" si="5"/>
        <v>100</v>
      </c>
      <c r="K109" s="12">
        <f t="shared" si="6"/>
        <v>1112</v>
      </c>
      <c r="L109" s="1" t="str">
        <f t="shared" si="10"/>
        <v>Breakfast 50 Lunch 50</v>
      </c>
      <c r="M109" s="4" t="str">
        <f t="shared" si="8"/>
        <v>TBJ MiLB - Breakfast/Lunch/Dinner</v>
      </c>
      <c r="N109" s="17">
        <f>if(M109&lt;&gt;"",'Actuals - Billing - 2025'!BG341,"")</f>
        <v>45998</v>
      </c>
      <c r="O109" s="15"/>
    </row>
    <row r="110">
      <c r="A110" s="7" t="str">
        <f t="shared" si="1"/>
        <v>Rogers Blue Jays Baseball Partnership</v>
      </c>
      <c r="B110" s="8">
        <f>if(and('Actuals - Billing - 2025'!E$345=True,C110&lt;&gt;""),'Actuals - Billing - 2025'!C342,"")</f>
        <v>13.1</v>
      </c>
      <c r="C110" s="9">
        <f>IF(and('Actuals - Billing - 2025'!E$345=True,sum('Actuals - Billing - 2025'!T342:Y342)&gt;0),'Actuals - Billing - 2025'!B342,"")</f>
        <v>45995</v>
      </c>
      <c r="D110" s="10">
        <f>if(and(sum('Actuals - Billing - 2025'!T342:Y342)&gt;0,C110&lt;&gt;""),'Actuals - Billing - 2025'!$U$2,"")</f>
        <v>11.12</v>
      </c>
      <c r="E110" s="11">
        <f t="array" ref="E110">if($D110="","",index('Actuals - Billing - 2025'!$B110:$AE1008,Match($C110,'Actuals - Billing - 2025'!$B110:$B1008,0),Match(E$1,'Actuals - Billing - 2025'!$B$2:$AE$2,0)))</f>
        <v>50</v>
      </c>
      <c r="F110" s="11">
        <f t="array" ref="F110">if($D110="","",index('Actuals - Billing - 2025'!$B110:$AE1008,Match($C110,'Actuals - Billing - 2025'!$B110:$B1008,0),Match(F$1,'Actuals - Billing - 2025'!$B$2:$AE$2,0)))</f>
        <v>50</v>
      </c>
      <c r="G110" s="11" t="str">
        <f t="array" ref="G110">if($D110="","",index('Actuals - Billing - 2025'!$B110:$AE1008,Match($C110,'Actuals - Billing - 2025'!$B110:$B1008,0),Match(G$1,'Actuals - Billing - 2025'!$B$2:$AE$2,0)))</f>
        <v/>
      </c>
      <c r="H110" s="11" t="str">
        <f t="array" ref="H110">if($D110="","",index('Actuals - Billing - 2025'!$B110:$AE1008,Match($C110,'Actuals - Billing - 2025'!$B110:$B1008,0),Match(H$1,'Actuals - Billing - 2025'!$B$2:$AE$2,0)))</f>
        <v/>
      </c>
      <c r="I110" s="11"/>
      <c r="J110" s="11">
        <f t="shared" si="5"/>
        <v>100</v>
      </c>
      <c r="K110" s="12">
        <f t="shared" si="6"/>
        <v>1112</v>
      </c>
      <c r="L110" s="1" t="str">
        <f t="shared" si="10"/>
        <v>Breakfast 50 Lunch 50</v>
      </c>
      <c r="M110" s="4" t="str">
        <f t="shared" si="8"/>
        <v>TBJ MiLB - Breakfast/Lunch/Dinner</v>
      </c>
      <c r="N110" s="17">
        <f>if(M110&lt;&gt;"",'Actuals - Billing - 2025'!BG342,"")</f>
        <v>45998</v>
      </c>
      <c r="O110" s="15"/>
    </row>
    <row r="111">
      <c r="A111" s="7" t="str">
        <f t="shared" si="1"/>
        <v>Rogers Blue Jays Baseball Partnership</v>
      </c>
      <c r="B111" s="8">
        <f>if(and('Actuals - Billing - 2025'!E$345=True,C111&lt;&gt;""),'Actuals - Billing - 2025'!C343,"")</f>
        <v>13.1</v>
      </c>
      <c r="C111" s="9">
        <f>IF(and('Actuals - Billing - 2025'!E$345=True,sum('Actuals - Billing - 2025'!T343:Y343)&gt;0),'Actuals - Billing - 2025'!B343,"")</f>
        <v>45996</v>
      </c>
      <c r="D111" s="10">
        <f>if(and(sum('Actuals - Billing - 2025'!T343:Y343)&gt;0,C111&lt;&gt;""),'Actuals - Billing - 2025'!$U$2,"")</f>
        <v>11.12</v>
      </c>
      <c r="E111" s="11">
        <f t="array" ref="E111">if($D111="","",index('Actuals - Billing - 2025'!$B111:$AE1009,Match($C111,'Actuals - Billing - 2025'!$B111:$B1009,0),Match(E$1,'Actuals - Billing - 2025'!$B$2:$AE$2,0)))</f>
        <v>50</v>
      </c>
      <c r="F111" s="11">
        <f t="array" ref="F111">if($D111="","",index('Actuals - Billing - 2025'!$B111:$AE1009,Match($C111,'Actuals - Billing - 2025'!$B111:$B1009,0),Match(F$1,'Actuals - Billing - 2025'!$B$2:$AE$2,0)))</f>
        <v>50</v>
      </c>
      <c r="G111" s="11" t="str">
        <f t="array" ref="G111">if($D111="","",index('Actuals - Billing - 2025'!$B111:$AE1009,Match($C111,'Actuals - Billing - 2025'!$B111:$B1009,0),Match(G$1,'Actuals - Billing - 2025'!$B$2:$AE$2,0)))</f>
        <v/>
      </c>
      <c r="H111" s="11" t="str">
        <f t="array" ref="H111">if($D111="","",index('Actuals - Billing - 2025'!$B111:$AE1009,Match($C111,'Actuals - Billing - 2025'!$B111:$B1009,0),Match(H$1,'Actuals - Billing - 2025'!$B$2:$AE$2,0)))</f>
        <v/>
      </c>
      <c r="I111" s="11"/>
      <c r="J111" s="11">
        <f t="shared" si="5"/>
        <v>100</v>
      </c>
      <c r="K111" s="12">
        <f t="shared" si="6"/>
        <v>1112</v>
      </c>
      <c r="L111" s="1" t="str">
        <f t="shared" si="10"/>
        <v>Breakfast 50 Lunch 50</v>
      </c>
      <c r="M111" s="4" t="str">
        <f t="shared" si="8"/>
        <v>TBJ MiLB - Breakfast/Lunch/Dinner</v>
      </c>
      <c r="N111" s="17">
        <f>if(M111&lt;&gt;"",'Actuals - Billing - 2025'!BG343,"")</f>
        <v>45998</v>
      </c>
      <c r="O111" s="15"/>
    </row>
    <row r="112">
      <c r="A112" s="7" t="str">
        <f t="shared" si="1"/>
        <v/>
      </c>
      <c r="B112" s="8" t="str">
        <f>if(and('Actuals - Billing - 2025'!E$345=True,C112&lt;&gt;""),'Actuals - Billing - 2025'!C344,"")</f>
        <v/>
      </c>
      <c r="C112" s="9" t="str">
        <f>IF(and('Actuals - Billing - 2025'!E$345=True,sum('Actuals - Billing - 2025'!T344:Y344)&gt;0),'Actuals - Billing - 2025'!B344,"")</f>
        <v/>
      </c>
      <c r="D112" s="10" t="str">
        <f>if(and(sum('Actuals - Billing - 2025'!T344:Y344)&gt;0,C112&lt;&gt;""),'Actuals - Billing - 2025'!$U$2,"")</f>
        <v/>
      </c>
      <c r="E112" s="11" t="str">
        <f t="array" ref="E112">if($D112="","",index('Actuals - Billing - 2025'!$B112:$AE1010,Match($C112,'Actuals - Billing - 2025'!$B112:$B1010,0),Match(E$1,'Actuals - Billing - 2025'!$B$2:$AE$2,0)))</f>
        <v/>
      </c>
      <c r="F112" s="11" t="str">
        <f t="array" ref="F112">if($D112="","",index('Actuals - Billing - 2025'!$B112:$AE1010,Match($C112,'Actuals - Billing - 2025'!$B112:$B1010,0),Match(F$1,'Actuals - Billing - 2025'!$B$2:$AE$2,0)))</f>
        <v/>
      </c>
      <c r="G112" s="11" t="str">
        <f t="array" ref="G112">if($D112="","",index('Actuals - Billing - 2025'!$B112:$AE1010,Match($C112,'Actuals - Billing - 2025'!$B112:$B1010,0),Match(G$1,'Actuals - Billing - 2025'!$B$2:$AE$2,0)))</f>
        <v/>
      </c>
      <c r="H112" s="11" t="str">
        <f t="array" ref="H112">if($D112="","",index('Actuals - Billing - 2025'!$B112:$AE1010,Match($C112,'Actuals - Billing - 2025'!$B112:$B1010,0),Match(H$1,'Actuals - Billing - 2025'!$B$2:$AE$2,0)))</f>
        <v/>
      </c>
      <c r="I112" s="11"/>
      <c r="J112" s="11" t="str">
        <f t="shared" si="5"/>
        <v/>
      </c>
      <c r="K112" s="12" t="str">
        <f t="shared" si="6"/>
        <v/>
      </c>
      <c r="L112" s="1" t="str">
        <f t="shared" si="10"/>
        <v/>
      </c>
      <c r="M112" s="4" t="str">
        <f t="shared" si="8"/>
        <v/>
      </c>
      <c r="N112" s="17" t="str">
        <f>if(M112&lt;&gt;"",'Actuals - Billing - 2025'!BG344,"")</f>
        <v/>
      </c>
      <c r="O112" s="15"/>
    </row>
    <row r="113">
      <c r="A113" s="7" t="str">
        <f t="shared" si="1"/>
        <v/>
      </c>
      <c r="B113" s="8" t="str">
        <f>if(and('Actuals - Billing - 2025'!E$345=True,C113&lt;&gt;""),'Actuals - Billing - 2025'!C345,"")</f>
        <v/>
      </c>
      <c r="C113" s="9" t="str">
        <f>IF(and('Actuals - Billing - 2025'!E$345=True,sum('Actuals - Billing - 2025'!T345:Y345)&gt;0),'Actuals - Billing - 2025'!B345,"")</f>
        <v/>
      </c>
      <c r="D113" s="10" t="str">
        <f>if(and(sum('Actuals - Billing - 2025'!T345:Y345)&gt;0,C113&lt;&gt;""),'Actuals - Billing - 2025'!$U$2,"")</f>
        <v/>
      </c>
      <c r="E113" s="11" t="str">
        <f t="array" ref="E113">if($D113="","",index('Actuals - Billing - 2025'!$B113:$AE1011,Match($C113,'Actuals - Billing - 2025'!$B113:$B1011,0),Match(E$1,'Actuals - Billing - 2025'!$B$2:$AE$2,0)))</f>
        <v/>
      </c>
      <c r="F113" s="11" t="str">
        <f t="array" ref="F113">if($D113="","",index('Actuals - Billing - 2025'!$B113:$AE1011,Match($C113,'Actuals - Billing - 2025'!$B113:$B1011,0),Match(F$1,'Actuals - Billing - 2025'!$B$2:$AE$2,0)))</f>
        <v/>
      </c>
      <c r="G113" s="11" t="str">
        <f t="array" ref="G113">if($D113="","",index('Actuals - Billing - 2025'!$B113:$AE1011,Match($C113,'Actuals - Billing - 2025'!$B113:$B1011,0),Match(G$1,'Actuals - Billing - 2025'!$B$2:$AE$2,0)))</f>
        <v/>
      </c>
      <c r="H113" s="11" t="str">
        <f t="array" ref="H113">if($D113="","",index('Actuals - Billing - 2025'!$B113:$AE1011,Match($C113,'Actuals - Billing - 2025'!$B113:$B1011,0),Match(H$1,'Actuals - Billing - 2025'!$B$2:$AE$2,0)))</f>
        <v/>
      </c>
      <c r="I113" s="11"/>
      <c r="J113" s="11" t="str">
        <f t="shared" si="5"/>
        <v/>
      </c>
      <c r="K113" s="12" t="str">
        <f t="shared" si="6"/>
        <v/>
      </c>
      <c r="L113" s="1" t="str">
        <f t="shared" si="10"/>
        <v/>
      </c>
      <c r="M113" s="4" t="str">
        <f t="shared" si="8"/>
        <v/>
      </c>
      <c r="N113" s="17" t="str">
        <f>if(M113&lt;&gt;"",'Actuals - Billing - 2025'!BG345,"")</f>
        <v/>
      </c>
      <c r="O113" s="15"/>
    </row>
    <row r="114">
      <c r="A114" s="7" t="str">
        <f t="shared" si="1"/>
        <v/>
      </c>
      <c r="B114" s="8" t="str">
        <f>if(and('Actuals - Billing - 2025'!E$352=True,C114&lt;&gt;""),'Actuals - Billing - 2025'!C346,"")</f>
        <v/>
      </c>
      <c r="C114" s="9" t="str">
        <f>IF(and('Actuals - Billing - 2025'!E$352=True,sum('Actuals - Billing - 2025'!T346:Y346)&gt;0),'Actuals - Billing - 2025'!B346,"")</f>
        <v/>
      </c>
      <c r="D114" s="10" t="str">
        <f>if(and(sum('Actuals - Billing - 2025'!T346:Y346)&gt;0,C114&lt;&gt;""),'Actuals - Billing - 2025'!$U$2,"")</f>
        <v/>
      </c>
      <c r="E114" s="11" t="str">
        <f t="array" ref="E114">if($D114="","",index('Actuals - Billing - 2025'!$B114:$AE1012,Match($C114,'Actuals - Billing - 2025'!$B114:$B1012,0),Match(E$1,'Actuals - Billing - 2025'!$B$2:$AE$2,0)))</f>
        <v/>
      </c>
      <c r="F114" s="11" t="str">
        <f t="array" ref="F114">if($D114="","",index('Actuals - Billing - 2025'!$B114:$AE1012,Match($C114,'Actuals - Billing - 2025'!$B114:$B1012,0),Match(F$1,'Actuals - Billing - 2025'!$B$2:$AE$2,0)))</f>
        <v/>
      </c>
      <c r="G114" s="11" t="str">
        <f t="array" ref="G114">if($D114="","",index('Actuals - Billing - 2025'!$B114:$AE1012,Match($C114,'Actuals - Billing - 2025'!$B114:$B1012,0),Match(G$1,'Actuals - Billing - 2025'!$B$2:$AE$2,0)))</f>
        <v/>
      </c>
      <c r="H114" s="11" t="str">
        <f t="array" ref="H114">if($D114="","",index('Actuals - Billing - 2025'!$B114:$AE1012,Match($C114,'Actuals - Billing - 2025'!$B114:$B1012,0),Match(H$1,'Actuals - Billing - 2025'!$B$2:$AE$2,0)))</f>
        <v/>
      </c>
      <c r="I114" s="11"/>
      <c r="J114" s="11" t="str">
        <f t="shared" si="5"/>
        <v/>
      </c>
      <c r="K114" s="12" t="str">
        <f t="shared" si="6"/>
        <v/>
      </c>
      <c r="L114" s="1" t="str">
        <f t="shared" si="10"/>
        <v/>
      </c>
      <c r="M114" s="4" t="str">
        <f t="shared" si="8"/>
        <v/>
      </c>
      <c r="N114" s="17" t="str">
        <f>if(M114&lt;&gt;"",'Actuals - Billing - 2025'!BG346,"")</f>
        <v/>
      </c>
      <c r="O114" s="15"/>
    </row>
    <row r="115">
      <c r="A115" s="7" t="str">
        <f t="shared" si="1"/>
        <v/>
      </c>
      <c r="B115" s="8" t="str">
        <f>if(and('Actuals - Billing - 2025'!E$352=True,C115&lt;&gt;""),'Actuals - Billing - 2025'!C347,"")</f>
        <v/>
      </c>
      <c r="C115" s="9" t="str">
        <f>IF(and('Actuals - Billing - 2025'!E$352=True,sum('Actuals - Billing - 2025'!T347:Y347)&gt;0),'Actuals - Billing - 2025'!B347,"")</f>
        <v/>
      </c>
      <c r="D115" s="10" t="str">
        <f>if(and(sum('Actuals - Billing - 2025'!T347:Y347)&gt;0,C115&lt;&gt;""),'Actuals - Billing - 2025'!$U$2,"")</f>
        <v/>
      </c>
      <c r="E115" s="11" t="str">
        <f t="array" ref="E115">if($D115="","",index('Actuals - Billing - 2025'!$B115:$AE1013,Match($C115,'Actuals - Billing - 2025'!$B115:$B1013,0),Match(E$1,'Actuals - Billing - 2025'!$B$2:$AE$2,0)))</f>
        <v/>
      </c>
      <c r="F115" s="11" t="str">
        <f t="array" ref="F115">if($D115="","",index('Actuals - Billing - 2025'!$B115:$AE1013,Match($C115,'Actuals - Billing - 2025'!$B115:$B1013,0),Match(F$1,'Actuals - Billing - 2025'!$B$2:$AE$2,0)))</f>
        <v/>
      </c>
      <c r="G115" s="11" t="str">
        <f t="array" ref="G115">if($D115="","",index('Actuals - Billing - 2025'!$B115:$AE1013,Match($C115,'Actuals - Billing - 2025'!$B115:$B1013,0),Match(G$1,'Actuals - Billing - 2025'!$B$2:$AE$2,0)))</f>
        <v/>
      </c>
      <c r="H115" s="11" t="str">
        <f t="array" ref="H115">if($D115="","",index('Actuals - Billing - 2025'!$B115:$AE1013,Match($C115,'Actuals - Billing - 2025'!$B115:$B1013,0),Match(H$1,'Actuals - Billing - 2025'!$B$2:$AE$2,0)))</f>
        <v/>
      </c>
      <c r="I115" s="11"/>
      <c r="J115" s="11" t="str">
        <f t="shared" si="5"/>
        <v/>
      </c>
      <c r="K115" s="12" t="str">
        <f t="shared" si="6"/>
        <v/>
      </c>
      <c r="L115" s="1" t="str">
        <f t="shared" si="10"/>
        <v/>
      </c>
      <c r="M115" s="4" t="str">
        <f t="shared" si="8"/>
        <v/>
      </c>
      <c r="N115" s="17" t="str">
        <f>if(M115&lt;&gt;"",'Actuals - Billing - 2025'!BG347,"")</f>
        <v/>
      </c>
      <c r="O115" s="15"/>
    </row>
    <row r="116">
      <c r="A116" s="7" t="str">
        <f t="shared" si="1"/>
        <v/>
      </c>
      <c r="B116" s="8" t="str">
        <f>if(and('Actuals - Billing - 2025'!E$352=True,C116&lt;&gt;""),'Actuals - Billing - 2025'!C348,"")</f>
        <v/>
      </c>
      <c r="C116" s="9" t="str">
        <f>IF(and('Actuals - Billing - 2025'!E$352=True,sum('Actuals - Billing - 2025'!T348:Y348)&gt;0),'Actuals - Billing - 2025'!B348,"")</f>
        <v/>
      </c>
      <c r="D116" s="10" t="str">
        <f>if(and(sum('Actuals - Billing - 2025'!T348:Y348)&gt;0,C116&lt;&gt;""),'Actuals - Billing - 2025'!$U$2,"")</f>
        <v/>
      </c>
      <c r="E116" s="11" t="str">
        <f t="array" ref="E116">if($D116="","",index('Actuals - Billing - 2025'!$B116:$AE1014,Match($C116,'Actuals - Billing - 2025'!$B116:$B1014,0),Match(E$1,'Actuals - Billing - 2025'!$B$2:$AE$2,0)))</f>
        <v/>
      </c>
      <c r="F116" s="11" t="str">
        <f t="array" ref="F116">if($D116="","",index('Actuals - Billing - 2025'!$B116:$AE1014,Match($C116,'Actuals - Billing - 2025'!$B116:$B1014,0),Match(F$1,'Actuals - Billing - 2025'!$B$2:$AE$2,0)))</f>
        <v/>
      </c>
      <c r="G116" s="11" t="str">
        <f t="array" ref="G116">if($D116="","",index('Actuals - Billing - 2025'!$B116:$AE1014,Match($C116,'Actuals - Billing - 2025'!$B116:$B1014,0),Match(G$1,'Actuals - Billing - 2025'!$B$2:$AE$2,0)))</f>
        <v/>
      </c>
      <c r="H116" s="11" t="str">
        <f t="array" ref="H116">if($D116="","",index('Actuals - Billing - 2025'!$B116:$AE1014,Match($C116,'Actuals - Billing - 2025'!$B116:$B1014,0),Match(H$1,'Actuals - Billing - 2025'!$B$2:$AE$2,0)))</f>
        <v/>
      </c>
      <c r="I116" s="11"/>
      <c r="J116" s="11" t="str">
        <f t="shared" si="5"/>
        <v/>
      </c>
      <c r="K116" s="12" t="str">
        <f t="shared" si="6"/>
        <v/>
      </c>
      <c r="L116" s="1" t="str">
        <f t="shared" si="10"/>
        <v/>
      </c>
      <c r="M116" s="4" t="str">
        <f t="shared" si="8"/>
        <v/>
      </c>
      <c r="N116" s="17" t="str">
        <f>if(M116&lt;&gt;"",'Actuals - Billing - 2025'!BG348,"")</f>
        <v/>
      </c>
      <c r="O116" s="15"/>
    </row>
    <row r="117">
      <c r="A117" s="7" t="str">
        <f t="shared" si="1"/>
        <v/>
      </c>
      <c r="B117" s="8" t="str">
        <f>if(and('Actuals - Billing - 2025'!E$352=True,C117&lt;&gt;""),'Actuals - Billing - 2025'!C349,"")</f>
        <v/>
      </c>
      <c r="C117" s="9" t="str">
        <f>IF(and('Actuals - Billing - 2025'!E$352=True,sum('Actuals - Billing - 2025'!T349:Y349)&gt;0),'Actuals - Billing - 2025'!B349,"")</f>
        <v/>
      </c>
      <c r="D117" s="10" t="str">
        <f>if(and(sum('Actuals - Billing - 2025'!T349:Y349)&gt;0,C117&lt;&gt;""),'Actuals - Billing - 2025'!$U$2,"")</f>
        <v/>
      </c>
      <c r="E117" s="11" t="str">
        <f t="array" ref="E117">if($D117="","",index('Actuals - Billing - 2025'!$B117:$AE1015,Match($C117,'Actuals - Billing - 2025'!$B117:$B1015,0),Match(E$1,'Actuals - Billing - 2025'!$B$2:$AE$2,0)))</f>
        <v/>
      </c>
      <c r="F117" s="11" t="str">
        <f t="array" ref="F117">if($D117="","",index('Actuals - Billing - 2025'!$B117:$AE1015,Match($C117,'Actuals - Billing - 2025'!$B117:$B1015,0),Match(F$1,'Actuals - Billing - 2025'!$B$2:$AE$2,0)))</f>
        <v/>
      </c>
      <c r="G117" s="11" t="str">
        <f t="array" ref="G117">if($D117="","",index('Actuals - Billing - 2025'!$B117:$AE1015,Match($C117,'Actuals - Billing - 2025'!$B117:$B1015,0),Match(G$1,'Actuals - Billing - 2025'!$B$2:$AE$2,0)))</f>
        <v/>
      </c>
      <c r="H117" s="11" t="str">
        <f t="array" ref="H117">if($D117="","",index('Actuals - Billing - 2025'!$B117:$AE1015,Match($C117,'Actuals - Billing - 2025'!$B117:$B1015,0),Match(H$1,'Actuals - Billing - 2025'!$B$2:$AE$2,0)))</f>
        <v/>
      </c>
      <c r="I117" s="11"/>
      <c r="J117" s="11" t="str">
        <f t="shared" si="5"/>
        <v/>
      </c>
      <c r="K117" s="12" t="str">
        <f t="shared" si="6"/>
        <v/>
      </c>
      <c r="L117" s="1" t="str">
        <f t="shared" si="10"/>
        <v/>
      </c>
      <c r="M117" s="4" t="str">
        <f t="shared" si="8"/>
        <v/>
      </c>
      <c r="N117" s="17" t="str">
        <f>if(M117&lt;&gt;"",'Actuals - Billing - 2025'!BG349,"")</f>
        <v/>
      </c>
      <c r="O117" s="15"/>
    </row>
    <row r="118">
      <c r="A118" s="7" t="str">
        <f t="shared" si="1"/>
        <v/>
      </c>
      <c r="B118" s="8" t="str">
        <f>if(and('Actuals - Billing - 2025'!E$352=True,C118&lt;&gt;""),'Actuals - Billing - 2025'!C350,"")</f>
        <v/>
      </c>
      <c r="C118" s="9" t="str">
        <f>IF(and('Actuals - Billing - 2025'!E$352=True,sum('Actuals - Billing - 2025'!T350:Y350)&gt;0),'Actuals - Billing - 2025'!B350,"")</f>
        <v/>
      </c>
      <c r="D118" s="10" t="str">
        <f>if(and(sum('Actuals - Billing - 2025'!T350:Y350)&gt;0,C118&lt;&gt;""),'Actuals - Billing - 2025'!$U$2,"")</f>
        <v/>
      </c>
      <c r="E118" s="11" t="str">
        <f t="array" ref="E118">if($D118="","",index('Actuals - Billing - 2025'!$B118:$AE1016,Match($C118,'Actuals - Billing - 2025'!$B118:$B1016,0),Match(E$1,'Actuals - Billing - 2025'!$B$2:$AE$2,0)))</f>
        <v/>
      </c>
      <c r="F118" s="11" t="str">
        <f t="array" ref="F118">if($D118="","",index('Actuals - Billing - 2025'!$B118:$AE1016,Match($C118,'Actuals - Billing - 2025'!$B118:$B1016,0),Match(F$1,'Actuals - Billing - 2025'!$B$2:$AE$2,0)))</f>
        <v/>
      </c>
      <c r="G118" s="11" t="str">
        <f t="array" ref="G118">if($D118="","",index('Actuals - Billing - 2025'!$B118:$AE1016,Match($C118,'Actuals - Billing - 2025'!$B118:$B1016,0),Match(G$1,'Actuals - Billing - 2025'!$B$2:$AE$2,0)))</f>
        <v/>
      </c>
      <c r="H118" s="11" t="str">
        <f t="array" ref="H118">if($D118="","",index('Actuals - Billing - 2025'!$B118:$AE1016,Match($C118,'Actuals - Billing - 2025'!$B118:$B1016,0),Match(H$1,'Actuals - Billing - 2025'!$B$2:$AE$2,0)))</f>
        <v/>
      </c>
      <c r="I118" s="11"/>
      <c r="J118" s="11" t="str">
        <f t="shared" si="5"/>
        <v/>
      </c>
      <c r="K118" s="12" t="str">
        <f t="shared" si="6"/>
        <v/>
      </c>
      <c r="L118" s="1" t="str">
        <f t="shared" si="10"/>
        <v/>
      </c>
      <c r="M118" s="4" t="str">
        <f t="shared" si="8"/>
        <v/>
      </c>
      <c r="N118" s="17" t="str">
        <f>if(M118&lt;&gt;"",'Actuals - Billing - 2025'!BG350,"")</f>
        <v/>
      </c>
      <c r="O118" s="15"/>
    </row>
    <row r="119">
      <c r="A119" s="7" t="str">
        <f t="shared" si="1"/>
        <v/>
      </c>
      <c r="B119" s="8" t="str">
        <f>if(and('Actuals - Billing - 2025'!E$352=True,C119&lt;&gt;""),'Actuals - Billing - 2025'!C351,"")</f>
        <v/>
      </c>
      <c r="C119" s="9" t="str">
        <f>IF(and('Actuals - Billing - 2025'!E$352=True,sum('Actuals - Billing - 2025'!T351:Y351)&gt;0),'Actuals - Billing - 2025'!B351,"")</f>
        <v/>
      </c>
      <c r="D119" s="10" t="str">
        <f>if(and(sum('Actuals - Billing - 2025'!T351:Y351)&gt;0,C119&lt;&gt;""),'Actuals - Billing - 2025'!$U$2,"")</f>
        <v/>
      </c>
      <c r="E119" s="11" t="str">
        <f t="array" ref="E119">if($D119="","",index('Actuals - Billing - 2025'!$B119:$AE1017,Match($C119,'Actuals - Billing - 2025'!$B119:$B1017,0),Match(E$1,'Actuals - Billing - 2025'!$B$2:$AE$2,0)))</f>
        <v/>
      </c>
      <c r="F119" s="11" t="str">
        <f t="array" ref="F119">if($D119="","",index('Actuals - Billing - 2025'!$B119:$AE1017,Match($C119,'Actuals - Billing - 2025'!$B119:$B1017,0),Match(F$1,'Actuals - Billing - 2025'!$B$2:$AE$2,0)))</f>
        <v/>
      </c>
      <c r="G119" s="11" t="str">
        <f t="array" ref="G119">if($D119="","",index('Actuals - Billing - 2025'!$B119:$AE1017,Match($C119,'Actuals - Billing - 2025'!$B119:$B1017,0),Match(G$1,'Actuals - Billing - 2025'!$B$2:$AE$2,0)))</f>
        <v/>
      </c>
      <c r="H119" s="11" t="str">
        <f t="array" ref="H119">if($D119="","",index('Actuals - Billing - 2025'!$B119:$AE1017,Match($C119,'Actuals - Billing - 2025'!$B119:$B1017,0),Match(H$1,'Actuals - Billing - 2025'!$B$2:$AE$2,0)))</f>
        <v/>
      </c>
      <c r="I119" s="11"/>
      <c r="J119" s="11" t="str">
        <f t="shared" si="5"/>
        <v/>
      </c>
      <c r="K119" s="12" t="str">
        <f t="shared" si="6"/>
        <v/>
      </c>
      <c r="L119" s="1" t="str">
        <f t="shared" si="10"/>
        <v/>
      </c>
      <c r="M119" s="4" t="str">
        <f t="shared" si="8"/>
        <v/>
      </c>
      <c r="N119" s="17" t="str">
        <f>if(M119&lt;&gt;"",'Actuals - Billing - 2025'!BG351,"")</f>
        <v/>
      </c>
      <c r="O119" s="15"/>
    </row>
    <row r="120">
      <c r="A120" s="7" t="str">
        <f t="shared" si="1"/>
        <v/>
      </c>
      <c r="B120" s="8" t="str">
        <f>if(and('Actuals - Billing - 2025'!E$352=True,C120&lt;&gt;""),'Actuals - Billing - 2025'!C352,"")</f>
        <v/>
      </c>
      <c r="C120" s="9" t="str">
        <f>IF(and('Actuals - Billing - 2025'!E$352=True,sum('Actuals - Billing - 2025'!T352:Y352)&gt;0),'Actuals - Billing - 2025'!B352,"")</f>
        <v/>
      </c>
      <c r="D120" s="10" t="str">
        <f>if(and(sum('Actuals - Billing - 2025'!T352:Y352)&gt;0,C120&lt;&gt;""),'Actuals - Billing - 2025'!$U$2,"")</f>
        <v/>
      </c>
      <c r="E120" s="11" t="str">
        <f t="array" ref="E120">if($D120="","",index('Actuals - Billing - 2025'!$B120:$AE1018,Match($C120,'Actuals - Billing - 2025'!$B120:$B1018,0),Match(E$1,'Actuals - Billing - 2025'!$B$2:$AE$2,0)))</f>
        <v/>
      </c>
      <c r="F120" s="11" t="str">
        <f t="array" ref="F120">if($D120="","",index('Actuals - Billing - 2025'!$B120:$AE1018,Match($C120,'Actuals - Billing - 2025'!$B120:$B1018,0),Match(F$1,'Actuals - Billing - 2025'!$B$2:$AE$2,0)))</f>
        <v/>
      </c>
      <c r="G120" s="11" t="str">
        <f t="array" ref="G120">if($D120="","",index('Actuals - Billing - 2025'!$B120:$AE1018,Match($C120,'Actuals - Billing - 2025'!$B120:$B1018,0),Match(G$1,'Actuals - Billing - 2025'!$B$2:$AE$2,0)))</f>
        <v/>
      </c>
      <c r="H120" s="11" t="str">
        <f t="array" ref="H120">if($D120="","",index('Actuals - Billing - 2025'!$B120:$AE1018,Match($C120,'Actuals - Billing - 2025'!$B120:$B1018,0),Match(H$1,'Actuals - Billing - 2025'!$B$2:$AE$2,0)))</f>
        <v/>
      </c>
      <c r="I120" s="11"/>
      <c r="J120" s="11" t="str">
        <f t="shared" si="5"/>
        <v/>
      </c>
      <c r="K120" s="12" t="str">
        <f t="shared" si="6"/>
        <v/>
      </c>
      <c r="L120" s="1" t="str">
        <f t="shared" si="10"/>
        <v/>
      </c>
      <c r="M120" s="4" t="str">
        <f t="shared" si="8"/>
        <v/>
      </c>
      <c r="N120" s="17" t="str">
        <f>if(M120&lt;&gt;"",'Actuals - Billing - 2025'!BG352,"")</f>
        <v/>
      </c>
      <c r="O120" s="15"/>
    </row>
    <row r="121">
      <c r="A121" s="7" t="str">
        <f t="shared" si="1"/>
        <v/>
      </c>
      <c r="B121" s="8" t="str">
        <f>if(and('Actuals - Billing - 2025'!E$359=True,C121&lt;&gt;""),'Actuals - Billing - 2025'!C353,"")</f>
        <v/>
      </c>
      <c r="C121" s="9" t="str">
        <f>IF(and('Actuals - Billing - 2025'!E$359=True,sum('Actuals - Billing - 2025'!T353:Y353)&gt;0),'Actuals - Billing - 2025'!B353,"")</f>
        <v/>
      </c>
      <c r="D121" s="10" t="str">
        <f>if(and(sum('Actuals - Billing - 2025'!T353:Y353)&gt;0,C121&lt;&gt;""),'Actuals - Billing - 2025'!$U$2,"")</f>
        <v/>
      </c>
      <c r="E121" s="11" t="str">
        <f t="array" ref="E121">if($D121="","",index('Actuals - Billing - 2025'!$B121:$AE1019,Match($C121,'Actuals - Billing - 2025'!$B121:$B1019,0),Match(E$1,'Actuals - Billing - 2025'!$B$2:$AE$2,0)))</f>
        <v/>
      </c>
      <c r="F121" s="11" t="str">
        <f t="array" ref="F121">if($D121="","",index('Actuals - Billing - 2025'!$B121:$AE1019,Match($C121,'Actuals - Billing - 2025'!$B121:$B1019,0),Match(F$1,'Actuals - Billing - 2025'!$B$2:$AE$2,0)))</f>
        <v/>
      </c>
      <c r="G121" s="11" t="str">
        <f t="array" ref="G121">if($D121="","",index('Actuals - Billing - 2025'!$B121:$AE1019,Match($C121,'Actuals - Billing - 2025'!$B121:$B1019,0),Match(G$1,'Actuals - Billing - 2025'!$B$2:$AE$2,0)))</f>
        <v/>
      </c>
      <c r="H121" s="11" t="str">
        <f t="array" ref="H121">if($D121="","",index('Actuals - Billing - 2025'!$B121:$AE1019,Match($C121,'Actuals - Billing - 2025'!$B121:$B1019,0),Match(H$1,'Actuals - Billing - 2025'!$B$2:$AE$2,0)))</f>
        <v/>
      </c>
      <c r="I121" s="11"/>
      <c r="J121" s="11" t="str">
        <f t="shared" si="5"/>
        <v/>
      </c>
      <c r="K121" s="12" t="str">
        <f t="shared" si="6"/>
        <v/>
      </c>
      <c r="L121" s="1" t="str">
        <f t="shared" si="10"/>
        <v/>
      </c>
      <c r="M121" s="4" t="str">
        <f t="shared" si="8"/>
        <v/>
      </c>
      <c r="N121" s="17" t="str">
        <f>if(M121&lt;&gt;"",'Actuals - Billing - 2025'!BG353,"")</f>
        <v/>
      </c>
      <c r="O121" s="15"/>
    </row>
    <row r="122">
      <c r="A122" s="7" t="str">
        <f t="shared" si="1"/>
        <v/>
      </c>
      <c r="B122" s="8" t="str">
        <f>if(and('Actuals - Billing - 2025'!E$359=True,C122&lt;&gt;""),'Actuals - Billing - 2025'!C354,"")</f>
        <v/>
      </c>
      <c r="C122" s="9" t="str">
        <f>IF(and('Actuals - Billing - 2025'!E$359=True,sum('Actuals - Billing - 2025'!T354:Y354)&gt;0),'Actuals - Billing - 2025'!B354,"")</f>
        <v/>
      </c>
      <c r="D122" s="10" t="str">
        <f>if(and(sum('Actuals - Billing - 2025'!T354:Y354)&gt;0,C122&lt;&gt;""),'Actuals - Billing - 2025'!$U$2,"")</f>
        <v/>
      </c>
      <c r="E122" s="11" t="str">
        <f t="array" ref="E122">if($D122="","",index('Actuals - Billing - 2025'!$B122:$AE1020,Match($C122,'Actuals - Billing - 2025'!$B122:$B1020,0),Match(E$1,'Actuals - Billing - 2025'!$B$2:$AE$2,0)))</f>
        <v/>
      </c>
      <c r="F122" s="11" t="str">
        <f t="array" ref="F122">if($D122="","",index('Actuals - Billing - 2025'!$B122:$AE1020,Match($C122,'Actuals - Billing - 2025'!$B122:$B1020,0),Match(F$1,'Actuals - Billing - 2025'!$B$2:$AE$2,0)))</f>
        <v/>
      </c>
      <c r="G122" s="11" t="str">
        <f t="array" ref="G122">if($D122="","",index('Actuals - Billing - 2025'!$B122:$AE1020,Match($C122,'Actuals - Billing - 2025'!$B122:$B1020,0),Match(G$1,'Actuals - Billing - 2025'!$B$2:$AE$2,0)))</f>
        <v/>
      </c>
      <c r="H122" s="11" t="str">
        <f t="array" ref="H122">if($D122="","",index('Actuals - Billing - 2025'!$B122:$AE1020,Match($C122,'Actuals - Billing - 2025'!$B122:$B1020,0),Match(H$1,'Actuals - Billing - 2025'!$B$2:$AE$2,0)))</f>
        <v/>
      </c>
      <c r="I122" s="11"/>
      <c r="J122" s="11" t="str">
        <f t="shared" si="5"/>
        <v/>
      </c>
      <c r="K122" s="12" t="str">
        <f t="shared" si="6"/>
        <v/>
      </c>
      <c r="L122" s="1" t="str">
        <f t="shared" si="10"/>
        <v/>
      </c>
      <c r="M122" s="4" t="str">
        <f t="shared" si="8"/>
        <v/>
      </c>
      <c r="N122" s="17" t="str">
        <f>if(M122&lt;&gt;"",'Actuals - Billing - 2025'!BG354,"")</f>
        <v/>
      </c>
      <c r="O122" s="15"/>
    </row>
    <row r="123">
      <c r="A123" s="7" t="str">
        <f t="shared" si="1"/>
        <v/>
      </c>
      <c r="B123" s="8" t="str">
        <f>if(and('Actuals - Billing - 2025'!E$359=True,C123&lt;&gt;""),'Actuals - Billing - 2025'!C355,"")</f>
        <v/>
      </c>
      <c r="C123" s="9" t="str">
        <f>IF(and('Actuals - Billing - 2025'!E$359=True,sum('Actuals - Billing - 2025'!T355:Y355)&gt;0),'Actuals - Billing - 2025'!B355,"")</f>
        <v/>
      </c>
      <c r="D123" s="10" t="str">
        <f>if(and(sum('Actuals - Billing - 2025'!T355:Y355)&gt;0,C123&lt;&gt;""),'Actuals - Billing - 2025'!$U$2,"")</f>
        <v/>
      </c>
      <c r="E123" s="11" t="str">
        <f t="array" ref="E123">if($D123="","",index('Actuals - Billing - 2025'!$B123:$AE1021,Match($C123,'Actuals - Billing - 2025'!$B123:$B1021,0),Match(E$1,'Actuals - Billing - 2025'!$B$2:$AE$2,0)))</f>
        <v/>
      </c>
      <c r="F123" s="11" t="str">
        <f t="array" ref="F123">if($D123="","",index('Actuals - Billing - 2025'!$B123:$AE1021,Match($C123,'Actuals - Billing - 2025'!$B123:$B1021,0),Match(F$1,'Actuals - Billing - 2025'!$B$2:$AE$2,0)))</f>
        <v/>
      </c>
      <c r="G123" s="11" t="str">
        <f t="array" ref="G123">if($D123="","",index('Actuals - Billing - 2025'!$B123:$AE1021,Match($C123,'Actuals - Billing - 2025'!$B123:$B1021,0),Match(G$1,'Actuals - Billing - 2025'!$B$2:$AE$2,0)))</f>
        <v/>
      </c>
      <c r="H123" s="11" t="str">
        <f t="array" ref="H123">if($D123="","",index('Actuals - Billing - 2025'!$B123:$AE1021,Match($C123,'Actuals - Billing - 2025'!$B123:$B1021,0),Match(H$1,'Actuals - Billing - 2025'!$B$2:$AE$2,0)))</f>
        <v/>
      </c>
      <c r="I123" s="11"/>
      <c r="J123" s="11" t="str">
        <f t="shared" si="5"/>
        <v/>
      </c>
      <c r="K123" s="12" t="str">
        <f t="shared" si="6"/>
        <v/>
      </c>
      <c r="L123" s="1" t="str">
        <f t="shared" si="10"/>
        <v/>
      </c>
      <c r="M123" s="4" t="str">
        <f t="shared" si="8"/>
        <v/>
      </c>
      <c r="N123" s="17" t="str">
        <f>if(M123&lt;&gt;"",'Actuals - Billing - 2025'!BG355,"")</f>
        <v/>
      </c>
      <c r="O123" s="15"/>
    </row>
    <row r="124">
      <c r="A124" s="7" t="str">
        <f t="shared" si="1"/>
        <v/>
      </c>
      <c r="B124" s="8" t="str">
        <f>if(and('Actuals - Billing - 2025'!E$359=True,C124&lt;&gt;""),'Actuals - Billing - 2025'!C356,"")</f>
        <v/>
      </c>
      <c r="C124" s="9" t="str">
        <f>IF(and('Actuals - Billing - 2025'!E$359=True,sum('Actuals - Billing - 2025'!T356:Y356)&gt;0),'Actuals - Billing - 2025'!B356,"")</f>
        <v/>
      </c>
      <c r="D124" s="10" t="str">
        <f>if(and(sum('Actuals - Billing - 2025'!T356:Y356)&gt;0,C124&lt;&gt;""),'Actuals - Billing - 2025'!$U$2,"")</f>
        <v/>
      </c>
      <c r="E124" s="11" t="str">
        <f t="array" ref="E124">if($D124="","",index('Actuals - Billing - 2025'!$B124:$AE1022,Match($C124,'Actuals - Billing - 2025'!$B124:$B1022,0),Match(E$1,'Actuals - Billing - 2025'!$B$2:$AE$2,0)))</f>
        <v/>
      </c>
      <c r="F124" s="11" t="str">
        <f t="array" ref="F124">if($D124="","",index('Actuals - Billing - 2025'!$B124:$AE1022,Match($C124,'Actuals - Billing - 2025'!$B124:$B1022,0),Match(F$1,'Actuals - Billing - 2025'!$B$2:$AE$2,0)))</f>
        <v/>
      </c>
      <c r="G124" s="11" t="str">
        <f t="array" ref="G124">if($D124="","",index('Actuals - Billing - 2025'!$B124:$AE1022,Match($C124,'Actuals - Billing - 2025'!$B124:$B1022,0),Match(G$1,'Actuals - Billing - 2025'!$B$2:$AE$2,0)))</f>
        <v/>
      </c>
      <c r="H124" s="11" t="str">
        <f t="array" ref="H124">if($D124="","",index('Actuals - Billing - 2025'!$B124:$AE1022,Match($C124,'Actuals - Billing - 2025'!$B124:$B1022,0),Match(H$1,'Actuals - Billing - 2025'!$B$2:$AE$2,0)))</f>
        <v/>
      </c>
      <c r="I124" s="11"/>
      <c r="J124" s="11" t="str">
        <f t="shared" si="5"/>
        <v/>
      </c>
      <c r="K124" s="12" t="str">
        <f t="shared" si="6"/>
        <v/>
      </c>
      <c r="L124" s="1" t="str">
        <f t="shared" si="10"/>
        <v/>
      </c>
      <c r="M124" s="4" t="str">
        <f t="shared" si="8"/>
        <v/>
      </c>
      <c r="N124" s="17" t="str">
        <f>if(M124&lt;&gt;"",'Actuals - Billing - 2025'!BG356,"")</f>
        <v/>
      </c>
      <c r="O124" s="15"/>
    </row>
    <row r="125">
      <c r="A125" s="7" t="str">
        <f t="shared" si="1"/>
        <v/>
      </c>
      <c r="B125" s="8" t="str">
        <f>if(and('Actuals - Billing - 2025'!E$359=True,C125&lt;&gt;""),'Actuals - Billing - 2025'!C357,"")</f>
        <v/>
      </c>
      <c r="C125" s="9" t="str">
        <f>IF(and('Actuals - Billing - 2025'!E$359=True,sum('Actuals - Billing - 2025'!T357:Y357)&gt;0),'Actuals - Billing - 2025'!B357,"")</f>
        <v/>
      </c>
      <c r="D125" s="10" t="str">
        <f>if(and(sum('Actuals - Billing - 2025'!T357:Y357)&gt;0,C125&lt;&gt;""),'Actuals - Billing - 2025'!$U$2,"")</f>
        <v/>
      </c>
      <c r="E125" s="11" t="str">
        <f t="array" ref="E125">if($D125="","",index('Actuals - Billing - 2025'!$B125:$AE1023,Match($C125,'Actuals - Billing - 2025'!$B125:$B1023,0),Match(E$1,'Actuals - Billing - 2025'!$B$2:$AE$2,0)))</f>
        <v/>
      </c>
      <c r="F125" s="11" t="str">
        <f t="array" ref="F125">if($D125="","",index('Actuals - Billing - 2025'!$B125:$AE1023,Match($C125,'Actuals - Billing - 2025'!$B125:$B1023,0),Match(F$1,'Actuals - Billing - 2025'!$B$2:$AE$2,0)))</f>
        <v/>
      </c>
      <c r="G125" s="11" t="str">
        <f t="array" ref="G125">if($D125="","",index('Actuals - Billing - 2025'!$B125:$AE1023,Match($C125,'Actuals - Billing - 2025'!$B125:$B1023,0),Match(G$1,'Actuals - Billing - 2025'!$B$2:$AE$2,0)))</f>
        <v/>
      </c>
      <c r="H125" s="11" t="str">
        <f t="array" ref="H125">if($D125="","",index('Actuals - Billing - 2025'!$B125:$AE1023,Match($C125,'Actuals - Billing - 2025'!$B125:$B1023,0),Match(H$1,'Actuals - Billing - 2025'!$B$2:$AE$2,0)))</f>
        <v/>
      </c>
      <c r="I125" s="11"/>
      <c r="J125" s="11" t="str">
        <f t="shared" si="5"/>
        <v/>
      </c>
      <c r="K125" s="12" t="str">
        <f t="shared" si="6"/>
        <v/>
      </c>
      <c r="L125" s="1" t="str">
        <f t="shared" si="10"/>
        <v/>
      </c>
      <c r="M125" s="4" t="str">
        <f t="shared" si="8"/>
        <v/>
      </c>
      <c r="N125" s="17" t="str">
        <f>if(M125&lt;&gt;"",'Actuals - Billing - 2025'!BG357,"")</f>
        <v/>
      </c>
      <c r="O125" s="15"/>
    </row>
    <row r="126">
      <c r="A126" s="7" t="str">
        <f t="shared" si="1"/>
        <v/>
      </c>
      <c r="B126" s="8" t="str">
        <f>if(and('Actuals - Billing - 2025'!E$359=True,C126&lt;&gt;""),'Actuals - Billing - 2025'!C358,"")</f>
        <v/>
      </c>
      <c r="C126" s="9" t="str">
        <f>IF(and('Actuals - Billing - 2025'!E$359=True,sum('Actuals - Billing - 2025'!T358:Y358)&gt;0),'Actuals - Billing - 2025'!B358,"")</f>
        <v/>
      </c>
      <c r="D126" s="10" t="str">
        <f>if(and(sum('Actuals - Billing - 2025'!T358:Y358)&gt;0,C126&lt;&gt;""),'Actuals - Billing - 2025'!$U$2,"")</f>
        <v/>
      </c>
      <c r="E126" s="11" t="str">
        <f t="array" ref="E126">if($D126="","",index('Actuals - Billing - 2025'!$B126:$AE1024,Match($C126,'Actuals - Billing - 2025'!$B126:$B1024,0),Match(E$1,'Actuals - Billing - 2025'!$B$2:$AE$2,0)))</f>
        <v/>
      </c>
      <c r="F126" s="11" t="str">
        <f t="array" ref="F126">if($D126="","",index('Actuals - Billing - 2025'!$B126:$AE1024,Match($C126,'Actuals - Billing - 2025'!$B126:$B1024,0),Match(F$1,'Actuals - Billing - 2025'!$B$2:$AE$2,0)))</f>
        <v/>
      </c>
      <c r="G126" s="11" t="str">
        <f t="array" ref="G126">if($D126="","",index('Actuals - Billing - 2025'!$B126:$AE1024,Match($C126,'Actuals - Billing - 2025'!$B126:$B1024,0),Match(G$1,'Actuals - Billing - 2025'!$B$2:$AE$2,0)))</f>
        <v/>
      </c>
      <c r="H126" s="11" t="str">
        <f t="array" ref="H126">if($D126="","",index('Actuals - Billing - 2025'!$B126:$AE1024,Match($C126,'Actuals - Billing - 2025'!$B126:$B1024,0),Match(H$1,'Actuals - Billing - 2025'!$B$2:$AE$2,0)))</f>
        <v/>
      </c>
      <c r="I126" s="11"/>
      <c r="J126" s="11" t="str">
        <f t="shared" si="5"/>
        <v/>
      </c>
      <c r="K126" s="12" t="str">
        <f t="shared" si="6"/>
        <v/>
      </c>
      <c r="L126" s="1" t="str">
        <f t="shared" si="10"/>
        <v/>
      </c>
      <c r="M126" s="4" t="str">
        <f t="shared" si="8"/>
        <v/>
      </c>
      <c r="N126" s="17" t="str">
        <f>if(M126&lt;&gt;"",'Actuals - Billing - 2025'!BG358,"")</f>
        <v/>
      </c>
      <c r="O126" s="15"/>
    </row>
    <row r="127">
      <c r="A127" s="7" t="str">
        <f t="shared" si="1"/>
        <v/>
      </c>
      <c r="B127" s="8" t="str">
        <f>if(and('Actuals - Billing - 2025'!E$359=True,C127&lt;&gt;""),'Actuals - Billing - 2025'!C359,"")</f>
        <v/>
      </c>
      <c r="C127" s="9" t="str">
        <f>IF(and('Actuals - Billing - 2025'!E$359=True,sum('Actuals - Billing - 2025'!T359:Y359)&gt;0),'Actuals - Billing - 2025'!B359,"")</f>
        <v/>
      </c>
      <c r="D127" s="10" t="str">
        <f>if(and(sum('Actuals - Billing - 2025'!T359:Y359)&gt;0,C127&lt;&gt;""),'Actuals - Billing - 2025'!$U$2,"")</f>
        <v/>
      </c>
      <c r="E127" s="11" t="str">
        <f t="array" ref="E127">if($D127="","",index('Actuals - Billing - 2025'!$B127:$AE1025,Match($C127,'Actuals - Billing - 2025'!$B127:$B1025,0),Match(E$1,'Actuals - Billing - 2025'!$B$2:$AE$2,0)))</f>
        <v/>
      </c>
      <c r="F127" s="11" t="str">
        <f t="array" ref="F127">if($D127="","",index('Actuals - Billing - 2025'!$B127:$AE1025,Match($C127,'Actuals - Billing - 2025'!$B127:$B1025,0),Match(F$1,'Actuals - Billing - 2025'!$B$2:$AE$2,0)))</f>
        <v/>
      </c>
      <c r="G127" s="11" t="str">
        <f t="array" ref="G127">if($D127="","",index('Actuals - Billing - 2025'!$B127:$AE1025,Match($C127,'Actuals - Billing - 2025'!$B127:$B1025,0),Match(G$1,'Actuals - Billing - 2025'!$B$2:$AE$2,0)))</f>
        <v/>
      </c>
      <c r="H127" s="11" t="str">
        <f t="array" ref="H127">if($D127="","",index('Actuals - Billing - 2025'!$B127:$AE1025,Match($C127,'Actuals - Billing - 2025'!$B127:$B1025,0),Match(H$1,'Actuals - Billing - 2025'!$B$2:$AE$2,0)))</f>
        <v/>
      </c>
      <c r="I127" s="11"/>
      <c r="J127" s="11" t="str">
        <f t="shared" si="5"/>
        <v/>
      </c>
      <c r="K127" s="12" t="str">
        <f t="shared" si="6"/>
        <v/>
      </c>
      <c r="L127" s="1" t="str">
        <f t="shared" si="10"/>
        <v/>
      </c>
      <c r="M127" s="4" t="str">
        <f t="shared" si="8"/>
        <v/>
      </c>
      <c r="N127" s="17" t="str">
        <f>if(M127&lt;&gt;"",'Actuals - Billing - 2025'!BG359,"")</f>
        <v/>
      </c>
      <c r="O127" s="15"/>
    </row>
    <row r="128">
      <c r="A128" s="7" t="str">
        <f t="shared" si="1"/>
        <v/>
      </c>
      <c r="B128" s="8" t="str">
        <f>if(and('Actuals - Billing - 2025'!E$366=True,C128&lt;&gt;""),'Actuals - Billing - 2025'!C360,"")</f>
        <v/>
      </c>
      <c r="C128" s="9" t="str">
        <f>IF(and('Actuals - Billing - 2025'!E$366=True,sum('Actuals - Billing - 2025'!T360:Y360)&gt;0),'Actuals - Billing - 2025'!B360,"")</f>
        <v/>
      </c>
      <c r="D128" s="10" t="str">
        <f>if(and(sum('Actuals - Billing - 2025'!T360:Y360)&gt;0,C128&lt;&gt;""),'Actuals - Billing - 2025'!$U$2,"")</f>
        <v/>
      </c>
      <c r="E128" s="11" t="str">
        <f t="array" ref="E128">if($D128="","",index('Actuals - Billing - 2025'!$B128:$AE1026,Match($C128,'Actuals - Billing - 2025'!$B128:$B1026,0),Match(E$1,'Actuals - Billing - 2025'!$B$2:$AE$2,0)))</f>
        <v/>
      </c>
      <c r="F128" s="11" t="str">
        <f t="array" ref="F128">if($D128="","",index('Actuals - Billing - 2025'!$B128:$AE1026,Match($C128,'Actuals - Billing - 2025'!$B128:$B1026,0),Match(F$1,'Actuals - Billing - 2025'!$B$2:$AE$2,0)))</f>
        <v/>
      </c>
      <c r="G128" s="11" t="str">
        <f t="array" ref="G128">if($D128="","",index('Actuals - Billing - 2025'!$B128:$AE1026,Match($C128,'Actuals - Billing - 2025'!$B128:$B1026,0),Match(G$1,'Actuals - Billing - 2025'!$B$2:$AE$2,0)))</f>
        <v/>
      </c>
      <c r="H128" s="11" t="str">
        <f t="array" ref="H128">if($D128="","",index('Actuals - Billing - 2025'!$B128:$AE1026,Match($C128,'Actuals - Billing - 2025'!$B128:$B1026,0),Match(H$1,'Actuals - Billing - 2025'!$B$2:$AE$2,0)))</f>
        <v/>
      </c>
      <c r="I128" s="11"/>
      <c r="J128" s="11" t="str">
        <f t="shared" si="5"/>
        <v/>
      </c>
      <c r="K128" s="12" t="str">
        <f t="shared" si="6"/>
        <v/>
      </c>
      <c r="L128" s="1" t="str">
        <f t="shared" si="10"/>
        <v/>
      </c>
      <c r="M128" s="4" t="str">
        <f t="shared" si="8"/>
        <v/>
      </c>
      <c r="N128" s="17" t="str">
        <f>if(M128&lt;&gt;"",'Actuals - Billing - 2025'!BG360,"")</f>
        <v/>
      </c>
      <c r="O128" s="15"/>
    </row>
    <row r="129">
      <c r="A129" s="7" t="str">
        <f t="shared" si="1"/>
        <v/>
      </c>
      <c r="B129" s="8" t="str">
        <f>if(and('Actuals - Billing - 2025'!E$366=True,C129&lt;&gt;""),'Actuals - Billing - 2025'!C361,"")</f>
        <v/>
      </c>
      <c r="C129" s="9" t="str">
        <f>IF(and('Actuals - Billing - 2025'!E$366=True,sum('Actuals - Billing - 2025'!T361:Y361)&gt;0),'Actuals - Billing - 2025'!B361,"")</f>
        <v/>
      </c>
      <c r="D129" s="10" t="str">
        <f>if(and(sum('Actuals - Billing - 2025'!T361:Y361)&gt;0,C129&lt;&gt;""),'Actuals - Billing - 2025'!$U$2,"")</f>
        <v/>
      </c>
      <c r="E129" s="11" t="str">
        <f t="array" ref="E129">if($D129="","",index('Actuals - Billing - 2025'!$B129:$AE1027,Match($C129,'Actuals - Billing - 2025'!$B129:$B1027,0),Match(E$1,'Actuals - Billing - 2025'!$B$2:$AE$2,0)))</f>
        <v/>
      </c>
      <c r="F129" s="11" t="str">
        <f t="array" ref="F129">if($D129="","",index('Actuals - Billing - 2025'!$B129:$AE1027,Match($C129,'Actuals - Billing - 2025'!$B129:$B1027,0),Match(F$1,'Actuals - Billing - 2025'!$B$2:$AE$2,0)))</f>
        <v/>
      </c>
      <c r="G129" s="11" t="str">
        <f t="array" ref="G129">if($D129="","",index('Actuals - Billing - 2025'!$B129:$AE1027,Match($C129,'Actuals - Billing - 2025'!$B129:$B1027,0),Match(G$1,'Actuals - Billing - 2025'!$B$2:$AE$2,0)))</f>
        <v/>
      </c>
      <c r="H129" s="11" t="str">
        <f t="array" ref="H129">if($D129="","",index('Actuals - Billing - 2025'!$B129:$AE1027,Match($C129,'Actuals - Billing - 2025'!$B129:$B1027,0),Match(H$1,'Actuals - Billing - 2025'!$B$2:$AE$2,0)))</f>
        <v/>
      </c>
      <c r="I129" s="11"/>
      <c r="J129" s="11" t="str">
        <f t="shared" si="5"/>
        <v/>
      </c>
      <c r="K129" s="12" t="str">
        <f t="shared" si="6"/>
        <v/>
      </c>
      <c r="L129" s="1" t="str">
        <f t="shared" si="10"/>
        <v/>
      </c>
      <c r="M129" s="4" t="str">
        <f t="shared" si="8"/>
        <v/>
      </c>
      <c r="N129" s="17" t="str">
        <f>if(M129&lt;&gt;"",'Actuals - Billing - 2025'!BG361,"")</f>
        <v/>
      </c>
      <c r="O129" s="15"/>
    </row>
    <row r="130">
      <c r="A130" s="7" t="str">
        <f t="shared" si="1"/>
        <v/>
      </c>
      <c r="B130" s="8" t="str">
        <f>if(and('Actuals - Billing - 2025'!E$366=True,C130&lt;&gt;""),'Actuals - Billing - 2025'!C362,"")</f>
        <v/>
      </c>
      <c r="C130" s="9" t="str">
        <f>IF(and('Actuals - Billing - 2025'!E$366=True,sum('Actuals - Billing - 2025'!T362:Y362)&gt;0),'Actuals - Billing - 2025'!B362,"")</f>
        <v/>
      </c>
      <c r="D130" s="10" t="str">
        <f>if(and(sum('Actuals - Billing - 2025'!T362:Y362)&gt;0,C130&lt;&gt;""),'Actuals - Billing - 2025'!$U$2,"")</f>
        <v/>
      </c>
      <c r="E130" s="11" t="str">
        <f t="array" ref="E130">if($D130="","",index('Actuals - Billing - 2025'!$B130:$AE1028,Match($C130,'Actuals - Billing - 2025'!$B130:$B1028,0),Match(E$1,'Actuals - Billing - 2025'!$B$2:$AE$2,0)))</f>
        <v/>
      </c>
      <c r="F130" s="11" t="str">
        <f t="array" ref="F130">if($D130="","",index('Actuals - Billing - 2025'!$B130:$AE1028,Match($C130,'Actuals - Billing - 2025'!$B130:$B1028,0),Match(F$1,'Actuals - Billing - 2025'!$B$2:$AE$2,0)))</f>
        <v/>
      </c>
      <c r="G130" s="11" t="str">
        <f t="array" ref="G130">if($D130="","",index('Actuals - Billing - 2025'!$B130:$AE1028,Match($C130,'Actuals - Billing - 2025'!$B130:$B1028,0),Match(G$1,'Actuals - Billing - 2025'!$B$2:$AE$2,0)))</f>
        <v/>
      </c>
      <c r="H130" s="11" t="str">
        <f t="array" ref="H130">if($D130="","",index('Actuals - Billing - 2025'!$B130:$AE1028,Match($C130,'Actuals - Billing - 2025'!$B130:$B1028,0),Match(H$1,'Actuals - Billing - 2025'!$B$2:$AE$2,0)))</f>
        <v/>
      </c>
      <c r="I130" s="11"/>
      <c r="J130" s="11" t="str">
        <f t="shared" si="5"/>
        <v/>
      </c>
      <c r="K130" s="12" t="str">
        <f t="shared" si="6"/>
        <v/>
      </c>
      <c r="L130" s="1" t="str">
        <f t="shared" si="10"/>
        <v/>
      </c>
      <c r="M130" s="4" t="str">
        <f t="shared" si="8"/>
        <v/>
      </c>
      <c r="N130" s="17" t="str">
        <f>if(M130&lt;&gt;"",'Actuals - Billing - 2025'!BG362,"")</f>
        <v/>
      </c>
      <c r="O130" s="15"/>
    </row>
    <row r="131">
      <c r="A131" s="7" t="str">
        <f t="shared" si="1"/>
        <v/>
      </c>
      <c r="B131" s="8" t="str">
        <f>if(and('Actuals - Billing - 2025'!E$366=True,C131&lt;&gt;""),'Actuals - Billing - 2025'!C363,"")</f>
        <v/>
      </c>
      <c r="C131" s="9" t="str">
        <f>IF(and('Actuals - Billing - 2025'!E$366=True,sum('Actuals - Billing - 2025'!T363:Y363)&gt;0),'Actuals - Billing - 2025'!B363,"")</f>
        <v/>
      </c>
      <c r="D131" s="10" t="str">
        <f>if(and(sum('Actuals - Billing - 2025'!T363:Y363)&gt;0,C131&lt;&gt;""),'Actuals - Billing - 2025'!$U$2,"")</f>
        <v/>
      </c>
      <c r="E131" s="11" t="str">
        <f t="array" ref="E131">if($D131="","",index('Actuals - Billing - 2025'!$B131:$AE1029,Match($C131,'Actuals - Billing - 2025'!$B131:$B1029,0),Match(E$1,'Actuals - Billing - 2025'!$B$2:$AE$2,0)))</f>
        <v/>
      </c>
      <c r="F131" s="11" t="str">
        <f t="array" ref="F131">if($D131="","",index('Actuals - Billing - 2025'!$B131:$AE1029,Match($C131,'Actuals - Billing - 2025'!$B131:$B1029,0),Match(F$1,'Actuals - Billing - 2025'!$B$2:$AE$2,0)))</f>
        <v/>
      </c>
      <c r="G131" s="11" t="str">
        <f t="array" ref="G131">if($D131="","",index('Actuals - Billing - 2025'!$B131:$AE1029,Match($C131,'Actuals - Billing - 2025'!$B131:$B1029,0),Match(G$1,'Actuals - Billing - 2025'!$B$2:$AE$2,0)))</f>
        <v/>
      </c>
      <c r="H131" s="11" t="str">
        <f t="array" ref="H131">if($D131="","",index('Actuals - Billing - 2025'!$B131:$AE1029,Match($C131,'Actuals - Billing - 2025'!$B131:$B1029,0),Match(H$1,'Actuals - Billing - 2025'!$B$2:$AE$2,0)))</f>
        <v/>
      </c>
      <c r="I131" s="11"/>
      <c r="J131" s="11" t="str">
        <f t="shared" si="5"/>
        <v/>
      </c>
      <c r="K131" s="12" t="str">
        <f t="shared" si="6"/>
        <v/>
      </c>
      <c r="L131" s="1" t="str">
        <f t="shared" si="10"/>
        <v/>
      </c>
      <c r="M131" s="4" t="str">
        <f t="shared" si="8"/>
        <v/>
      </c>
      <c r="N131" s="17" t="str">
        <f>if(M131&lt;&gt;"",'Actuals - Billing - 2025'!BG363,"")</f>
        <v/>
      </c>
      <c r="O131" s="15"/>
    </row>
    <row r="132">
      <c r="A132" s="7" t="str">
        <f t="shared" si="1"/>
        <v/>
      </c>
      <c r="B132" s="8" t="str">
        <f>if(and('Actuals - Billing - 2025'!E$366=True,C132&lt;&gt;""),'Actuals - Billing - 2025'!C364,"")</f>
        <v/>
      </c>
      <c r="C132" s="9" t="str">
        <f>IF(and('Actuals - Billing - 2025'!E$366=True,sum('Actuals - Billing - 2025'!T364:Y364)&gt;0),'Actuals - Billing - 2025'!B364,"")</f>
        <v/>
      </c>
      <c r="D132" s="10" t="str">
        <f>if(and(sum('Actuals - Billing - 2025'!T364:Y364)&gt;0,C132&lt;&gt;""),'Actuals - Billing - 2025'!$U$2,"")</f>
        <v/>
      </c>
      <c r="E132" s="11" t="str">
        <f t="array" ref="E132">if($D132="","",index('Actuals - Billing - 2025'!$B132:$AE1030,Match($C132,'Actuals - Billing - 2025'!$B132:$B1030,0),Match(E$1,'Actuals - Billing - 2025'!$B$2:$AE$2,0)))</f>
        <v/>
      </c>
      <c r="F132" s="11" t="str">
        <f t="array" ref="F132">if($D132="","",index('Actuals - Billing - 2025'!$B132:$AE1030,Match($C132,'Actuals - Billing - 2025'!$B132:$B1030,0),Match(F$1,'Actuals - Billing - 2025'!$B$2:$AE$2,0)))</f>
        <v/>
      </c>
      <c r="G132" s="11" t="str">
        <f t="array" ref="G132">if($D132="","",index('Actuals - Billing - 2025'!$B132:$AE1030,Match($C132,'Actuals - Billing - 2025'!$B132:$B1030,0),Match(G$1,'Actuals - Billing - 2025'!$B$2:$AE$2,0)))</f>
        <v/>
      </c>
      <c r="H132" s="11" t="str">
        <f t="array" ref="H132">if($D132="","",index('Actuals - Billing - 2025'!$B132:$AE1030,Match($C132,'Actuals - Billing - 2025'!$B132:$B1030,0),Match(H$1,'Actuals - Billing - 2025'!$B$2:$AE$2,0)))</f>
        <v/>
      </c>
      <c r="I132" s="11"/>
      <c r="J132" s="11" t="str">
        <f t="shared" si="5"/>
        <v/>
      </c>
      <c r="K132" s="12" t="str">
        <f t="shared" si="6"/>
        <v/>
      </c>
      <c r="L132" s="1" t="str">
        <f t="shared" si="10"/>
        <v/>
      </c>
      <c r="M132" s="4" t="str">
        <f t="shared" si="8"/>
        <v/>
      </c>
      <c r="N132" s="17" t="str">
        <f>if(M132&lt;&gt;"",'Actuals - Billing - 2025'!BG364,"")</f>
        <v/>
      </c>
      <c r="O132" s="15"/>
    </row>
    <row r="133">
      <c r="A133" s="7" t="str">
        <f t="shared" si="1"/>
        <v/>
      </c>
      <c r="B133" s="8" t="str">
        <f>if(and('Actuals - Billing - 2025'!E$366=True,C133&lt;&gt;""),'Actuals - Billing - 2025'!C365,"")</f>
        <v/>
      </c>
      <c r="C133" s="9" t="str">
        <f>IF(and('Actuals - Billing - 2025'!E$366=True,sum('Actuals - Billing - 2025'!T365:Y365)&gt;0),'Actuals - Billing - 2025'!B365,"")</f>
        <v/>
      </c>
      <c r="D133" s="10" t="str">
        <f>if(and(sum('Actuals - Billing - 2025'!T365:Y365)&gt;0,C133&lt;&gt;""),'Actuals - Billing - 2025'!$U$2,"")</f>
        <v/>
      </c>
      <c r="E133" s="11" t="str">
        <f t="array" ref="E133">if($D133="","",index('Actuals - Billing - 2025'!$B133:$AE1031,Match($C133,'Actuals - Billing - 2025'!$B133:$B1031,0),Match(E$1,'Actuals - Billing - 2025'!$B$2:$AE$2,0)))</f>
        <v/>
      </c>
      <c r="F133" s="11" t="str">
        <f t="array" ref="F133">if($D133="","",index('Actuals - Billing - 2025'!$B133:$AE1031,Match($C133,'Actuals - Billing - 2025'!$B133:$B1031,0),Match(F$1,'Actuals - Billing - 2025'!$B$2:$AE$2,0)))</f>
        <v/>
      </c>
      <c r="G133" s="11" t="str">
        <f t="array" ref="G133">if($D133="","",index('Actuals - Billing - 2025'!$B133:$AE1031,Match($C133,'Actuals - Billing - 2025'!$B133:$B1031,0),Match(G$1,'Actuals - Billing - 2025'!$B$2:$AE$2,0)))</f>
        <v/>
      </c>
      <c r="H133" s="11" t="str">
        <f t="array" ref="H133">if($D133="","",index('Actuals - Billing - 2025'!$B133:$AE1031,Match($C133,'Actuals - Billing - 2025'!$B133:$B1031,0),Match(H$1,'Actuals - Billing - 2025'!$B$2:$AE$2,0)))</f>
        <v/>
      </c>
      <c r="I133" s="11"/>
      <c r="J133" s="11" t="str">
        <f t="shared" si="5"/>
        <v/>
      </c>
      <c r="K133" s="12" t="str">
        <f t="shared" si="6"/>
        <v/>
      </c>
      <c r="L133" s="1" t="str">
        <f t="shared" si="10"/>
        <v/>
      </c>
      <c r="M133" s="4" t="str">
        <f t="shared" si="8"/>
        <v/>
      </c>
      <c r="N133" s="17" t="str">
        <f>if(M133&lt;&gt;"",'Actuals - Billing - 2025'!BG365,"")</f>
        <v/>
      </c>
      <c r="O133" s="15"/>
    </row>
    <row r="134">
      <c r="A134" s="7" t="str">
        <f t="shared" si="1"/>
        <v/>
      </c>
      <c r="B134" s="8" t="str">
        <f>if(and('Actuals - Billing - 2025'!E$366=True,C134&lt;&gt;""),'Actuals - Billing - 2025'!C366,"")</f>
        <v/>
      </c>
      <c r="C134" s="9" t="str">
        <f>IF(and('Actuals - Billing - 2025'!E$366=True,sum('Actuals - Billing - 2025'!T366:Y366)&gt;0),'Actuals - Billing - 2025'!B366,"")</f>
        <v/>
      </c>
      <c r="D134" s="10" t="str">
        <f>if(and(sum('Actuals - Billing - 2025'!T366:Y366)&gt;0,C134&lt;&gt;""),'Actuals - Billing - 2025'!$U$2,"")</f>
        <v/>
      </c>
      <c r="E134" s="11" t="str">
        <f t="array" ref="E134">if($D134="","",index('Actuals - Billing - 2025'!$B134:$AE1032,Match($C134,'Actuals - Billing - 2025'!$B134:$B1032,0),Match(E$1,'Actuals - Billing - 2025'!$B$2:$AE$2,0)))</f>
        <v/>
      </c>
      <c r="F134" s="11" t="str">
        <f t="array" ref="F134">if($D134="","",index('Actuals - Billing - 2025'!$B134:$AE1032,Match($C134,'Actuals - Billing - 2025'!$B134:$B1032,0),Match(F$1,'Actuals - Billing - 2025'!$B$2:$AE$2,0)))</f>
        <v/>
      </c>
      <c r="G134" s="11" t="str">
        <f t="array" ref="G134">if($D134="","",index('Actuals - Billing - 2025'!$B134:$AE1032,Match($C134,'Actuals - Billing - 2025'!$B134:$B1032,0),Match(G$1,'Actuals - Billing - 2025'!$B$2:$AE$2,0)))</f>
        <v/>
      </c>
      <c r="H134" s="11" t="str">
        <f t="array" ref="H134">if($D134="","",index('Actuals - Billing - 2025'!$B134:$AE1032,Match($C134,'Actuals - Billing - 2025'!$B134:$B1032,0),Match(H$1,'Actuals - Billing - 2025'!$B$2:$AE$2,0)))</f>
        <v/>
      </c>
      <c r="I134" s="11"/>
      <c r="J134" s="11" t="str">
        <f t="shared" si="5"/>
        <v/>
      </c>
      <c r="K134" s="12" t="str">
        <f t="shared" si="6"/>
        <v/>
      </c>
      <c r="L134" s="1" t="str">
        <f t="shared" si="10"/>
        <v/>
      </c>
      <c r="M134" s="4" t="str">
        <f t="shared" si="8"/>
        <v/>
      </c>
      <c r="N134" s="17" t="str">
        <f>if(M134&lt;&gt;"",'Actuals - Billing - 2025'!BG366,"")</f>
        <v/>
      </c>
      <c r="O134" s="15"/>
    </row>
    <row r="135">
      <c r="A135" s="7"/>
      <c r="B135" s="8"/>
      <c r="C135" s="9"/>
      <c r="D135" s="10"/>
      <c r="E135" s="11"/>
      <c r="F135" s="11"/>
      <c r="G135" s="11"/>
      <c r="H135" s="11"/>
      <c r="I135" s="11"/>
      <c r="J135" s="11"/>
      <c r="K135" s="12"/>
      <c r="L135" s="1" t="str">
        <f t="shared" si="10"/>
        <v/>
      </c>
      <c r="M135" s="4"/>
      <c r="N135" s="17" t="str">
        <f>if(M135&lt;&gt;"",'Actuals - Billing - 2025'!BG367,"")</f>
        <v/>
      </c>
      <c r="O135" s="15"/>
    </row>
    <row r="136">
      <c r="A136" s="7" t="str">
        <f t="shared" ref="A136:A291" si="11">if(B136&lt;&gt;"","Rogers Blue Jays Baseball Partnership","")</f>
        <v/>
      </c>
      <c r="B136" s="8" t="str">
        <f>if(and('Actuals - Billing - 2025'!E$261=True,C136&lt;&gt;""),'Actuals - Billing - 2025'!C368,"")</f>
        <v/>
      </c>
      <c r="C136" s="9" t="str">
        <f>IF(and('Actuals - Billing - 2025'!E$261=True,sum('Actuals - Billing - 2025'!T368:Y368)&gt;0),'Actuals - Billing - 2025'!B368,"")</f>
        <v/>
      </c>
      <c r="D136" s="10" t="str">
        <f>if(and(sum('Actuals - Billing - 2025'!T368:Y368)&gt;0,C136&lt;&gt;""),'Actuals - Billing - 2025'!$U$2,"")</f>
        <v/>
      </c>
      <c r="E136" s="11" t="str">
        <f t="array" ref="E136">if($D136="","",index('Actuals - Billing - 2025'!$B136:$AE1034,Match($C136,'Actuals - Billing - 2025'!$B136:$B1034,0),Match(E$1,'Actuals - Billing - 2025'!$B$2:$AE$2,0)))</f>
        <v/>
      </c>
      <c r="F136" s="11" t="str">
        <f t="array" ref="F136">if($D136="","",index('Actuals - Billing - 2025'!$B136:$AE1034,Match($C136,'Actuals - Billing - 2025'!$B136:$B1034,0),Match(F$1,'Actuals - Billing - 2025'!$B$2:$AE$2,0)))</f>
        <v/>
      </c>
      <c r="G136" s="11" t="str">
        <f t="array" ref="G136">if($D136="","",index('Actuals - Billing - 2025'!$B136:$AE1034,Match($C136,'Actuals - Billing - 2025'!$B136:$B1034,0),Match(G$1,'Actuals - Billing - 2025'!$B$2:$AE$2,0)))</f>
        <v/>
      </c>
      <c r="H136" s="11" t="str">
        <f t="array" ref="H136">if($D136="","",index('Actuals - Billing - 2025'!$B136:$AE1034,Match($C136,'Actuals - Billing - 2025'!$B136:$B1034,0),Match(H$1,'Actuals - Billing - 2025'!$B$2:$AE$2,0)))</f>
        <v/>
      </c>
      <c r="I136" s="11"/>
      <c r="J136" s="11" t="str">
        <f t="shared" ref="J136:J291" si="12">if(sum(E136:I136)&gt;0,sum(E136:I136),"")</f>
        <v/>
      </c>
      <c r="K136" s="12" t="str">
        <f t="shared" ref="K136:K291" si="13">if(J136&lt;&gt;"",J136*D136,"")</f>
        <v/>
      </c>
      <c r="L136" s="1" t="str">
        <f t="shared" si="10"/>
        <v/>
      </c>
      <c r="M136" s="4" t="str">
        <f t="shared" ref="M136:M291" si="14">if(B136&lt;&gt;"","TBJ MiLB - Breakfast/Lunch/Dinner","")</f>
        <v/>
      </c>
      <c r="N136" s="17" t="str">
        <f>if(M136&lt;&gt;"",'Actuals - Billing - 2025'!BG368,"")</f>
        <v/>
      </c>
      <c r="O136" s="15"/>
    </row>
    <row r="137">
      <c r="A137" s="7" t="str">
        <f t="shared" si="11"/>
        <v/>
      </c>
      <c r="B137" s="8" t="str">
        <f>if(and('Actuals - Billing - 2025'!E$261=True,C137&lt;&gt;""),'Actuals - Billing - 2025'!C369,"")</f>
        <v/>
      </c>
      <c r="C137" s="9" t="str">
        <f>IF(and('Actuals - Billing - 2025'!E$261=True,sum('Actuals - Billing - 2025'!T369:Y369)&gt;0),'Actuals - Billing - 2025'!B369,"")</f>
        <v/>
      </c>
      <c r="D137" s="10" t="str">
        <f>if(and(sum('Actuals - Billing - 2025'!T369:Y369)&gt;0,C137&lt;&gt;""),'Actuals - Billing - 2025'!$U$2,"")</f>
        <v/>
      </c>
      <c r="E137" s="11" t="str">
        <f t="array" ref="E137">if($D137="","",index('Actuals - Billing - 2025'!$B137:$AE1035,Match($C137,'Actuals - Billing - 2025'!$B137:$B1035,0),Match(E$1,'Actuals - Billing - 2025'!$B$2:$AE$2,0)))</f>
        <v/>
      </c>
      <c r="F137" s="11" t="str">
        <f t="array" ref="F137">if($D137="","",index('Actuals - Billing - 2025'!$B137:$AE1035,Match($C137,'Actuals - Billing - 2025'!$B137:$B1035,0),Match(F$1,'Actuals - Billing - 2025'!$B$2:$AE$2,0)))</f>
        <v/>
      </c>
      <c r="G137" s="11" t="str">
        <f t="array" ref="G137">if($D137="","",index('Actuals - Billing - 2025'!$B137:$AE1035,Match($C137,'Actuals - Billing - 2025'!$B137:$B1035,0),Match(G$1,'Actuals - Billing - 2025'!$B$2:$AE$2,0)))</f>
        <v/>
      </c>
      <c r="H137" s="11" t="str">
        <f t="array" ref="H137">if($D137="","",index('Actuals - Billing - 2025'!$B137:$AE1035,Match($C137,'Actuals - Billing - 2025'!$B137:$B1035,0),Match(H$1,'Actuals - Billing - 2025'!$B$2:$AE$2,0)))</f>
        <v/>
      </c>
      <c r="I137" s="11"/>
      <c r="J137" s="11" t="str">
        <f t="shared" si="12"/>
        <v/>
      </c>
      <c r="K137" s="12" t="str">
        <f t="shared" si="13"/>
        <v/>
      </c>
      <c r="L137" s="1" t="str">
        <f t="shared" si="10"/>
        <v/>
      </c>
      <c r="M137" s="4" t="str">
        <f t="shared" si="14"/>
        <v/>
      </c>
      <c r="N137" s="17" t="str">
        <f>if(M137&lt;&gt;"",'Actuals - Billing - 2025'!BG369,"")</f>
        <v/>
      </c>
      <c r="O137" s="15"/>
    </row>
    <row r="138">
      <c r="A138" s="7" t="str">
        <f t="shared" si="11"/>
        <v/>
      </c>
      <c r="B138" s="8" t="str">
        <f>if(and('Actuals - Billing - 2025'!E$261=True,C138&lt;&gt;""),'Actuals - Billing - 2025'!C370,"")</f>
        <v/>
      </c>
      <c r="C138" s="9" t="str">
        <f>IF(and('Actuals - Billing - 2025'!E$261=True,sum('Actuals - Billing - 2025'!T370:Y370)&gt;0),'Actuals - Billing - 2025'!B370,"")</f>
        <v/>
      </c>
      <c r="D138" s="10" t="str">
        <f>if(and(sum('Actuals - Billing - 2025'!T370:Y370)&gt;0,C138&lt;&gt;""),'Actuals - Billing - 2025'!$U$2,"")</f>
        <v/>
      </c>
      <c r="E138" s="11" t="str">
        <f t="array" ref="E138">if($D138="","",index('Actuals - Billing - 2025'!$B138:$AE1036,Match($C138,'Actuals - Billing - 2025'!$B138:$B1036,0),Match(E$1,'Actuals - Billing - 2025'!$B$2:$AE$2,0)))</f>
        <v/>
      </c>
      <c r="F138" s="11" t="str">
        <f t="array" ref="F138">if($D138="","",index('Actuals - Billing - 2025'!$B138:$AE1036,Match($C138,'Actuals - Billing - 2025'!$B138:$B1036,0),Match(F$1,'Actuals - Billing - 2025'!$B$2:$AE$2,0)))</f>
        <v/>
      </c>
      <c r="G138" s="11" t="str">
        <f t="array" ref="G138">if($D138="","",index('Actuals - Billing - 2025'!$B138:$AE1036,Match($C138,'Actuals - Billing - 2025'!$B138:$B1036,0),Match(G$1,'Actuals - Billing - 2025'!$B$2:$AE$2,0)))</f>
        <v/>
      </c>
      <c r="H138" s="11" t="str">
        <f t="array" ref="H138">if($D138="","",index('Actuals - Billing - 2025'!$B138:$AE1036,Match($C138,'Actuals - Billing - 2025'!$B138:$B1036,0),Match(H$1,'Actuals - Billing - 2025'!$B$2:$AE$2,0)))</f>
        <v/>
      </c>
      <c r="I138" s="11"/>
      <c r="J138" s="11" t="str">
        <f t="shared" si="12"/>
        <v/>
      </c>
      <c r="K138" s="12" t="str">
        <f t="shared" si="13"/>
        <v/>
      </c>
      <c r="L138" s="1" t="str">
        <f t="shared" si="10"/>
        <v/>
      </c>
      <c r="M138" s="4" t="str">
        <f t="shared" si="14"/>
        <v/>
      </c>
      <c r="N138" s="17" t="str">
        <f>if(M138&lt;&gt;"",'Actuals - Billing - 2025'!BG370,"")</f>
        <v/>
      </c>
      <c r="O138" s="15"/>
    </row>
    <row r="139">
      <c r="A139" s="7" t="str">
        <f t="shared" si="11"/>
        <v/>
      </c>
      <c r="B139" s="8" t="str">
        <f>if(and('Actuals - Billing - 2025'!E$261=True,C139&lt;&gt;""),'Actuals - Billing - 2025'!C371,"")</f>
        <v/>
      </c>
      <c r="C139" s="9" t="str">
        <f>IF(and('Actuals - Billing - 2025'!E$261=True,sum('Actuals - Billing - 2025'!T371:Y371)&gt;0),'Actuals - Billing - 2025'!B371,"")</f>
        <v/>
      </c>
      <c r="D139" s="10" t="str">
        <f>if(and(sum('Actuals - Billing - 2025'!T371:Y371)&gt;0,C139&lt;&gt;""),'Actuals - Billing - 2025'!$U$2,"")</f>
        <v/>
      </c>
      <c r="E139" s="11" t="str">
        <f t="array" ref="E139">if($D139="","",index('Actuals - Billing - 2025'!$B139:$AE1037,Match($C139,'Actuals - Billing - 2025'!$B139:$B1037,0),Match(E$1,'Actuals - Billing - 2025'!$B$2:$AE$2,0)))</f>
        <v/>
      </c>
      <c r="F139" s="11" t="str">
        <f t="array" ref="F139">if($D139="","",index('Actuals - Billing - 2025'!$B139:$AE1037,Match($C139,'Actuals - Billing - 2025'!$B139:$B1037,0),Match(F$1,'Actuals - Billing - 2025'!$B$2:$AE$2,0)))</f>
        <v/>
      </c>
      <c r="G139" s="11" t="str">
        <f t="array" ref="G139">if($D139="","",index('Actuals - Billing - 2025'!$B139:$AE1037,Match($C139,'Actuals - Billing - 2025'!$B139:$B1037,0),Match(G$1,'Actuals - Billing - 2025'!$B$2:$AE$2,0)))</f>
        <v/>
      </c>
      <c r="H139" s="11" t="str">
        <f t="array" ref="H139">if($D139="","",index('Actuals - Billing - 2025'!$B139:$AE1037,Match($C139,'Actuals - Billing - 2025'!$B139:$B1037,0),Match(H$1,'Actuals - Billing - 2025'!$B$2:$AE$2,0)))</f>
        <v/>
      </c>
      <c r="I139" s="11"/>
      <c r="J139" s="11" t="str">
        <f t="shared" si="12"/>
        <v/>
      </c>
      <c r="K139" s="12" t="str">
        <f t="shared" si="13"/>
        <v/>
      </c>
      <c r="L139" s="1" t="str">
        <f t="shared" si="10"/>
        <v/>
      </c>
      <c r="M139" s="4" t="str">
        <f t="shared" si="14"/>
        <v/>
      </c>
      <c r="N139" s="17" t="str">
        <f>if(M139&lt;&gt;"",'Actuals - Billing - 2025'!BG371,"")</f>
        <v/>
      </c>
      <c r="O139" s="15"/>
    </row>
    <row r="140">
      <c r="A140" s="7" t="str">
        <f t="shared" si="11"/>
        <v/>
      </c>
      <c r="B140" s="8" t="str">
        <f>if(and('Actuals - Billing - 2025'!E$261=True,C140&lt;&gt;""),'Actuals - Billing - 2025'!C372,"")</f>
        <v/>
      </c>
      <c r="C140" s="9" t="str">
        <f>IF(and('Actuals - Billing - 2025'!E$261=True,sum('Actuals - Billing - 2025'!T372:Y372)&gt;0),'Actuals - Billing - 2025'!B372,"")</f>
        <v/>
      </c>
      <c r="D140" s="10" t="str">
        <f>if(and(sum('Actuals - Billing - 2025'!T372:Y372)&gt;0,C140&lt;&gt;""),'Actuals - Billing - 2025'!$U$2,"")</f>
        <v/>
      </c>
      <c r="E140" s="11" t="str">
        <f t="array" ref="E140">if($D140="","",index('Actuals - Billing - 2025'!$B140:$AE1038,Match($C140,'Actuals - Billing - 2025'!$B140:$B1038,0),Match(E$1,'Actuals - Billing - 2025'!$B$2:$AE$2,0)))</f>
        <v/>
      </c>
      <c r="F140" s="11" t="str">
        <f t="array" ref="F140">if($D140="","",index('Actuals - Billing - 2025'!$B140:$AE1038,Match($C140,'Actuals - Billing - 2025'!$B140:$B1038,0),Match(F$1,'Actuals - Billing - 2025'!$B$2:$AE$2,0)))</f>
        <v/>
      </c>
      <c r="G140" s="11" t="str">
        <f t="array" ref="G140">if($D140="","",index('Actuals - Billing - 2025'!$B140:$AE1038,Match($C140,'Actuals - Billing - 2025'!$B140:$B1038,0),Match(G$1,'Actuals - Billing - 2025'!$B$2:$AE$2,0)))</f>
        <v/>
      </c>
      <c r="H140" s="11" t="str">
        <f t="array" ref="H140">if($D140="","",index('Actuals - Billing - 2025'!$B140:$AE1038,Match($C140,'Actuals - Billing - 2025'!$B140:$B1038,0),Match(H$1,'Actuals - Billing - 2025'!$B$2:$AE$2,0)))</f>
        <v/>
      </c>
      <c r="I140" s="11"/>
      <c r="J140" s="11" t="str">
        <f t="shared" si="12"/>
        <v/>
      </c>
      <c r="K140" s="12" t="str">
        <f t="shared" si="13"/>
        <v/>
      </c>
      <c r="L140" s="1" t="str">
        <f t="shared" si="10"/>
        <v/>
      </c>
      <c r="M140" s="4" t="str">
        <f t="shared" si="14"/>
        <v/>
      </c>
      <c r="N140" s="17" t="str">
        <f>if(M140&lt;&gt;"",'Actuals - Billing - 2025'!BG372,"")</f>
        <v/>
      </c>
      <c r="O140" s="15"/>
    </row>
    <row r="141">
      <c r="A141" s="7" t="str">
        <f t="shared" si="11"/>
        <v/>
      </c>
      <c r="B141" s="8" t="str">
        <f>if(and('Actuals - Billing - 2025'!E$261=True,C141&lt;&gt;""),'Actuals - Billing - 2025'!C373,"")</f>
        <v/>
      </c>
      <c r="C141" s="9" t="str">
        <f>IF(and('Actuals - Billing - 2025'!E$261=True,sum('Actuals - Billing - 2025'!T373:Y373)&gt;0),'Actuals - Billing - 2025'!B373,"")</f>
        <v/>
      </c>
      <c r="D141" s="10" t="str">
        <f>if(and(sum('Actuals - Billing - 2025'!T373:Y373)&gt;0,C141&lt;&gt;""),'Actuals - Billing - 2025'!$U$2,"")</f>
        <v/>
      </c>
      <c r="E141" s="11" t="str">
        <f t="array" ref="E141">if($D141="","",index('Actuals - Billing - 2025'!$B141:$AE1039,Match($C141,'Actuals - Billing - 2025'!$B141:$B1039,0),Match(E$1,'Actuals - Billing - 2025'!$B$2:$AE$2,0)))</f>
        <v/>
      </c>
      <c r="F141" s="11" t="str">
        <f t="array" ref="F141">if($D141="","",index('Actuals - Billing - 2025'!$B141:$AE1039,Match($C141,'Actuals - Billing - 2025'!$B141:$B1039,0),Match(F$1,'Actuals - Billing - 2025'!$B$2:$AE$2,0)))</f>
        <v/>
      </c>
      <c r="G141" s="11" t="str">
        <f t="array" ref="G141">if($D141="","",index('Actuals - Billing - 2025'!$B141:$AE1039,Match($C141,'Actuals - Billing - 2025'!$B141:$B1039,0),Match(G$1,'Actuals - Billing - 2025'!$B$2:$AE$2,0)))</f>
        <v/>
      </c>
      <c r="H141" s="11" t="str">
        <f t="array" ref="H141">if($D141="","",index('Actuals - Billing - 2025'!$B141:$AE1039,Match($C141,'Actuals - Billing - 2025'!$B141:$B1039,0),Match(H$1,'Actuals - Billing - 2025'!$B$2:$AE$2,0)))</f>
        <v/>
      </c>
      <c r="I141" s="11"/>
      <c r="J141" s="11" t="str">
        <f t="shared" si="12"/>
        <v/>
      </c>
      <c r="K141" s="12" t="str">
        <f t="shared" si="13"/>
        <v/>
      </c>
      <c r="L141" s="1" t="str">
        <f t="shared" si="10"/>
        <v/>
      </c>
      <c r="M141" s="4" t="str">
        <f t="shared" si="14"/>
        <v/>
      </c>
      <c r="N141" s="17" t="str">
        <f>if(M141&lt;&gt;"",'Actuals - Billing - 2025'!BG373,"")</f>
        <v/>
      </c>
      <c r="O141" s="15"/>
    </row>
    <row r="142">
      <c r="A142" s="7" t="str">
        <f t="shared" si="11"/>
        <v/>
      </c>
      <c r="B142" s="8" t="str">
        <f>if(and('Actuals - Billing - 2025'!E$261=True,C142&lt;&gt;""),'Actuals - Billing - 2025'!C374,"")</f>
        <v/>
      </c>
      <c r="C142" s="9" t="str">
        <f>IF(and('Actuals - Billing - 2025'!E$261=True,sum('Actuals - Billing - 2025'!T374:Y374)&gt;0),'Actuals - Billing - 2025'!B374,"")</f>
        <v/>
      </c>
      <c r="D142" s="10" t="str">
        <f>if(and(sum('Actuals - Billing - 2025'!T374:Y374)&gt;0,C142&lt;&gt;""),'Actuals - Billing - 2025'!$U$2,"")</f>
        <v/>
      </c>
      <c r="E142" s="11" t="str">
        <f t="array" ref="E142">if($D142="","",index('Actuals - Billing - 2025'!$B142:$AE1040,Match($C142,'Actuals - Billing - 2025'!$B142:$B1040,0),Match(E$1,'Actuals - Billing - 2025'!$B$2:$AE$2,0)))</f>
        <v/>
      </c>
      <c r="F142" s="11" t="str">
        <f t="array" ref="F142">if($D142="","",index('Actuals - Billing - 2025'!$B142:$AE1040,Match($C142,'Actuals - Billing - 2025'!$B142:$B1040,0),Match(F$1,'Actuals - Billing - 2025'!$B$2:$AE$2,0)))</f>
        <v/>
      </c>
      <c r="G142" s="11" t="str">
        <f t="array" ref="G142">if($D142="","",index('Actuals - Billing - 2025'!$B142:$AE1040,Match($C142,'Actuals - Billing - 2025'!$B142:$B1040,0),Match(G$1,'Actuals - Billing - 2025'!$B$2:$AE$2,0)))</f>
        <v/>
      </c>
      <c r="H142" s="11" t="str">
        <f t="array" ref="H142">if($D142="","",index('Actuals - Billing - 2025'!$B142:$AE1040,Match($C142,'Actuals - Billing - 2025'!$B142:$B1040,0),Match(H$1,'Actuals - Billing - 2025'!$B$2:$AE$2,0)))</f>
        <v/>
      </c>
      <c r="I142" s="11"/>
      <c r="J142" s="11" t="str">
        <f t="shared" si="12"/>
        <v/>
      </c>
      <c r="K142" s="12" t="str">
        <f t="shared" si="13"/>
        <v/>
      </c>
      <c r="L142" s="1" t="str">
        <f t="shared" si="10"/>
        <v/>
      </c>
      <c r="M142" s="4" t="str">
        <f t="shared" si="14"/>
        <v/>
      </c>
      <c r="N142" s="17" t="str">
        <f>if(M142&lt;&gt;"",'Actuals - Billing - 2025'!BG374,"")</f>
        <v/>
      </c>
      <c r="O142" s="15"/>
    </row>
    <row r="143">
      <c r="A143" s="7" t="str">
        <f t="shared" si="11"/>
        <v/>
      </c>
      <c r="B143" s="8" t="str">
        <f>if(and('Actuals - Billing - 2025'!E$261=True,C143&lt;&gt;""),'Actuals - Billing - 2025'!C375,"")</f>
        <v/>
      </c>
      <c r="C143" s="9" t="str">
        <f>IF(and('Actuals - Billing - 2025'!E$261=True,sum('Actuals - Billing - 2025'!T375:Y375)&gt;0),'Actuals - Billing - 2025'!B375,"")</f>
        <v/>
      </c>
      <c r="D143" s="10" t="str">
        <f>if(and(sum('Actuals - Billing - 2025'!T375:Y375)&gt;0,C143&lt;&gt;""),'Actuals - Billing - 2025'!$U$2,"")</f>
        <v/>
      </c>
      <c r="E143" s="11" t="str">
        <f t="array" ref="E143">if($D143="","",index('Actuals - Billing - 2025'!$B143:$AE1041,Match($C143,'Actuals - Billing - 2025'!$B143:$B1041,0),Match(E$1,'Actuals - Billing - 2025'!$B$2:$AE$2,0)))</f>
        <v/>
      </c>
      <c r="F143" s="11" t="str">
        <f t="array" ref="F143">if($D143="","",index('Actuals - Billing - 2025'!$B143:$AE1041,Match($C143,'Actuals - Billing - 2025'!$B143:$B1041,0),Match(F$1,'Actuals - Billing - 2025'!$B$2:$AE$2,0)))</f>
        <v/>
      </c>
      <c r="G143" s="11" t="str">
        <f t="array" ref="G143">if($D143="","",index('Actuals - Billing - 2025'!$B143:$AE1041,Match($C143,'Actuals - Billing - 2025'!$B143:$B1041,0),Match(G$1,'Actuals - Billing - 2025'!$B$2:$AE$2,0)))</f>
        <v/>
      </c>
      <c r="H143" s="11" t="str">
        <f t="array" ref="H143">if($D143="","",index('Actuals - Billing - 2025'!$B143:$AE1041,Match($C143,'Actuals - Billing - 2025'!$B143:$B1041,0),Match(H$1,'Actuals - Billing - 2025'!$B$2:$AE$2,0)))</f>
        <v/>
      </c>
      <c r="I143" s="11"/>
      <c r="J143" s="11" t="str">
        <f t="shared" si="12"/>
        <v/>
      </c>
      <c r="K143" s="12" t="str">
        <f t="shared" si="13"/>
        <v/>
      </c>
      <c r="L143" s="1" t="str">
        <f t="shared" si="10"/>
        <v/>
      </c>
      <c r="M143" s="4" t="str">
        <f t="shared" si="14"/>
        <v/>
      </c>
      <c r="N143" s="17" t="str">
        <f>if(M143&lt;&gt;"",'Actuals - Billing - 2025'!BG375,"")</f>
        <v/>
      </c>
      <c r="O143" s="15"/>
    </row>
    <row r="144">
      <c r="A144" s="7" t="str">
        <f t="shared" si="11"/>
        <v/>
      </c>
      <c r="B144" s="8" t="str">
        <f>if(and('Actuals - Billing - 2025'!E$261=True,C144&lt;&gt;""),'Actuals - Billing - 2025'!C376,"")</f>
        <v/>
      </c>
      <c r="C144" s="9" t="str">
        <f>IF(and('Actuals - Billing - 2025'!E$261=True,sum('Actuals - Billing - 2025'!T376:Y376)&gt;0),'Actuals - Billing - 2025'!B376,"")</f>
        <v/>
      </c>
      <c r="D144" s="10" t="str">
        <f>if(and(sum('Actuals - Billing - 2025'!T376:Y376)&gt;0,C144&lt;&gt;""),'Actuals - Billing - 2025'!$U$2,"")</f>
        <v/>
      </c>
      <c r="E144" s="11" t="str">
        <f t="array" ref="E144">if($D144="","",index('Actuals - Billing - 2025'!$B144:$AE1042,Match($C144,'Actuals - Billing - 2025'!$B144:$B1042,0),Match(E$1,'Actuals - Billing - 2025'!$B$2:$AE$2,0)))</f>
        <v/>
      </c>
      <c r="F144" s="11" t="str">
        <f t="array" ref="F144">if($D144="","",index('Actuals - Billing - 2025'!$B144:$AE1042,Match($C144,'Actuals - Billing - 2025'!$B144:$B1042,0),Match(F$1,'Actuals - Billing - 2025'!$B$2:$AE$2,0)))</f>
        <v/>
      </c>
      <c r="G144" s="11" t="str">
        <f t="array" ref="G144">if($D144="","",index('Actuals - Billing - 2025'!$B144:$AE1042,Match($C144,'Actuals - Billing - 2025'!$B144:$B1042,0),Match(G$1,'Actuals - Billing - 2025'!$B$2:$AE$2,0)))</f>
        <v/>
      </c>
      <c r="H144" s="11" t="str">
        <f t="array" ref="H144">if($D144="","",index('Actuals - Billing - 2025'!$B144:$AE1042,Match($C144,'Actuals - Billing - 2025'!$B144:$B1042,0),Match(H$1,'Actuals - Billing - 2025'!$B$2:$AE$2,0)))</f>
        <v/>
      </c>
      <c r="I144" s="11"/>
      <c r="J144" s="11" t="str">
        <f t="shared" si="12"/>
        <v/>
      </c>
      <c r="K144" s="12" t="str">
        <f t="shared" si="13"/>
        <v/>
      </c>
      <c r="L144" s="1" t="str">
        <f t="shared" si="10"/>
        <v/>
      </c>
      <c r="M144" s="4" t="str">
        <f t="shared" si="14"/>
        <v/>
      </c>
      <c r="N144" s="17" t="str">
        <f>if(M144&lt;&gt;"",'Actuals - Billing - 2025'!BG376,"")</f>
        <v/>
      </c>
      <c r="O144" s="15"/>
    </row>
    <row r="145">
      <c r="A145" s="7" t="str">
        <f t="shared" si="11"/>
        <v/>
      </c>
      <c r="B145" s="8" t="str">
        <f>if(and('Actuals - Billing - 2025'!E$261=True,C145&lt;&gt;""),'Actuals - Billing - 2025'!C377,"")</f>
        <v/>
      </c>
      <c r="C145" s="9" t="str">
        <f>IF(and('Actuals - Billing - 2025'!E$261=True,sum('Actuals - Billing - 2025'!T377:Y377)&gt;0),'Actuals - Billing - 2025'!B377,"")</f>
        <v/>
      </c>
      <c r="D145" s="10" t="str">
        <f>if(and(sum('Actuals - Billing - 2025'!T377:Y377)&gt;0,C145&lt;&gt;""),'Actuals - Billing - 2025'!$U$2,"")</f>
        <v/>
      </c>
      <c r="E145" s="11" t="str">
        <f t="array" ref="E145">if($D145="","",index('Actuals - Billing - 2025'!$B145:$AE1043,Match($C145,'Actuals - Billing - 2025'!$B145:$B1043,0),Match(E$1,'Actuals - Billing - 2025'!$B$2:$AE$2,0)))</f>
        <v/>
      </c>
      <c r="F145" s="11" t="str">
        <f t="array" ref="F145">if($D145="","",index('Actuals - Billing - 2025'!$B145:$AE1043,Match($C145,'Actuals - Billing - 2025'!$B145:$B1043,0),Match(F$1,'Actuals - Billing - 2025'!$B$2:$AE$2,0)))</f>
        <v/>
      </c>
      <c r="G145" s="11" t="str">
        <f t="array" ref="G145">if($D145="","",index('Actuals - Billing - 2025'!$B145:$AE1043,Match($C145,'Actuals - Billing - 2025'!$B145:$B1043,0),Match(G$1,'Actuals - Billing - 2025'!$B$2:$AE$2,0)))</f>
        <v/>
      </c>
      <c r="H145" s="11" t="str">
        <f t="array" ref="H145">if($D145="","",index('Actuals - Billing - 2025'!$B145:$AE1043,Match($C145,'Actuals - Billing - 2025'!$B145:$B1043,0),Match(H$1,'Actuals - Billing - 2025'!$B$2:$AE$2,0)))</f>
        <v/>
      </c>
      <c r="I145" s="11"/>
      <c r="J145" s="11" t="str">
        <f t="shared" si="12"/>
        <v/>
      </c>
      <c r="K145" s="12" t="str">
        <f t="shared" si="13"/>
        <v/>
      </c>
      <c r="L145" s="1" t="str">
        <f t="shared" si="10"/>
        <v/>
      </c>
      <c r="M145" s="4" t="str">
        <f t="shared" si="14"/>
        <v/>
      </c>
      <c r="N145" s="17" t="str">
        <f>if(M145&lt;&gt;"",'Actuals - Billing - 2025'!BG377,"")</f>
        <v/>
      </c>
      <c r="O145" s="15"/>
    </row>
    <row r="146">
      <c r="A146" s="7" t="str">
        <f t="shared" si="11"/>
        <v/>
      </c>
      <c r="B146" s="8" t="str">
        <f>if(and('Actuals - Billing - 2025'!E$261=True,C146&lt;&gt;""),'Actuals - Billing - 2025'!C378,"")</f>
        <v/>
      </c>
      <c r="C146" s="9" t="str">
        <f>IF(and('Actuals - Billing - 2025'!E$261=True,sum('Actuals - Billing - 2025'!T378:Y378)&gt;0),'Actuals - Billing - 2025'!B378,"")</f>
        <v/>
      </c>
      <c r="D146" s="10" t="str">
        <f>if(and(sum('Actuals - Billing - 2025'!T378:Y378)&gt;0,C146&lt;&gt;""),'Actuals - Billing - 2025'!$U$2,"")</f>
        <v/>
      </c>
      <c r="E146" s="11" t="str">
        <f t="array" ref="E146">if($D146="","",index('Actuals - Billing - 2025'!$B146:$AE1044,Match($C146,'Actuals - Billing - 2025'!$B146:$B1044,0),Match(E$1,'Actuals - Billing - 2025'!$B$2:$AE$2,0)))</f>
        <v/>
      </c>
      <c r="F146" s="11" t="str">
        <f t="array" ref="F146">if($D146="","",index('Actuals - Billing - 2025'!$B146:$AE1044,Match($C146,'Actuals - Billing - 2025'!$B146:$B1044,0),Match(F$1,'Actuals - Billing - 2025'!$B$2:$AE$2,0)))</f>
        <v/>
      </c>
      <c r="G146" s="11" t="str">
        <f t="array" ref="G146">if($D146="","",index('Actuals - Billing - 2025'!$B146:$AE1044,Match($C146,'Actuals - Billing - 2025'!$B146:$B1044,0),Match(G$1,'Actuals - Billing - 2025'!$B$2:$AE$2,0)))</f>
        <v/>
      </c>
      <c r="H146" s="11" t="str">
        <f t="array" ref="H146">if($D146="","",index('Actuals - Billing - 2025'!$B146:$AE1044,Match($C146,'Actuals - Billing - 2025'!$B146:$B1044,0),Match(H$1,'Actuals - Billing - 2025'!$B$2:$AE$2,0)))</f>
        <v/>
      </c>
      <c r="I146" s="11"/>
      <c r="J146" s="11" t="str">
        <f t="shared" si="12"/>
        <v/>
      </c>
      <c r="K146" s="12" t="str">
        <f t="shared" si="13"/>
        <v/>
      </c>
      <c r="L146" s="1" t="str">
        <f t="shared" si="10"/>
        <v/>
      </c>
      <c r="M146" s="4" t="str">
        <f t="shared" si="14"/>
        <v/>
      </c>
      <c r="N146" s="17" t="str">
        <f>if(M146&lt;&gt;"",'Actuals - Billing - 2025'!BG378,"")</f>
        <v/>
      </c>
      <c r="O146" s="15"/>
    </row>
    <row r="147">
      <c r="A147" s="7" t="str">
        <f t="shared" si="11"/>
        <v/>
      </c>
      <c r="B147" s="8" t="str">
        <f>if(and('Actuals - Billing - 2025'!E$261=True,C147&lt;&gt;""),'Actuals - Billing - 2025'!C379,"")</f>
        <v/>
      </c>
      <c r="C147" s="9" t="str">
        <f>IF(and('Actuals - Billing - 2025'!E$261=True,sum('Actuals - Billing - 2025'!T379:Y379)&gt;0),'Actuals - Billing - 2025'!B379,"")</f>
        <v/>
      </c>
      <c r="D147" s="10" t="str">
        <f>if(and(sum('Actuals - Billing - 2025'!T379:Y379)&gt;0,C147&lt;&gt;""),'Actuals - Billing - 2025'!$U$2,"")</f>
        <v/>
      </c>
      <c r="E147" s="11" t="str">
        <f t="array" ref="E147">if($D147="","",index('Actuals - Billing - 2025'!$B147:$AE1045,Match($C147,'Actuals - Billing - 2025'!$B147:$B1045,0),Match(E$1,'Actuals - Billing - 2025'!$B$2:$AE$2,0)))</f>
        <v/>
      </c>
      <c r="F147" s="11" t="str">
        <f t="array" ref="F147">if($D147="","",index('Actuals - Billing - 2025'!$B147:$AE1045,Match($C147,'Actuals - Billing - 2025'!$B147:$B1045,0),Match(F$1,'Actuals - Billing - 2025'!$B$2:$AE$2,0)))</f>
        <v/>
      </c>
      <c r="G147" s="11" t="str">
        <f t="array" ref="G147">if($D147="","",index('Actuals - Billing - 2025'!$B147:$AE1045,Match($C147,'Actuals - Billing - 2025'!$B147:$B1045,0),Match(G$1,'Actuals - Billing - 2025'!$B$2:$AE$2,0)))</f>
        <v/>
      </c>
      <c r="H147" s="11" t="str">
        <f t="array" ref="H147">if($D147="","",index('Actuals - Billing - 2025'!$B147:$AE1045,Match($C147,'Actuals - Billing - 2025'!$B147:$B1045,0),Match(H$1,'Actuals - Billing - 2025'!$B$2:$AE$2,0)))</f>
        <v/>
      </c>
      <c r="I147" s="11"/>
      <c r="J147" s="11" t="str">
        <f t="shared" si="12"/>
        <v/>
      </c>
      <c r="K147" s="12" t="str">
        <f t="shared" si="13"/>
        <v/>
      </c>
      <c r="L147" s="1" t="str">
        <f t="shared" si="10"/>
        <v/>
      </c>
      <c r="M147" s="4" t="str">
        <f t="shared" si="14"/>
        <v/>
      </c>
      <c r="N147" s="17" t="str">
        <f>if(M147&lt;&gt;"",'Actuals - Billing - 2025'!BG379,"")</f>
        <v/>
      </c>
      <c r="O147" s="15"/>
    </row>
    <row r="148">
      <c r="A148" s="7" t="str">
        <f t="shared" si="11"/>
        <v/>
      </c>
      <c r="B148" s="8" t="str">
        <f>if(and('Actuals - Billing - 2025'!E$261=True,C148&lt;&gt;""),'Actuals - Billing - 2025'!C380,"")</f>
        <v/>
      </c>
      <c r="C148" s="9" t="str">
        <f>IF(and('Actuals - Billing - 2025'!E$261=True,sum('Actuals - Billing - 2025'!T380:Y380)&gt;0),'Actuals - Billing - 2025'!B380,"")</f>
        <v/>
      </c>
      <c r="D148" s="10" t="str">
        <f>if(and(sum('Actuals - Billing - 2025'!T380:Y380)&gt;0,C148&lt;&gt;""),'Actuals - Billing - 2025'!$U$2,"")</f>
        <v/>
      </c>
      <c r="E148" s="11" t="str">
        <f t="array" ref="E148">if($D148="","",index('Actuals - Billing - 2025'!$B148:$AE1046,Match($C148,'Actuals - Billing - 2025'!$B148:$B1046,0),Match(E$1,'Actuals - Billing - 2025'!$B$2:$AE$2,0)))</f>
        <v/>
      </c>
      <c r="F148" s="11" t="str">
        <f t="array" ref="F148">if($D148="","",index('Actuals - Billing - 2025'!$B148:$AE1046,Match($C148,'Actuals - Billing - 2025'!$B148:$B1046,0),Match(F$1,'Actuals - Billing - 2025'!$B$2:$AE$2,0)))</f>
        <v/>
      </c>
      <c r="G148" s="11" t="str">
        <f t="array" ref="G148">if($D148="","",index('Actuals - Billing - 2025'!$B148:$AE1046,Match($C148,'Actuals - Billing - 2025'!$B148:$B1046,0),Match(G$1,'Actuals - Billing - 2025'!$B$2:$AE$2,0)))</f>
        <v/>
      </c>
      <c r="H148" s="11" t="str">
        <f t="array" ref="H148">if($D148="","",index('Actuals - Billing - 2025'!$B148:$AE1046,Match($C148,'Actuals - Billing - 2025'!$B148:$B1046,0),Match(H$1,'Actuals - Billing - 2025'!$B$2:$AE$2,0)))</f>
        <v/>
      </c>
      <c r="I148" s="11"/>
      <c r="J148" s="11" t="str">
        <f t="shared" si="12"/>
        <v/>
      </c>
      <c r="K148" s="12" t="str">
        <f t="shared" si="13"/>
        <v/>
      </c>
      <c r="L148" s="1" t="str">
        <f t="shared" si="10"/>
        <v/>
      </c>
      <c r="M148" s="4" t="str">
        <f t="shared" si="14"/>
        <v/>
      </c>
      <c r="N148" s="17" t="str">
        <f>if(M148&lt;&gt;"",'Actuals - Billing - 2025'!BG380,"")</f>
        <v/>
      </c>
      <c r="O148" s="15"/>
    </row>
    <row r="149">
      <c r="A149" s="7" t="str">
        <f t="shared" si="11"/>
        <v/>
      </c>
      <c r="B149" s="8" t="str">
        <f>if(and('Actuals - Billing - 2025'!E$261=True,C149&lt;&gt;""),'Actuals - Billing - 2025'!C381,"")</f>
        <v/>
      </c>
      <c r="C149" s="9" t="str">
        <f>IF(and('Actuals - Billing - 2025'!E$261=True,sum('Actuals - Billing - 2025'!T381:Y381)&gt;0),'Actuals - Billing - 2025'!B381,"")</f>
        <v/>
      </c>
      <c r="D149" s="10" t="str">
        <f>if(and(sum('Actuals - Billing - 2025'!T381:Y381)&gt;0,C149&lt;&gt;""),'Actuals - Billing - 2025'!$U$2,"")</f>
        <v/>
      </c>
      <c r="E149" s="11" t="str">
        <f t="array" ref="E149">if($D149="","",index('Actuals - Billing - 2025'!$B149:$AE1047,Match($C149,'Actuals - Billing - 2025'!$B149:$B1047,0),Match(E$1,'Actuals - Billing - 2025'!$B$2:$AE$2,0)))</f>
        <v/>
      </c>
      <c r="F149" s="11" t="str">
        <f t="array" ref="F149">if($D149="","",index('Actuals - Billing - 2025'!$B149:$AE1047,Match($C149,'Actuals - Billing - 2025'!$B149:$B1047,0),Match(F$1,'Actuals - Billing - 2025'!$B$2:$AE$2,0)))</f>
        <v/>
      </c>
      <c r="G149" s="11" t="str">
        <f t="array" ref="G149">if($D149="","",index('Actuals - Billing - 2025'!$B149:$AE1047,Match($C149,'Actuals - Billing - 2025'!$B149:$B1047,0),Match(G$1,'Actuals - Billing - 2025'!$B$2:$AE$2,0)))</f>
        <v/>
      </c>
      <c r="H149" s="11" t="str">
        <f t="array" ref="H149">if($D149="","",index('Actuals - Billing - 2025'!$B149:$AE1047,Match($C149,'Actuals - Billing - 2025'!$B149:$B1047,0),Match(H$1,'Actuals - Billing - 2025'!$B$2:$AE$2,0)))</f>
        <v/>
      </c>
      <c r="I149" s="11"/>
      <c r="J149" s="11" t="str">
        <f t="shared" si="12"/>
        <v/>
      </c>
      <c r="K149" s="12" t="str">
        <f t="shared" si="13"/>
        <v/>
      </c>
      <c r="L149" s="1" t="str">
        <f t="shared" si="10"/>
        <v/>
      </c>
      <c r="M149" s="4" t="str">
        <f t="shared" si="14"/>
        <v/>
      </c>
      <c r="N149" s="17" t="str">
        <f>if(M149&lt;&gt;"",'Actuals - Billing - 2025'!BG381,"")</f>
        <v/>
      </c>
      <c r="O149" s="15"/>
    </row>
    <row r="150">
      <c r="A150" s="7" t="str">
        <f t="shared" si="11"/>
        <v/>
      </c>
      <c r="B150" s="8" t="str">
        <f>if(and('Actuals - Billing - 2025'!E$261=True,C150&lt;&gt;""),'Actuals - Billing - 2025'!C382,"")</f>
        <v/>
      </c>
      <c r="C150" s="9" t="str">
        <f>IF(and('Actuals - Billing - 2025'!E$261=True,sum('Actuals - Billing - 2025'!T382:Y382)&gt;0),'Actuals - Billing - 2025'!B382,"")</f>
        <v/>
      </c>
      <c r="D150" s="10" t="str">
        <f>if(and(sum('Actuals - Billing - 2025'!T382:Y382)&gt;0,C150&lt;&gt;""),'Actuals - Billing - 2025'!$U$2,"")</f>
        <v/>
      </c>
      <c r="E150" s="11" t="str">
        <f t="array" ref="E150">if($D150="","",index('Actuals - Billing - 2025'!$B150:$AE1048,Match($C150,'Actuals - Billing - 2025'!$B150:$B1048,0),Match(E$1,'Actuals - Billing - 2025'!$B$2:$AE$2,0)))</f>
        <v/>
      </c>
      <c r="F150" s="11" t="str">
        <f t="array" ref="F150">if($D150="","",index('Actuals - Billing - 2025'!$B150:$AE1048,Match($C150,'Actuals - Billing - 2025'!$B150:$B1048,0),Match(F$1,'Actuals - Billing - 2025'!$B$2:$AE$2,0)))</f>
        <v/>
      </c>
      <c r="G150" s="11" t="str">
        <f t="array" ref="G150">if($D150="","",index('Actuals - Billing - 2025'!$B150:$AE1048,Match($C150,'Actuals - Billing - 2025'!$B150:$B1048,0),Match(G$1,'Actuals - Billing - 2025'!$B$2:$AE$2,0)))</f>
        <v/>
      </c>
      <c r="H150" s="11" t="str">
        <f t="array" ref="H150">if($D150="","",index('Actuals - Billing - 2025'!$B150:$AE1048,Match($C150,'Actuals - Billing - 2025'!$B150:$B1048,0),Match(H$1,'Actuals - Billing - 2025'!$B$2:$AE$2,0)))</f>
        <v/>
      </c>
      <c r="I150" s="11"/>
      <c r="J150" s="11" t="str">
        <f t="shared" si="12"/>
        <v/>
      </c>
      <c r="K150" s="12" t="str">
        <f t="shared" si="13"/>
        <v/>
      </c>
      <c r="L150" s="1" t="str">
        <f t="shared" si="10"/>
        <v/>
      </c>
      <c r="M150" s="4" t="str">
        <f t="shared" si="14"/>
        <v/>
      </c>
      <c r="N150" s="17" t="str">
        <f>if(M150&lt;&gt;"",'Actuals - Billing - 2025'!BG382,"")</f>
        <v/>
      </c>
      <c r="O150" s="15"/>
    </row>
    <row r="151">
      <c r="A151" s="7" t="str">
        <f t="shared" si="11"/>
        <v/>
      </c>
      <c r="B151" s="8" t="str">
        <f>if(and('Actuals - Billing - 2025'!E$261=True,C151&lt;&gt;""),'Actuals - Billing - 2025'!C383,"")</f>
        <v/>
      </c>
      <c r="C151" s="9" t="str">
        <f>IF(and('Actuals - Billing - 2025'!E$261=True,sum('Actuals - Billing - 2025'!T383:Y383)&gt;0),'Actuals - Billing - 2025'!B383,"")</f>
        <v/>
      </c>
      <c r="D151" s="10" t="str">
        <f>if(and(sum('Actuals - Billing - 2025'!T383:Y383)&gt;0,C151&lt;&gt;""),'Actuals - Billing - 2025'!$U$2,"")</f>
        <v/>
      </c>
      <c r="E151" s="11" t="str">
        <f t="array" ref="E151">if($D151="","",index('Actuals - Billing - 2025'!$B151:$AE1049,Match($C151,'Actuals - Billing - 2025'!$B151:$B1049,0),Match(E$1,'Actuals - Billing - 2025'!$B$2:$AE$2,0)))</f>
        <v/>
      </c>
      <c r="F151" s="11" t="str">
        <f t="array" ref="F151">if($D151="","",index('Actuals - Billing - 2025'!$B151:$AE1049,Match($C151,'Actuals - Billing - 2025'!$B151:$B1049,0),Match(F$1,'Actuals - Billing - 2025'!$B$2:$AE$2,0)))</f>
        <v/>
      </c>
      <c r="G151" s="11" t="str">
        <f t="array" ref="G151">if($D151="","",index('Actuals - Billing - 2025'!$B151:$AE1049,Match($C151,'Actuals - Billing - 2025'!$B151:$B1049,0),Match(G$1,'Actuals - Billing - 2025'!$B$2:$AE$2,0)))</f>
        <v/>
      </c>
      <c r="H151" s="11" t="str">
        <f t="array" ref="H151">if($D151="","",index('Actuals - Billing - 2025'!$B151:$AE1049,Match($C151,'Actuals - Billing - 2025'!$B151:$B1049,0),Match(H$1,'Actuals - Billing - 2025'!$B$2:$AE$2,0)))</f>
        <v/>
      </c>
      <c r="I151" s="11"/>
      <c r="J151" s="11" t="str">
        <f t="shared" si="12"/>
        <v/>
      </c>
      <c r="K151" s="12" t="str">
        <f t="shared" si="13"/>
        <v/>
      </c>
      <c r="L151" s="1" t="str">
        <f t="shared" si="10"/>
        <v/>
      </c>
      <c r="M151" s="4" t="str">
        <f t="shared" si="14"/>
        <v/>
      </c>
      <c r="N151" s="17" t="str">
        <f>if(M151&lt;&gt;"",'Actuals - Billing - 2025'!BG383,"")</f>
        <v/>
      </c>
      <c r="O151" s="15"/>
    </row>
    <row r="152">
      <c r="A152" s="7" t="str">
        <f t="shared" si="11"/>
        <v/>
      </c>
      <c r="B152" s="8" t="str">
        <f>if(and('Actuals - Billing - 2025'!E$261=True,C152&lt;&gt;""),'Actuals - Billing - 2025'!C384,"")</f>
        <v/>
      </c>
      <c r="C152" s="9" t="str">
        <f>IF(and('Actuals - Billing - 2025'!E$261=True,sum('Actuals - Billing - 2025'!T384:Y384)&gt;0),'Actuals - Billing - 2025'!B384,"")</f>
        <v/>
      </c>
      <c r="D152" s="10" t="str">
        <f>if(and(sum('Actuals - Billing - 2025'!T384:Y384)&gt;0,C152&lt;&gt;""),'Actuals - Billing - 2025'!$U$2,"")</f>
        <v/>
      </c>
      <c r="E152" s="11" t="str">
        <f t="array" ref="E152">if($D152="","",index('Actuals - Billing - 2025'!$B152:$AE1050,Match($C152,'Actuals - Billing - 2025'!$B152:$B1050,0),Match(E$1,'Actuals - Billing - 2025'!$B$2:$AE$2,0)))</f>
        <v/>
      </c>
      <c r="F152" s="11" t="str">
        <f t="array" ref="F152">if($D152="","",index('Actuals - Billing - 2025'!$B152:$AE1050,Match($C152,'Actuals - Billing - 2025'!$B152:$B1050,0),Match(F$1,'Actuals - Billing - 2025'!$B$2:$AE$2,0)))</f>
        <v/>
      </c>
      <c r="G152" s="11" t="str">
        <f t="array" ref="G152">if($D152="","",index('Actuals - Billing - 2025'!$B152:$AE1050,Match($C152,'Actuals - Billing - 2025'!$B152:$B1050,0),Match(G$1,'Actuals - Billing - 2025'!$B$2:$AE$2,0)))</f>
        <v/>
      </c>
      <c r="H152" s="11" t="str">
        <f t="array" ref="H152">if($D152="","",index('Actuals - Billing - 2025'!$B152:$AE1050,Match($C152,'Actuals - Billing - 2025'!$B152:$B1050,0),Match(H$1,'Actuals - Billing - 2025'!$B$2:$AE$2,0)))</f>
        <v/>
      </c>
      <c r="I152" s="11"/>
      <c r="J152" s="11" t="str">
        <f t="shared" si="12"/>
        <v/>
      </c>
      <c r="K152" s="12" t="str">
        <f t="shared" si="13"/>
        <v/>
      </c>
      <c r="L152" s="1" t="str">
        <f t="shared" si="10"/>
        <v/>
      </c>
      <c r="M152" s="4" t="str">
        <f t="shared" si="14"/>
        <v/>
      </c>
      <c r="N152" s="17" t="str">
        <f>if(M152&lt;&gt;"",'Actuals - Billing - 2025'!BG384,"")</f>
        <v/>
      </c>
      <c r="O152" s="15"/>
    </row>
    <row r="153">
      <c r="A153" s="7" t="str">
        <f t="shared" si="11"/>
        <v/>
      </c>
      <c r="B153" s="8" t="str">
        <f>if(and('Actuals - Billing - 2025'!E$261=True,C153&lt;&gt;""),'Actuals - Billing - 2025'!C385,"")</f>
        <v/>
      </c>
      <c r="C153" s="9" t="str">
        <f>IF(and('Actuals - Billing - 2025'!E$261=True,sum('Actuals - Billing - 2025'!T385:Y385)&gt;0),'Actuals - Billing - 2025'!B385,"")</f>
        <v/>
      </c>
      <c r="D153" s="10" t="str">
        <f>if(and(sum('Actuals - Billing - 2025'!T385:Y385)&gt;0,C153&lt;&gt;""),'Actuals - Billing - 2025'!$U$2,"")</f>
        <v/>
      </c>
      <c r="E153" s="11" t="str">
        <f t="array" ref="E153">if($D153="","",index('Actuals - Billing - 2025'!$B153:$AE1051,Match($C153,'Actuals - Billing - 2025'!$B153:$B1051,0),Match(E$1,'Actuals - Billing - 2025'!$B$2:$AE$2,0)))</f>
        <v/>
      </c>
      <c r="F153" s="11" t="str">
        <f t="array" ref="F153">if($D153="","",index('Actuals - Billing - 2025'!$B153:$AE1051,Match($C153,'Actuals - Billing - 2025'!$B153:$B1051,0),Match(F$1,'Actuals - Billing - 2025'!$B$2:$AE$2,0)))</f>
        <v/>
      </c>
      <c r="G153" s="11" t="str">
        <f t="array" ref="G153">if($D153="","",index('Actuals - Billing - 2025'!$B153:$AE1051,Match($C153,'Actuals - Billing - 2025'!$B153:$B1051,0),Match(G$1,'Actuals - Billing - 2025'!$B$2:$AE$2,0)))</f>
        <v/>
      </c>
      <c r="H153" s="11" t="str">
        <f t="array" ref="H153">if($D153="","",index('Actuals - Billing - 2025'!$B153:$AE1051,Match($C153,'Actuals - Billing - 2025'!$B153:$B1051,0),Match(H$1,'Actuals - Billing - 2025'!$B$2:$AE$2,0)))</f>
        <v/>
      </c>
      <c r="I153" s="11"/>
      <c r="J153" s="11" t="str">
        <f t="shared" si="12"/>
        <v/>
      </c>
      <c r="K153" s="12" t="str">
        <f t="shared" si="13"/>
        <v/>
      </c>
      <c r="L153" s="1" t="str">
        <f t="shared" si="10"/>
        <v/>
      </c>
      <c r="M153" s="4" t="str">
        <f t="shared" si="14"/>
        <v/>
      </c>
      <c r="N153" s="17" t="str">
        <f>if(M153&lt;&gt;"",'Actuals - Billing - 2025'!BG385,"")</f>
        <v/>
      </c>
      <c r="O153" s="15"/>
    </row>
    <row r="154">
      <c r="A154" s="7" t="str">
        <f t="shared" si="11"/>
        <v/>
      </c>
      <c r="B154" s="8" t="str">
        <f>if(and('Actuals - Billing - 2025'!E$261=True,C154&lt;&gt;""),'Actuals - Billing - 2025'!C386,"")</f>
        <v/>
      </c>
      <c r="C154" s="9" t="str">
        <f>IF(and('Actuals - Billing - 2025'!E$261=True,sum('Actuals - Billing - 2025'!T386:Y386)&gt;0),'Actuals - Billing - 2025'!B386,"")</f>
        <v/>
      </c>
      <c r="D154" s="10" t="str">
        <f>if(and(sum('Actuals - Billing - 2025'!T386:Y386)&gt;0,C154&lt;&gt;""),'Actuals - Billing - 2025'!$U$2,"")</f>
        <v/>
      </c>
      <c r="E154" s="11" t="str">
        <f t="array" ref="E154">if($D154="","",index('Actuals - Billing - 2025'!$B154:$AE1052,Match($C154,'Actuals - Billing - 2025'!$B154:$B1052,0),Match(E$1,'Actuals - Billing - 2025'!$B$2:$AE$2,0)))</f>
        <v/>
      </c>
      <c r="F154" s="11" t="str">
        <f t="array" ref="F154">if($D154="","",index('Actuals - Billing - 2025'!$B154:$AE1052,Match($C154,'Actuals - Billing - 2025'!$B154:$B1052,0),Match(F$1,'Actuals - Billing - 2025'!$B$2:$AE$2,0)))</f>
        <v/>
      </c>
      <c r="G154" s="11" t="str">
        <f t="array" ref="G154">if($D154="","",index('Actuals - Billing - 2025'!$B154:$AE1052,Match($C154,'Actuals - Billing - 2025'!$B154:$B1052,0),Match(G$1,'Actuals - Billing - 2025'!$B$2:$AE$2,0)))</f>
        <v/>
      </c>
      <c r="H154" s="11" t="str">
        <f t="array" ref="H154">if($D154="","",index('Actuals - Billing - 2025'!$B154:$AE1052,Match($C154,'Actuals - Billing - 2025'!$B154:$B1052,0),Match(H$1,'Actuals - Billing - 2025'!$B$2:$AE$2,0)))</f>
        <v/>
      </c>
      <c r="I154" s="11"/>
      <c r="J154" s="11" t="str">
        <f t="shared" si="12"/>
        <v/>
      </c>
      <c r="K154" s="12" t="str">
        <f t="shared" si="13"/>
        <v/>
      </c>
      <c r="L154" s="1" t="str">
        <f t="shared" si="10"/>
        <v/>
      </c>
      <c r="M154" s="4" t="str">
        <f t="shared" si="14"/>
        <v/>
      </c>
      <c r="N154" s="17" t="str">
        <f>if(M154&lt;&gt;"",'Actuals - Billing - 2025'!BG386,"")</f>
        <v/>
      </c>
      <c r="O154" s="15"/>
    </row>
    <row r="155">
      <c r="A155" s="7" t="str">
        <f t="shared" si="11"/>
        <v/>
      </c>
      <c r="B155" s="8" t="str">
        <f>if(and('Actuals - Billing - 2025'!E$261=True,C155&lt;&gt;""),'Actuals - Billing - 2025'!C387,"")</f>
        <v/>
      </c>
      <c r="C155" s="9" t="str">
        <f>IF(and('Actuals - Billing - 2025'!E$261=True,sum('Actuals - Billing - 2025'!T387:Y387)&gt;0),'Actuals - Billing - 2025'!B387,"")</f>
        <v/>
      </c>
      <c r="D155" s="10" t="str">
        <f>if(and(sum('Actuals - Billing - 2025'!T387:Y387)&gt;0,C155&lt;&gt;""),'Actuals - Billing - 2025'!$U$2,"")</f>
        <v/>
      </c>
      <c r="E155" s="11" t="str">
        <f t="array" ref="E155">if($D155="","",index('Actuals - Billing - 2025'!$B155:$AE1053,Match($C155,'Actuals - Billing - 2025'!$B155:$B1053,0),Match(E$1,'Actuals - Billing - 2025'!$B$2:$AE$2,0)))</f>
        <v/>
      </c>
      <c r="F155" s="11" t="str">
        <f t="array" ref="F155">if($D155="","",index('Actuals - Billing - 2025'!$B155:$AE1053,Match($C155,'Actuals - Billing - 2025'!$B155:$B1053,0),Match(F$1,'Actuals - Billing - 2025'!$B$2:$AE$2,0)))</f>
        <v/>
      </c>
      <c r="G155" s="11" t="str">
        <f t="array" ref="G155">if($D155="","",index('Actuals - Billing - 2025'!$B155:$AE1053,Match($C155,'Actuals - Billing - 2025'!$B155:$B1053,0),Match(G$1,'Actuals - Billing - 2025'!$B$2:$AE$2,0)))</f>
        <v/>
      </c>
      <c r="H155" s="11" t="str">
        <f t="array" ref="H155">if($D155="","",index('Actuals - Billing - 2025'!$B155:$AE1053,Match($C155,'Actuals - Billing - 2025'!$B155:$B1053,0),Match(H$1,'Actuals - Billing - 2025'!$B$2:$AE$2,0)))</f>
        <v/>
      </c>
      <c r="I155" s="11"/>
      <c r="J155" s="11" t="str">
        <f t="shared" si="12"/>
        <v/>
      </c>
      <c r="K155" s="12" t="str">
        <f t="shared" si="13"/>
        <v/>
      </c>
      <c r="L155" s="1" t="str">
        <f t="shared" si="10"/>
        <v/>
      </c>
      <c r="M155" s="4" t="str">
        <f t="shared" si="14"/>
        <v/>
      </c>
      <c r="N155" s="17" t="str">
        <f>if(M155&lt;&gt;"",'Actuals - Billing - 2025'!BG387,"")</f>
        <v/>
      </c>
      <c r="O155" s="15"/>
    </row>
    <row r="156">
      <c r="A156" s="7" t="str">
        <f t="shared" si="11"/>
        <v/>
      </c>
      <c r="B156" s="8" t="str">
        <f>if(and('Actuals - Billing - 2025'!E$261=True,C156&lt;&gt;""),'Actuals - Billing - 2025'!C388,"")</f>
        <v/>
      </c>
      <c r="C156" s="9" t="str">
        <f>IF(and('Actuals - Billing - 2025'!E$261=True,sum('Actuals - Billing - 2025'!T388:Y388)&gt;0),'Actuals - Billing - 2025'!B388,"")</f>
        <v/>
      </c>
      <c r="D156" s="10" t="str">
        <f>if(and(sum('Actuals - Billing - 2025'!T388:Y388)&gt;0,C156&lt;&gt;""),'Actuals - Billing - 2025'!$U$2,"")</f>
        <v/>
      </c>
      <c r="E156" s="11" t="str">
        <f t="array" ref="E156">if($D156="","",index('Actuals - Billing - 2025'!$B156:$AE1054,Match($C156,'Actuals - Billing - 2025'!$B156:$B1054,0),Match(E$1,'Actuals - Billing - 2025'!$B$2:$AE$2,0)))</f>
        <v/>
      </c>
      <c r="F156" s="11" t="str">
        <f t="array" ref="F156">if($D156="","",index('Actuals - Billing - 2025'!$B156:$AE1054,Match($C156,'Actuals - Billing - 2025'!$B156:$B1054,0),Match(F$1,'Actuals - Billing - 2025'!$B$2:$AE$2,0)))</f>
        <v/>
      </c>
      <c r="G156" s="11" t="str">
        <f t="array" ref="G156">if($D156="","",index('Actuals - Billing - 2025'!$B156:$AE1054,Match($C156,'Actuals - Billing - 2025'!$B156:$B1054,0),Match(G$1,'Actuals - Billing - 2025'!$B$2:$AE$2,0)))</f>
        <v/>
      </c>
      <c r="H156" s="11" t="str">
        <f t="array" ref="H156">if($D156="","",index('Actuals - Billing - 2025'!$B156:$AE1054,Match($C156,'Actuals - Billing - 2025'!$B156:$B1054,0),Match(H$1,'Actuals - Billing - 2025'!$B$2:$AE$2,0)))</f>
        <v/>
      </c>
      <c r="I156" s="11"/>
      <c r="J156" s="11" t="str">
        <f t="shared" si="12"/>
        <v/>
      </c>
      <c r="K156" s="12" t="str">
        <f t="shared" si="13"/>
        <v/>
      </c>
      <c r="L156" s="1" t="str">
        <f t="shared" si="10"/>
        <v/>
      </c>
      <c r="M156" s="4" t="str">
        <f t="shared" si="14"/>
        <v/>
      </c>
      <c r="N156" s="17" t="str">
        <f>if(M156&lt;&gt;"",'Actuals - Billing - 2025'!BG388,"")</f>
        <v/>
      </c>
      <c r="O156" s="15"/>
    </row>
    <row r="157">
      <c r="A157" s="7" t="str">
        <f t="shared" si="11"/>
        <v/>
      </c>
      <c r="B157" s="8" t="str">
        <f>if(and('Actuals - Billing - 2025'!E$261=True,C157&lt;&gt;""),'Actuals - Billing - 2025'!C389,"")</f>
        <v/>
      </c>
      <c r="C157" s="9" t="str">
        <f>IF(and('Actuals - Billing - 2025'!E$261=True,sum('Actuals - Billing - 2025'!T389:Y389)&gt;0),'Actuals - Billing - 2025'!B389,"")</f>
        <v/>
      </c>
      <c r="D157" s="10" t="str">
        <f>if(and(sum('Actuals - Billing - 2025'!T389:Y389)&gt;0,C157&lt;&gt;""),'Actuals - Billing - 2025'!$U$2,"")</f>
        <v/>
      </c>
      <c r="E157" s="11" t="str">
        <f t="array" ref="E157">if($D157="","",index('Actuals - Billing - 2025'!$B157:$AE1055,Match($C157,'Actuals - Billing - 2025'!$B157:$B1055,0),Match(E$1,'Actuals - Billing - 2025'!$B$2:$AE$2,0)))</f>
        <v/>
      </c>
      <c r="F157" s="11" t="str">
        <f t="array" ref="F157">if($D157="","",index('Actuals - Billing - 2025'!$B157:$AE1055,Match($C157,'Actuals - Billing - 2025'!$B157:$B1055,0),Match(F$1,'Actuals - Billing - 2025'!$B$2:$AE$2,0)))</f>
        <v/>
      </c>
      <c r="G157" s="11" t="str">
        <f t="array" ref="G157">if($D157="","",index('Actuals - Billing - 2025'!$B157:$AE1055,Match($C157,'Actuals - Billing - 2025'!$B157:$B1055,0),Match(G$1,'Actuals - Billing - 2025'!$B$2:$AE$2,0)))</f>
        <v/>
      </c>
      <c r="H157" s="11" t="str">
        <f t="array" ref="H157">if($D157="","",index('Actuals - Billing - 2025'!$B157:$AE1055,Match($C157,'Actuals - Billing - 2025'!$B157:$B1055,0),Match(H$1,'Actuals - Billing - 2025'!$B$2:$AE$2,0)))</f>
        <v/>
      </c>
      <c r="I157" s="11"/>
      <c r="J157" s="11" t="str">
        <f t="shared" si="12"/>
        <v/>
      </c>
      <c r="K157" s="12" t="str">
        <f t="shared" si="13"/>
        <v/>
      </c>
      <c r="L157" s="1" t="str">
        <f t="shared" si="10"/>
        <v/>
      </c>
      <c r="M157" s="4" t="str">
        <f t="shared" si="14"/>
        <v/>
      </c>
      <c r="N157" s="17" t="str">
        <f>if(M157&lt;&gt;"",'Actuals - Billing - 2025'!BG389,"")</f>
        <v/>
      </c>
      <c r="O157" s="15"/>
    </row>
    <row r="158">
      <c r="A158" s="7" t="str">
        <f t="shared" si="11"/>
        <v/>
      </c>
      <c r="B158" s="8" t="str">
        <f>if(and('Actuals - Billing - 2025'!E$261=True,C158&lt;&gt;""),'Actuals - Billing - 2025'!C390,"")</f>
        <v/>
      </c>
      <c r="C158" s="9" t="str">
        <f>IF(and('Actuals - Billing - 2025'!E$261=True,sum('Actuals - Billing - 2025'!T390:Y390)&gt;0),'Actuals - Billing - 2025'!B390,"")</f>
        <v/>
      </c>
      <c r="D158" s="10" t="str">
        <f>if(and(sum('Actuals - Billing - 2025'!T390:Y390)&gt;0,C158&lt;&gt;""),'Actuals - Billing - 2025'!$U$2,"")</f>
        <v/>
      </c>
      <c r="E158" s="11" t="str">
        <f t="array" ref="E158">if($D158="","",index('Actuals - Billing - 2025'!$B158:$AE1056,Match($C158,'Actuals - Billing - 2025'!$B158:$B1056,0),Match(E$1,'Actuals - Billing - 2025'!$B$2:$AE$2,0)))</f>
        <v/>
      </c>
      <c r="F158" s="11" t="str">
        <f t="array" ref="F158">if($D158="","",index('Actuals - Billing - 2025'!$B158:$AE1056,Match($C158,'Actuals - Billing - 2025'!$B158:$B1056,0),Match(F$1,'Actuals - Billing - 2025'!$B$2:$AE$2,0)))</f>
        <v/>
      </c>
      <c r="G158" s="11" t="str">
        <f t="array" ref="G158">if($D158="","",index('Actuals - Billing - 2025'!$B158:$AE1056,Match($C158,'Actuals - Billing - 2025'!$B158:$B1056,0),Match(G$1,'Actuals - Billing - 2025'!$B$2:$AE$2,0)))</f>
        <v/>
      </c>
      <c r="H158" s="11" t="str">
        <f t="array" ref="H158">if($D158="","",index('Actuals - Billing - 2025'!$B158:$AE1056,Match($C158,'Actuals - Billing - 2025'!$B158:$B1056,0),Match(H$1,'Actuals - Billing - 2025'!$B$2:$AE$2,0)))</f>
        <v/>
      </c>
      <c r="I158" s="11"/>
      <c r="J158" s="11" t="str">
        <f t="shared" si="12"/>
        <v/>
      </c>
      <c r="K158" s="12" t="str">
        <f t="shared" si="13"/>
        <v/>
      </c>
      <c r="L158" s="1" t="str">
        <f t="shared" si="10"/>
        <v/>
      </c>
      <c r="M158" s="4" t="str">
        <f t="shared" si="14"/>
        <v/>
      </c>
      <c r="N158" s="17" t="str">
        <f>if(M158&lt;&gt;"",'Actuals - Billing - 2025'!BG390,"")</f>
        <v/>
      </c>
      <c r="O158" s="15"/>
    </row>
    <row r="159">
      <c r="A159" s="7" t="str">
        <f t="shared" si="11"/>
        <v/>
      </c>
      <c r="B159" s="8" t="str">
        <f>if(and('Actuals - Billing - 2025'!E$261=True,C159&lt;&gt;""),'Actuals - Billing - 2025'!C391,"")</f>
        <v/>
      </c>
      <c r="C159" s="9" t="str">
        <f>IF(and('Actuals - Billing - 2025'!E$261=True,sum('Actuals - Billing - 2025'!T391:Y391)&gt;0),'Actuals - Billing - 2025'!B391,"")</f>
        <v/>
      </c>
      <c r="D159" s="10" t="str">
        <f>if(and(sum('Actuals - Billing - 2025'!T391:Y391)&gt;0,C159&lt;&gt;""),'Actuals - Billing - 2025'!$U$2,"")</f>
        <v/>
      </c>
      <c r="E159" s="11" t="str">
        <f t="array" ref="E159">if($D159="","",index('Actuals - Billing - 2025'!$B159:$AE1057,Match($C159,'Actuals - Billing - 2025'!$B159:$B1057,0),Match(E$1,'Actuals - Billing - 2025'!$B$2:$AE$2,0)))</f>
        <v/>
      </c>
      <c r="F159" s="11" t="str">
        <f t="array" ref="F159">if($D159="","",index('Actuals - Billing - 2025'!$B159:$AE1057,Match($C159,'Actuals - Billing - 2025'!$B159:$B1057,0),Match(F$1,'Actuals - Billing - 2025'!$B$2:$AE$2,0)))</f>
        <v/>
      </c>
      <c r="G159" s="11" t="str">
        <f t="array" ref="G159">if($D159="","",index('Actuals - Billing - 2025'!$B159:$AE1057,Match($C159,'Actuals - Billing - 2025'!$B159:$B1057,0),Match(G$1,'Actuals - Billing - 2025'!$B$2:$AE$2,0)))</f>
        <v/>
      </c>
      <c r="H159" s="11" t="str">
        <f t="array" ref="H159">if($D159="","",index('Actuals - Billing - 2025'!$B159:$AE1057,Match($C159,'Actuals - Billing - 2025'!$B159:$B1057,0),Match(H$1,'Actuals - Billing - 2025'!$B$2:$AE$2,0)))</f>
        <v/>
      </c>
      <c r="I159" s="11"/>
      <c r="J159" s="11" t="str">
        <f t="shared" si="12"/>
        <v/>
      </c>
      <c r="K159" s="12" t="str">
        <f t="shared" si="13"/>
        <v/>
      </c>
      <c r="L159" s="1" t="str">
        <f t="shared" si="10"/>
        <v/>
      </c>
      <c r="M159" s="4" t="str">
        <f t="shared" si="14"/>
        <v/>
      </c>
      <c r="N159" s="17" t="str">
        <f>if(M159&lt;&gt;"",'Actuals - Billing - 2025'!BG391,"")</f>
        <v/>
      </c>
      <c r="O159" s="15"/>
    </row>
    <row r="160">
      <c r="A160" s="7" t="str">
        <f t="shared" si="11"/>
        <v/>
      </c>
      <c r="B160" s="8" t="str">
        <f>if(and('Actuals - Billing - 2025'!E$261=True,C160&lt;&gt;""),'Actuals - Billing - 2025'!C392,"")</f>
        <v/>
      </c>
      <c r="C160" s="9" t="str">
        <f>IF(and('Actuals - Billing - 2025'!E$261=True,sum('Actuals - Billing - 2025'!T392:Y392)&gt;0),'Actuals - Billing - 2025'!B392,"")</f>
        <v/>
      </c>
      <c r="D160" s="10" t="str">
        <f>if(and(sum('Actuals - Billing - 2025'!T392:Y392)&gt;0,C160&lt;&gt;""),'Actuals - Billing - 2025'!$U$2,"")</f>
        <v/>
      </c>
      <c r="E160" s="11" t="str">
        <f t="array" ref="E160">if($D160="","",index('Actuals - Billing - 2025'!$B160:$AE1058,Match($C160,'Actuals - Billing - 2025'!$B160:$B1058,0),Match(E$1,'Actuals - Billing - 2025'!$B$2:$AE$2,0)))</f>
        <v/>
      </c>
      <c r="F160" s="11" t="str">
        <f t="array" ref="F160">if($D160="","",index('Actuals - Billing - 2025'!$B160:$AE1058,Match($C160,'Actuals - Billing - 2025'!$B160:$B1058,0),Match(F$1,'Actuals - Billing - 2025'!$B$2:$AE$2,0)))</f>
        <v/>
      </c>
      <c r="G160" s="11" t="str">
        <f t="array" ref="G160">if($D160="","",index('Actuals - Billing - 2025'!$B160:$AE1058,Match($C160,'Actuals - Billing - 2025'!$B160:$B1058,0),Match(G$1,'Actuals - Billing - 2025'!$B$2:$AE$2,0)))</f>
        <v/>
      </c>
      <c r="H160" s="11" t="str">
        <f t="array" ref="H160">if($D160="","",index('Actuals - Billing - 2025'!$B160:$AE1058,Match($C160,'Actuals - Billing - 2025'!$B160:$B1058,0),Match(H$1,'Actuals - Billing - 2025'!$B$2:$AE$2,0)))</f>
        <v/>
      </c>
      <c r="I160" s="11"/>
      <c r="J160" s="11" t="str">
        <f t="shared" si="12"/>
        <v/>
      </c>
      <c r="K160" s="12" t="str">
        <f t="shared" si="13"/>
        <v/>
      </c>
      <c r="L160" s="1" t="str">
        <f t="shared" si="10"/>
        <v/>
      </c>
      <c r="M160" s="4" t="str">
        <f t="shared" si="14"/>
        <v/>
      </c>
      <c r="N160" s="17" t="str">
        <f>if(M160&lt;&gt;"",'Actuals - Billing - 2025'!BG392,"")</f>
        <v/>
      </c>
      <c r="O160" s="15"/>
    </row>
    <row r="161">
      <c r="A161" s="7" t="str">
        <f t="shared" si="11"/>
        <v/>
      </c>
      <c r="B161" s="8" t="str">
        <f>if(and('Actuals - Billing - 2025'!E$261=True,C161&lt;&gt;""),'Actuals - Billing - 2025'!C393,"")</f>
        <v/>
      </c>
      <c r="C161" s="9" t="str">
        <f>IF(and('Actuals - Billing - 2025'!E$261=True,sum('Actuals - Billing - 2025'!T393:Y393)&gt;0),'Actuals - Billing - 2025'!B393,"")</f>
        <v/>
      </c>
      <c r="D161" s="10" t="str">
        <f>if(and(sum('Actuals - Billing - 2025'!T393:Y393)&gt;0,C161&lt;&gt;""),'Actuals - Billing - 2025'!$U$2,"")</f>
        <v/>
      </c>
      <c r="E161" s="11" t="str">
        <f t="array" ref="E161">if($D161="","",index('Actuals - Billing - 2025'!$B161:$AE1059,Match($C161,'Actuals - Billing - 2025'!$B161:$B1059,0),Match(E$1,'Actuals - Billing - 2025'!$B$2:$AE$2,0)))</f>
        <v/>
      </c>
      <c r="F161" s="11" t="str">
        <f t="array" ref="F161">if($D161="","",index('Actuals - Billing - 2025'!$B161:$AE1059,Match($C161,'Actuals - Billing - 2025'!$B161:$B1059,0),Match(F$1,'Actuals - Billing - 2025'!$B$2:$AE$2,0)))</f>
        <v/>
      </c>
      <c r="G161" s="11" t="str">
        <f t="array" ref="G161">if($D161="","",index('Actuals - Billing - 2025'!$B161:$AE1059,Match($C161,'Actuals - Billing - 2025'!$B161:$B1059,0),Match(G$1,'Actuals - Billing - 2025'!$B$2:$AE$2,0)))</f>
        <v/>
      </c>
      <c r="H161" s="11" t="str">
        <f t="array" ref="H161">if($D161="","",index('Actuals - Billing - 2025'!$B161:$AE1059,Match($C161,'Actuals - Billing - 2025'!$B161:$B1059,0),Match(H$1,'Actuals - Billing - 2025'!$B$2:$AE$2,0)))</f>
        <v/>
      </c>
      <c r="I161" s="11"/>
      <c r="J161" s="11" t="str">
        <f t="shared" si="12"/>
        <v/>
      </c>
      <c r="K161" s="12" t="str">
        <f t="shared" si="13"/>
        <v/>
      </c>
      <c r="L161" s="1" t="str">
        <f t="shared" si="10"/>
        <v/>
      </c>
      <c r="M161" s="4" t="str">
        <f t="shared" si="14"/>
        <v/>
      </c>
      <c r="N161" s="17" t="str">
        <f>if(M161&lt;&gt;"",'Actuals - Billing - 2025'!BG393,"")</f>
        <v/>
      </c>
      <c r="O161" s="15"/>
    </row>
    <row r="162">
      <c r="A162" s="7" t="str">
        <f t="shared" si="11"/>
        <v/>
      </c>
      <c r="B162" s="8" t="str">
        <f>if(and('Actuals - Billing - 2025'!E$261=True,C162&lt;&gt;""),'Actuals - Billing - 2025'!C394,"")</f>
        <v/>
      </c>
      <c r="C162" s="9" t="str">
        <f>IF(and('Actuals - Billing - 2025'!E$261=True,sum('Actuals - Billing - 2025'!T394:Y394)&gt;0),'Actuals - Billing - 2025'!B394,"")</f>
        <v/>
      </c>
      <c r="D162" s="10" t="str">
        <f>if(and(sum('Actuals - Billing - 2025'!T394:Y394)&gt;0,C162&lt;&gt;""),'Actuals - Billing - 2025'!$U$2,"")</f>
        <v/>
      </c>
      <c r="E162" s="11" t="str">
        <f t="array" ref="E162">if($D162="","",index('Actuals - Billing - 2025'!$B162:$AE1060,Match($C162,'Actuals - Billing - 2025'!$B162:$B1060,0),Match(E$1,'Actuals - Billing - 2025'!$B$2:$AE$2,0)))</f>
        <v/>
      </c>
      <c r="F162" s="11" t="str">
        <f t="array" ref="F162">if($D162="","",index('Actuals - Billing - 2025'!$B162:$AE1060,Match($C162,'Actuals - Billing - 2025'!$B162:$B1060,0),Match(F$1,'Actuals - Billing - 2025'!$B$2:$AE$2,0)))</f>
        <v/>
      </c>
      <c r="G162" s="11" t="str">
        <f t="array" ref="G162">if($D162="","",index('Actuals - Billing - 2025'!$B162:$AE1060,Match($C162,'Actuals - Billing - 2025'!$B162:$B1060,0),Match(G$1,'Actuals - Billing - 2025'!$B$2:$AE$2,0)))</f>
        <v/>
      </c>
      <c r="H162" s="11" t="str">
        <f t="array" ref="H162">if($D162="","",index('Actuals - Billing - 2025'!$B162:$AE1060,Match($C162,'Actuals - Billing - 2025'!$B162:$B1060,0),Match(H$1,'Actuals - Billing - 2025'!$B$2:$AE$2,0)))</f>
        <v/>
      </c>
      <c r="I162" s="11"/>
      <c r="J162" s="11" t="str">
        <f t="shared" si="12"/>
        <v/>
      </c>
      <c r="K162" s="12" t="str">
        <f t="shared" si="13"/>
        <v/>
      </c>
      <c r="L162" s="1" t="str">
        <f t="shared" si="10"/>
        <v/>
      </c>
      <c r="M162" s="4" t="str">
        <f t="shared" si="14"/>
        <v/>
      </c>
      <c r="N162" s="17" t="str">
        <f>if(M162&lt;&gt;"",'Actuals - Billing - 2025'!BG394,"")</f>
        <v/>
      </c>
      <c r="O162" s="15"/>
    </row>
    <row r="163">
      <c r="A163" s="7" t="str">
        <f t="shared" si="11"/>
        <v/>
      </c>
      <c r="B163" s="8" t="str">
        <f>if(and('Actuals - Billing - 2025'!E$261=True,C163&lt;&gt;""),'Actuals - Billing - 2025'!C395,"")</f>
        <v/>
      </c>
      <c r="C163" s="9" t="str">
        <f>IF(and('Actuals - Billing - 2025'!E$261=True,sum('Actuals - Billing - 2025'!T395:Y395)&gt;0),'Actuals - Billing - 2025'!B395,"")</f>
        <v/>
      </c>
      <c r="D163" s="10" t="str">
        <f>if(and(sum('Actuals - Billing - 2025'!T395:Y395)&gt;0,C163&lt;&gt;""),'Actuals - Billing - 2025'!$U$2,"")</f>
        <v/>
      </c>
      <c r="E163" s="11" t="str">
        <f t="array" ref="E163">if($D163="","",index('Actuals - Billing - 2025'!$B163:$AE1061,Match($C163,'Actuals - Billing - 2025'!$B163:$B1061,0),Match(E$1,'Actuals - Billing - 2025'!$B$2:$AE$2,0)))</f>
        <v/>
      </c>
      <c r="F163" s="11" t="str">
        <f t="array" ref="F163">if($D163="","",index('Actuals - Billing - 2025'!$B163:$AE1061,Match($C163,'Actuals - Billing - 2025'!$B163:$B1061,0),Match(F$1,'Actuals - Billing - 2025'!$B$2:$AE$2,0)))</f>
        <v/>
      </c>
      <c r="G163" s="11" t="str">
        <f t="array" ref="G163">if($D163="","",index('Actuals - Billing - 2025'!$B163:$AE1061,Match($C163,'Actuals - Billing - 2025'!$B163:$B1061,0),Match(G$1,'Actuals - Billing - 2025'!$B$2:$AE$2,0)))</f>
        <v/>
      </c>
      <c r="H163" s="11" t="str">
        <f t="array" ref="H163">if($D163="","",index('Actuals - Billing - 2025'!$B163:$AE1061,Match($C163,'Actuals - Billing - 2025'!$B163:$B1061,0),Match(H$1,'Actuals - Billing - 2025'!$B$2:$AE$2,0)))</f>
        <v/>
      </c>
      <c r="I163" s="11"/>
      <c r="J163" s="11" t="str">
        <f t="shared" si="12"/>
        <v/>
      </c>
      <c r="K163" s="12" t="str">
        <f t="shared" si="13"/>
        <v/>
      </c>
      <c r="L163" s="1" t="str">
        <f t="shared" si="10"/>
        <v/>
      </c>
      <c r="M163" s="4" t="str">
        <f t="shared" si="14"/>
        <v/>
      </c>
      <c r="N163" s="17" t="str">
        <f>if(M163&lt;&gt;"",'Actuals - Billing - 2025'!BG395,"")</f>
        <v/>
      </c>
      <c r="O163" s="15"/>
    </row>
    <row r="164">
      <c r="A164" s="7" t="str">
        <f t="shared" si="11"/>
        <v/>
      </c>
      <c r="B164" s="8" t="str">
        <f>if(and('Actuals - Billing - 2025'!E$261=True,C164&lt;&gt;""),'Actuals - Billing - 2025'!C396,"")</f>
        <v/>
      </c>
      <c r="C164" s="9" t="str">
        <f>IF(and('Actuals - Billing - 2025'!E$261=True,sum('Actuals - Billing - 2025'!T396:Y396)&gt;0),'Actuals - Billing - 2025'!B396,"")</f>
        <v/>
      </c>
      <c r="D164" s="10" t="str">
        <f>if(and(sum('Actuals - Billing - 2025'!T396:Y396)&gt;0,C164&lt;&gt;""),'Actuals - Billing - 2025'!$U$2,"")</f>
        <v/>
      </c>
      <c r="E164" s="11" t="str">
        <f t="array" ref="E164">if($D164="","",index('Actuals - Billing - 2025'!$B164:$AE1062,Match($C164,'Actuals - Billing - 2025'!$B164:$B1062,0),Match(E$1,'Actuals - Billing - 2025'!$B$2:$AE$2,0)))</f>
        <v/>
      </c>
      <c r="F164" s="11" t="str">
        <f t="array" ref="F164">if($D164="","",index('Actuals - Billing - 2025'!$B164:$AE1062,Match($C164,'Actuals - Billing - 2025'!$B164:$B1062,0),Match(F$1,'Actuals - Billing - 2025'!$B$2:$AE$2,0)))</f>
        <v/>
      </c>
      <c r="G164" s="11" t="str">
        <f t="array" ref="G164">if($D164="","",index('Actuals - Billing - 2025'!$B164:$AE1062,Match($C164,'Actuals - Billing - 2025'!$B164:$B1062,0),Match(G$1,'Actuals - Billing - 2025'!$B$2:$AE$2,0)))</f>
        <v/>
      </c>
      <c r="H164" s="11" t="str">
        <f t="array" ref="H164">if($D164="","",index('Actuals - Billing - 2025'!$B164:$AE1062,Match($C164,'Actuals - Billing - 2025'!$B164:$B1062,0),Match(H$1,'Actuals - Billing - 2025'!$B$2:$AE$2,0)))</f>
        <v/>
      </c>
      <c r="I164" s="11"/>
      <c r="J164" s="11" t="str">
        <f t="shared" si="12"/>
        <v/>
      </c>
      <c r="K164" s="12" t="str">
        <f t="shared" si="13"/>
        <v/>
      </c>
      <c r="L164" s="1" t="str">
        <f t="shared" si="10"/>
        <v/>
      </c>
      <c r="M164" s="4" t="str">
        <f t="shared" si="14"/>
        <v/>
      </c>
      <c r="N164" s="17" t="str">
        <f>if(M164&lt;&gt;"",'Actuals - Billing - 2025'!BG396,"")</f>
        <v/>
      </c>
      <c r="O164" s="15"/>
    </row>
    <row r="165">
      <c r="A165" s="7" t="str">
        <f t="shared" si="11"/>
        <v/>
      </c>
      <c r="B165" s="8" t="str">
        <f>if(and('Actuals - Billing - 2025'!E$261=True,C165&lt;&gt;""),'Actuals - Billing - 2025'!C397,"")</f>
        <v/>
      </c>
      <c r="C165" s="9" t="str">
        <f>IF(and('Actuals - Billing - 2025'!E$261=True,sum('Actuals - Billing - 2025'!T397:Y397)&gt;0),'Actuals - Billing - 2025'!B397,"")</f>
        <v/>
      </c>
      <c r="D165" s="10" t="str">
        <f>if(and(sum('Actuals - Billing - 2025'!T397:Y397)&gt;0,C165&lt;&gt;""),'Actuals - Billing - 2025'!$U$2,"")</f>
        <v/>
      </c>
      <c r="E165" s="11" t="str">
        <f t="array" ref="E165">if($D165="","",index('Actuals - Billing - 2025'!$B165:$AE1063,Match($C165,'Actuals - Billing - 2025'!$B165:$B1063,0),Match(E$1,'Actuals - Billing - 2025'!$B$2:$AE$2,0)))</f>
        <v/>
      </c>
      <c r="F165" s="11" t="str">
        <f t="array" ref="F165">if($D165="","",index('Actuals - Billing - 2025'!$B165:$AE1063,Match($C165,'Actuals - Billing - 2025'!$B165:$B1063,0),Match(F$1,'Actuals - Billing - 2025'!$B$2:$AE$2,0)))</f>
        <v/>
      </c>
      <c r="G165" s="11" t="str">
        <f t="array" ref="G165">if($D165="","",index('Actuals - Billing - 2025'!$B165:$AE1063,Match($C165,'Actuals - Billing - 2025'!$B165:$B1063,0),Match(G$1,'Actuals - Billing - 2025'!$B$2:$AE$2,0)))</f>
        <v/>
      </c>
      <c r="H165" s="11" t="str">
        <f t="array" ref="H165">if($D165="","",index('Actuals - Billing - 2025'!$B165:$AE1063,Match($C165,'Actuals - Billing - 2025'!$B165:$B1063,0),Match(H$1,'Actuals - Billing - 2025'!$B$2:$AE$2,0)))</f>
        <v/>
      </c>
      <c r="I165" s="11"/>
      <c r="J165" s="11" t="str">
        <f t="shared" si="12"/>
        <v/>
      </c>
      <c r="K165" s="12" t="str">
        <f t="shared" si="13"/>
        <v/>
      </c>
      <c r="L165" s="1" t="str">
        <f t="shared" si="10"/>
        <v/>
      </c>
      <c r="M165" s="4" t="str">
        <f t="shared" si="14"/>
        <v/>
      </c>
      <c r="N165" s="17" t="str">
        <f>if(M165&lt;&gt;"",'Actuals - Billing - 2025'!BG397,"")</f>
        <v/>
      </c>
      <c r="O165" s="15"/>
    </row>
    <row r="166">
      <c r="A166" s="7" t="str">
        <f t="shared" si="11"/>
        <v/>
      </c>
      <c r="B166" s="8" t="str">
        <f>if(and('Actuals - Billing - 2025'!E$261=True,C166&lt;&gt;""),'Actuals - Billing - 2025'!C398,"")</f>
        <v/>
      </c>
      <c r="C166" s="9" t="str">
        <f>IF(and('Actuals - Billing - 2025'!E$261=True,sum('Actuals - Billing - 2025'!T398:Y398)&gt;0),'Actuals - Billing - 2025'!B398,"")</f>
        <v/>
      </c>
      <c r="D166" s="10" t="str">
        <f>if(and(sum('Actuals - Billing - 2025'!T398:Y398)&gt;0,C166&lt;&gt;""),'Actuals - Billing - 2025'!$U$2,"")</f>
        <v/>
      </c>
      <c r="E166" s="11" t="str">
        <f t="array" ref="E166">if($D166="","",index('Actuals - Billing - 2025'!$B166:$AE1064,Match($C166,'Actuals - Billing - 2025'!$B166:$B1064,0),Match(E$1,'Actuals - Billing - 2025'!$B$2:$AE$2,0)))</f>
        <v/>
      </c>
      <c r="F166" s="11" t="str">
        <f t="array" ref="F166">if($D166="","",index('Actuals - Billing - 2025'!$B166:$AE1064,Match($C166,'Actuals - Billing - 2025'!$B166:$B1064,0),Match(F$1,'Actuals - Billing - 2025'!$B$2:$AE$2,0)))</f>
        <v/>
      </c>
      <c r="G166" s="11" t="str">
        <f t="array" ref="G166">if($D166="","",index('Actuals - Billing - 2025'!$B166:$AE1064,Match($C166,'Actuals - Billing - 2025'!$B166:$B1064,0),Match(G$1,'Actuals - Billing - 2025'!$B$2:$AE$2,0)))</f>
        <v/>
      </c>
      <c r="H166" s="11" t="str">
        <f t="array" ref="H166">if($D166="","",index('Actuals - Billing - 2025'!$B166:$AE1064,Match($C166,'Actuals - Billing - 2025'!$B166:$B1064,0),Match(H$1,'Actuals - Billing - 2025'!$B$2:$AE$2,0)))</f>
        <v/>
      </c>
      <c r="I166" s="11"/>
      <c r="J166" s="11" t="str">
        <f t="shared" si="12"/>
        <v/>
      </c>
      <c r="K166" s="12" t="str">
        <f t="shared" si="13"/>
        <v/>
      </c>
      <c r="L166" s="1" t="str">
        <f t="shared" si="10"/>
        <v/>
      </c>
      <c r="M166" s="4" t="str">
        <f t="shared" si="14"/>
        <v/>
      </c>
      <c r="N166" s="17" t="str">
        <f>if(M166&lt;&gt;"",'Actuals - Billing - 2025'!BG398,"")</f>
        <v/>
      </c>
      <c r="O166" s="15"/>
    </row>
    <row r="167">
      <c r="A167" s="7" t="str">
        <f t="shared" si="11"/>
        <v/>
      </c>
      <c r="B167" s="8" t="str">
        <f>if(and('Actuals - Billing - 2025'!E$261=True,C167&lt;&gt;""),'Actuals - Billing - 2025'!C399,"")</f>
        <v/>
      </c>
      <c r="C167" s="9" t="str">
        <f>IF(and('Actuals - Billing - 2025'!E$261=True,sum('Actuals - Billing - 2025'!T399:Y399)&gt;0),'Actuals - Billing - 2025'!B399,"")</f>
        <v/>
      </c>
      <c r="D167" s="10" t="str">
        <f>if(and(sum('Actuals - Billing - 2025'!T399:Y399)&gt;0,C167&lt;&gt;""),'Actuals - Billing - 2025'!$U$2,"")</f>
        <v/>
      </c>
      <c r="E167" s="11" t="str">
        <f t="array" ref="E167">if($D167="","",index('Actuals - Billing - 2025'!$B167:$AE1065,Match($C167,'Actuals - Billing - 2025'!$B167:$B1065,0),Match(E$1,'Actuals - Billing - 2025'!$B$2:$AE$2,0)))</f>
        <v/>
      </c>
      <c r="F167" s="11" t="str">
        <f t="array" ref="F167">if($D167="","",index('Actuals - Billing - 2025'!$B167:$AE1065,Match($C167,'Actuals - Billing - 2025'!$B167:$B1065,0),Match(F$1,'Actuals - Billing - 2025'!$B$2:$AE$2,0)))</f>
        <v/>
      </c>
      <c r="G167" s="11" t="str">
        <f t="array" ref="G167">if($D167="","",index('Actuals - Billing - 2025'!$B167:$AE1065,Match($C167,'Actuals - Billing - 2025'!$B167:$B1065,0),Match(G$1,'Actuals - Billing - 2025'!$B$2:$AE$2,0)))</f>
        <v/>
      </c>
      <c r="H167" s="11" t="str">
        <f t="array" ref="H167">if($D167="","",index('Actuals - Billing - 2025'!$B167:$AE1065,Match($C167,'Actuals - Billing - 2025'!$B167:$B1065,0),Match(H$1,'Actuals - Billing - 2025'!$B$2:$AE$2,0)))</f>
        <v/>
      </c>
      <c r="I167" s="11"/>
      <c r="J167" s="11" t="str">
        <f t="shared" si="12"/>
        <v/>
      </c>
      <c r="K167" s="12" t="str">
        <f t="shared" si="13"/>
        <v/>
      </c>
      <c r="L167" s="1" t="str">
        <f t="shared" si="10"/>
        <v/>
      </c>
      <c r="M167" s="4" t="str">
        <f t="shared" si="14"/>
        <v/>
      </c>
      <c r="N167" s="17" t="str">
        <f>if(M167&lt;&gt;"",'Actuals - Billing - 2025'!BG399,"")</f>
        <v/>
      </c>
      <c r="O167" s="15"/>
    </row>
    <row r="168">
      <c r="A168" s="7" t="str">
        <f t="shared" si="11"/>
        <v/>
      </c>
      <c r="B168" s="8" t="str">
        <f>if(and('Actuals - Billing - 2025'!E$261=True,C168&lt;&gt;""),'Actuals - Billing - 2025'!C400,"")</f>
        <v/>
      </c>
      <c r="C168" s="9" t="str">
        <f>IF(and('Actuals - Billing - 2025'!E$261=True,sum('Actuals - Billing - 2025'!T400:Y400)&gt;0),'Actuals - Billing - 2025'!B400,"")</f>
        <v/>
      </c>
      <c r="D168" s="10" t="str">
        <f>if(and(sum('Actuals - Billing - 2025'!T400:Y400)&gt;0,C168&lt;&gt;""),'Actuals - Billing - 2025'!$U$2,"")</f>
        <v/>
      </c>
      <c r="E168" s="11" t="str">
        <f t="array" ref="E168">if($D168="","",index('Actuals - Billing - 2025'!$B168:$AE1066,Match($C168,'Actuals - Billing - 2025'!$B168:$B1066,0),Match(E$1,'Actuals - Billing - 2025'!$B$2:$AE$2,0)))</f>
        <v/>
      </c>
      <c r="F168" s="11" t="str">
        <f t="array" ref="F168">if($D168="","",index('Actuals - Billing - 2025'!$B168:$AE1066,Match($C168,'Actuals - Billing - 2025'!$B168:$B1066,0),Match(F$1,'Actuals - Billing - 2025'!$B$2:$AE$2,0)))</f>
        <v/>
      </c>
      <c r="G168" s="11" t="str">
        <f t="array" ref="G168">if($D168="","",index('Actuals - Billing - 2025'!$B168:$AE1066,Match($C168,'Actuals - Billing - 2025'!$B168:$B1066,0),Match(G$1,'Actuals - Billing - 2025'!$B$2:$AE$2,0)))</f>
        <v/>
      </c>
      <c r="H168" s="11" t="str">
        <f t="array" ref="H168">if($D168="","",index('Actuals - Billing - 2025'!$B168:$AE1066,Match($C168,'Actuals - Billing - 2025'!$B168:$B1066,0),Match(H$1,'Actuals - Billing - 2025'!$B$2:$AE$2,0)))</f>
        <v/>
      </c>
      <c r="I168" s="11"/>
      <c r="J168" s="11" t="str">
        <f t="shared" si="12"/>
        <v/>
      </c>
      <c r="K168" s="12" t="str">
        <f t="shared" si="13"/>
        <v/>
      </c>
      <c r="L168" s="1" t="str">
        <f t="shared" si="10"/>
        <v/>
      </c>
      <c r="M168" s="4" t="str">
        <f t="shared" si="14"/>
        <v/>
      </c>
      <c r="N168" s="17" t="str">
        <f>if(M168&lt;&gt;"",'Actuals - Billing - 2025'!BG400,"")</f>
        <v/>
      </c>
      <c r="O168" s="15"/>
    </row>
    <row r="169">
      <c r="A169" s="7" t="str">
        <f t="shared" si="11"/>
        <v/>
      </c>
      <c r="B169" s="8" t="str">
        <f>if(and('Actuals - Billing - 2025'!E$261=True,C169&lt;&gt;""),'Actuals - Billing - 2025'!C401,"")</f>
        <v/>
      </c>
      <c r="C169" s="9" t="str">
        <f>IF(and('Actuals - Billing - 2025'!E$261=True,sum('Actuals - Billing - 2025'!T401:Y401)&gt;0),'Actuals - Billing - 2025'!B401,"")</f>
        <v/>
      </c>
      <c r="D169" s="10" t="str">
        <f>if(and(sum('Actuals - Billing - 2025'!T401:Y401)&gt;0,C169&lt;&gt;""),'Actuals - Billing - 2025'!$U$2,"")</f>
        <v/>
      </c>
      <c r="E169" s="11" t="str">
        <f t="array" ref="E169">if($D169="","",index('Actuals - Billing - 2025'!$B169:$AE1067,Match($C169,'Actuals - Billing - 2025'!$B169:$B1067,0),Match(E$1,'Actuals - Billing - 2025'!$B$2:$AE$2,0)))</f>
        <v/>
      </c>
      <c r="F169" s="11" t="str">
        <f t="array" ref="F169">if($D169="","",index('Actuals - Billing - 2025'!$B169:$AE1067,Match($C169,'Actuals - Billing - 2025'!$B169:$B1067,0),Match(F$1,'Actuals - Billing - 2025'!$B$2:$AE$2,0)))</f>
        <v/>
      </c>
      <c r="G169" s="11" t="str">
        <f t="array" ref="G169">if($D169="","",index('Actuals - Billing - 2025'!$B169:$AE1067,Match($C169,'Actuals - Billing - 2025'!$B169:$B1067,0),Match(G$1,'Actuals - Billing - 2025'!$B$2:$AE$2,0)))</f>
        <v/>
      </c>
      <c r="H169" s="11" t="str">
        <f t="array" ref="H169">if($D169="","",index('Actuals - Billing - 2025'!$B169:$AE1067,Match($C169,'Actuals - Billing - 2025'!$B169:$B1067,0),Match(H$1,'Actuals - Billing - 2025'!$B$2:$AE$2,0)))</f>
        <v/>
      </c>
      <c r="I169" s="11"/>
      <c r="J169" s="11" t="str">
        <f t="shared" si="12"/>
        <v/>
      </c>
      <c r="K169" s="12" t="str">
        <f t="shared" si="13"/>
        <v/>
      </c>
      <c r="L169" s="1" t="str">
        <f t="shared" si="10"/>
        <v/>
      </c>
      <c r="M169" s="4" t="str">
        <f t="shared" si="14"/>
        <v/>
      </c>
      <c r="N169" s="17" t="str">
        <f>if(M169&lt;&gt;"",'Actuals - Billing - 2025'!BG401,"")</f>
        <v/>
      </c>
      <c r="O169" s="15"/>
    </row>
    <row r="170">
      <c r="A170" s="7" t="str">
        <f t="shared" si="11"/>
        <v/>
      </c>
      <c r="B170" s="8" t="str">
        <f>if(and('Actuals - Billing - 2025'!E$261=True,C170&lt;&gt;""),'Actuals - Billing - 2025'!C402,"")</f>
        <v/>
      </c>
      <c r="C170" s="9" t="str">
        <f>IF(and('Actuals - Billing - 2025'!E$261=True,sum('Actuals - Billing - 2025'!T402:Y402)&gt;0),'Actuals - Billing - 2025'!B402,"")</f>
        <v/>
      </c>
      <c r="D170" s="10" t="str">
        <f>if(and(sum('Actuals - Billing - 2025'!T402:Y402)&gt;0,C170&lt;&gt;""),'Actuals - Billing - 2025'!$U$2,"")</f>
        <v/>
      </c>
      <c r="E170" s="11" t="str">
        <f t="array" ref="E170">if($D170="","",index('Actuals - Billing - 2025'!$B170:$AE1068,Match($C170,'Actuals - Billing - 2025'!$B170:$B1068,0),Match(E$1,'Actuals - Billing - 2025'!$B$2:$AE$2,0)))</f>
        <v/>
      </c>
      <c r="F170" s="11" t="str">
        <f t="array" ref="F170">if($D170="","",index('Actuals - Billing - 2025'!$B170:$AE1068,Match($C170,'Actuals - Billing - 2025'!$B170:$B1068,0),Match(F$1,'Actuals - Billing - 2025'!$B$2:$AE$2,0)))</f>
        <v/>
      </c>
      <c r="G170" s="11" t="str">
        <f t="array" ref="G170">if($D170="","",index('Actuals - Billing - 2025'!$B170:$AE1068,Match($C170,'Actuals - Billing - 2025'!$B170:$B1068,0),Match(G$1,'Actuals - Billing - 2025'!$B$2:$AE$2,0)))</f>
        <v/>
      </c>
      <c r="H170" s="11" t="str">
        <f t="array" ref="H170">if($D170="","",index('Actuals - Billing - 2025'!$B170:$AE1068,Match($C170,'Actuals - Billing - 2025'!$B170:$B1068,0),Match(H$1,'Actuals - Billing - 2025'!$B$2:$AE$2,0)))</f>
        <v/>
      </c>
      <c r="I170" s="11"/>
      <c r="J170" s="11" t="str">
        <f t="shared" si="12"/>
        <v/>
      </c>
      <c r="K170" s="12" t="str">
        <f t="shared" si="13"/>
        <v/>
      </c>
      <c r="L170" s="1" t="str">
        <f t="shared" si="10"/>
        <v/>
      </c>
      <c r="M170" s="4" t="str">
        <f t="shared" si="14"/>
        <v/>
      </c>
      <c r="N170" s="17" t="str">
        <f>if(M170&lt;&gt;"",'Actuals - Billing - 2025'!BG402,"")</f>
        <v/>
      </c>
      <c r="O170" s="15"/>
    </row>
    <row r="171">
      <c r="A171" s="7" t="str">
        <f t="shared" si="11"/>
        <v/>
      </c>
      <c r="B171" s="8" t="str">
        <f>if(and('Actuals - Billing - 2025'!E$261=True,C171&lt;&gt;""),'Actuals - Billing - 2025'!C403,"")</f>
        <v/>
      </c>
      <c r="C171" s="9" t="str">
        <f>IF(and('Actuals - Billing - 2025'!E$261=True,sum('Actuals - Billing - 2025'!T403:Y403)&gt;0),'Actuals - Billing - 2025'!B403,"")</f>
        <v/>
      </c>
      <c r="D171" s="10" t="str">
        <f>if(and(sum('Actuals - Billing - 2025'!T403:Y403)&gt;0,C171&lt;&gt;""),'Actuals - Billing - 2025'!$U$2,"")</f>
        <v/>
      </c>
      <c r="E171" s="11" t="str">
        <f t="array" ref="E171">if($D171="","",index('Actuals - Billing - 2025'!$B171:$AE1069,Match($C171,'Actuals - Billing - 2025'!$B171:$B1069,0),Match(E$1,'Actuals - Billing - 2025'!$B$2:$AE$2,0)))</f>
        <v/>
      </c>
      <c r="F171" s="11" t="str">
        <f t="array" ref="F171">if($D171="","",index('Actuals - Billing - 2025'!$B171:$AE1069,Match($C171,'Actuals - Billing - 2025'!$B171:$B1069,0),Match(F$1,'Actuals - Billing - 2025'!$B$2:$AE$2,0)))</f>
        <v/>
      </c>
      <c r="G171" s="11" t="str">
        <f t="array" ref="G171">if($D171="","",index('Actuals - Billing - 2025'!$B171:$AE1069,Match($C171,'Actuals - Billing - 2025'!$B171:$B1069,0),Match(G$1,'Actuals - Billing - 2025'!$B$2:$AE$2,0)))</f>
        <v/>
      </c>
      <c r="H171" s="11" t="str">
        <f t="array" ref="H171">if($D171="","",index('Actuals - Billing - 2025'!$B171:$AE1069,Match($C171,'Actuals - Billing - 2025'!$B171:$B1069,0),Match(H$1,'Actuals - Billing - 2025'!$B$2:$AE$2,0)))</f>
        <v/>
      </c>
      <c r="I171" s="11"/>
      <c r="J171" s="11" t="str">
        <f t="shared" si="12"/>
        <v/>
      </c>
      <c r="K171" s="12" t="str">
        <f t="shared" si="13"/>
        <v/>
      </c>
      <c r="L171" s="1" t="str">
        <f t="shared" si="10"/>
        <v/>
      </c>
      <c r="M171" s="4" t="str">
        <f t="shared" si="14"/>
        <v/>
      </c>
      <c r="N171" s="17" t="str">
        <f>if(M171&lt;&gt;"",'Actuals - Billing - 2025'!BG403,"")</f>
        <v/>
      </c>
      <c r="O171" s="15"/>
    </row>
    <row r="172">
      <c r="A172" s="7" t="str">
        <f t="shared" si="11"/>
        <v/>
      </c>
      <c r="B172" s="8" t="str">
        <f>if(and('Actuals - Billing - 2025'!E$261=True,C172&lt;&gt;""),'Actuals - Billing - 2025'!C404,"")</f>
        <v/>
      </c>
      <c r="C172" s="9" t="str">
        <f>IF(and('Actuals - Billing - 2025'!E$261=True,sum('Actuals - Billing - 2025'!T404:Y404)&gt;0),'Actuals - Billing - 2025'!B404,"")</f>
        <v/>
      </c>
      <c r="D172" s="10" t="str">
        <f>if(and(sum('Actuals - Billing - 2025'!T404:Y404)&gt;0,C172&lt;&gt;""),'Actuals - Billing - 2025'!$U$2,"")</f>
        <v/>
      </c>
      <c r="E172" s="11" t="str">
        <f t="array" ref="E172">if($D172="","",index('Actuals - Billing - 2025'!$B172:$AE1070,Match($C172,'Actuals - Billing - 2025'!$B172:$B1070,0),Match(E$1,'Actuals - Billing - 2025'!$B$2:$AE$2,0)))</f>
        <v/>
      </c>
      <c r="F172" s="11" t="str">
        <f t="array" ref="F172">if($D172="","",index('Actuals - Billing - 2025'!$B172:$AE1070,Match($C172,'Actuals - Billing - 2025'!$B172:$B1070,0),Match(F$1,'Actuals - Billing - 2025'!$B$2:$AE$2,0)))</f>
        <v/>
      </c>
      <c r="G172" s="11" t="str">
        <f t="array" ref="G172">if($D172="","",index('Actuals - Billing - 2025'!$B172:$AE1070,Match($C172,'Actuals - Billing - 2025'!$B172:$B1070,0),Match(G$1,'Actuals - Billing - 2025'!$B$2:$AE$2,0)))</f>
        <v/>
      </c>
      <c r="H172" s="11" t="str">
        <f t="array" ref="H172">if($D172="","",index('Actuals - Billing - 2025'!$B172:$AE1070,Match($C172,'Actuals - Billing - 2025'!$B172:$B1070,0),Match(H$1,'Actuals - Billing - 2025'!$B$2:$AE$2,0)))</f>
        <v/>
      </c>
      <c r="I172" s="11"/>
      <c r="J172" s="11" t="str">
        <f t="shared" si="12"/>
        <v/>
      </c>
      <c r="K172" s="12" t="str">
        <f t="shared" si="13"/>
        <v/>
      </c>
      <c r="L172" s="1" t="str">
        <f t="shared" si="10"/>
        <v/>
      </c>
      <c r="M172" s="4" t="str">
        <f t="shared" si="14"/>
        <v/>
      </c>
      <c r="N172" s="17" t="str">
        <f>if(M172&lt;&gt;"",'Actuals - Billing - 2025'!BG404,"")</f>
        <v/>
      </c>
      <c r="O172" s="15"/>
    </row>
    <row r="173">
      <c r="A173" s="7" t="str">
        <f t="shared" si="11"/>
        <v/>
      </c>
      <c r="B173" s="8" t="str">
        <f>if(and('Actuals - Billing - 2025'!E$261=True,C173&lt;&gt;""),'Actuals - Billing - 2025'!C405,"")</f>
        <v/>
      </c>
      <c r="C173" s="9" t="str">
        <f>IF(and('Actuals - Billing - 2025'!E$261=True,sum('Actuals - Billing - 2025'!T405:Y405)&gt;0),'Actuals - Billing - 2025'!B405,"")</f>
        <v/>
      </c>
      <c r="D173" s="10" t="str">
        <f>if(and(sum('Actuals - Billing - 2025'!T405:Y405)&gt;0,C173&lt;&gt;""),'Actuals - Billing - 2025'!$U$2,"")</f>
        <v/>
      </c>
      <c r="E173" s="11" t="str">
        <f t="array" ref="E173">if($D173="","",index('Actuals - Billing - 2025'!$B173:$AE1071,Match($C173,'Actuals - Billing - 2025'!$B173:$B1071,0),Match(E$1,'Actuals - Billing - 2025'!$B$2:$AE$2,0)))</f>
        <v/>
      </c>
      <c r="F173" s="11" t="str">
        <f t="array" ref="F173">if($D173="","",index('Actuals - Billing - 2025'!$B173:$AE1071,Match($C173,'Actuals - Billing - 2025'!$B173:$B1071,0),Match(F$1,'Actuals - Billing - 2025'!$B$2:$AE$2,0)))</f>
        <v/>
      </c>
      <c r="G173" s="11" t="str">
        <f t="array" ref="G173">if($D173="","",index('Actuals - Billing - 2025'!$B173:$AE1071,Match($C173,'Actuals - Billing - 2025'!$B173:$B1071,0),Match(G$1,'Actuals - Billing - 2025'!$B$2:$AE$2,0)))</f>
        <v/>
      </c>
      <c r="H173" s="11" t="str">
        <f t="array" ref="H173">if($D173="","",index('Actuals - Billing - 2025'!$B173:$AE1071,Match($C173,'Actuals - Billing - 2025'!$B173:$B1071,0),Match(H$1,'Actuals - Billing - 2025'!$B$2:$AE$2,0)))</f>
        <v/>
      </c>
      <c r="I173" s="11"/>
      <c r="J173" s="11" t="str">
        <f t="shared" si="12"/>
        <v/>
      </c>
      <c r="K173" s="12" t="str">
        <f t="shared" si="13"/>
        <v/>
      </c>
      <c r="L173" s="1" t="str">
        <f t="shared" si="10"/>
        <v/>
      </c>
      <c r="M173" s="4" t="str">
        <f t="shared" si="14"/>
        <v/>
      </c>
      <c r="N173" s="17" t="str">
        <f>if(M173&lt;&gt;"",'Actuals - Billing - 2025'!BG405,"")</f>
        <v/>
      </c>
      <c r="O173" s="15"/>
    </row>
    <row r="174">
      <c r="A174" s="7" t="str">
        <f t="shared" si="11"/>
        <v/>
      </c>
      <c r="B174" s="8" t="str">
        <f>if(and('Actuals - Billing - 2025'!E$261=True,C174&lt;&gt;""),'Actuals - Billing - 2025'!C406,"")</f>
        <v/>
      </c>
      <c r="C174" s="9" t="str">
        <f>IF(and('Actuals - Billing - 2025'!E$261=True,sum('Actuals - Billing - 2025'!T406:Y406)&gt;0),'Actuals - Billing - 2025'!B406,"")</f>
        <v/>
      </c>
      <c r="D174" s="10" t="str">
        <f>if(and(sum('Actuals - Billing - 2025'!T406:Y406)&gt;0,C174&lt;&gt;""),'Actuals - Billing - 2025'!$U$2,"")</f>
        <v/>
      </c>
      <c r="E174" s="11" t="str">
        <f t="array" ref="E174">if($D174="","",index('Actuals - Billing - 2025'!$B174:$AE1072,Match($C174,'Actuals - Billing - 2025'!$B174:$B1072,0),Match(E$1,'Actuals - Billing - 2025'!$B$2:$AE$2,0)))</f>
        <v/>
      </c>
      <c r="F174" s="11" t="str">
        <f t="array" ref="F174">if($D174="","",index('Actuals - Billing - 2025'!$B174:$AE1072,Match($C174,'Actuals - Billing - 2025'!$B174:$B1072,0),Match(F$1,'Actuals - Billing - 2025'!$B$2:$AE$2,0)))</f>
        <v/>
      </c>
      <c r="G174" s="11" t="str">
        <f t="array" ref="G174">if($D174="","",index('Actuals - Billing - 2025'!$B174:$AE1072,Match($C174,'Actuals - Billing - 2025'!$B174:$B1072,0),Match(G$1,'Actuals - Billing - 2025'!$B$2:$AE$2,0)))</f>
        <v/>
      </c>
      <c r="H174" s="11" t="str">
        <f t="array" ref="H174">if($D174="","",index('Actuals - Billing - 2025'!$B174:$AE1072,Match($C174,'Actuals - Billing - 2025'!$B174:$B1072,0),Match(H$1,'Actuals - Billing - 2025'!$B$2:$AE$2,0)))</f>
        <v/>
      </c>
      <c r="I174" s="11"/>
      <c r="J174" s="11" t="str">
        <f t="shared" si="12"/>
        <v/>
      </c>
      <c r="K174" s="12" t="str">
        <f t="shared" si="13"/>
        <v/>
      </c>
      <c r="L174" s="1" t="str">
        <f t="shared" si="10"/>
        <v/>
      </c>
      <c r="M174" s="4" t="str">
        <f t="shared" si="14"/>
        <v/>
      </c>
      <c r="N174" s="17" t="str">
        <f>if(M174&lt;&gt;"",'Actuals - Billing - 2025'!BG406,"")</f>
        <v/>
      </c>
      <c r="O174" s="15"/>
    </row>
    <row r="175">
      <c r="A175" s="7" t="str">
        <f t="shared" si="11"/>
        <v/>
      </c>
      <c r="B175" s="8" t="str">
        <f>if(and('Actuals - Billing - 2025'!E$261=True,C175&lt;&gt;""),'Actuals - Billing - 2025'!C407,"")</f>
        <v/>
      </c>
      <c r="C175" s="9" t="str">
        <f>IF(and('Actuals - Billing - 2025'!E$261=True,sum('Actuals - Billing - 2025'!T407:Y407)&gt;0),'Actuals - Billing - 2025'!B407,"")</f>
        <v/>
      </c>
      <c r="D175" s="10" t="str">
        <f>if(and(sum('Actuals - Billing - 2025'!T407:Y407)&gt;0,C175&lt;&gt;""),'Actuals - Billing - 2025'!$U$2,"")</f>
        <v/>
      </c>
      <c r="E175" s="11" t="str">
        <f t="array" ref="E175">if($D175="","",index('Actuals - Billing - 2025'!$B175:$AE1073,Match($C175,'Actuals - Billing - 2025'!$B175:$B1073,0),Match(E$1,'Actuals - Billing - 2025'!$B$2:$AE$2,0)))</f>
        <v/>
      </c>
      <c r="F175" s="11" t="str">
        <f t="array" ref="F175">if($D175="","",index('Actuals - Billing - 2025'!$B175:$AE1073,Match($C175,'Actuals - Billing - 2025'!$B175:$B1073,0),Match(F$1,'Actuals - Billing - 2025'!$B$2:$AE$2,0)))</f>
        <v/>
      </c>
      <c r="G175" s="11" t="str">
        <f t="array" ref="G175">if($D175="","",index('Actuals - Billing - 2025'!$B175:$AE1073,Match($C175,'Actuals - Billing - 2025'!$B175:$B1073,0),Match(G$1,'Actuals - Billing - 2025'!$B$2:$AE$2,0)))</f>
        <v/>
      </c>
      <c r="H175" s="11" t="str">
        <f t="array" ref="H175">if($D175="","",index('Actuals - Billing - 2025'!$B175:$AE1073,Match($C175,'Actuals - Billing - 2025'!$B175:$B1073,0),Match(H$1,'Actuals - Billing - 2025'!$B$2:$AE$2,0)))</f>
        <v/>
      </c>
      <c r="I175" s="11"/>
      <c r="J175" s="11" t="str">
        <f t="shared" si="12"/>
        <v/>
      </c>
      <c r="K175" s="12" t="str">
        <f t="shared" si="13"/>
        <v/>
      </c>
      <c r="L175" s="1" t="str">
        <f t="shared" si="10"/>
        <v/>
      </c>
      <c r="M175" s="4" t="str">
        <f t="shared" si="14"/>
        <v/>
      </c>
      <c r="N175" s="17" t="str">
        <f>if(M175&lt;&gt;"",'Actuals - Billing - 2025'!BG407,"")</f>
        <v/>
      </c>
      <c r="O175" s="15"/>
    </row>
    <row r="176">
      <c r="A176" s="7" t="str">
        <f t="shared" si="11"/>
        <v/>
      </c>
      <c r="B176" s="8" t="str">
        <f>if(and('Actuals - Billing - 2025'!E$261=True,C176&lt;&gt;""),'Actuals - Billing - 2025'!C408,"")</f>
        <v/>
      </c>
      <c r="C176" s="9" t="str">
        <f>IF(and('Actuals - Billing - 2025'!E$261=True,sum('Actuals - Billing - 2025'!T408:Y408)&gt;0),'Actuals - Billing - 2025'!B408,"")</f>
        <v/>
      </c>
      <c r="D176" s="10" t="str">
        <f>if(and(sum('Actuals - Billing - 2025'!T408:Y408)&gt;0,C176&lt;&gt;""),'Actuals - Billing - 2025'!$U$2,"")</f>
        <v/>
      </c>
      <c r="E176" s="11" t="str">
        <f t="array" ref="E176">if($D176="","",index('Actuals - Billing - 2025'!$B176:$AE1074,Match($C176,'Actuals - Billing - 2025'!$B176:$B1074,0),Match(E$1,'Actuals - Billing - 2025'!$B$2:$AE$2,0)))</f>
        <v/>
      </c>
      <c r="F176" s="11" t="str">
        <f t="array" ref="F176">if($D176="","",index('Actuals - Billing - 2025'!$B176:$AE1074,Match($C176,'Actuals - Billing - 2025'!$B176:$B1074,0),Match(F$1,'Actuals - Billing - 2025'!$B$2:$AE$2,0)))</f>
        <v/>
      </c>
      <c r="G176" s="11" t="str">
        <f t="array" ref="G176">if($D176="","",index('Actuals - Billing - 2025'!$B176:$AE1074,Match($C176,'Actuals - Billing - 2025'!$B176:$B1074,0),Match(G$1,'Actuals - Billing - 2025'!$B$2:$AE$2,0)))</f>
        <v/>
      </c>
      <c r="H176" s="11" t="str">
        <f t="array" ref="H176">if($D176="","",index('Actuals - Billing - 2025'!$B176:$AE1074,Match($C176,'Actuals - Billing - 2025'!$B176:$B1074,0),Match(H$1,'Actuals - Billing - 2025'!$B$2:$AE$2,0)))</f>
        <v/>
      </c>
      <c r="I176" s="11"/>
      <c r="J176" s="11" t="str">
        <f t="shared" si="12"/>
        <v/>
      </c>
      <c r="K176" s="12" t="str">
        <f t="shared" si="13"/>
        <v/>
      </c>
      <c r="L176" s="1" t="str">
        <f t="shared" si="10"/>
        <v/>
      </c>
      <c r="M176" s="4" t="str">
        <f t="shared" si="14"/>
        <v/>
      </c>
      <c r="N176" s="17" t="str">
        <f>if(M176&lt;&gt;"",'Actuals - Billing - 2025'!BG408,"")</f>
        <v/>
      </c>
      <c r="O176" s="15"/>
    </row>
    <row r="177">
      <c r="A177" s="7" t="str">
        <f t="shared" si="11"/>
        <v/>
      </c>
      <c r="B177" s="8" t="str">
        <f>if(and('Actuals - Billing - 2025'!E$261=True,C177&lt;&gt;""),'Actuals - Billing - 2025'!C409,"")</f>
        <v/>
      </c>
      <c r="C177" s="9" t="str">
        <f>IF(and('Actuals - Billing - 2025'!E$261=True,sum('Actuals - Billing - 2025'!T409:Y409)&gt;0),'Actuals - Billing - 2025'!B409,"")</f>
        <v/>
      </c>
      <c r="D177" s="10" t="str">
        <f>if(and(sum('Actuals - Billing - 2025'!T409:Y409)&gt;0,C177&lt;&gt;""),'Actuals - Billing - 2025'!$U$2,"")</f>
        <v/>
      </c>
      <c r="E177" s="11" t="str">
        <f t="array" ref="E177">if($D177="","",index('Actuals - Billing - 2025'!$B177:$AE1075,Match($C177,'Actuals - Billing - 2025'!$B177:$B1075,0),Match(E$1,'Actuals - Billing - 2025'!$B$2:$AE$2,0)))</f>
        <v/>
      </c>
      <c r="F177" s="11" t="str">
        <f t="array" ref="F177">if($D177="","",index('Actuals - Billing - 2025'!$B177:$AE1075,Match($C177,'Actuals - Billing - 2025'!$B177:$B1075,0),Match(F$1,'Actuals - Billing - 2025'!$B$2:$AE$2,0)))</f>
        <v/>
      </c>
      <c r="G177" s="11" t="str">
        <f t="array" ref="G177">if($D177="","",index('Actuals - Billing - 2025'!$B177:$AE1075,Match($C177,'Actuals - Billing - 2025'!$B177:$B1075,0),Match(G$1,'Actuals - Billing - 2025'!$B$2:$AE$2,0)))</f>
        <v/>
      </c>
      <c r="H177" s="11" t="str">
        <f t="array" ref="H177">if($D177="","",index('Actuals - Billing - 2025'!$B177:$AE1075,Match($C177,'Actuals - Billing - 2025'!$B177:$B1075,0),Match(H$1,'Actuals - Billing - 2025'!$B$2:$AE$2,0)))</f>
        <v/>
      </c>
      <c r="I177" s="11"/>
      <c r="J177" s="11" t="str">
        <f t="shared" si="12"/>
        <v/>
      </c>
      <c r="K177" s="12" t="str">
        <f t="shared" si="13"/>
        <v/>
      </c>
      <c r="L177" s="1" t="str">
        <f t="shared" si="10"/>
        <v/>
      </c>
      <c r="M177" s="4" t="str">
        <f t="shared" si="14"/>
        <v/>
      </c>
      <c r="N177" s="17" t="str">
        <f>if(M177&lt;&gt;"",'Actuals - Billing - 2025'!BG409,"")</f>
        <v/>
      </c>
      <c r="O177" s="15"/>
    </row>
    <row r="178">
      <c r="A178" s="7" t="str">
        <f t="shared" si="11"/>
        <v/>
      </c>
      <c r="B178" s="8" t="str">
        <f>if(and('Actuals - Billing - 2025'!E$261=True,C178&lt;&gt;""),'Actuals - Billing - 2025'!C410,"")</f>
        <v/>
      </c>
      <c r="C178" s="9" t="str">
        <f>IF(and('Actuals - Billing - 2025'!E$261=True,sum('Actuals - Billing - 2025'!T410:Y410)&gt;0),'Actuals - Billing - 2025'!B410,"")</f>
        <v/>
      </c>
      <c r="D178" s="10" t="str">
        <f>if(and(sum('Actuals - Billing - 2025'!T410:Y410)&gt;0,C178&lt;&gt;""),'Actuals - Billing - 2025'!$U$2,"")</f>
        <v/>
      </c>
      <c r="E178" s="11" t="str">
        <f t="array" ref="E178">if($D178="","",index('Actuals - Billing - 2025'!$B178:$AE1076,Match($C178,'Actuals - Billing - 2025'!$B178:$B1076,0),Match(E$1,'Actuals - Billing - 2025'!$B$2:$AE$2,0)))</f>
        <v/>
      </c>
      <c r="F178" s="11" t="str">
        <f t="array" ref="F178">if($D178="","",index('Actuals - Billing - 2025'!$B178:$AE1076,Match($C178,'Actuals - Billing - 2025'!$B178:$B1076,0),Match(F$1,'Actuals - Billing - 2025'!$B$2:$AE$2,0)))</f>
        <v/>
      </c>
      <c r="G178" s="11" t="str">
        <f t="array" ref="G178">if($D178="","",index('Actuals - Billing - 2025'!$B178:$AE1076,Match($C178,'Actuals - Billing - 2025'!$B178:$B1076,0),Match(G$1,'Actuals - Billing - 2025'!$B$2:$AE$2,0)))</f>
        <v/>
      </c>
      <c r="H178" s="11" t="str">
        <f t="array" ref="H178">if($D178="","",index('Actuals - Billing - 2025'!$B178:$AE1076,Match($C178,'Actuals - Billing - 2025'!$B178:$B1076,0),Match(H$1,'Actuals - Billing - 2025'!$B$2:$AE$2,0)))</f>
        <v/>
      </c>
      <c r="I178" s="11"/>
      <c r="J178" s="11" t="str">
        <f t="shared" si="12"/>
        <v/>
      </c>
      <c r="K178" s="12" t="str">
        <f t="shared" si="13"/>
        <v/>
      </c>
      <c r="L178" s="1" t="str">
        <f t="shared" si="10"/>
        <v/>
      </c>
      <c r="M178" s="4" t="str">
        <f t="shared" si="14"/>
        <v/>
      </c>
      <c r="N178" s="17" t="str">
        <f>if(M178&lt;&gt;"",'Actuals - Billing - 2025'!BG410,"")</f>
        <v/>
      </c>
      <c r="O178" s="15"/>
    </row>
    <row r="179">
      <c r="A179" s="7" t="str">
        <f t="shared" si="11"/>
        <v/>
      </c>
      <c r="B179" s="8" t="str">
        <f>if(and('Actuals - Billing - 2025'!E$261=True,C179&lt;&gt;""),'Actuals - Billing - 2025'!C411,"")</f>
        <v/>
      </c>
      <c r="C179" s="9" t="str">
        <f>IF(and('Actuals - Billing - 2025'!E$261=True,sum('Actuals - Billing - 2025'!T411:Y411)&gt;0),'Actuals - Billing - 2025'!B411,"")</f>
        <v/>
      </c>
      <c r="D179" s="10" t="str">
        <f>if(and(sum('Actuals - Billing - 2025'!T411:Y411)&gt;0,C179&lt;&gt;""),'Actuals - Billing - 2025'!$U$2,"")</f>
        <v/>
      </c>
      <c r="E179" s="11" t="str">
        <f t="array" ref="E179">if($D179="","",index('Actuals - Billing - 2025'!$B179:$AE1077,Match($C179,'Actuals - Billing - 2025'!$B179:$B1077,0),Match(E$1,'Actuals - Billing - 2025'!$B$2:$AE$2,0)))</f>
        <v/>
      </c>
      <c r="F179" s="11" t="str">
        <f t="array" ref="F179">if($D179="","",index('Actuals - Billing - 2025'!$B179:$AE1077,Match($C179,'Actuals - Billing - 2025'!$B179:$B1077,0),Match(F$1,'Actuals - Billing - 2025'!$B$2:$AE$2,0)))</f>
        <v/>
      </c>
      <c r="G179" s="11" t="str">
        <f t="array" ref="G179">if($D179="","",index('Actuals - Billing - 2025'!$B179:$AE1077,Match($C179,'Actuals - Billing - 2025'!$B179:$B1077,0),Match(G$1,'Actuals - Billing - 2025'!$B$2:$AE$2,0)))</f>
        <v/>
      </c>
      <c r="H179" s="11" t="str">
        <f t="array" ref="H179">if($D179="","",index('Actuals - Billing - 2025'!$B179:$AE1077,Match($C179,'Actuals - Billing - 2025'!$B179:$B1077,0),Match(H$1,'Actuals - Billing - 2025'!$B$2:$AE$2,0)))</f>
        <v/>
      </c>
      <c r="I179" s="11"/>
      <c r="J179" s="11" t="str">
        <f t="shared" si="12"/>
        <v/>
      </c>
      <c r="K179" s="12" t="str">
        <f t="shared" si="13"/>
        <v/>
      </c>
      <c r="L179" s="1" t="str">
        <f t="shared" si="10"/>
        <v/>
      </c>
      <c r="M179" s="4" t="str">
        <f t="shared" si="14"/>
        <v/>
      </c>
      <c r="N179" s="17" t="str">
        <f>if(M179&lt;&gt;"",'Actuals - Billing - 2025'!BG411,"")</f>
        <v/>
      </c>
      <c r="O179" s="15"/>
    </row>
    <row r="180">
      <c r="A180" s="7" t="str">
        <f t="shared" si="11"/>
        <v/>
      </c>
      <c r="B180" s="8" t="str">
        <f>if(and('Actuals - Billing - 2025'!E$261=True,C180&lt;&gt;""),'Actuals - Billing - 2025'!C412,"")</f>
        <v/>
      </c>
      <c r="C180" s="9" t="str">
        <f>IF(and('Actuals - Billing - 2025'!E$261=True,sum('Actuals - Billing - 2025'!T412:Y412)&gt;0),'Actuals - Billing - 2025'!B412,"")</f>
        <v/>
      </c>
      <c r="D180" s="10" t="str">
        <f>if(and(sum('Actuals - Billing - 2025'!T412:Y412)&gt;0,C180&lt;&gt;""),'Actuals - Billing - 2025'!$U$2,"")</f>
        <v/>
      </c>
      <c r="E180" s="11" t="str">
        <f t="array" ref="E180">if($D180="","",index('Actuals - Billing - 2025'!$B180:$AE1078,Match($C180,'Actuals - Billing - 2025'!$B180:$B1078,0),Match(E$1,'Actuals - Billing - 2025'!$B$2:$AE$2,0)))</f>
        <v/>
      </c>
      <c r="F180" s="11" t="str">
        <f t="array" ref="F180">if($D180="","",index('Actuals - Billing - 2025'!$B180:$AE1078,Match($C180,'Actuals - Billing - 2025'!$B180:$B1078,0),Match(F$1,'Actuals - Billing - 2025'!$B$2:$AE$2,0)))</f>
        <v/>
      </c>
      <c r="G180" s="11" t="str">
        <f t="array" ref="G180">if($D180="","",index('Actuals - Billing - 2025'!$B180:$AE1078,Match($C180,'Actuals - Billing - 2025'!$B180:$B1078,0),Match(G$1,'Actuals - Billing - 2025'!$B$2:$AE$2,0)))</f>
        <v/>
      </c>
      <c r="H180" s="11" t="str">
        <f t="array" ref="H180">if($D180="","",index('Actuals - Billing - 2025'!$B180:$AE1078,Match($C180,'Actuals - Billing - 2025'!$B180:$B1078,0),Match(H$1,'Actuals - Billing - 2025'!$B$2:$AE$2,0)))</f>
        <v/>
      </c>
      <c r="I180" s="11"/>
      <c r="J180" s="11" t="str">
        <f t="shared" si="12"/>
        <v/>
      </c>
      <c r="K180" s="12" t="str">
        <f t="shared" si="13"/>
        <v/>
      </c>
      <c r="L180" s="1" t="str">
        <f t="shared" si="10"/>
        <v/>
      </c>
      <c r="M180" s="4" t="str">
        <f t="shared" si="14"/>
        <v/>
      </c>
      <c r="N180" s="17" t="str">
        <f>if(M180&lt;&gt;"",'Actuals - Billing - 2025'!BG412,"")</f>
        <v/>
      </c>
      <c r="O180" s="15"/>
    </row>
    <row r="181">
      <c r="A181" s="7" t="str">
        <f t="shared" si="11"/>
        <v/>
      </c>
      <c r="B181" s="8" t="str">
        <f>if(and('Actuals - Billing - 2025'!E$261=True,C181&lt;&gt;""),'Actuals - Billing - 2025'!C413,"")</f>
        <v/>
      </c>
      <c r="C181" s="9" t="str">
        <f>IF(and('Actuals - Billing - 2025'!E$261=True,sum('Actuals - Billing - 2025'!T413:Y413)&gt;0),'Actuals - Billing - 2025'!B413,"")</f>
        <v/>
      </c>
      <c r="D181" s="10" t="str">
        <f>if(and(sum('Actuals - Billing - 2025'!T413:Y413)&gt;0,C181&lt;&gt;""),'Actuals - Billing - 2025'!$U$2,"")</f>
        <v/>
      </c>
      <c r="E181" s="11" t="str">
        <f t="array" ref="E181">if($D181="","",index('Actuals - Billing - 2025'!$B181:$AE1079,Match($C181,'Actuals - Billing - 2025'!$B181:$B1079,0),Match(E$1,'Actuals - Billing - 2025'!$B$2:$AE$2,0)))</f>
        <v/>
      </c>
      <c r="F181" s="11" t="str">
        <f t="array" ref="F181">if($D181="","",index('Actuals - Billing - 2025'!$B181:$AE1079,Match($C181,'Actuals - Billing - 2025'!$B181:$B1079,0),Match(F$1,'Actuals - Billing - 2025'!$B$2:$AE$2,0)))</f>
        <v/>
      </c>
      <c r="G181" s="11" t="str">
        <f t="array" ref="G181">if($D181="","",index('Actuals - Billing - 2025'!$B181:$AE1079,Match($C181,'Actuals - Billing - 2025'!$B181:$B1079,0),Match(G$1,'Actuals - Billing - 2025'!$B$2:$AE$2,0)))</f>
        <v/>
      </c>
      <c r="H181" s="11" t="str">
        <f t="array" ref="H181">if($D181="","",index('Actuals - Billing - 2025'!$B181:$AE1079,Match($C181,'Actuals - Billing - 2025'!$B181:$B1079,0),Match(H$1,'Actuals - Billing - 2025'!$B$2:$AE$2,0)))</f>
        <v/>
      </c>
      <c r="I181" s="11"/>
      <c r="J181" s="11" t="str">
        <f t="shared" si="12"/>
        <v/>
      </c>
      <c r="K181" s="12" t="str">
        <f t="shared" si="13"/>
        <v/>
      </c>
      <c r="L181" s="1" t="str">
        <f t="shared" si="10"/>
        <v/>
      </c>
      <c r="M181" s="4" t="str">
        <f t="shared" si="14"/>
        <v/>
      </c>
      <c r="N181" s="17" t="str">
        <f>if(M181&lt;&gt;"",'Actuals - Billing - 2025'!BG413,"")</f>
        <v/>
      </c>
      <c r="O181" s="15"/>
    </row>
    <row r="182">
      <c r="A182" s="7" t="str">
        <f t="shared" si="11"/>
        <v/>
      </c>
      <c r="B182" s="8" t="str">
        <f>if(and('Actuals - Billing - 2025'!E$261=True,C182&lt;&gt;""),'Actuals - Billing - 2025'!C414,"")</f>
        <v/>
      </c>
      <c r="C182" s="9" t="str">
        <f>IF(and('Actuals - Billing - 2025'!E$261=True,sum('Actuals - Billing - 2025'!T414:Y414)&gt;0),'Actuals - Billing - 2025'!B414,"")</f>
        <v/>
      </c>
      <c r="D182" s="10" t="str">
        <f>if(and(sum('Actuals - Billing - 2025'!T414:Y414)&gt;0,C182&lt;&gt;""),'Actuals - Billing - 2025'!$U$2,"")</f>
        <v/>
      </c>
      <c r="E182" s="11" t="str">
        <f t="array" ref="E182">if($D182="","",index('Actuals - Billing - 2025'!$B182:$AE1080,Match($C182,'Actuals - Billing - 2025'!$B182:$B1080,0),Match(E$1,'Actuals - Billing - 2025'!$B$2:$AE$2,0)))</f>
        <v/>
      </c>
      <c r="F182" s="11" t="str">
        <f t="array" ref="F182">if($D182="","",index('Actuals - Billing - 2025'!$B182:$AE1080,Match($C182,'Actuals - Billing - 2025'!$B182:$B1080,0),Match(F$1,'Actuals - Billing - 2025'!$B$2:$AE$2,0)))</f>
        <v/>
      </c>
      <c r="G182" s="11" t="str">
        <f t="array" ref="G182">if($D182="","",index('Actuals - Billing - 2025'!$B182:$AE1080,Match($C182,'Actuals - Billing - 2025'!$B182:$B1080,0),Match(G$1,'Actuals - Billing - 2025'!$B$2:$AE$2,0)))</f>
        <v/>
      </c>
      <c r="H182" s="11" t="str">
        <f t="array" ref="H182">if($D182="","",index('Actuals - Billing - 2025'!$B182:$AE1080,Match($C182,'Actuals - Billing - 2025'!$B182:$B1080,0),Match(H$1,'Actuals - Billing - 2025'!$B$2:$AE$2,0)))</f>
        <v/>
      </c>
      <c r="I182" s="11"/>
      <c r="J182" s="11" t="str">
        <f t="shared" si="12"/>
        <v/>
      </c>
      <c r="K182" s="12" t="str">
        <f t="shared" si="13"/>
        <v/>
      </c>
      <c r="L182" s="1" t="str">
        <f t="shared" si="10"/>
        <v/>
      </c>
      <c r="M182" s="4" t="str">
        <f t="shared" si="14"/>
        <v/>
      </c>
      <c r="N182" s="17" t="str">
        <f>if(M182&lt;&gt;"",'Actuals - Billing - 2025'!BG414,"")</f>
        <v/>
      </c>
      <c r="O182" s="15"/>
    </row>
    <row r="183">
      <c r="A183" s="7" t="str">
        <f t="shared" si="11"/>
        <v/>
      </c>
      <c r="B183" s="8" t="str">
        <f>if(and('Actuals - Billing - 2025'!E$261=True,C183&lt;&gt;""),'Actuals - Billing - 2025'!C415,"")</f>
        <v/>
      </c>
      <c r="C183" s="9" t="str">
        <f>IF(and('Actuals - Billing - 2025'!E$261=True,sum('Actuals - Billing - 2025'!T415:Y415)&gt;0),'Actuals - Billing - 2025'!B415,"")</f>
        <v/>
      </c>
      <c r="D183" s="10" t="str">
        <f>if(and(sum('Actuals - Billing - 2025'!T415:Y415)&gt;0,C183&lt;&gt;""),'Actuals - Billing - 2025'!$U$2,"")</f>
        <v/>
      </c>
      <c r="E183" s="11" t="str">
        <f t="array" ref="E183">if($D183="","",index('Actuals - Billing - 2025'!$B183:$AE1081,Match($C183,'Actuals - Billing - 2025'!$B183:$B1081,0),Match(E$1,'Actuals - Billing - 2025'!$B$2:$AE$2,0)))</f>
        <v/>
      </c>
      <c r="F183" s="11" t="str">
        <f t="array" ref="F183">if($D183="","",index('Actuals - Billing - 2025'!$B183:$AE1081,Match($C183,'Actuals - Billing - 2025'!$B183:$B1081,0),Match(F$1,'Actuals - Billing - 2025'!$B$2:$AE$2,0)))</f>
        <v/>
      </c>
      <c r="G183" s="11" t="str">
        <f t="array" ref="G183">if($D183="","",index('Actuals - Billing - 2025'!$B183:$AE1081,Match($C183,'Actuals - Billing - 2025'!$B183:$B1081,0),Match(G$1,'Actuals - Billing - 2025'!$B$2:$AE$2,0)))</f>
        <v/>
      </c>
      <c r="H183" s="11" t="str">
        <f t="array" ref="H183">if($D183="","",index('Actuals - Billing - 2025'!$B183:$AE1081,Match($C183,'Actuals - Billing - 2025'!$B183:$B1081,0),Match(H$1,'Actuals - Billing - 2025'!$B$2:$AE$2,0)))</f>
        <v/>
      </c>
      <c r="I183" s="11"/>
      <c r="J183" s="11" t="str">
        <f t="shared" si="12"/>
        <v/>
      </c>
      <c r="K183" s="12" t="str">
        <f t="shared" si="13"/>
        <v/>
      </c>
      <c r="L183" s="1" t="str">
        <f t="shared" si="10"/>
        <v/>
      </c>
      <c r="M183" s="4" t="str">
        <f t="shared" si="14"/>
        <v/>
      </c>
      <c r="N183" s="17" t="str">
        <f>if(M183&lt;&gt;"",'Actuals - Billing - 2025'!BG415,"")</f>
        <v/>
      </c>
      <c r="O183" s="15"/>
    </row>
    <row r="184">
      <c r="A184" s="7" t="str">
        <f t="shared" si="11"/>
        <v/>
      </c>
      <c r="B184" s="8" t="str">
        <f>if(and('Actuals - Billing - 2025'!E$261=True,C184&lt;&gt;""),'Actuals - Billing - 2025'!C416,"")</f>
        <v/>
      </c>
      <c r="C184" s="9" t="str">
        <f>IF(and('Actuals - Billing - 2025'!E$261=True,sum('Actuals - Billing - 2025'!T416:Y416)&gt;0),'Actuals - Billing - 2025'!B416,"")</f>
        <v/>
      </c>
      <c r="D184" s="10" t="str">
        <f>if(and(sum('Actuals - Billing - 2025'!T416:Y416)&gt;0,C184&lt;&gt;""),'Actuals - Billing - 2025'!$U$2,"")</f>
        <v/>
      </c>
      <c r="E184" s="11" t="str">
        <f t="array" ref="E184">if($D184="","",index('Actuals - Billing - 2025'!$B184:$AE1082,Match($C184,'Actuals - Billing - 2025'!$B184:$B1082,0),Match(E$1,'Actuals - Billing - 2025'!$B$2:$AE$2,0)))</f>
        <v/>
      </c>
      <c r="F184" s="11" t="str">
        <f t="array" ref="F184">if($D184="","",index('Actuals - Billing - 2025'!$B184:$AE1082,Match($C184,'Actuals - Billing - 2025'!$B184:$B1082,0),Match(F$1,'Actuals - Billing - 2025'!$B$2:$AE$2,0)))</f>
        <v/>
      </c>
      <c r="G184" s="11" t="str">
        <f t="array" ref="G184">if($D184="","",index('Actuals - Billing - 2025'!$B184:$AE1082,Match($C184,'Actuals - Billing - 2025'!$B184:$B1082,0),Match(G$1,'Actuals - Billing - 2025'!$B$2:$AE$2,0)))</f>
        <v/>
      </c>
      <c r="H184" s="11" t="str">
        <f t="array" ref="H184">if($D184="","",index('Actuals - Billing - 2025'!$B184:$AE1082,Match($C184,'Actuals - Billing - 2025'!$B184:$B1082,0),Match(H$1,'Actuals - Billing - 2025'!$B$2:$AE$2,0)))</f>
        <v/>
      </c>
      <c r="I184" s="11"/>
      <c r="J184" s="11" t="str">
        <f t="shared" si="12"/>
        <v/>
      </c>
      <c r="K184" s="12" t="str">
        <f t="shared" si="13"/>
        <v/>
      </c>
      <c r="L184" s="1" t="str">
        <f t="shared" si="10"/>
        <v/>
      </c>
      <c r="M184" s="4" t="str">
        <f t="shared" si="14"/>
        <v/>
      </c>
      <c r="N184" s="17" t="str">
        <f>if(M184&lt;&gt;"",'Actuals - Billing - 2025'!BG416,"")</f>
        <v/>
      </c>
      <c r="O184" s="15"/>
    </row>
    <row r="185">
      <c r="A185" s="7" t="str">
        <f t="shared" si="11"/>
        <v/>
      </c>
      <c r="B185" s="8" t="str">
        <f>if(and('Actuals - Billing - 2025'!E$261=True,C185&lt;&gt;""),'Actuals - Billing - 2025'!C417,"")</f>
        <v/>
      </c>
      <c r="C185" s="9" t="str">
        <f>IF(and('Actuals - Billing - 2025'!E$261=True,sum('Actuals - Billing - 2025'!T417:Y417)&gt;0),'Actuals - Billing - 2025'!B417,"")</f>
        <v/>
      </c>
      <c r="D185" s="10" t="str">
        <f>if(and(sum('Actuals - Billing - 2025'!T417:Y417)&gt;0,C185&lt;&gt;""),'Actuals - Billing - 2025'!$U$2,"")</f>
        <v/>
      </c>
      <c r="E185" s="11" t="str">
        <f t="array" ref="E185">if($D185="","",index('Actuals - Billing - 2025'!$B185:$AE1083,Match($C185,'Actuals - Billing - 2025'!$B185:$B1083,0),Match(E$1,'Actuals - Billing - 2025'!$B$2:$AE$2,0)))</f>
        <v/>
      </c>
      <c r="F185" s="11" t="str">
        <f t="array" ref="F185">if($D185="","",index('Actuals - Billing - 2025'!$B185:$AE1083,Match($C185,'Actuals - Billing - 2025'!$B185:$B1083,0),Match(F$1,'Actuals - Billing - 2025'!$B$2:$AE$2,0)))</f>
        <v/>
      </c>
      <c r="G185" s="11" t="str">
        <f t="array" ref="G185">if($D185="","",index('Actuals - Billing - 2025'!$B185:$AE1083,Match($C185,'Actuals - Billing - 2025'!$B185:$B1083,0),Match(G$1,'Actuals - Billing - 2025'!$B$2:$AE$2,0)))</f>
        <v/>
      </c>
      <c r="H185" s="11" t="str">
        <f t="array" ref="H185">if($D185="","",index('Actuals - Billing - 2025'!$B185:$AE1083,Match($C185,'Actuals - Billing - 2025'!$B185:$B1083,0),Match(H$1,'Actuals - Billing - 2025'!$B$2:$AE$2,0)))</f>
        <v/>
      </c>
      <c r="I185" s="11"/>
      <c r="J185" s="11" t="str">
        <f t="shared" si="12"/>
        <v/>
      </c>
      <c r="K185" s="12" t="str">
        <f t="shared" si="13"/>
        <v/>
      </c>
      <c r="L185" s="1" t="str">
        <f t="shared" si="10"/>
        <v/>
      </c>
      <c r="M185" s="4" t="str">
        <f t="shared" si="14"/>
        <v/>
      </c>
      <c r="N185" s="17" t="str">
        <f>if(M185&lt;&gt;"",'Actuals - Billing - 2025'!BG417,"")</f>
        <v/>
      </c>
      <c r="O185" s="15"/>
    </row>
    <row r="186">
      <c r="A186" s="7" t="str">
        <f t="shared" si="11"/>
        <v/>
      </c>
      <c r="B186" s="8" t="str">
        <f>if(and('Actuals - Billing - 2025'!E$261=True,C186&lt;&gt;""),'Actuals - Billing - 2025'!C418,"")</f>
        <v/>
      </c>
      <c r="C186" s="9" t="str">
        <f>IF(and('Actuals - Billing - 2025'!E$261=True,sum('Actuals - Billing - 2025'!T418:Y418)&gt;0),'Actuals - Billing - 2025'!B418,"")</f>
        <v/>
      </c>
      <c r="D186" s="10" t="str">
        <f>if(and(sum('Actuals - Billing - 2025'!T418:Y418)&gt;0,C186&lt;&gt;""),'Actuals - Billing - 2025'!$U$2,"")</f>
        <v/>
      </c>
      <c r="E186" s="11" t="str">
        <f t="array" ref="E186">if($D186="","",index('Actuals - Billing - 2025'!$B186:$AE1084,Match($C186,'Actuals - Billing - 2025'!$B186:$B1084,0),Match(E$1,'Actuals - Billing - 2025'!$B$2:$AE$2,0)))</f>
        <v/>
      </c>
      <c r="F186" s="11" t="str">
        <f t="array" ref="F186">if($D186="","",index('Actuals - Billing - 2025'!$B186:$AE1084,Match($C186,'Actuals - Billing - 2025'!$B186:$B1084,0),Match(F$1,'Actuals - Billing - 2025'!$B$2:$AE$2,0)))</f>
        <v/>
      </c>
      <c r="G186" s="11" t="str">
        <f t="array" ref="G186">if($D186="","",index('Actuals - Billing - 2025'!$B186:$AE1084,Match($C186,'Actuals - Billing - 2025'!$B186:$B1084,0),Match(G$1,'Actuals - Billing - 2025'!$B$2:$AE$2,0)))</f>
        <v/>
      </c>
      <c r="H186" s="11" t="str">
        <f t="array" ref="H186">if($D186="","",index('Actuals - Billing - 2025'!$B186:$AE1084,Match($C186,'Actuals - Billing - 2025'!$B186:$B1084,0),Match(H$1,'Actuals - Billing - 2025'!$B$2:$AE$2,0)))</f>
        <v/>
      </c>
      <c r="I186" s="11"/>
      <c r="J186" s="11" t="str">
        <f t="shared" si="12"/>
        <v/>
      </c>
      <c r="K186" s="12" t="str">
        <f t="shared" si="13"/>
        <v/>
      </c>
      <c r="L186" s="1" t="str">
        <f t="shared" si="10"/>
        <v/>
      </c>
      <c r="M186" s="4" t="str">
        <f t="shared" si="14"/>
        <v/>
      </c>
      <c r="N186" s="17" t="str">
        <f>if(M186&lt;&gt;"",'Actuals - Billing - 2025'!BG418,"")</f>
        <v/>
      </c>
      <c r="O186" s="15"/>
    </row>
    <row r="187">
      <c r="A187" s="7" t="str">
        <f t="shared" si="11"/>
        <v/>
      </c>
      <c r="B187" s="8" t="str">
        <f>if(and('Actuals - Billing - 2025'!E$261=True,C187&lt;&gt;""),'Actuals - Billing - 2025'!C419,"")</f>
        <v/>
      </c>
      <c r="C187" s="9" t="str">
        <f>IF(and('Actuals - Billing - 2025'!E$261=True,sum('Actuals - Billing - 2025'!T419:Y419)&gt;0),'Actuals - Billing - 2025'!B419,"")</f>
        <v/>
      </c>
      <c r="D187" s="10" t="str">
        <f>if(and(sum('Actuals - Billing - 2025'!T419:Y419)&gt;0,C187&lt;&gt;""),'Actuals - Billing - 2025'!$U$2,"")</f>
        <v/>
      </c>
      <c r="E187" s="11" t="str">
        <f t="array" ref="E187">if($D187="","",index('Actuals - Billing - 2025'!$B187:$AE1085,Match($C187,'Actuals - Billing - 2025'!$B187:$B1085,0),Match(E$1,'Actuals - Billing - 2025'!$B$2:$AE$2,0)))</f>
        <v/>
      </c>
      <c r="F187" s="11" t="str">
        <f t="array" ref="F187">if($D187="","",index('Actuals - Billing - 2025'!$B187:$AE1085,Match($C187,'Actuals - Billing - 2025'!$B187:$B1085,0),Match(F$1,'Actuals - Billing - 2025'!$B$2:$AE$2,0)))</f>
        <v/>
      </c>
      <c r="G187" s="11" t="str">
        <f t="array" ref="G187">if($D187="","",index('Actuals - Billing - 2025'!$B187:$AE1085,Match($C187,'Actuals - Billing - 2025'!$B187:$B1085,0),Match(G$1,'Actuals - Billing - 2025'!$B$2:$AE$2,0)))</f>
        <v/>
      </c>
      <c r="H187" s="11" t="str">
        <f t="array" ref="H187">if($D187="","",index('Actuals - Billing - 2025'!$B187:$AE1085,Match($C187,'Actuals - Billing - 2025'!$B187:$B1085,0),Match(H$1,'Actuals - Billing - 2025'!$B$2:$AE$2,0)))</f>
        <v/>
      </c>
      <c r="I187" s="11"/>
      <c r="J187" s="11" t="str">
        <f t="shared" si="12"/>
        <v/>
      </c>
      <c r="K187" s="12" t="str">
        <f t="shared" si="13"/>
        <v/>
      </c>
      <c r="L187" s="1" t="str">
        <f t="shared" si="10"/>
        <v/>
      </c>
      <c r="M187" s="4" t="str">
        <f t="shared" si="14"/>
        <v/>
      </c>
      <c r="N187" s="17" t="str">
        <f>if(M187&lt;&gt;"",'Actuals - Billing - 2025'!BG419,"")</f>
        <v/>
      </c>
      <c r="O187" s="15"/>
    </row>
    <row r="188">
      <c r="A188" s="7" t="str">
        <f t="shared" si="11"/>
        <v/>
      </c>
      <c r="B188" s="8" t="str">
        <f>if(and('Actuals - Billing - 2025'!E$261=True,C188&lt;&gt;""),'Actuals - Billing - 2025'!C420,"")</f>
        <v/>
      </c>
      <c r="C188" s="9" t="str">
        <f>IF(and('Actuals - Billing - 2025'!E$261=True,sum('Actuals - Billing - 2025'!T420:Y420)&gt;0),'Actuals - Billing - 2025'!B420,"")</f>
        <v/>
      </c>
      <c r="D188" s="10" t="str">
        <f>if(and(sum('Actuals - Billing - 2025'!T420:Y420)&gt;0,C188&lt;&gt;""),'Actuals - Billing - 2025'!$U$2,"")</f>
        <v/>
      </c>
      <c r="E188" s="11" t="str">
        <f t="array" ref="E188">if($D188="","",index('Actuals - Billing - 2025'!$B188:$AE1086,Match($C188,'Actuals - Billing - 2025'!$B188:$B1086,0),Match(E$1,'Actuals - Billing - 2025'!$B$2:$AE$2,0)))</f>
        <v/>
      </c>
      <c r="F188" s="11" t="str">
        <f t="array" ref="F188">if($D188="","",index('Actuals - Billing - 2025'!$B188:$AE1086,Match($C188,'Actuals - Billing - 2025'!$B188:$B1086,0),Match(F$1,'Actuals - Billing - 2025'!$B$2:$AE$2,0)))</f>
        <v/>
      </c>
      <c r="G188" s="11" t="str">
        <f t="array" ref="G188">if($D188="","",index('Actuals - Billing - 2025'!$B188:$AE1086,Match($C188,'Actuals - Billing - 2025'!$B188:$B1086,0),Match(G$1,'Actuals - Billing - 2025'!$B$2:$AE$2,0)))</f>
        <v/>
      </c>
      <c r="H188" s="11" t="str">
        <f t="array" ref="H188">if($D188="","",index('Actuals - Billing - 2025'!$B188:$AE1086,Match($C188,'Actuals - Billing - 2025'!$B188:$B1086,0),Match(H$1,'Actuals - Billing - 2025'!$B$2:$AE$2,0)))</f>
        <v/>
      </c>
      <c r="I188" s="11"/>
      <c r="J188" s="11" t="str">
        <f t="shared" si="12"/>
        <v/>
      </c>
      <c r="K188" s="12" t="str">
        <f t="shared" si="13"/>
        <v/>
      </c>
      <c r="L188" s="1" t="str">
        <f t="shared" si="10"/>
        <v/>
      </c>
      <c r="M188" s="4" t="str">
        <f t="shared" si="14"/>
        <v/>
      </c>
      <c r="N188" s="17" t="str">
        <f>if(M188&lt;&gt;"",'Actuals - Billing - 2025'!BG420,"")</f>
        <v/>
      </c>
      <c r="O188" s="15"/>
    </row>
    <row r="189">
      <c r="A189" s="7" t="str">
        <f t="shared" si="11"/>
        <v/>
      </c>
      <c r="B189" s="8" t="str">
        <f>if(and('Actuals - Billing - 2025'!E$261=True,C189&lt;&gt;""),'Actuals - Billing - 2025'!C421,"")</f>
        <v/>
      </c>
      <c r="C189" s="9" t="str">
        <f>IF(and('Actuals - Billing - 2025'!E$261=True,sum('Actuals - Billing - 2025'!T421:Y421)&gt;0),'Actuals - Billing - 2025'!B421,"")</f>
        <v/>
      </c>
      <c r="D189" s="10" t="str">
        <f>if(and(sum('Actuals - Billing - 2025'!T421:Y421)&gt;0,C189&lt;&gt;""),'Actuals - Billing - 2025'!$U$2,"")</f>
        <v/>
      </c>
      <c r="E189" s="11" t="str">
        <f t="array" ref="E189">if($D189="","",index('Actuals - Billing - 2025'!$B189:$AE1087,Match($C189,'Actuals - Billing - 2025'!$B189:$B1087,0),Match(E$1,'Actuals - Billing - 2025'!$B$2:$AE$2,0)))</f>
        <v/>
      </c>
      <c r="F189" s="11" t="str">
        <f t="array" ref="F189">if($D189="","",index('Actuals - Billing - 2025'!$B189:$AE1087,Match($C189,'Actuals - Billing - 2025'!$B189:$B1087,0),Match(F$1,'Actuals - Billing - 2025'!$B$2:$AE$2,0)))</f>
        <v/>
      </c>
      <c r="G189" s="11" t="str">
        <f t="array" ref="G189">if($D189="","",index('Actuals - Billing - 2025'!$B189:$AE1087,Match($C189,'Actuals - Billing - 2025'!$B189:$B1087,0),Match(G$1,'Actuals - Billing - 2025'!$B$2:$AE$2,0)))</f>
        <v/>
      </c>
      <c r="H189" s="11" t="str">
        <f t="array" ref="H189">if($D189="","",index('Actuals - Billing - 2025'!$B189:$AE1087,Match($C189,'Actuals - Billing - 2025'!$B189:$B1087,0),Match(H$1,'Actuals - Billing - 2025'!$B$2:$AE$2,0)))</f>
        <v/>
      </c>
      <c r="I189" s="11"/>
      <c r="J189" s="11" t="str">
        <f t="shared" si="12"/>
        <v/>
      </c>
      <c r="K189" s="12" t="str">
        <f t="shared" si="13"/>
        <v/>
      </c>
      <c r="L189" s="1" t="str">
        <f t="shared" si="10"/>
        <v/>
      </c>
      <c r="M189" s="4" t="str">
        <f t="shared" si="14"/>
        <v/>
      </c>
      <c r="N189" s="17" t="str">
        <f>if(M189&lt;&gt;"",'Actuals - Billing - 2025'!BG421,"")</f>
        <v/>
      </c>
      <c r="O189" s="15"/>
    </row>
    <row r="190">
      <c r="A190" s="7" t="str">
        <f t="shared" si="11"/>
        <v/>
      </c>
      <c r="B190" s="8" t="str">
        <f>if(and('Actuals - Billing - 2025'!E$261=True,C190&lt;&gt;""),'Actuals - Billing - 2025'!C422,"")</f>
        <v/>
      </c>
      <c r="C190" s="9" t="str">
        <f>IF(and('Actuals - Billing - 2025'!E$261=True,sum('Actuals - Billing - 2025'!T422:Y422)&gt;0),'Actuals - Billing - 2025'!B422,"")</f>
        <v/>
      </c>
      <c r="D190" s="10" t="str">
        <f>if(and(sum('Actuals - Billing - 2025'!T422:Y422)&gt;0,C190&lt;&gt;""),'Actuals - Billing - 2025'!$U$2,"")</f>
        <v/>
      </c>
      <c r="E190" s="11" t="str">
        <f t="array" ref="E190">if($D190="","",index('Actuals - Billing - 2025'!$B190:$AE1088,Match($C190,'Actuals - Billing - 2025'!$B190:$B1088,0),Match(E$1,'Actuals - Billing - 2025'!$B$2:$AE$2,0)))</f>
        <v/>
      </c>
      <c r="F190" s="11" t="str">
        <f t="array" ref="F190">if($D190="","",index('Actuals - Billing - 2025'!$B190:$AE1088,Match($C190,'Actuals - Billing - 2025'!$B190:$B1088,0),Match(F$1,'Actuals - Billing - 2025'!$B$2:$AE$2,0)))</f>
        <v/>
      </c>
      <c r="G190" s="11" t="str">
        <f t="array" ref="G190">if($D190="","",index('Actuals - Billing - 2025'!$B190:$AE1088,Match($C190,'Actuals - Billing - 2025'!$B190:$B1088,0),Match(G$1,'Actuals - Billing - 2025'!$B$2:$AE$2,0)))</f>
        <v/>
      </c>
      <c r="H190" s="11" t="str">
        <f t="array" ref="H190">if($D190="","",index('Actuals - Billing - 2025'!$B190:$AE1088,Match($C190,'Actuals - Billing - 2025'!$B190:$B1088,0),Match(H$1,'Actuals - Billing - 2025'!$B$2:$AE$2,0)))</f>
        <v/>
      </c>
      <c r="I190" s="11"/>
      <c r="J190" s="11" t="str">
        <f t="shared" si="12"/>
        <v/>
      </c>
      <c r="K190" s="12" t="str">
        <f t="shared" si="13"/>
        <v/>
      </c>
      <c r="L190" s="1" t="str">
        <f t="shared" si="10"/>
        <v/>
      </c>
      <c r="M190" s="4" t="str">
        <f t="shared" si="14"/>
        <v/>
      </c>
      <c r="N190" s="17" t="str">
        <f>if(M190&lt;&gt;"",'Actuals - Billing - 2025'!BG422,"")</f>
        <v/>
      </c>
      <c r="O190" s="15"/>
    </row>
    <row r="191">
      <c r="A191" s="7" t="str">
        <f t="shared" si="11"/>
        <v/>
      </c>
      <c r="B191" s="8" t="str">
        <f>if(and('Actuals - Billing - 2025'!E$261=True,C191&lt;&gt;""),'Actuals - Billing - 2025'!C423,"")</f>
        <v/>
      </c>
      <c r="C191" s="9" t="str">
        <f>IF(and('Actuals - Billing - 2025'!E$261=True,sum('Actuals - Billing - 2025'!T423:Y423)&gt;0),'Actuals - Billing - 2025'!B423,"")</f>
        <v/>
      </c>
      <c r="D191" s="10" t="str">
        <f>if(and(sum('Actuals - Billing - 2025'!T423:Y423)&gt;0,C191&lt;&gt;""),'Actuals - Billing - 2025'!$U$2,"")</f>
        <v/>
      </c>
      <c r="E191" s="11" t="str">
        <f t="array" ref="E191">if($D191="","",index('Actuals - Billing - 2025'!$B191:$AE1089,Match($C191,'Actuals - Billing - 2025'!$B191:$B1089,0),Match(E$1,'Actuals - Billing - 2025'!$B$2:$AE$2,0)))</f>
        <v/>
      </c>
      <c r="F191" s="11" t="str">
        <f t="array" ref="F191">if($D191="","",index('Actuals - Billing - 2025'!$B191:$AE1089,Match($C191,'Actuals - Billing - 2025'!$B191:$B1089,0),Match(F$1,'Actuals - Billing - 2025'!$B$2:$AE$2,0)))</f>
        <v/>
      </c>
      <c r="G191" s="11" t="str">
        <f t="array" ref="G191">if($D191="","",index('Actuals - Billing - 2025'!$B191:$AE1089,Match($C191,'Actuals - Billing - 2025'!$B191:$B1089,0),Match(G$1,'Actuals - Billing - 2025'!$B$2:$AE$2,0)))</f>
        <v/>
      </c>
      <c r="H191" s="11" t="str">
        <f t="array" ref="H191">if($D191="","",index('Actuals - Billing - 2025'!$B191:$AE1089,Match($C191,'Actuals - Billing - 2025'!$B191:$B1089,0),Match(H$1,'Actuals - Billing - 2025'!$B$2:$AE$2,0)))</f>
        <v/>
      </c>
      <c r="I191" s="11"/>
      <c r="J191" s="11" t="str">
        <f t="shared" si="12"/>
        <v/>
      </c>
      <c r="K191" s="12" t="str">
        <f t="shared" si="13"/>
        <v/>
      </c>
      <c r="L191" s="1" t="str">
        <f t="shared" si="10"/>
        <v/>
      </c>
      <c r="M191" s="4" t="str">
        <f t="shared" si="14"/>
        <v/>
      </c>
      <c r="N191" s="17" t="str">
        <f>if(M191&lt;&gt;"",'Actuals - Billing - 2025'!BG423,"")</f>
        <v/>
      </c>
      <c r="O191" s="15"/>
    </row>
    <row r="192">
      <c r="A192" s="7" t="str">
        <f t="shared" si="11"/>
        <v/>
      </c>
      <c r="B192" s="8" t="str">
        <f>if(and('Actuals - Billing - 2025'!E$261=True,C192&lt;&gt;""),'Actuals - Billing - 2025'!C424,"")</f>
        <v/>
      </c>
      <c r="C192" s="9" t="str">
        <f>IF(and('Actuals - Billing - 2025'!E$261=True,sum('Actuals - Billing - 2025'!T424:Y424)&gt;0),'Actuals - Billing - 2025'!B424,"")</f>
        <v/>
      </c>
      <c r="D192" s="10" t="str">
        <f>if(and(sum('Actuals - Billing - 2025'!T424:Y424)&gt;0,C192&lt;&gt;""),'Actuals - Billing - 2025'!$U$2,"")</f>
        <v/>
      </c>
      <c r="E192" s="11" t="str">
        <f t="array" ref="E192">if($D192="","",index('Actuals - Billing - 2025'!$B192:$AE1090,Match($C192,'Actuals - Billing - 2025'!$B192:$B1090,0),Match(E$1,'Actuals - Billing - 2025'!$B$2:$AE$2,0)))</f>
        <v/>
      </c>
      <c r="F192" s="11" t="str">
        <f t="array" ref="F192">if($D192="","",index('Actuals - Billing - 2025'!$B192:$AE1090,Match($C192,'Actuals - Billing - 2025'!$B192:$B1090,0),Match(F$1,'Actuals - Billing - 2025'!$B$2:$AE$2,0)))</f>
        <v/>
      </c>
      <c r="G192" s="11" t="str">
        <f t="array" ref="G192">if($D192="","",index('Actuals - Billing - 2025'!$B192:$AE1090,Match($C192,'Actuals - Billing - 2025'!$B192:$B1090,0),Match(G$1,'Actuals - Billing - 2025'!$B$2:$AE$2,0)))</f>
        <v/>
      </c>
      <c r="H192" s="11" t="str">
        <f t="array" ref="H192">if($D192="","",index('Actuals - Billing - 2025'!$B192:$AE1090,Match($C192,'Actuals - Billing - 2025'!$B192:$B1090,0),Match(H$1,'Actuals - Billing - 2025'!$B$2:$AE$2,0)))</f>
        <v/>
      </c>
      <c r="I192" s="11"/>
      <c r="J192" s="11" t="str">
        <f t="shared" si="12"/>
        <v/>
      </c>
      <c r="K192" s="12" t="str">
        <f t="shared" si="13"/>
        <v/>
      </c>
      <c r="L192" s="1" t="str">
        <f t="shared" si="10"/>
        <v/>
      </c>
      <c r="M192" s="4" t="str">
        <f t="shared" si="14"/>
        <v/>
      </c>
      <c r="N192" s="17" t="str">
        <f>if(M192&lt;&gt;"",'Actuals - Billing - 2025'!BG424,"")</f>
        <v/>
      </c>
      <c r="O192" s="15"/>
    </row>
    <row r="193">
      <c r="A193" s="7" t="str">
        <f t="shared" si="11"/>
        <v/>
      </c>
      <c r="B193" s="8" t="str">
        <f>if(and('Actuals - Billing - 2025'!E$261=True,C193&lt;&gt;""),'Actuals - Billing - 2025'!C425,"")</f>
        <v/>
      </c>
      <c r="C193" s="9" t="str">
        <f>IF(and('Actuals - Billing - 2025'!E$261=True,sum('Actuals - Billing - 2025'!T425:Y425)&gt;0),'Actuals - Billing - 2025'!B425,"")</f>
        <v/>
      </c>
      <c r="D193" s="10" t="str">
        <f>if(and(sum('Actuals - Billing - 2025'!T425:Y425)&gt;0,C193&lt;&gt;""),'Actuals - Billing - 2025'!$U$2,"")</f>
        <v/>
      </c>
      <c r="E193" s="11" t="str">
        <f t="array" ref="E193">if($D193="","",index('Actuals - Billing - 2025'!$B193:$AE1091,Match($C193,'Actuals - Billing - 2025'!$B193:$B1091,0),Match(E$1,'Actuals - Billing - 2025'!$B$2:$AE$2,0)))</f>
        <v/>
      </c>
      <c r="F193" s="11" t="str">
        <f t="array" ref="F193">if($D193="","",index('Actuals - Billing - 2025'!$B193:$AE1091,Match($C193,'Actuals - Billing - 2025'!$B193:$B1091,0),Match(F$1,'Actuals - Billing - 2025'!$B$2:$AE$2,0)))</f>
        <v/>
      </c>
      <c r="G193" s="11" t="str">
        <f t="array" ref="G193">if($D193="","",index('Actuals - Billing - 2025'!$B193:$AE1091,Match($C193,'Actuals - Billing - 2025'!$B193:$B1091,0),Match(G$1,'Actuals - Billing - 2025'!$B$2:$AE$2,0)))</f>
        <v/>
      </c>
      <c r="H193" s="11" t="str">
        <f t="array" ref="H193">if($D193="","",index('Actuals - Billing - 2025'!$B193:$AE1091,Match($C193,'Actuals - Billing - 2025'!$B193:$B1091,0),Match(H$1,'Actuals - Billing - 2025'!$B$2:$AE$2,0)))</f>
        <v/>
      </c>
      <c r="I193" s="11"/>
      <c r="J193" s="11" t="str">
        <f t="shared" si="12"/>
        <v/>
      </c>
      <c r="K193" s="12" t="str">
        <f t="shared" si="13"/>
        <v/>
      </c>
      <c r="L193" s="1" t="str">
        <f t="shared" si="10"/>
        <v/>
      </c>
      <c r="M193" s="4" t="str">
        <f t="shared" si="14"/>
        <v/>
      </c>
      <c r="N193" s="17" t="str">
        <f>if(M193&lt;&gt;"",'Actuals - Billing - 2025'!BG425,"")</f>
        <v/>
      </c>
      <c r="O193" s="15"/>
    </row>
    <row r="194">
      <c r="A194" s="7" t="str">
        <f t="shared" si="11"/>
        <v/>
      </c>
      <c r="B194" s="8" t="str">
        <f>if(and('Actuals - Billing - 2025'!E$261=True,C194&lt;&gt;""),'Actuals - Billing - 2025'!C426,"")</f>
        <v/>
      </c>
      <c r="C194" s="9" t="str">
        <f>IF(and('Actuals - Billing - 2025'!E$261=True,sum('Actuals - Billing - 2025'!T426:Y426)&gt;0),'Actuals - Billing - 2025'!B426,"")</f>
        <v/>
      </c>
      <c r="D194" s="10" t="str">
        <f>if(and(sum('Actuals - Billing - 2025'!T426:Y426)&gt;0,C194&lt;&gt;""),'Actuals - Billing - 2025'!$U$2,"")</f>
        <v/>
      </c>
      <c r="E194" s="11" t="str">
        <f t="array" ref="E194">if($D194="","",index('Actuals - Billing - 2025'!$B194:$AE1092,Match($C194,'Actuals - Billing - 2025'!$B194:$B1092,0),Match(E$1,'Actuals - Billing - 2025'!$B$2:$AE$2,0)))</f>
        <v/>
      </c>
      <c r="F194" s="11" t="str">
        <f t="array" ref="F194">if($D194="","",index('Actuals - Billing - 2025'!$B194:$AE1092,Match($C194,'Actuals - Billing - 2025'!$B194:$B1092,0),Match(F$1,'Actuals - Billing - 2025'!$B$2:$AE$2,0)))</f>
        <v/>
      </c>
      <c r="G194" s="11" t="str">
        <f t="array" ref="G194">if($D194="","",index('Actuals - Billing - 2025'!$B194:$AE1092,Match($C194,'Actuals - Billing - 2025'!$B194:$B1092,0),Match(G$1,'Actuals - Billing - 2025'!$B$2:$AE$2,0)))</f>
        <v/>
      </c>
      <c r="H194" s="11" t="str">
        <f t="array" ref="H194">if($D194="","",index('Actuals - Billing - 2025'!$B194:$AE1092,Match($C194,'Actuals - Billing - 2025'!$B194:$B1092,0),Match(H$1,'Actuals - Billing - 2025'!$B$2:$AE$2,0)))</f>
        <v/>
      </c>
      <c r="I194" s="11"/>
      <c r="J194" s="11" t="str">
        <f t="shared" si="12"/>
        <v/>
      </c>
      <c r="K194" s="12" t="str">
        <f t="shared" si="13"/>
        <v/>
      </c>
      <c r="L194" s="1" t="str">
        <f t="shared" si="10"/>
        <v/>
      </c>
      <c r="M194" s="4" t="str">
        <f t="shared" si="14"/>
        <v/>
      </c>
      <c r="N194" s="17" t="str">
        <f>if(M194&lt;&gt;"",'Actuals - Billing - 2025'!BG426,"")</f>
        <v/>
      </c>
      <c r="O194" s="15"/>
    </row>
    <row r="195">
      <c r="A195" s="7" t="str">
        <f t="shared" si="11"/>
        <v/>
      </c>
      <c r="B195" s="8" t="str">
        <f>if(and('Actuals - Billing - 2025'!E$261=True,C195&lt;&gt;""),'Actuals - Billing - 2025'!C427,"")</f>
        <v/>
      </c>
      <c r="C195" s="9" t="str">
        <f>IF(and('Actuals - Billing - 2025'!E$261=True,sum('Actuals - Billing - 2025'!T427:Y427)&gt;0),'Actuals - Billing - 2025'!B427,"")</f>
        <v/>
      </c>
      <c r="D195" s="10" t="str">
        <f>if(and(sum('Actuals - Billing - 2025'!T427:Y427)&gt;0,C195&lt;&gt;""),'Actuals - Billing - 2025'!$U$2,"")</f>
        <v/>
      </c>
      <c r="E195" s="11" t="str">
        <f t="array" ref="E195">if($D195="","",index('Actuals - Billing - 2025'!$B195:$AE1093,Match($C195,'Actuals - Billing - 2025'!$B195:$B1093,0),Match(E$1,'Actuals - Billing - 2025'!$B$2:$AE$2,0)))</f>
        <v/>
      </c>
      <c r="F195" s="11" t="str">
        <f t="array" ref="F195">if($D195="","",index('Actuals - Billing - 2025'!$B195:$AE1093,Match($C195,'Actuals - Billing - 2025'!$B195:$B1093,0),Match(F$1,'Actuals - Billing - 2025'!$B$2:$AE$2,0)))</f>
        <v/>
      </c>
      <c r="G195" s="11" t="str">
        <f t="array" ref="G195">if($D195="","",index('Actuals - Billing - 2025'!$B195:$AE1093,Match($C195,'Actuals - Billing - 2025'!$B195:$B1093,0),Match(G$1,'Actuals - Billing - 2025'!$B$2:$AE$2,0)))</f>
        <v/>
      </c>
      <c r="H195" s="11" t="str">
        <f t="array" ref="H195">if($D195="","",index('Actuals - Billing - 2025'!$B195:$AE1093,Match($C195,'Actuals - Billing - 2025'!$B195:$B1093,0),Match(H$1,'Actuals - Billing - 2025'!$B$2:$AE$2,0)))</f>
        <v/>
      </c>
      <c r="I195" s="11"/>
      <c r="J195" s="11" t="str">
        <f t="shared" si="12"/>
        <v/>
      </c>
      <c r="K195" s="12" t="str">
        <f t="shared" si="13"/>
        <v/>
      </c>
      <c r="L195" s="1" t="str">
        <f t="shared" si="10"/>
        <v/>
      </c>
      <c r="M195" s="4" t="str">
        <f t="shared" si="14"/>
        <v/>
      </c>
      <c r="N195" s="17" t="str">
        <f>if(M195&lt;&gt;"",'Actuals - Billing - 2025'!BG427,"")</f>
        <v/>
      </c>
      <c r="O195" s="15"/>
    </row>
    <row r="196">
      <c r="A196" s="7" t="str">
        <f t="shared" si="11"/>
        <v/>
      </c>
      <c r="B196" s="8" t="str">
        <f>if(and('Actuals - Billing - 2025'!E$261=True,C196&lt;&gt;""),'Actuals - Billing - 2025'!C428,"")</f>
        <v/>
      </c>
      <c r="C196" s="9" t="str">
        <f>IF(and('Actuals - Billing - 2025'!E$261=True,sum('Actuals - Billing - 2025'!T428:Y428)&gt;0),'Actuals - Billing - 2025'!B428,"")</f>
        <v/>
      </c>
      <c r="D196" s="10" t="str">
        <f>if(and(sum('Actuals - Billing - 2025'!T428:Y428)&gt;0,C196&lt;&gt;""),'Actuals - Billing - 2025'!$U$2,"")</f>
        <v/>
      </c>
      <c r="E196" s="11" t="str">
        <f t="array" ref="E196">if($D196="","",index('Actuals - Billing - 2025'!$B196:$AE1094,Match($C196,'Actuals - Billing - 2025'!$B196:$B1094,0),Match(E$1,'Actuals - Billing - 2025'!$B$2:$AE$2,0)))</f>
        <v/>
      </c>
      <c r="F196" s="11" t="str">
        <f t="array" ref="F196">if($D196="","",index('Actuals - Billing - 2025'!$B196:$AE1094,Match($C196,'Actuals - Billing - 2025'!$B196:$B1094,0),Match(F$1,'Actuals - Billing - 2025'!$B$2:$AE$2,0)))</f>
        <v/>
      </c>
      <c r="G196" s="11" t="str">
        <f t="array" ref="G196">if($D196="","",index('Actuals - Billing - 2025'!$B196:$AE1094,Match($C196,'Actuals - Billing - 2025'!$B196:$B1094,0),Match(G$1,'Actuals - Billing - 2025'!$B$2:$AE$2,0)))</f>
        <v/>
      </c>
      <c r="H196" s="11" t="str">
        <f t="array" ref="H196">if($D196="","",index('Actuals - Billing - 2025'!$B196:$AE1094,Match($C196,'Actuals - Billing - 2025'!$B196:$B1094,0),Match(H$1,'Actuals - Billing - 2025'!$B$2:$AE$2,0)))</f>
        <v/>
      </c>
      <c r="I196" s="11"/>
      <c r="J196" s="11" t="str">
        <f t="shared" si="12"/>
        <v/>
      </c>
      <c r="K196" s="12" t="str">
        <f t="shared" si="13"/>
        <v/>
      </c>
      <c r="L196" s="1" t="str">
        <f t="shared" si="10"/>
        <v/>
      </c>
      <c r="M196" s="4" t="str">
        <f t="shared" si="14"/>
        <v/>
      </c>
      <c r="N196" s="17" t="str">
        <f>if(M196&lt;&gt;"",'Actuals - Billing - 2025'!BG428,"")</f>
        <v/>
      </c>
      <c r="O196" s="15"/>
    </row>
    <row r="197">
      <c r="A197" s="7" t="str">
        <f t="shared" si="11"/>
        <v/>
      </c>
      <c r="B197" s="8" t="str">
        <f>if(and('Actuals - Billing - 2025'!E$261=True,C197&lt;&gt;""),'Actuals - Billing - 2025'!C429,"")</f>
        <v/>
      </c>
      <c r="C197" s="9" t="str">
        <f>IF(and('Actuals - Billing - 2025'!E$261=True,sum('Actuals - Billing - 2025'!T429:Y429)&gt;0),'Actuals - Billing - 2025'!B429,"")</f>
        <v/>
      </c>
      <c r="D197" s="10" t="str">
        <f>if(and(sum('Actuals - Billing - 2025'!T429:Y429)&gt;0,C197&lt;&gt;""),'Actuals - Billing - 2025'!$U$2,"")</f>
        <v/>
      </c>
      <c r="E197" s="11" t="str">
        <f t="array" ref="E197">if($D197="","",index('Actuals - Billing - 2025'!$B197:$AE1095,Match($C197,'Actuals - Billing - 2025'!$B197:$B1095,0),Match(E$1,'Actuals - Billing - 2025'!$B$2:$AE$2,0)))</f>
        <v/>
      </c>
      <c r="F197" s="11" t="str">
        <f t="array" ref="F197">if($D197="","",index('Actuals - Billing - 2025'!$B197:$AE1095,Match($C197,'Actuals - Billing - 2025'!$B197:$B1095,0),Match(F$1,'Actuals - Billing - 2025'!$B$2:$AE$2,0)))</f>
        <v/>
      </c>
      <c r="G197" s="11" t="str">
        <f t="array" ref="G197">if($D197="","",index('Actuals - Billing - 2025'!$B197:$AE1095,Match($C197,'Actuals - Billing - 2025'!$B197:$B1095,0),Match(G$1,'Actuals - Billing - 2025'!$B$2:$AE$2,0)))</f>
        <v/>
      </c>
      <c r="H197" s="11" t="str">
        <f t="array" ref="H197">if($D197="","",index('Actuals - Billing - 2025'!$B197:$AE1095,Match($C197,'Actuals - Billing - 2025'!$B197:$B1095,0),Match(H$1,'Actuals - Billing - 2025'!$B$2:$AE$2,0)))</f>
        <v/>
      </c>
      <c r="I197" s="11"/>
      <c r="J197" s="11" t="str">
        <f t="shared" si="12"/>
        <v/>
      </c>
      <c r="K197" s="12" t="str">
        <f t="shared" si="13"/>
        <v/>
      </c>
      <c r="L197" s="1" t="str">
        <f t="shared" si="10"/>
        <v/>
      </c>
      <c r="M197" s="4" t="str">
        <f t="shared" si="14"/>
        <v/>
      </c>
      <c r="N197" s="17" t="str">
        <f>if(M197&lt;&gt;"",'Actuals - Billing - 2025'!BG429,"")</f>
        <v/>
      </c>
      <c r="O197" s="15"/>
    </row>
    <row r="198">
      <c r="A198" s="7" t="str">
        <f t="shared" si="11"/>
        <v/>
      </c>
      <c r="B198" s="8" t="str">
        <f>if(and('Actuals - Billing - 2025'!E$261=True,C198&lt;&gt;""),'Actuals - Billing - 2025'!C430,"")</f>
        <v/>
      </c>
      <c r="C198" s="9" t="str">
        <f>IF(and('Actuals - Billing - 2025'!E$261=True,sum('Actuals - Billing - 2025'!T430:Y430)&gt;0),'Actuals - Billing - 2025'!B430,"")</f>
        <v/>
      </c>
      <c r="D198" s="10" t="str">
        <f>if(and(sum('Actuals - Billing - 2025'!T430:Y430)&gt;0,C198&lt;&gt;""),'Actuals - Billing - 2025'!$U$2,"")</f>
        <v/>
      </c>
      <c r="E198" s="11" t="str">
        <f t="array" ref="E198">if($D198="","",index('Actuals - Billing - 2025'!$B198:$AE1096,Match($C198,'Actuals - Billing - 2025'!$B198:$B1096,0),Match(E$1,'Actuals - Billing - 2025'!$B$2:$AE$2,0)))</f>
        <v/>
      </c>
      <c r="F198" s="11" t="str">
        <f t="array" ref="F198">if($D198="","",index('Actuals - Billing - 2025'!$B198:$AE1096,Match($C198,'Actuals - Billing - 2025'!$B198:$B1096,0),Match(F$1,'Actuals - Billing - 2025'!$B$2:$AE$2,0)))</f>
        <v/>
      </c>
      <c r="G198" s="11" t="str">
        <f t="array" ref="G198">if($D198="","",index('Actuals - Billing - 2025'!$B198:$AE1096,Match($C198,'Actuals - Billing - 2025'!$B198:$B1096,0),Match(G$1,'Actuals - Billing - 2025'!$B$2:$AE$2,0)))</f>
        <v/>
      </c>
      <c r="H198" s="11" t="str">
        <f t="array" ref="H198">if($D198="","",index('Actuals - Billing - 2025'!$B198:$AE1096,Match($C198,'Actuals - Billing - 2025'!$B198:$B1096,0),Match(H$1,'Actuals - Billing - 2025'!$B$2:$AE$2,0)))</f>
        <v/>
      </c>
      <c r="I198" s="11"/>
      <c r="J198" s="11" t="str">
        <f t="shared" si="12"/>
        <v/>
      </c>
      <c r="K198" s="12" t="str">
        <f t="shared" si="13"/>
        <v/>
      </c>
      <c r="L198" s="1" t="str">
        <f t="shared" si="10"/>
        <v/>
      </c>
      <c r="M198" s="4" t="str">
        <f t="shared" si="14"/>
        <v/>
      </c>
      <c r="N198" s="17" t="str">
        <f>if(M198&lt;&gt;"",'Actuals - Billing - 2025'!BG430,"")</f>
        <v/>
      </c>
      <c r="O198" s="15"/>
    </row>
    <row r="199">
      <c r="A199" s="7" t="str">
        <f t="shared" si="11"/>
        <v/>
      </c>
      <c r="B199" s="8" t="str">
        <f>if(and('Actuals - Billing - 2025'!E$261=True,C199&lt;&gt;""),'Actuals - Billing - 2025'!C431,"")</f>
        <v/>
      </c>
      <c r="C199" s="9" t="str">
        <f>IF(and('Actuals - Billing - 2025'!E$261=True,sum('Actuals - Billing - 2025'!T431:Y431)&gt;0),'Actuals - Billing - 2025'!B431,"")</f>
        <v/>
      </c>
      <c r="D199" s="10" t="str">
        <f>if(and(sum('Actuals - Billing - 2025'!T431:Y431)&gt;0,C199&lt;&gt;""),'Actuals - Billing - 2025'!$U$2,"")</f>
        <v/>
      </c>
      <c r="E199" s="11" t="str">
        <f t="array" ref="E199">if($D199="","",index('Actuals - Billing - 2025'!$B199:$AE1097,Match($C199,'Actuals - Billing - 2025'!$B199:$B1097,0),Match(E$1,'Actuals - Billing - 2025'!$B$2:$AE$2,0)))</f>
        <v/>
      </c>
      <c r="F199" s="11" t="str">
        <f t="array" ref="F199">if($D199="","",index('Actuals - Billing - 2025'!$B199:$AE1097,Match($C199,'Actuals - Billing - 2025'!$B199:$B1097,0),Match(F$1,'Actuals - Billing - 2025'!$B$2:$AE$2,0)))</f>
        <v/>
      </c>
      <c r="G199" s="11" t="str">
        <f t="array" ref="G199">if($D199="","",index('Actuals - Billing - 2025'!$B199:$AE1097,Match($C199,'Actuals - Billing - 2025'!$B199:$B1097,0),Match(G$1,'Actuals - Billing - 2025'!$B$2:$AE$2,0)))</f>
        <v/>
      </c>
      <c r="H199" s="11" t="str">
        <f t="array" ref="H199">if($D199="","",index('Actuals - Billing - 2025'!$B199:$AE1097,Match($C199,'Actuals - Billing - 2025'!$B199:$B1097,0),Match(H$1,'Actuals - Billing - 2025'!$B$2:$AE$2,0)))</f>
        <v/>
      </c>
      <c r="I199" s="11"/>
      <c r="J199" s="11" t="str">
        <f t="shared" si="12"/>
        <v/>
      </c>
      <c r="K199" s="12" t="str">
        <f t="shared" si="13"/>
        <v/>
      </c>
      <c r="L199" s="1" t="str">
        <f t="shared" si="10"/>
        <v/>
      </c>
      <c r="M199" s="4" t="str">
        <f t="shared" si="14"/>
        <v/>
      </c>
      <c r="N199" s="17" t="str">
        <f>if(M199&lt;&gt;"",'Actuals - Billing - 2025'!BG431,"")</f>
        <v/>
      </c>
      <c r="O199" s="15"/>
    </row>
    <row r="200">
      <c r="A200" s="7" t="str">
        <f t="shared" si="11"/>
        <v/>
      </c>
      <c r="B200" s="8" t="str">
        <f>if(and('Actuals - Billing - 2025'!E$261=True,C200&lt;&gt;""),'Actuals - Billing - 2025'!C432,"")</f>
        <v/>
      </c>
      <c r="C200" s="9" t="str">
        <f>IF(and('Actuals - Billing - 2025'!E$261=True,sum('Actuals - Billing - 2025'!T432:Y432)&gt;0),'Actuals - Billing - 2025'!B432,"")</f>
        <v/>
      </c>
      <c r="D200" s="10" t="str">
        <f>if(and(sum('Actuals - Billing - 2025'!T432:Y432)&gt;0,C200&lt;&gt;""),'Actuals - Billing - 2025'!$U$2,"")</f>
        <v/>
      </c>
      <c r="E200" s="11" t="str">
        <f t="array" ref="E200">if($D200="","",index('Actuals - Billing - 2025'!$B200:$AE1098,Match($C200,'Actuals - Billing - 2025'!$B200:$B1098,0),Match(E$1,'Actuals - Billing - 2025'!$B$2:$AE$2,0)))</f>
        <v/>
      </c>
      <c r="F200" s="11" t="str">
        <f t="array" ref="F200">if($D200="","",index('Actuals - Billing - 2025'!$B200:$AE1098,Match($C200,'Actuals - Billing - 2025'!$B200:$B1098,0),Match(F$1,'Actuals - Billing - 2025'!$B$2:$AE$2,0)))</f>
        <v/>
      </c>
      <c r="G200" s="11" t="str">
        <f t="array" ref="G200">if($D200="","",index('Actuals - Billing - 2025'!$B200:$AE1098,Match($C200,'Actuals - Billing - 2025'!$B200:$B1098,0),Match(G$1,'Actuals - Billing - 2025'!$B$2:$AE$2,0)))</f>
        <v/>
      </c>
      <c r="H200" s="11" t="str">
        <f t="array" ref="H200">if($D200="","",index('Actuals - Billing - 2025'!$B200:$AE1098,Match($C200,'Actuals - Billing - 2025'!$B200:$B1098,0),Match(H$1,'Actuals - Billing - 2025'!$B$2:$AE$2,0)))</f>
        <v/>
      </c>
      <c r="I200" s="11"/>
      <c r="J200" s="11" t="str">
        <f t="shared" si="12"/>
        <v/>
      </c>
      <c r="K200" s="12" t="str">
        <f t="shared" si="13"/>
        <v/>
      </c>
      <c r="L200" s="1" t="str">
        <f t="shared" si="10"/>
        <v/>
      </c>
      <c r="M200" s="4" t="str">
        <f t="shared" si="14"/>
        <v/>
      </c>
      <c r="N200" s="17" t="str">
        <f>if(M200&lt;&gt;"",'Actuals - Billing - 2025'!BG432,"")</f>
        <v/>
      </c>
      <c r="O200" s="15"/>
    </row>
    <row r="201">
      <c r="A201" s="7" t="str">
        <f t="shared" si="11"/>
        <v/>
      </c>
      <c r="B201" s="8" t="str">
        <f>if(and('Actuals - Billing - 2025'!E$261=True,C201&lt;&gt;""),'Actuals - Billing - 2025'!C433,"")</f>
        <v/>
      </c>
      <c r="C201" s="9" t="str">
        <f>IF(and('Actuals - Billing - 2025'!E$261=True,sum('Actuals - Billing - 2025'!T433:Y433)&gt;0),'Actuals - Billing - 2025'!B433,"")</f>
        <v/>
      </c>
      <c r="D201" s="10" t="str">
        <f>if(and(sum('Actuals - Billing - 2025'!T433:Y433)&gt;0,C201&lt;&gt;""),'Actuals - Billing - 2025'!$U$2,"")</f>
        <v/>
      </c>
      <c r="E201" s="11" t="str">
        <f t="array" ref="E201">if($D201="","",index('Actuals - Billing - 2025'!$B201:$AE1099,Match($C201,'Actuals - Billing - 2025'!$B201:$B1099,0),Match(E$1,'Actuals - Billing - 2025'!$B$2:$AE$2,0)))</f>
        <v/>
      </c>
      <c r="F201" s="11" t="str">
        <f t="array" ref="F201">if($D201="","",index('Actuals - Billing - 2025'!$B201:$AE1099,Match($C201,'Actuals - Billing - 2025'!$B201:$B1099,0),Match(F$1,'Actuals - Billing - 2025'!$B$2:$AE$2,0)))</f>
        <v/>
      </c>
      <c r="G201" s="11" t="str">
        <f t="array" ref="G201">if($D201="","",index('Actuals - Billing - 2025'!$B201:$AE1099,Match($C201,'Actuals - Billing - 2025'!$B201:$B1099,0),Match(G$1,'Actuals - Billing - 2025'!$B$2:$AE$2,0)))</f>
        <v/>
      </c>
      <c r="H201" s="11" t="str">
        <f t="array" ref="H201">if($D201="","",index('Actuals - Billing - 2025'!$B201:$AE1099,Match($C201,'Actuals - Billing - 2025'!$B201:$B1099,0),Match(H$1,'Actuals - Billing - 2025'!$B$2:$AE$2,0)))</f>
        <v/>
      </c>
      <c r="I201" s="11"/>
      <c r="J201" s="11" t="str">
        <f t="shared" si="12"/>
        <v/>
      </c>
      <c r="K201" s="12" t="str">
        <f t="shared" si="13"/>
        <v/>
      </c>
      <c r="L201" s="1" t="str">
        <f t="shared" si="10"/>
        <v/>
      </c>
      <c r="M201" s="4" t="str">
        <f t="shared" si="14"/>
        <v/>
      </c>
      <c r="N201" s="17" t="str">
        <f>if(M201&lt;&gt;"",'Actuals - Billing - 2025'!BG433,"")</f>
        <v/>
      </c>
      <c r="O201" s="15"/>
    </row>
    <row r="202">
      <c r="A202" s="7" t="str">
        <f t="shared" si="11"/>
        <v/>
      </c>
      <c r="B202" s="8" t="str">
        <f>if(and('Actuals - Billing - 2025'!E$261=True,C202&lt;&gt;""),'Actuals - Billing - 2025'!C434,"")</f>
        <v/>
      </c>
      <c r="C202" s="9" t="str">
        <f>IF(and('Actuals - Billing - 2025'!E$261=True,sum('Actuals - Billing - 2025'!T434:Y434)&gt;0),'Actuals - Billing - 2025'!B434,"")</f>
        <v/>
      </c>
      <c r="D202" s="10" t="str">
        <f>if(and(sum('Actuals - Billing - 2025'!T434:Y434)&gt;0,C202&lt;&gt;""),'Actuals - Billing - 2025'!$U$2,"")</f>
        <v/>
      </c>
      <c r="E202" s="11" t="str">
        <f t="array" ref="E202">if($D202="","",index('Actuals - Billing - 2025'!$B202:$AE1100,Match($C202,'Actuals - Billing - 2025'!$B202:$B1100,0),Match(E$1,'Actuals - Billing - 2025'!$B$2:$AE$2,0)))</f>
        <v/>
      </c>
      <c r="F202" s="11" t="str">
        <f t="array" ref="F202">if($D202="","",index('Actuals - Billing - 2025'!$B202:$AE1100,Match($C202,'Actuals - Billing - 2025'!$B202:$B1100,0),Match(F$1,'Actuals - Billing - 2025'!$B$2:$AE$2,0)))</f>
        <v/>
      </c>
      <c r="G202" s="11" t="str">
        <f t="array" ref="G202">if($D202="","",index('Actuals - Billing - 2025'!$B202:$AE1100,Match($C202,'Actuals - Billing - 2025'!$B202:$B1100,0),Match(G$1,'Actuals - Billing - 2025'!$B$2:$AE$2,0)))</f>
        <v/>
      </c>
      <c r="H202" s="11" t="str">
        <f t="array" ref="H202">if($D202="","",index('Actuals - Billing - 2025'!$B202:$AE1100,Match($C202,'Actuals - Billing - 2025'!$B202:$B1100,0),Match(H$1,'Actuals - Billing - 2025'!$B$2:$AE$2,0)))</f>
        <v/>
      </c>
      <c r="I202" s="11"/>
      <c r="J202" s="11" t="str">
        <f t="shared" si="12"/>
        <v/>
      </c>
      <c r="K202" s="12" t="str">
        <f t="shared" si="13"/>
        <v/>
      </c>
      <c r="L202" s="1" t="str">
        <f t="shared" si="10"/>
        <v/>
      </c>
      <c r="M202" s="4" t="str">
        <f t="shared" si="14"/>
        <v/>
      </c>
      <c r="N202" s="17" t="str">
        <f>if(M202&lt;&gt;"",'Actuals - Billing - 2025'!BG434,"")</f>
        <v/>
      </c>
      <c r="O202" s="15"/>
    </row>
    <row r="203">
      <c r="A203" s="7" t="str">
        <f t="shared" si="11"/>
        <v/>
      </c>
      <c r="B203" s="8" t="str">
        <f>if(and('Actuals - Billing - 2025'!E$261=True,C203&lt;&gt;""),'Actuals - Billing - 2025'!C435,"")</f>
        <v/>
      </c>
      <c r="C203" s="9" t="str">
        <f>IF(and('Actuals - Billing - 2025'!E$261=True,sum('Actuals - Billing - 2025'!T435:Y435)&gt;0),'Actuals - Billing - 2025'!B435,"")</f>
        <v/>
      </c>
      <c r="D203" s="10" t="str">
        <f>if(and(sum('Actuals - Billing - 2025'!T435:Y435)&gt;0,C203&lt;&gt;""),'Actuals - Billing - 2025'!$U$2,"")</f>
        <v/>
      </c>
      <c r="E203" s="11" t="str">
        <f t="array" ref="E203">if($D203="","",index('Actuals - Billing - 2025'!$B203:$AE1101,Match($C203,'Actuals - Billing - 2025'!$B203:$B1101,0),Match(E$1,'Actuals - Billing - 2025'!$B$2:$AE$2,0)))</f>
        <v/>
      </c>
      <c r="F203" s="11" t="str">
        <f t="array" ref="F203">if($D203="","",index('Actuals - Billing - 2025'!$B203:$AE1101,Match($C203,'Actuals - Billing - 2025'!$B203:$B1101,0),Match(F$1,'Actuals - Billing - 2025'!$B$2:$AE$2,0)))</f>
        <v/>
      </c>
      <c r="G203" s="11" t="str">
        <f t="array" ref="G203">if($D203="","",index('Actuals - Billing - 2025'!$B203:$AE1101,Match($C203,'Actuals - Billing - 2025'!$B203:$B1101,0),Match(G$1,'Actuals - Billing - 2025'!$B$2:$AE$2,0)))</f>
        <v/>
      </c>
      <c r="H203" s="11" t="str">
        <f t="array" ref="H203">if($D203="","",index('Actuals - Billing - 2025'!$B203:$AE1101,Match($C203,'Actuals - Billing - 2025'!$B203:$B1101,0),Match(H$1,'Actuals - Billing - 2025'!$B$2:$AE$2,0)))</f>
        <v/>
      </c>
      <c r="I203" s="11"/>
      <c r="J203" s="11" t="str">
        <f t="shared" si="12"/>
        <v/>
      </c>
      <c r="K203" s="12" t="str">
        <f t="shared" si="13"/>
        <v/>
      </c>
      <c r="L203" s="1" t="str">
        <f t="shared" si="10"/>
        <v/>
      </c>
      <c r="M203" s="4" t="str">
        <f t="shared" si="14"/>
        <v/>
      </c>
      <c r="N203" s="17" t="str">
        <f>if(M203&lt;&gt;"",'Actuals - Billing - 2025'!BG435,"")</f>
        <v/>
      </c>
      <c r="O203" s="15"/>
    </row>
    <row r="204">
      <c r="A204" s="7" t="str">
        <f t="shared" si="11"/>
        <v/>
      </c>
      <c r="B204" s="8" t="str">
        <f>if(and('Actuals - Billing - 2025'!E$261=True,C204&lt;&gt;""),'Actuals - Billing - 2025'!C436,"")</f>
        <v/>
      </c>
      <c r="C204" s="9" t="str">
        <f>IF(and('Actuals - Billing - 2025'!E$261=True,sum('Actuals - Billing - 2025'!T436:Y436)&gt;0),'Actuals - Billing - 2025'!B436,"")</f>
        <v/>
      </c>
      <c r="D204" s="10" t="str">
        <f>if(and(sum('Actuals - Billing - 2025'!T436:Y436)&gt;0,C204&lt;&gt;""),'Actuals - Billing - 2025'!$U$2,"")</f>
        <v/>
      </c>
      <c r="E204" s="11" t="str">
        <f t="array" ref="E204">if($D204="","",index('Actuals - Billing - 2025'!$B204:$AE1102,Match($C204,'Actuals - Billing - 2025'!$B204:$B1102,0),Match(E$1,'Actuals - Billing - 2025'!$B$2:$AE$2,0)))</f>
        <v/>
      </c>
      <c r="F204" s="11" t="str">
        <f t="array" ref="F204">if($D204="","",index('Actuals - Billing - 2025'!$B204:$AE1102,Match($C204,'Actuals - Billing - 2025'!$B204:$B1102,0),Match(F$1,'Actuals - Billing - 2025'!$B$2:$AE$2,0)))</f>
        <v/>
      </c>
      <c r="G204" s="11" t="str">
        <f t="array" ref="G204">if($D204="","",index('Actuals - Billing - 2025'!$B204:$AE1102,Match($C204,'Actuals - Billing - 2025'!$B204:$B1102,0),Match(G$1,'Actuals - Billing - 2025'!$B$2:$AE$2,0)))</f>
        <v/>
      </c>
      <c r="H204" s="11" t="str">
        <f t="array" ref="H204">if($D204="","",index('Actuals - Billing - 2025'!$B204:$AE1102,Match($C204,'Actuals - Billing - 2025'!$B204:$B1102,0),Match(H$1,'Actuals - Billing - 2025'!$B$2:$AE$2,0)))</f>
        <v/>
      </c>
      <c r="I204" s="11"/>
      <c r="J204" s="11" t="str">
        <f t="shared" si="12"/>
        <v/>
      </c>
      <c r="K204" s="12" t="str">
        <f t="shared" si="13"/>
        <v/>
      </c>
      <c r="L204" s="1" t="str">
        <f t="shared" si="10"/>
        <v/>
      </c>
      <c r="M204" s="4" t="str">
        <f t="shared" si="14"/>
        <v/>
      </c>
      <c r="N204" s="17" t="str">
        <f>if(M204&lt;&gt;"",'Actuals - Billing - 2025'!BG436,"")</f>
        <v/>
      </c>
      <c r="O204" s="15"/>
    </row>
    <row r="205">
      <c r="A205" s="7" t="str">
        <f t="shared" si="11"/>
        <v/>
      </c>
      <c r="B205" s="8" t="str">
        <f>if(and('Actuals - Billing - 2025'!E$261=True,C205&lt;&gt;""),'Actuals - Billing - 2025'!C437,"")</f>
        <v/>
      </c>
      <c r="C205" s="9" t="str">
        <f>IF(and('Actuals - Billing - 2025'!E$261=True,sum('Actuals - Billing - 2025'!T437:Y437)&gt;0),'Actuals - Billing - 2025'!B437,"")</f>
        <v/>
      </c>
      <c r="D205" s="10" t="str">
        <f>if(and(sum('Actuals - Billing - 2025'!T437:Y437)&gt;0,C205&lt;&gt;""),'Actuals - Billing - 2025'!$U$2,"")</f>
        <v/>
      </c>
      <c r="E205" s="11" t="str">
        <f t="array" ref="E205">if($D205="","",index('Actuals - Billing - 2025'!$B205:$AE1103,Match($C205,'Actuals - Billing - 2025'!$B205:$B1103,0),Match(E$1,'Actuals - Billing - 2025'!$B$2:$AE$2,0)))</f>
        <v/>
      </c>
      <c r="F205" s="11" t="str">
        <f t="array" ref="F205">if($D205="","",index('Actuals - Billing - 2025'!$B205:$AE1103,Match($C205,'Actuals - Billing - 2025'!$B205:$B1103,0),Match(F$1,'Actuals - Billing - 2025'!$B$2:$AE$2,0)))</f>
        <v/>
      </c>
      <c r="G205" s="11" t="str">
        <f t="array" ref="G205">if($D205="","",index('Actuals - Billing - 2025'!$B205:$AE1103,Match($C205,'Actuals - Billing - 2025'!$B205:$B1103,0),Match(G$1,'Actuals - Billing - 2025'!$B$2:$AE$2,0)))</f>
        <v/>
      </c>
      <c r="H205" s="11" t="str">
        <f t="array" ref="H205">if($D205="","",index('Actuals - Billing - 2025'!$B205:$AE1103,Match($C205,'Actuals - Billing - 2025'!$B205:$B1103,0),Match(H$1,'Actuals - Billing - 2025'!$B$2:$AE$2,0)))</f>
        <v/>
      </c>
      <c r="I205" s="11"/>
      <c r="J205" s="11" t="str">
        <f t="shared" si="12"/>
        <v/>
      </c>
      <c r="K205" s="12" t="str">
        <f t="shared" si="13"/>
        <v/>
      </c>
      <c r="L205" s="1" t="str">
        <f t="shared" si="10"/>
        <v/>
      </c>
      <c r="M205" s="4" t="str">
        <f t="shared" si="14"/>
        <v/>
      </c>
      <c r="N205" s="17" t="str">
        <f>if(M205&lt;&gt;"",'Actuals - Billing - 2025'!BG437,"")</f>
        <v/>
      </c>
      <c r="O205" s="15"/>
    </row>
    <row r="206">
      <c r="A206" s="7" t="str">
        <f t="shared" si="11"/>
        <v/>
      </c>
      <c r="B206" s="8" t="str">
        <f>if(and('Actuals - Billing - 2025'!E$261=True,C206&lt;&gt;""),'Actuals - Billing - 2025'!C438,"")</f>
        <v/>
      </c>
      <c r="C206" s="9" t="str">
        <f>IF(and('Actuals - Billing - 2025'!E$261=True,sum('Actuals - Billing - 2025'!T438:Y438)&gt;0),'Actuals - Billing - 2025'!B438,"")</f>
        <v/>
      </c>
      <c r="D206" s="10" t="str">
        <f>if(and(sum('Actuals - Billing - 2025'!T438:Y438)&gt;0,C206&lt;&gt;""),'Actuals - Billing - 2025'!$U$2,"")</f>
        <v/>
      </c>
      <c r="E206" s="11" t="str">
        <f t="array" ref="E206">if($D206="","",index('Actuals - Billing - 2025'!$B206:$AE1104,Match($C206,'Actuals - Billing - 2025'!$B206:$B1104,0),Match(E$1,'Actuals - Billing - 2025'!$B$2:$AE$2,0)))</f>
        <v/>
      </c>
      <c r="F206" s="11" t="str">
        <f t="array" ref="F206">if($D206="","",index('Actuals - Billing - 2025'!$B206:$AE1104,Match($C206,'Actuals - Billing - 2025'!$B206:$B1104,0),Match(F$1,'Actuals - Billing - 2025'!$B$2:$AE$2,0)))</f>
        <v/>
      </c>
      <c r="G206" s="11" t="str">
        <f t="array" ref="G206">if($D206="","",index('Actuals - Billing - 2025'!$B206:$AE1104,Match($C206,'Actuals - Billing - 2025'!$B206:$B1104,0),Match(G$1,'Actuals - Billing - 2025'!$B$2:$AE$2,0)))</f>
        <v/>
      </c>
      <c r="H206" s="11" t="str">
        <f t="array" ref="H206">if($D206="","",index('Actuals - Billing - 2025'!$B206:$AE1104,Match($C206,'Actuals - Billing - 2025'!$B206:$B1104,0),Match(H$1,'Actuals - Billing - 2025'!$B$2:$AE$2,0)))</f>
        <v/>
      </c>
      <c r="I206" s="11"/>
      <c r="J206" s="11" t="str">
        <f t="shared" si="12"/>
        <v/>
      </c>
      <c r="K206" s="12" t="str">
        <f t="shared" si="13"/>
        <v/>
      </c>
      <c r="L206" s="1" t="str">
        <f t="shared" si="10"/>
        <v/>
      </c>
      <c r="M206" s="4" t="str">
        <f t="shared" si="14"/>
        <v/>
      </c>
      <c r="N206" s="17" t="str">
        <f>if(M206&lt;&gt;"",'Actuals - Billing - 2025'!BG438,"")</f>
        <v/>
      </c>
      <c r="O206" s="15"/>
    </row>
    <row r="207">
      <c r="A207" s="7" t="str">
        <f t="shared" si="11"/>
        <v/>
      </c>
      <c r="B207" s="8" t="str">
        <f>if(and('Actuals - Billing - 2025'!E$261=True,C207&lt;&gt;""),'Actuals - Billing - 2025'!C439,"")</f>
        <v/>
      </c>
      <c r="C207" s="9" t="str">
        <f>IF(and('Actuals - Billing - 2025'!E$261=True,sum('Actuals - Billing - 2025'!T439:Y439)&gt;0),'Actuals - Billing - 2025'!B439,"")</f>
        <v/>
      </c>
      <c r="D207" s="10" t="str">
        <f>if(and(sum('Actuals - Billing - 2025'!T439:Y439)&gt;0,C207&lt;&gt;""),'Actuals - Billing - 2025'!$U$2,"")</f>
        <v/>
      </c>
      <c r="E207" s="11" t="str">
        <f t="array" ref="E207">if($D207="","",index('Actuals - Billing - 2025'!$B207:$AE1105,Match($C207,'Actuals - Billing - 2025'!$B207:$B1105,0),Match(E$1,'Actuals - Billing - 2025'!$B$2:$AE$2,0)))</f>
        <v/>
      </c>
      <c r="F207" s="11" t="str">
        <f t="array" ref="F207">if($D207="","",index('Actuals - Billing - 2025'!$B207:$AE1105,Match($C207,'Actuals - Billing - 2025'!$B207:$B1105,0),Match(F$1,'Actuals - Billing - 2025'!$B$2:$AE$2,0)))</f>
        <v/>
      </c>
      <c r="G207" s="11" t="str">
        <f t="array" ref="G207">if($D207="","",index('Actuals - Billing - 2025'!$B207:$AE1105,Match($C207,'Actuals - Billing - 2025'!$B207:$B1105,0),Match(G$1,'Actuals - Billing - 2025'!$B$2:$AE$2,0)))</f>
        <v/>
      </c>
      <c r="H207" s="11" t="str">
        <f t="array" ref="H207">if($D207="","",index('Actuals - Billing - 2025'!$B207:$AE1105,Match($C207,'Actuals - Billing - 2025'!$B207:$B1105,0),Match(H$1,'Actuals - Billing - 2025'!$B$2:$AE$2,0)))</f>
        <v/>
      </c>
      <c r="I207" s="11"/>
      <c r="J207" s="11" t="str">
        <f t="shared" si="12"/>
        <v/>
      </c>
      <c r="K207" s="12" t="str">
        <f t="shared" si="13"/>
        <v/>
      </c>
      <c r="L207" s="1" t="str">
        <f t="shared" si="10"/>
        <v/>
      </c>
      <c r="M207" s="4" t="str">
        <f t="shared" si="14"/>
        <v/>
      </c>
      <c r="N207" s="17" t="str">
        <f>if(M207&lt;&gt;"",'Actuals - Billing - 2025'!BG439,"")</f>
        <v/>
      </c>
      <c r="O207" s="15"/>
    </row>
    <row r="208">
      <c r="A208" s="7" t="str">
        <f t="shared" si="11"/>
        <v/>
      </c>
      <c r="B208" s="8" t="str">
        <f>if(and('Actuals - Billing - 2025'!E$261=True,C208&lt;&gt;""),'Actuals - Billing - 2025'!C440,"")</f>
        <v/>
      </c>
      <c r="C208" s="9" t="str">
        <f>IF(and('Actuals - Billing - 2025'!E$261=True,sum('Actuals - Billing - 2025'!T440:Y440)&gt;0),'Actuals - Billing - 2025'!B440,"")</f>
        <v/>
      </c>
      <c r="D208" s="10" t="str">
        <f>if(and(sum('Actuals - Billing - 2025'!T440:Y440)&gt;0,C208&lt;&gt;""),'Actuals - Billing - 2025'!$U$2,"")</f>
        <v/>
      </c>
      <c r="E208" s="11" t="str">
        <f t="array" ref="E208">if($D208="","",index('Actuals - Billing - 2025'!$B208:$AE1106,Match($C208,'Actuals - Billing - 2025'!$B208:$B1106,0),Match(E$1,'Actuals - Billing - 2025'!$B$2:$AE$2,0)))</f>
        <v/>
      </c>
      <c r="F208" s="11" t="str">
        <f t="array" ref="F208">if($D208="","",index('Actuals - Billing - 2025'!$B208:$AE1106,Match($C208,'Actuals - Billing - 2025'!$B208:$B1106,0),Match(F$1,'Actuals - Billing - 2025'!$B$2:$AE$2,0)))</f>
        <v/>
      </c>
      <c r="G208" s="11" t="str">
        <f t="array" ref="G208">if($D208="","",index('Actuals - Billing - 2025'!$B208:$AE1106,Match($C208,'Actuals - Billing - 2025'!$B208:$B1106,0),Match(G$1,'Actuals - Billing - 2025'!$B$2:$AE$2,0)))</f>
        <v/>
      </c>
      <c r="H208" s="11" t="str">
        <f t="array" ref="H208">if($D208="","",index('Actuals - Billing - 2025'!$B208:$AE1106,Match($C208,'Actuals - Billing - 2025'!$B208:$B1106,0),Match(H$1,'Actuals - Billing - 2025'!$B$2:$AE$2,0)))</f>
        <v/>
      </c>
      <c r="I208" s="11"/>
      <c r="J208" s="11" t="str">
        <f t="shared" si="12"/>
        <v/>
      </c>
      <c r="K208" s="12" t="str">
        <f t="shared" si="13"/>
        <v/>
      </c>
      <c r="L208" s="1" t="str">
        <f t="shared" si="10"/>
        <v/>
      </c>
      <c r="M208" s="4" t="str">
        <f t="shared" si="14"/>
        <v/>
      </c>
      <c r="N208" s="17" t="str">
        <f>if(M208&lt;&gt;"",'Actuals - Billing - 2025'!BG440,"")</f>
        <v/>
      </c>
      <c r="O208" s="15"/>
    </row>
    <row r="209">
      <c r="A209" s="7" t="str">
        <f t="shared" si="11"/>
        <v/>
      </c>
      <c r="B209" s="8" t="str">
        <f>if(and('Actuals - Billing - 2025'!E$261=True,C209&lt;&gt;""),'Actuals - Billing - 2025'!C441,"")</f>
        <v/>
      </c>
      <c r="C209" s="9" t="str">
        <f>IF(and('Actuals - Billing - 2025'!E$261=True,sum('Actuals - Billing - 2025'!T441:Y441)&gt;0),'Actuals - Billing - 2025'!B441,"")</f>
        <v/>
      </c>
      <c r="D209" s="10" t="str">
        <f>if(and(sum('Actuals - Billing - 2025'!T441:Y441)&gt;0,C209&lt;&gt;""),'Actuals - Billing - 2025'!$U$2,"")</f>
        <v/>
      </c>
      <c r="E209" s="11" t="str">
        <f t="array" ref="E209">if($D209="","",index('Actuals - Billing - 2025'!$B209:$AE1107,Match($C209,'Actuals - Billing - 2025'!$B209:$B1107,0),Match(E$1,'Actuals - Billing - 2025'!$B$2:$AE$2,0)))</f>
        <v/>
      </c>
      <c r="F209" s="11" t="str">
        <f t="array" ref="F209">if($D209="","",index('Actuals - Billing - 2025'!$B209:$AE1107,Match($C209,'Actuals - Billing - 2025'!$B209:$B1107,0),Match(F$1,'Actuals - Billing - 2025'!$B$2:$AE$2,0)))</f>
        <v/>
      </c>
      <c r="G209" s="11" t="str">
        <f t="array" ref="G209">if($D209="","",index('Actuals - Billing - 2025'!$B209:$AE1107,Match($C209,'Actuals - Billing - 2025'!$B209:$B1107,0),Match(G$1,'Actuals - Billing - 2025'!$B$2:$AE$2,0)))</f>
        <v/>
      </c>
      <c r="H209" s="11" t="str">
        <f t="array" ref="H209">if($D209="","",index('Actuals - Billing - 2025'!$B209:$AE1107,Match($C209,'Actuals - Billing - 2025'!$B209:$B1107,0),Match(H$1,'Actuals - Billing - 2025'!$B$2:$AE$2,0)))</f>
        <v/>
      </c>
      <c r="I209" s="11"/>
      <c r="J209" s="11" t="str">
        <f t="shared" si="12"/>
        <v/>
      </c>
      <c r="K209" s="12" t="str">
        <f t="shared" si="13"/>
        <v/>
      </c>
      <c r="L209" s="1" t="str">
        <f t="shared" si="10"/>
        <v/>
      </c>
      <c r="M209" s="4" t="str">
        <f t="shared" si="14"/>
        <v/>
      </c>
      <c r="N209" s="17" t="str">
        <f>if(M209&lt;&gt;"",'Actuals - Billing - 2025'!BG441,"")</f>
        <v/>
      </c>
      <c r="O209" s="15"/>
    </row>
    <row r="210">
      <c r="A210" s="7" t="str">
        <f t="shared" si="11"/>
        <v/>
      </c>
      <c r="B210" s="8" t="str">
        <f>if(and('Actuals - Billing - 2025'!E$261=True,C210&lt;&gt;""),'Actuals - Billing - 2025'!C442,"")</f>
        <v/>
      </c>
      <c r="C210" s="9" t="str">
        <f>IF(and('Actuals - Billing - 2025'!E$261=True,sum('Actuals - Billing - 2025'!T442:Y442)&gt;0),'Actuals - Billing - 2025'!B442,"")</f>
        <v/>
      </c>
      <c r="D210" s="10" t="str">
        <f>if(and(sum('Actuals - Billing - 2025'!T442:Y442)&gt;0,C210&lt;&gt;""),'Actuals - Billing - 2025'!$U$2,"")</f>
        <v/>
      </c>
      <c r="E210" s="11" t="str">
        <f t="array" ref="E210">if($D210="","",index('Actuals - Billing - 2025'!$B210:$AE1108,Match($C210,'Actuals - Billing - 2025'!$B210:$B1108,0),Match(E$1,'Actuals - Billing - 2025'!$B$2:$AE$2,0)))</f>
        <v/>
      </c>
      <c r="F210" s="11" t="str">
        <f t="array" ref="F210">if($D210="","",index('Actuals - Billing - 2025'!$B210:$AE1108,Match($C210,'Actuals - Billing - 2025'!$B210:$B1108,0),Match(F$1,'Actuals - Billing - 2025'!$B$2:$AE$2,0)))</f>
        <v/>
      </c>
      <c r="G210" s="11" t="str">
        <f t="array" ref="G210">if($D210="","",index('Actuals - Billing - 2025'!$B210:$AE1108,Match($C210,'Actuals - Billing - 2025'!$B210:$B1108,0),Match(G$1,'Actuals - Billing - 2025'!$B$2:$AE$2,0)))</f>
        <v/>
      </c>
      <c r="H210" s="11" t="str">
        <f t="array" ref="H210">if($D210="","",index('Actuals - Billing - 2025'!$B210:$AE1108,Match($C210,'Actuals - Billing - 2025'!$B210:$B1108,0),Match(H$1,'Actuals - Billing - 2025'!$B$2:$AE$2,0)))</f>
        <v/>
      </c>
      <c r="I210" s="11"/>
      <c r="J210" s="11" t="str">
        <f t="shared" si="12"/>
        <v/>
      </c>
      <c r="K210" s="12" t="str">
        <f t="shared" si="13"/>
        <v/>
      </c>
      <c r="L210" s="1" t="str">
        <f t="shared" si="10"/>
        <v/>
      </c>
      <c r="M210" s="4" t="str">
        <f t="shared" si="14"/>
        <v/>
      </c>
      <c r="N210" s="17" t="str">
        <f>if(M210&lt;&gt;"",'Actuals - Billing - 2025'!BG442,"")</f>
        <v/>
      </c>
      <c r="O210" s="15"/>
    </row>
    <row r="211">
      <c r="A211" s="7" t="str">
        <f t="shared" si="11"/>
        <v/>
      </c>
      <c r="B211" s="8" t="str">
        <f>if(and('Actuals - Billing - 2025'!E$261=True,C211&lt;&gt;""),'Actuals - Billing - 2025'!C443,"")</f>
        <v/>
      </c>
      <c r="C211" s="9" t="str">
        <f>IF(and('Actuals - Billing - 2025'!E$261=True,sum('Actuals - Billing - 2025'!T443:Y443)&gt;0),'Actuals - Billing - 2025'!B443,"")</f>
        <v/>
      </c>
      <c r="D211" s="10" t="str">
        <f>if(and(sum('Actuals - Billing - 2025'!T443:Y443)&gt;0,C211&lt;&gt;""),'Actuals - Billing - 2025'!$U$2,"")</f>
        <v/>
      </c>
      <c r="E211" s="11" t="str">
        <f t="array" ref="E211">if($D211="","",index('Actuals - Billing - 2025'!$B211:$AE1109,Match($C211,'Actuals - Billing - 2025'!$B211:$B1109,0),Match(E$1,'Actuals - Billing - 2025'!$B$2:$AE$2,0)))</f>
        <v/>
      </c>
      <c r="F211" s="11" t="str">
        <f t="array" ref="F211">if($D211="","",index('Actuals - Billing - 2025'!$B211:$AE1109,Match($C211,'Actuals - Billing - 2025'!$B211:$B1109,0),Match(F$1,'Actuals - Billing - 2025'!$B$2:$AE$2,0)))</f>
        <v/>
      </c>
      <c r="G211" s="11" t="str">
        <f t="array" ref="G211">if($D211="","",index('Actuals - Billing - 2025'!$B211:$AE1109,Match($C211,'Actuals - Billing - 2025'!$B211:$B1109,0),Match(G$1,'Actuals - Billing - 2025'!$B$2:$AE$2,0)))</f>
        <v/>
      </c>
      <c r="H211" s="11" t="str">
        <f t="array" ref="H211">if($D211="","",index('Actuals - Billing - 2025'!$B211:$AE1109,Match($C211,'Actuals - Billing - 2025'!$B211:$B1109,0),Match(H$1,'Actuals - Billing - 2025'!$B$2:$AE$2,0)))</f>
        <v/>
      </c>
      <c r="I211" s="11"/>
      <c r="J211" s="11" t="str">
        <f t="shared" si="12"/>
        <v/>
      </c>
      <c r="K211" s="12" t="str">
        <f t="shared" si="13"/>
        <v/>
      </c>
      <c r="L211" s="1" t="str">
        <f t="shared" si="10"/>
        <v/>
      </c>
      <c r="M211" s="4" t="str">
        <f t="shared" si="14"/>
        <v/>
      </c>
      <c r="N211" s="17" t="str">
        <f>if(M211&lt;&gt;"",'Actuals - Billing - 2025'!BG443,"")</f>
        <v/>
      </c>
      <c r="O211" s="15"/>
    </row>
    <row r="212">
      <c r="A212" s="7" t="str">
        <f t="shared" si="11"/>
        <v/>
      </c>
      <c r="B212" s="8" t="str">
        <f>if(and('Actuals - Billing - 2025'!E$261=True,C212&lt;&gt;""),'Actuals - Billing - 2025'!C444,"")</f>
        <v/>
      </c>
      <c r="C212" s="9" t="str">
        <f>IF(and('Actuals - Billing - 2025'!E$261=True,sum('Actuals - Billing - 2025'!T444:Y444)&gt;0),'Actuals - Billing - 2025'!B444,"")</f>
        <v/>
      </c>
      <c r="D212" s="10" t="str">
        <f>if(and(sum('Actuals - Billing - 2025'!T444:Y444)&gt;0,C212&lt;&gt;""),'Actuals - Billing - 2025'!$U$2,"")</f>
        <v/>
      </c>
      <c r="E212" s="11" t="str">
        <f t="array" ref="E212">if($D212="","",index('Actuals - Billing - 2025'!$B212:$AE1110,Match($C212,'Actuals - Billing - 2025'!$B212:$B1110,0),Match(E$1,'Actuals - Billing - 2025'!$B$2:$AE$2,0)))</f>
        <v/>
      </c>
      <c r="F212" s="11" t="str">
        <f t="array" ref="F212">if($D212="","",index('Actuals - Billing - 2025'!$B212:$AE1110,Match($C212,'Actuals - Billing - 2025'!$B212:$B1110,0),Match(F$1,'Actuals - Billing - 2025'!$B$2:$AE$2,0)))</f>
        <v/>
      </c>
      <c r="G212" s="11" t="str">
        <f t="array" ref="G212">if($D212="","",index('Actuals - Billing - 2025'!$B212:$AE1110,Match($C212,'Actuals - Billing - 2025'!$B212:$B1110,0),Match(G$1,'Actuals - Billing - 2025'!$B$2:$AE$2,0)))</f>
        <v/>
      </c>
      <c r="H212" s="11" t="str">
        <f t="array" ref="H212">if($D212="","",index('Actuals - Billing - 2025'!$B212:$AE1110,Match($C212,'Actuals - Billing - 2025'!$B212:$B1110,0),Match(H$1,'Actuals - Billing - 2025'!$B$2:$AE$2,0)))</f>
        <v/>
      </c>
      <c r="I212" s="11"/>
      <c r="J212" s="11" t="str">
        <f t="shared" si="12"/>
        <v/>
      </c>
      <c r="K212" s="12" t="str">
        <f t="shared" si="13"/>
        <v/>
      </c>
      <c r="L212" s="1" t="str">
        <f t="shared" si="10"/>
        <v/>
      </c>
      <c r="M212" s="4" t="str">
        <f t="shared" si="14"/>
        <v/>
      </c>
      <c r="N212" s="17" t="str">
        <f>if(M212&lt;&gt;"",'Actuals - Billing - 2025'!BG444,"")</f>
        <v/>
      </c>
      <c r="O212" s="15"/>
    </row>
    <row r="213">
      <c r="A213" s="7" t="str">
        <f t="shared" si="11"/>
        <v/>
      </c>
      <c r="B213" s="8" t="str">
        <f>if(and('Actuals - Billing - 2025'!E$261=True,C213&lt;&gt;""),'Actuals - Billing - 2025'!C445,"")</f>
        <v/>
      </c>
      <c r="C213" s="9" t="str">
        <f>IF(and('Actuals - Billing - 2025'!E$261=True,sum('Actuals - Billing - 2025'!T445:Y445)&gt;0),'Actuals - Billing - 2025'!B445,"")</f>
        <v/>
      </c>
      <c r="D213" s="10" t="str">
        <f>if(and(sum('Actuals - Billing - 2025'!T445:Y445)&gt;0,C213&lt;&gt;""),'Actuals - Billing - 2025'!$U$2,"")</f>
        <v/>
      </c>
      <c r="E213" s="11" t="str">
        <f t="array" ref="E213">if($D213="","",index('Actuals - Billing - 2025'!$B213:$AE1111,Match($C213,'Actuals - Billing - 2025'!$B213:$B1111,0),Match(E$1,'Actuals - Billing - 2025'!$B$2:$AE$2,0)))</f>
        <v/>
      </c>
      <c r="F213" s="11" t="str">
        <f t="array" ref="F213">if($D213="","",index('Actuals - Billing - 2025'!$B213:$AE1111,Match($C213,'Actuals - Billing - 2025'!$B213:$B1111,0),Match(F$1,'Actuals - Billing - 2025'!$B$2:$AE$2,0)))</f>
        <v/>
      </c>
      <c r="G213" s="11" t="str">
        <f t="array" ref="G213">if($D213="","",index('Actuals - Billing - 2025'!$B213:$AE1111,Match($C213,'Actuals - Billing - 2025'!$B213:$B1111,0),Match(G$1,'Actuals - Billing - 2025'!$B$2:$AE$2,0)))</f>
        <v/>
      </c>
      <c r="H213" s="11" t="str">
        <f t="array" ref="H213">if($D213="","",index('Actuals - Billing - 2025'!$B213:$AE1111,Match($C213,'Actuals - Billing - 2025'!$B213:$B1111,0),Match(H$1,'Actuals - Billing - 2025'!$B$2:$AE$2,0)))</f>
        <v/>
      </c>
      <c r="I213" s="11"/>
      <c r="J213" s="11" t="str">
        <f t="shared" si="12"/>
        <v/>
      </c>
      <c r="K213" s="12" t="str">
        <f t="shared" si="13"/>
        <v/>
      </c>
      <c r="L213" s="1" t="str">
        <f t="shared" si="10"/>
        <v/>
      </c>
      <c r="M213" s="4" t="str">
        <f t="shared" si="14"/>
        <v/>
      </c>
      <c r="N213" s="17" t="str">
        <f>if(M213&lt;&gt;"",'Actuals - Billing - 2025'!BG445,"")</f>
        <v/>
      </c>
      <c r="O213" s="15"/>
    </row>
    <row r="214">
      <c r="A214" s="7" t="str">
        <f t="shared" si="11"/>
        <v/>
      </c>
      <c r="B214" s="8" t="str">
        <f>if(and('Actuals - Billing - 2025'!E$261=True,C214&lt;&gt;""),'Actuals - Billing - 2025'!C446,"")</f>
        <v/>
      </c>
      <c r="C214" s="9" t="str">
        <f>IF(and('Actuals - Billing - 2025'!E$261=True,sum('Actuals - Billing - 2025'!T446:Y446)&gt;0),'Actuals - Billing - 2025'!B446,"")</f>
        <v/>
      </c>
      <c r="D214" s="10" t="str">
        <f>if(and(sum('Actuals - Billing - 2025'!T446:Y446)&gt;0,C214&lt;&gt;""),'Actuals - Billing - 2025'!$U$2,"")</f>
        <v/>
      </c>
      <c r="E214" s="11" t="str">
        <f t="array" ref="E214">if($D214="","",index('Actuals - Billing - 2025'!$B214:$AE1112,Match($C214,'Actuals - Billing - 2025'!$B214:$B1112,0),Match(E$1,'Actuals - Billing - 2025'!$B$2:$AE$2,0)))</f>
        <v/>
      </c>
      <c r="F214" s="11" t="str">
        <f t="array" ref="F214">if($D214="","",index('Actuals - Billing - 2025'!$B214:$AE1112,Match($C214,'Actuals - Billing - 2025'!$B214:$B1112,0),Match(F$1,'Actuals - Billing - 2025'!$B$2:$AE$2,0)))</f>
        <v/>
      </c>
      <c r="G214" s="11" t="str">
        <f t="array" ref="G214">if($D214="","",index('Actuals - Billing - 2025'!$B214:$AE1112,Match($C214,'Actuals - Billing - 2025'!$B214:$B1112,0),Match(G$1,'Actuals - Billing - 2025'!$B$2:$AE$2,0)))</f>
        <v/>
      </c>
      <c r="H214" s="11" t="str">
        <f t="array" ref="H214">if($D214="","",index('Actuals - Billing - 2025'!$B214:$AE1112,Match($C214,'Actuals - Billing - 2025'!$B214:$B1112,0),Match(H$1,'Actuals - Billing - 2025'!$B$2:$AE$2,0)))</f>
        <v/>
      </c>
      <c r="I214" s="11"/>
      <c r="J214" s="11" t="str">
        <f t="shared" si="12"/>
        <v/>
      </c>
      <c r="K214" s="12" t="str">
        <f t="shared" si="13"/>
        <v/>
      </c>
      <c r="L214" s="1" t="str">
        <f t="shared" si="10"/>
        <v/>
      </c>
      <c r="M214" s="4" t="str">
        <f t="shared" si="14"/>
        <v/>
      </c>
      <c r="N214" s="17" t="str">
        <f>if(M214&lt;&gt;"",'Actuals - Billing - 2025'!BG446,"")</f>
        <v/>
      </c>
      <c r="O214" s="15"/>
    </row>
    <row r="215">
      <c r="A215" s="7" t="str">
        <f t="shared" si="11"/>
        <v/>
      </c>
      <c r="B215" s="8" t="str">
        <f>if(and('Actuals - Billing - 2025'!E$261=True,C215&lt;&gt;""),'Actuals - Billing - 2025'!C447,"")</f>
        <v/>
      </c>
      <c r="C215" s="9" t="str">
        <f>IF(and('Actuals - Billing - 2025'!E$261=True,sum('Actuals - Billing - 2025'!T447:Y447)&gt;0),'Actuals - Billing - 2025'!B447,"")</f>
        <v/>
      </c>
      <c r="D215" s="10" t="str">
        <f>if(and(sum('Actuals - Billing - 2025'!T447:Y447)&gt;0,C215&lt;&gt;""),'Actuals - Billing - 2025'!$U$2,"")</f>
        <v/>
      </c>
      <c r="E215" s="11" t="str">
        <f t="array" ref="E215">if($D215="","",index('Actuals - Billing - 2025'!$B215:$AE1113,Match($C215,'Actuals - Billing - 2025'!$B215:$B1113,0),Match(E$1,'Actuals - Billing - 2025'!$B$2:$AE$2,0)))</f>
        <v/>
      </c>
      <c r="F215" s="11" t="str">
        <f t="array" ref="F215">if($D215="","",index('Actuals - Billing - 2025'!$B215:$AE1113,Match($C215,'Actuals - Billing - 2025'!$B215:$B1113,0),Match(F$1,'Actuals - Billing - 2025'!$B$2:$AE$2,0)))</f>
        <v/>
      </c>
      <c r="G215" s="11" t="str">
        <f t="array" ref="G215">if($D215="","",index('Actuals - Billing - 2025'!$B215:$AE1113,Match($C215,'Actuals - Billing - 2025'!$B215:$B1113,0),Match(G$1,'Actuals - Billing - 2025'!$B$2:$AE$2,0)))</f>
        <v/>
      </c>
      <c r="H215" s="11" t="str">
        <f t="array" ref="H215">if($D215="","",index('Actuals - Billing - 2025'!$B215:$AE1113,Match($C215,'Actuals - Billing - 2025'!$B215:$B1113,0),Match(H$1,'Actuals - Billing - 2025'!$B$2:$AE$2,0)))</f>
        <v/>
      </c>
      <c r="I215" s="11"/>
      <c r="J215" s="11" t="str">
        <f t="shared" si="12"/>
        <v/>
      </c>
      <c r="K215" s="12" t="str">
        <f t="shared" si="13"/>
        <v/>
      </c>
      <c r="L215" s="1" t="str">
        <f t="shared" si="10"/>
        <v/>
      </c>
      <c r="M215" s="4" t="str">
        <f t="shared" si="14"/>
        <v/>
      </c>
      <c r="N215" s="17" t="str">
        <f>if(M215&lt;&gt;"",'Actuals - Billing - 2025'!BG447,"")</f>
        <v/>
      </c>
      <c r="O215" s="15"/>
    </row>
    <row r="216">
      <c r="A216" s="7" t="str">
        <f t="shared" si="11"/>
        <v/>
      </c>
      <c r="B216" s="8" t="str">
        <f>if(and('Actuals - Billing - 2025'!E$261=True,C216&lt;&gt;""),'Actuals - Billing - 2025'!C448,"")</f>
        <v/>
      </c>
      <c r="C216" s="9" t="str">
        <f>IF(and('Actuals - Billing - 2025'!E$261=True,sum('Actuals - Billing - 2025'!T448:Y448)&gt;0),'Actuals - Billing - 2025'!B448,"")</f>
        <v/>
      </c>
      <c r="D216" s="10" t="str">
        <f>if(and(sum('Actuals - Billing - 2025'!T448:Y448)&gt;0,C216&lt;&gt;""),'Actuals - Billing - 2025'!$U$2,"")</f>
        <v/>
      </c>
      <c r="E216" s="11" t="str">
        <f t="array" ref="E216">if($D216="","",index('Actuals - Billing - 2025'!$B216:$AE1114,Match($C216,'Actuals - Billing - 2025'!$B216:$B1114,0),Match(E$1,'Actuals - Billing - 2025'!$B$2:$AE$2,0)))</f>
        <v/>
      </c>
      <c r="F216" s="11" t="str">
        <f t="array" ref="F216">if($D216="","",index('Actuals - Billing - 2025'!$B216:$AE1114,Match($C216,'Actuals - Billing - 2025'!$B216:$B1114,0),Match(F$1,'Actuals - Billing - 2025'!$B$2:$AE$2,0)))</f>
        <v/>
      </c>
      <c r="G216" s="11" t="str">
        <f t="array" ref="G216">if($D216="","",index('Actuals - Billing - 2025'!$B216:$AE1114,Match($C216,'Actuals - Billing - 2025'!$B216:$B1114,0),Match(G$1,'Actuals - Billing - 2025'!$B$2:$AE$2,0)))</f>
        <v/>
      </c>
      <c r="H216" s="11" t="str">
        <f t="array" ref="H216">if($D216="","",index('Actuals - Billing - 2025'!$B216:$AE1114,Match($C216,'Actuals - Billing - 2025'!$B216:$B1114,0),Match(H$1,'Actuals - Billing - 2025'!$B$2:$AE$2,0)))</f>
        <v/>
      </c>
      <c r="I216" s="11"/>
      <c r="J216" s="11" t="str">
        <f t="shared" si="12"/>
        <v/>
      </c>
      <c r="K216" s="12" t="str">
        <f t="shared" si="13"/>
        <v/>
      </c>
      <c r="L216" s="1" t="str">
        <f t="shared" si="10"/>
        <v/>
      </c>
      <c r="M216" s="4" t="str">
        <f t="shared" si="14"/>
        <v/>
      </c>
      <c r="N216" s="17" t="str">
        <f>if(M216&lt;&gt;"",'Actuals - Billing - 2025'!BG448,"")</f>
        <v/>
      </c>
      <c r="O216" s="15"/>
    </row>
    <row r="217">
      <c r="A217" s="7" t="str">
        <f t="shared" si="11"/>
        <v/>
      </c>
      <c r="B217" s="8" t="str">
        <f>if(and('Actuals - Billing - 2025'!E$261=True,C217&lt;&gt;""),'Actuals - Billing - 2025'!C449,"")</f>
        <v/>
      </c>
      <c r="C217" s="9" t="str">
        <f>IF(and('Actuals - Billing - 2025'!E$261=True,sum('Actuals - Billing - 2025'!T449:Y449)&gt;0),'Actuals - Billing - 2025'!B449,"")</f>
        <v/>
      </c>
      <c r="D217" s="10" t="str">
        <f>if(and(sum('Actuals - Billing - 2025'!T449:Y449)&gt;0,C217&lt;&gt;""),'Actuals - Billing - 2025'!$U$2,"")</f>
        <v/>
      </c>
      <c r="E217" s="11" t="str">
        <f t="array" ref="E217">if($D217="","",index('Actuals - Billing - 2025'!$B217:$AE1115,Match($C217,'Actuals - Billing - 2025'!$B217:$B1115,0),Match(E$1,'Actuals - Billing - 2025'!$B$2:$AE$2,0)))</f>
        <v/>
      </c>
      <c r="F217" s="11" t="str">
        <f t="array" ref="F217">if($D217="","",index('Actuals - Billing - 2025'!$B217:$AE1115,Match($C217,'Actuals - Billing - 2025'!$B217:$B1115,0),Match(F$1,'Actuals - Billing - 2025'!$B$2:$AE$2,0)))</f>
        <v/>
      </c>
      <c r="G217" s="11" t="str">
        <f t="array" ref="G217">if($D217="","",index('Actuals - Billing - 2025'!$B217:$AE1115,Match($C217,'Actuals - Billing - 2025'!$B217:$B1115,0),Match(G$1,'Actuals - Billing - 2025'!$B$2:$AE$2,0)))</f>
        <v/>
      </c>
      <c r="H217" s="11" t="str">
        <f t="array" ref="H217">if($D217="","",index('Actuals - Billing - 2025'!$B217:$AE1115,Match($C217,'Actuals - Billing - 2025'!$B217:$B1115,0),Match(H$1,'Actuals - Billing - 2025'!$B$2:$AE$2,0)))</f>
        <v/>
      </c>
      <c r="I217" s="11"/>
      <c r="J217" s="11" t="str">
        <f t="shared" si="12"/>
        <v/>
      </c>
      <c r="K217" s="12" t="str">
        <f t="shared" si="13"/>
        <v/>
      </c>
      <c r="L217" s="1" t="str">
        <f t="shared" si="10"/>
        <v/>
      </c>
      <c r="M217" s="4" t="str">
        <f t="shared" si="14"/>
        <v/>
      </c>
      <c r="N217" s="17" t="str">
        <f>if(M217&lt;&gt;"",'Actuals - Billing - 2025'!BG449,"")</f>
        <v/>
      </c>
      <c r="O217" s="15"/>
    </row>
    <row r="218">
      <c r="A218" s="7" t="str">
        <f t="shared" si="11"/>
        <v/>
      </c>
      <c r="B218" s="8" t="str">
        <f>if(and('Actuals - Billing - 2025'!E$261=True,C218&lt;&gt;""),'Actuals - Billing - 2025'!C450,"")</f>
        <v/>
      </c>
      <c r="C218" s="9" t="str">
        <f>IF(and('Actuals - Billing - 2025'!E$261=True,sum('Actuals - Billing - 2025'!T450:Y450)&gt;0),'Actuals - Billing - 2025'!B450,"")</f>
        <v/>
      </c>
      <c r="D218" s="10" t="str">
        <f>if(and(sum('Actuals - Billing - 2025'!T450:Y450)&gt;0,C218&lt;&gt;""),'Actuals - Billing - 2025'!$U$2,"")</f>
        <v/>
      </c>
      <c r="E218" s="11" t="str">
        <f t="array" ref="E218">if($D218="","",index('Actuals - Billing - 2025'!$B218:$AE1116,Match($C218,'Actuals - Billing - 2025'!$B218:$B1116,0),Match(E$1,'Actuals - Billing - 2025'!$B$2:$AE$2,0)))</f>
        <v/>
      </c>
      <c r="F218" s="11" t="str">
        <f t="array" ref="F218">if($D218="","",index('Actuals - Billing - 2025'!$B218:$AE1116,Match($C218,'Actuals - Billing - 2025'!$B218:$B1116,0),Match(F$1,'Actuals - Billing - 2025'!$B$2:$AE$2,0)))</f>
        <v/>
      </c>
      <c r="G218" s="11" t="str">
        <f t="array" ref="G218">if($D218="","",index('Actuals - Billing - 2025'!$B218:$AE1116,Match($C218,'Actuals - Billing - 2025'!$B218:$B1116,0),Match(G$1,'Actuals - Billing - 2025'!$B$2:$AE$2,0)))</f>
        <v/>
      </c>
      <c r="H218" s="11" t="str">
        <f t="array" ref="H218">if($D218="","",index('Actuals - Billing - 2025'!$B218:$AE1116,Match($C218,'Actuals - Billing - 2025'!$B218:$B1116,0),Match(H$1,'Actuals - Billing - 2025'!$B$2:$AE$2,0)))</f>
        <v/>
      </c>
      <c r="I218" s="11"/>
      <c r="J218" s="11" t="str">
        <f t="shared" si="12"/>
        <v/>
      </c>
      <c r="K218" s="12" t="str">
        <f t="shared" si="13"/>
        <v/>
      </c>
      <c r="L218" s="1" t="str">
        <f t="shared" si="10"/>
        <v/>
      </c>
      <c r="M218" s="4" t="str">
        <f t="shared" si="14"/>
        <v/>
      </c>
      <c r="N218" s="17" t="str">
        <f>if(M218&lt;&gt;"",'Actuals - Billing - 2025'!BG450,"")</f>
        <v/>
      </c>
      <c r="O218" s="15"/>
    </row>
    <row r="219">
      <c r="A219" s="7" t="str">
        <f t="shared" si="11"/>
        <v/>
      </c>
      <c r="B219" s="8" t="str">
        <f>if(and('Actuals - Billing - 2025'!E$261=True,C219&lt;&gt;""),'Actuals - Billing - 2025'!C451,"")</f>
        <v/>
      </c>
      <c r="C219" s="9" t="str">
        <f>IF(and('Actuals - Billing - 2025'!E$261=True,sum('Actuals - Billing - 2025'!T451:Y451)&gt;0),'Actuals - Billing - 2025'!B451,"")</f>
        <v/>
      </c>
      <c r="D219" s="10" t="str">
        <f>if(and(sum('Actuals - Billing - 2025'!T451:Y451)&gt;0,C219&lt;&gt;""),'Actuals - Billing - 2025'!$U$2,"")</f>
        <v/>
      </c>
      <c r="E219" s="11" t="str">
        <f t="array" ref="E219">if($D219="","",index('Actuals - Billing - 2025'!$B219:$AE1117,Match($C219,'Actuals - Billing - 2025'!$B219:$B1117,0),Match(E$1,'Actuals - Billing - 2025'!$B$2:$AE$2,0)))</f>
        <v/>
      </c>
      <c r="F219" s="11" t="str">
        <f t="array" ref="F219">if($D219="","",index('Actuals - Billing - 2025'!$B219:$AE1117,Match($C219,'Actuals - Billing - 2025'!$B219:$B1117,0),Match(F$1,'Actuals - Billing - 2025'!$B$2:$AE$2,0)))</f>
        <v/>
      </c>
      <c r="G219" s="11" t="str">
        <f t="array" ref="G219">if($D219="","",index('Actuals - Billing - 2025'!$B219:$AE1117,Match($C219,'Actuals - Billing - 2025'!$B219:$B1117,0),Match(G$1,'Actuals - Billing - 2025'!$B$2:$AE$2,0)))</f>
        <v/>
      </c>
      <c r="H219" s="11" t="str">
        <f t="array" ref="H219">if($D219="","",index('Actuals - Billing - 2025'!$B219:$AE1117,Match($C219,'Actuals - Billing - 2025'!$B219:$B1117,0),Match(H$1,'Actuals - Billing - 2025'!$B$2:$AE$2,0)))</f>
        <v/>
      </c>
      <c r="I219" s="11"/>
      <c r="J219" s="11" t="str">
        <f t="shared" si="12"/>
        <v/>
      </c>
      <c r="K219" s="12" t="str">
        <f t="shared" si="13"/>
        <v/>
      </c>
      <c r="L219" s="1" t="str">
        <f t="shared" si="10"/>
        <v/>
      </c>
      <c r="M219" s="4" t="str">
        <f t="shared" si="14"/>
        <v/>
      </c>
      <c r="N219" s="17" t="str">
        <f>if(M219&lt;&gt;"",'Actuals - Billing - 2025'!BG451,"")</f>
        <v/>
      </c>
      <c r="O219" s="15"/>
    </row>
    <row r="220">
      <c r="A220" s="7" t="str">
        <f t="shared" si="11"/>
        <v/>
      </c>
      <c r="B220" s="8" t="str">
        <f>if(and('Actuals - Billing - 2025'!E$261=True,C220&lt;&gt;""),'Actuals - Billing - 2025'!C452,"")</f>
        <v/>
      </c>
      <c r="C220" s="9" t="str">
        <f>IF(and('Actuals - Billing - 2025'!E$261=True,sum('Actuals - Billing - 2025'!T452:Y452)&gt;0),'Actuals - Billing - 2025'!B452,"")</f>
        <v/>
      </c>
      <c r="D220" s="10" t="str">
        <f>if(and(sum('Actuals - Billing - 2025'!T452:Y452)&gt;0,C220&lt;&gt;""),'Actuals - Billing - 2025'!$U$2,"")</f>
        <v/>
      </c>
      <c r="E220" s="11" t="str">
        <f t="array" ref="E220">if($D220="","",index('Actuals - Billing - 2025'!$B220:$AE1118,Match($C220,'Actuals - Billing - 2025'!$B220:$B1118,0),Match(E$1,'Actuals - Billing - 2025'!$B$2:$AE$2,0)))</f>
        <v/>
      </c>
      <c r="F220" s="11" t="str">
        <f t="array" ref="F220">if($D220="","",index('Actuals - Billing - 2025'!$B220:$AE1118,Match($C220,'Actuals - Billing - 2025'!$B220:$B1118,0),Match(F$1,'Actuals - Billing - 2025'!$B$2:$AE$2,0)))</f>
        <v/>
      </c>
      <c r="G220" s="11" t="str">
        <f t="array" ref="G220">if($D220="","",index('Actuals - Billing - 2025'!$B220:$AE1118,Match($C220,'Actuals - Billing - 2025'!$B220:$B1118,0),Match(G$1,'Actuals - Billing - 2025'!$B$2:$AE$2,0)))</f>
        <v/>
      </c>
      <c r="H220" s="11" t="str">
        <f t="array" ref="H220">if($D220="","",index('Actuals - Billing - 2025'!$B220:$AE1118,Match($C220,'Actuals - Billing - 2025'!$B220:$B1118,0),Match(H$1,'Actuals - Billing - 2025'!$B$2:$AE$2,0)))</f>
        <v/>
      </c>
      <c r="I220" s="11"/>
      <c r="J220" s="11" t="str">
        <f t="shared" si="12"/>
        <v/>
      </c>
      <c r="K220" s="12" t="str">
        <f t="shared" si="13"/>
        <v/>
      </c>
      <c r="L220" s="1" t="str">
        <f t="shared" si="10"/>
        <v/>
      </c>
      <c r="M220" s="4" t="str">
        <f t="shared" si="14"/>
        <v/>
      </c>
      <c r="N220" s="17" t="str">
        <f>if(M220&lt;&gt;"",'Actuals - Billing - 2025'!BG452,"")</f>
        <v/>
      </c>
      <c r="O220" s="15"/>
    </row>
    <row r="221">
      <c r="A221" s="7" t="str">
        <f t="shared" si="11"/>
        <v/>
      </c>
      <c r="B221" s="8" t="str">
        <f>if(and('Actuals - Billing - 2025'!E$261=True,C221&lt;&gt;""),'Actuals - Billing - 2025'!C453,"")</f>
        <v/>
      </c>
      <c r="C221" s="9" t="str">
        <f>IF(and('Actuals - Billing - 2025'!E$261=True,sum('Actuals - Billing - 2025'!T453:Y453)&gt;0),'Actuals - Billing - 2025'!B453,"")</f>
        <v/>
      </c>
      <c r="D221" s="10" t="str">
        <f>if(and(sum('Actuals - Billing - 2025'!T453:Y453)&gt;0,C221&lt;&gt;""),'Actuals - Billing - 2025'!$U$2,"")</f>
        <v/>
      </c>
      <c r="E221" s="11" t="str">
        <f t="array" ref="E221">if($D221="","",index('Actuals - Billing - 2025'!$B221:$AE1119,Match($C221,'Actuals - Billing - 2025'!$B221:$B1119,0),Match(E$1,'Actuals - Billing - 2025'!$B$2:$AE$2,0)))</f>
        <v/>
      </c>
      <c r="F221" s="11" t="str">
        <f t="array" ref="F221">if($D221="","",index('Actuals - Billing - 2025'!$B221:$AE1119,Match($C221,'Actuals - Billing - 2025'!$B221:$B1119,0),Match(F$1,'Actuals - Billing - 2025'!$B$2:$AE$2,0)))</f>
        <v/>
      </c>
      <c r="G221" s="11" t="str">
        <f t="array" ref="G221">if($D221="","",index('Actuals - Billing - 2025'!$B221:$AE1119,Match($C221,'Actuals - Billing - 2025'!$B221:$B1119,0),Match(G$1,'Actuals - Billing - 2025'!$B$2:$AE$2,0)))</f>
        <v/>
      </c>
      <c r="H221" s="11" t="str">
        <f t="array" ref="H221">if($D221="","",index('Actuals - Billing - 2025'!$B221:$AE1119,Match($C221,'Actuals - Billing - 2025'!$B221:$B1119,0),Match(H$1,'Actuals - Billing - 2025'!$B$2:$AE$2,0)))</f>
        <v/>
      </c>
      <c r="I221" s="11"/>
      <c r="J221" s="11" t="str">
        <f t="shared" si="12"/>
        <v/>
      </c>
      <c r="K221" s="12" t="str">
        <f t="shared" si="13"/>
        <v/>
      </c>
      <c r="L221" s="1" t="str">
        <f t="shared" si="10"/>
        <v/>
      </c>
      <c r="M221" s="4" t="str">
        <f t="shared" si="14"/>
        <v/>
      </c>
      <c r="N221" s="17" t="str">
        <f>if(M221&lt;&gt;"",'Actuals - Billing - 2025'!BG453,"")</f>
        <v/>
      </c>
      <c r="O221" s="15"/>
    </row>
    <row r="222">
      <c r="A222" s="7" t="str">
        <f t="shared" si="11"/>
        <v/>
      </c>
      <c r="B222" s="8" t="str">
        <f>if(and('Actuals - Billing - 2025'!E$261=True,C222&lt;&gt;""),'Actuals - Billing - 2025'!C454,"")</f>
        <v/>
      </c>
      <c r="C222" s="9" t="str">
        <f>IF(and('Actuals - Billing - 2025'!E$261=True,sum('Actuals - Billing - 2025'!T454:Y454)&gt;0),'Actuals - Billing - 2025'!B454,"")</f>
        <v/>
      </c>
      <c r="D222" s="10" t="str">
        <f>if(and(sum('Actuals - Billing - 2025'!T454:Y454)&gt;0,C222&lt;&gt;""),'Actuals - Billing - 2025'!$U$2,"")</f>
        <v/>
      </c>
      <c r="E222" s="11" t="str">
        <f t="array" ref="E222">if($D222="","",index('Actuals - Billing - 2025'!$B222:$AE1120,Match($C222,'Actuals - Billing - 2025'!$B222:$B1120,0),Match(E$1,'Actuals - Billing - 2025'!$B$2:$AE$2,0)))</f>
        <v/>
      </c>
      <c r="F222" s="11" t="str">
        <f t="array" ref="F222">if($D222="","",index('Actuals - Billing - 2025'!$B222:$AE1120,Match($C222,'Actuals - Billing - 2025'!$B222:$B1120,0),Match(F$1,'Actuals - Billing - 2025'!$B$2:$AE$2,0)))</f>
        <v/>
      </c>
      <c r="G222" s="11" t="str">
        <f t="array" ref="G222">if($D222="","",index('Actuals - Billing - 2025'!$B222:$AE1120,Match($C222,'Actuals - Billing - 2025'!$B222:$B1120,0),Match(G$1,'Actuals - Billing - 2025'!$B$2:$AE$2,0)))</f>
        <v/>
      </c>
      <c r="H222" s="11" t="str">
        <f t="array" ref="H222">if($D222="","",index('Actuals - Billing - 2025'!$B222:$AE1120,Match($C222,'Actuals - Billing - 2025'!$B222:$B1120,0),Match(H$1,'Actuals - Billing - 2025'!$B$2:$AE$2,0)))</f>
        <v/>
      </c>
      <c r="I222" s="11"/>
      <c r="J222" s="11" t="str">
        <f t="shared" si="12"/>
        <v/>
      </c>
      <c r="K222" s="12" t="str">
        <f t="shared" si="13"/>
        <v/>
      </c>
      <c r="L222" s="1" t="str">
        <f t="shared" si="10"/>
        <v/>
      </c>
      <c r="M222" s="4" t="str">
        <f t="shared" si="14"/>
        <v/>
      </c>
      <c r="N222" s="17" t="str">
        <f>if(M222&lt;&gt;"",'Actuals - Billing - 2025'!BG454,"")</f>
        <v/>
      </c>
      <c r="O222" s="15"/>
    </row>
    <row r="223">
      <c r="A223" s="7" t="str">
        <f t="shared" si="11"/>
        <v/>
      </c>
      <c r="B223" s="8" t="str">
        <f>if(and('Actuals - Billing - 2025'!E$261=True,C223&lt;&gt;""),'Actuals - Billing - 2025'!C455,"")</f>
        <v/>
      </c>
      <c r="C223" s="9" t="str">
        <f>IF(and('Actuals - Billing - 2025'!E$261=True,sum('Actuals - Billing - 2025'!T455:Y455)&gt;0),'Actuals - Billing - 2025'!B455,"")</f>
        <v/>
      </c>
      <c r="D223" s="10" t="str">
        <f>if(and(sum('Actuals - Billing - 2025'!T455:Y455)&gt;0,C223&lt;&gt;""),'Actuals - Billing - 2025'!$U$2,"")</f>
        <v/>
      </c>
      <c r="E223" s="11" t="str">
        <f t="array" ref="E223">if($D223="","",index('Actuals - Billing - 2025'!$B223:$AE1121,Match($C223,'Actuals - Billing - 2025'!$B223:$B1121,0),Match(E$1,'Actuals - Billing - 2025'!$B$2:$AE$2,0)))</f>
        <v/>
      </c>
      <c r="F223" s="11" t="str">
        <f t="array" ref="F223">if($D223="","",index('Actuals - Billing - 2025'!$B223:$AE1121,Match($C223,'Actuals - Billing - 2025'!$B223:$B1121,0),Match(F$1,'Actuals - Billing - 2025'!$B$2:$AE$2,0)))</f>
        <v/>
      </c>
      <c r="G223" s="11" t="str">
        <f t="array" ref="G223">if($D223="","",index('Actuals - Billing - 2025'!$B223:$AE1121,Match($C223,'Actuals - Billing - 2025'!$B223:$B1121,0),Match(G$1,'Actuals - Billing - 2025'!$B$2:$AE$2,0)))</f>
        <v/>
      </c>
      <c r="H223" s="11" t="str">
        <f t="array" ref="H223">if($D223="","",index('Actuals - Billing - 2025'!$B223:$AE1121,Match($C223,'Actuals - Billing - 2025'!$B223:$B1121,0),Match(H$1,'Actuals - Billing - 2025'!$B$2:$AE$2,0)))</f>
        <v/>
      </c>
      <c r="I223" s="11"/>
      <c r="J223" s="11" t="str">
        <f t="shared" si="12"/>
        <v/>
      </c>
      <c r="K223" s="12" t="str">
        <f t="shared" si="13"/>
        <v/>
      </c>
      <c r="L223" s="1" t="str">
        <f t="shared" si="10"/>
        <v/>
      </c>
      <c r="M223" s="4" t="str">
        <f t="shared" si="14"/>
        <v/>
      </c>
      <c r="N223" s="17" t="str">
        <f>if(M223&lt;&gt;"",'Actuals - Billing - 2025'!BG455,"")</f>
        <v/>
      </c>
      <c r="O223" s="15"/>
    </row>
    <row r="224">
      <c r="A224" s="7" t="str">
        <f t="shared" si="11"/>
        <v/>
      </c>
      <c r="B224" s="8" t="str">
        <f>if(and('Actuals - Billing - 2025'!E$261=True,C224&lt;&gt;""),'Actuals - Billing - 2025'!C456,"")</f>
        <v/>
      </c>
      <c r="C224" s="9" t="str">
        <f>IF(and('Actuals - Billing - 2025'!E$261=True,sum('Actuals - Billing - 2025'!T456:Y456)&gt;0),'Actuals - Billing - 2025'!B456,"")</f>
        <v/>
      </c>
      <c r="D224" s="10" t="str">
        <f>if(and(sum('Actuals - Billing - 2025'!T456:Y456)&gt;0,C224&lt;&gt;""),'Actuals - Billing - 2025'!$U$2,"")</f>
        <v/>
      </c>
      <c r="E224" s="11" t="str">
        <f t="array" ref="E224">if($D224="","",index('Actuals - Billing - 2025'!$B224:$AE1122,Match($C224,'Actuals - Billing - 2025'!$B224:$B1122,0),Match(E$1,'Actuals - Billing - 2025'!$B$2:$AE$2,0)))</f>
        <v/>
      </c>
      <c r="F224" s="11" t="str">
        <f t="array" ref="F224">if($D224="","",index('Actuals - Billing - 2025'!$B224:$AE1122,Match($C224,'Actuals - Billing - 2025'!$B224:$B1122,0),Match(F$1,'Actuals - Billing - 2025'!$B$2:$AE$2,0)))</f>
        <v/>
      </c>
      <c r="G224" s="11" t="str">
        <f t="array" ref="G224">if($D224="","",index('Actuals - Billing - 2025'!$B224:$AE1122,Match($C224,'Actuals - Billing - 2025'!$B224:$B1122,0),Match(G$1,'Actuals - Billing - 2025'!$B$2:$AE$2,0)))</f>
        <v/>
      </c>
      <c r="H224" s="11" t="str">
        <f t="array" ref="H224">if($D224="","",index('Actuals - Billing - 2025'!$B224:$AE1122,Match($C224,'Actuals - Billing - 2025'!$B224:$B1122,0),Match(H$1,'Actuals - Billing - 2025'!$B$2:$AE$2,0)))</f>
        <v/>
      </c>
      <c r="I224" s="11"/>
      <c r="J224" s="11" t="str">
        <f t="shared" si="12"/>
        <v/>
      </c>
      <c r="K224" s="12" t="str">
        <f t="shared" si="13"/>
        <v/>
      </c>
      <c r="L224" s="1" t="str">
        <f t="shared" si="10"/>
        <v/>
      </c>
      <c r="M224" s="4" t="str">
        <f t="shared" si="14"/>
        <v/>
      </c>
      <c r="N224" s="17" t="str">
        <f>if(M224&lt;&gt;"",'Actuals - Billing - 2025'!BG456,"")</f>
        <v/>
      </c>
      <c r="O224" s="15"/>
    </row>
    <row r="225">
      <c r="A225" s="7" t="str">
        <f t="shared" si="11"/>
        <v/>
      </c>
      <c r="B225" s="8" t="str">
        <f>if(and('Actuals - Billing - 2025'!E$261=True,C225&lt;&gt;""),'Actuals - Billing - 2025'!C457,"")</f>
        <v/>
      </c>
      <c r="C225" s="9" t="str">
        <f>IF(and('Actuals - Billing - 2025'!E$261=True,sum('Actuals - Billing - 2025'!T457:Y457)&gt;0),'Actuals - Billing - 2025'!B457,"")</f>
        <v/>
      </c>
      <c r="D225" s="10" t="str">
        <f>if(and(sum('Actuals - Billing - 2025'!T457:Y457)&gt;0,C225&lt;&gt;""),'Actuals - Billing - 2025'!$U$2,"")</f>
        <v/>
      </c>
      <c r="E225" s="11" t="str">
        <f t="array" ref="E225">if($D225="","",index('Actuals - Billing - 2025'!$B225:$AE1123,Match($C225,'Actuals - Billing - 2025'!$B225:$B1123,0),Match(E$1,'Actuals - Billing - 2025'!$B$2:$AE$2,0)))</f>
        <v/>
      </c>
      <c r="F225" s="11" t="str">
        <f t="array" ref="F225">if($D225="","",index('Actuals - Billing - 2025'!$B225:$AE1123,Match($C225,'Actuals - Billing - 2025'!$B225:$B1123,0),Match(F$1,'Actuals - Billing - 2025'!$B$2:$AE$2,0)))</f>
        <v/>
      </c>
      <c r="G225" s="11" t="str">
        <f t="array" ref="G225">if($D225="","",index('Actuals - Billing - 2025'!$B225:$AE1123,Match($C225,'Actuals - Billing - 2025'!$B225:$B1123,0),Match(G$1,'Actuals - Billing - 2025'!$B$2:$AE$2,0)))</f>
        <v/>
      </c>
      <c r="H225" s="11" t="str">
        <f t="array" ref="H225">if($D225="","",index('Actuals - Billing - 2025'!$B225:$AE1123,Match($C225,'Actuals - Billing - 2025'!$B225:$B1123,0),Match(H$1,'Actuals - Billing - 2025'!$B$2:$AE$2,0)))</f>
        <v/>
      </c>
      <c r="I225" s="11"/>
      <c r="J225" s="11" t="str">
        <f t="shared" si="12"/>
        <v/>
      </c>
      <c r="K225" s="12" t="str">
        <f t="shared" si="13"/>
        <v/>
      </c>
      <c r="L225" s="1" t="str">
        <f t="shared" si="10"/>
        <v/>
      </c>
      <c r="M225" s="4" t="str">
        <f t="shared" si="14"/>
        <v/>
      </c>
      <c r="N225" s="17" t="str">
        <f>if(M225&lt;&gt;"",'Actuals - Billing - 2025'!BG457,"")</f>
        <v/>
      </c>
      <c r="O225" s="15"/>
    </row>
    <row r="226">
      <c r="A226" s="7" t="str">
        <f t="shared" si="11"/>
        <v/>
      </c>
      <c r="B226" s="8" t="str">
        <f>if(and('Actuals - Billing - 2025'!E$261=True,C226&lt;&gt;""),'Actuals - Billing - 2025'!C458,"")</f>
        <v/>
      </c>
      <c r="C226" s="9" t="str">
        <f>IF(and('Actuals - Billing - 2025'!E$261=True,sum('Actuals - Billing - 2025'!T458:Y458)&gt;0),'Actuals - Billing - 2025'!B458,"")</f>
        <v/>
      </c>
      <c r="D226" s="10" t="str">
        <f>if(and(sum('Actuals - Billing - 2025'!T458:Y458)&gt;0,C226&lt;&gt;""),'Actuals - Billing - 2025'!$U$2,"")</f>
        <v/>
      </c>
      <c r="E226" s="11" t="str">
        <f t="array" ref="E226">if($D226="","",index('Actuals - Billing - 2025'!$B226:$AE1124,Match($C226,'Actuals - Billing - 2025'!$B226:$B1124,0),Match(E$1,'Actuals - Billing - 2025'!$B$2:$AE$2,0)))</f>
        <v/>
      </c>
      <c r="F226" s="11" t="str">
        <f t="array" ref="F226">if($D226="","",index('Actuals - Billing - 2025'!$B226:$AE1124,Match($C226,'Actuals - Billing - 2025'!$B226:$B1124,0),Match(F$1,'Actuals - Billing - 2025'!$B$2:$AE$2,0)))</f>
        <v/>
      </c>
      <c r="G226" s="11" t="str">
        <f t="array" ref="G226">if($D226="","",index('Actuals - Billing - 2025'!$B226:$AE1124,Match($C226,'Actuals - Billing - 2025'!$B226:$B1124,0),Match(G$1,'Actuals - Billing - 2025'!$B$2:$AE$2,0)))</f>
        <v/>
      </c>
      <c r="H226" s="11" t="str">
        <f t="array" ref="H226">if($D226="","",index('Actuals - Billing - 2025'!$B226:$AE1124,Match($C226,'Actuals - Billing - 2025'!$B226:$B1124,0),Match(H$1,'Actuals - Billing - 2025'!$B$2:$AE$2,0)))</f>
        <v/>
      </c>
      <c r="I226" s="11"/>
      <c r="J226" s="11" t="str">
        <f t="shared" si="12"/>
        <v/>
      </c>
      <c r="K226" s="12" t="str">
        <f t="shared" si="13"/>
        <v/>
      </c>
      <c r="L226" s="1" t="str">
        <f t="shared" si="10"/>
        <v/>
      </c>
      <c r="M226" s="4" t="str">
        <f t="shared" si="14"/>
        <v/>
      </c>
      <c r="N226" s="17" t="str">
        <f>if(M226&lt;&gt;"",'Actuals - Billing - 2025'!BG458,"")</f>
        <v/>
      </c>
      <c r="O226" s="15"/>
    </row>
    <row r="227">
      <c r="A227" s="7" t="str">
        <f t="shared" si="11"/>
        <v/>
      </c>
      <c r="B227" s="8" t="str">
        <f>if(and('Actuals - Billing - 2025'!E$261=True,C227&lt;&gt;""),'Actuals - Billing - 2025'!C459,"")</f>
        <v/>
      </c>
      <c r="C227" s="9" t="str">
        <f>IF(and('Actuals - Billing - 2025'!E$261=True,sum('Actuals - Billing - 2025'!T459:Y459)&gt;0),'Actuals - Billing - 2025'!B459,"")</f>
        <v/>
      </c>
      <c r="D227" s="10" t="str">
        <f>if(and(sum('Actuals - Billing - 2025'!T459:Y459)&gt;0,C227&lt;&gt;""),'Actuals - Billing - 2025'!$U$2,"")</f>
        <v/>
      </c>
      <c r="E227" s="11" t="str">
        <f t="array" ref="E227">if($D227="","",index('Actuals - Billing - 2025'!$B227:$AE1125,Match($C227,'Actuals - Billing - 2025'!$B227:$B1125,0),Match(E$1,'Actuals - Billing - 2025'!$B$2:$AE$2,0)))</f>
        <v/>
      </c>
      <c r="F227" s="11" t="str">
        <f t="array" ref="F227">if($D227="","",index('Actuals - Billing - 2025'!$B227:$AE1125,Match($C227,'Actuals - Billing - 2025'!$B227:$B1125,0),Match(F$1,'Actuals - Billing - 2025'!$B$2:$AE$2,0)))</f>
        <v/>
      </c>
      <c r="G227" s="11" t="str">
        <f t="array" ref="G227">if($D227="","",index('Actuals - Billing - 2025'!$B227:$AE1125,Match($C227,'Actuals - Billing - 2025'!$B227:$B1125,0),Match(G$1,'Actuals - Billing - 2025'!$B$2:$AE$2,0)))</f>
        <v/>
      </c>
      <c r="H227" s="11" t="str">
        <f t="array" ref="H227">if($D227="","",index('Actuals - Billing - 2025'!$B227:$AE1125,Match($C227,'Actuals - Billing - 2025'!$B227:$B1125,0),Match(H$1,'Actuals - Billing - 2025'!$B$2:$AE$2,0)))</f>
        <v/>
      </c>
      <c r="I227" s="11"/>
      <c r="J227" s="11" t="str">
        <f t="shared" si="12"/>
        <v/>
      </c>
      <c r="K227" s="12" t="str">
        <f t="shared" si="13"/>
        <v/>
      </c>
      <c r="L227" s="1" t="str">
        <f t="shared" si="10"/>
        <v/>
      </c>
      <c r="M227" s="4" t="str">
        <f t="shared" si="14"/>
        <v/>
      </c>
      <c r="N227" s="17" t="str">
        <f>if(M227&lt;&gt;"",'Actuals - Billing - 2025'!BG459,"")</f>
        <v/>
      </c>
      <c r="O227" s="15"/>
    </row>
    <row r="228">
      <c r="A228" s="7" t="str">
        <f t="shared" si="11"/>
        <v/>
      </c>
      <c r="B228" s="8" t="str">
        <f>if(and('Actuals - Billing - 2025'!E$261=True,C228&lt;&gt;""),'Actuals - Billing - 2025'!C460,"")</f>
        <v/>
      </c>
      <c r="C228" s="9" t="str">
        <f>IF(and('Actuals - Billing - 2025'!E$261=True,sum('Actuals - Billing - 2025'!T460:Y460)&gt;0),'Actuals - Billing - 2025'!B460,"")</f>
        <v/>
      </c>
      <c r="D228" s="10" t="str">
        <f>if(and(sum('Actuals - Billing - 2025'!T460:Y460)&gt;0,C228&lt;&gt;""),'Actuals - Billing - 2025'!$U$2,"")</f>
        <v/>
      </c>
      <c r="E228" s="11" t="str">
        <f t="array" ref="E228">if($D228="","",index('Actuals - Billing - 2025'!$B228:$AE1126,Match($C228,'Actuals - Billing - 2025'!$B228:$B1126,0),Match(E$1,'Actuals - Billing - 2025'!$B$2:$AE$2,0)))</f>
        <v/>
      </c>
      <c r="F228" s="11" t="str">
        <f t="array" ref="F228">if($D228="","",index('Actuals - Billing - 2025'!$B228:$AE1126,Match($C228,'Actuals - Billing - 2025'!$B228:$B1126,0),Match(F$1,'Actuals - Billing - 2025'!$B$2:$AE$2,0)))</f>
        <v/>
      </c>
      <c r="G228" s="11" t="str">
        <f t="array" ref="G228">if($D228="","",index('Actuals - Billing - 2025'!$B228:$AE1126,Match($C228,'Actuals - Billing - 2025'!$B228:$B1126,0),Match(G$1,'Actuals - Billing - 2025'!$B$2:$AE$2,0)))</f>
        <v/>
      </c>
      <c r="H228" s="11" t="str">
        <f t="array" ref="H228">if($D228="","",index('Actuals - Billing - 2025'!$B228:$AE1126,Match($C228,'Actuals - Billing - 2025'!$B228:$B1126,0),Match(H$1,'Actuals - Billing - 2025'!$B$2:$AE$2,0)))</f>
        <v/>
      </c>
      <c r="I228" s="11"/>
      <c r="J228" s="11" t="str">
        <f t="shared" si="12"/>
        <v/>
      </c>
      <c r="K228" s="12" t="str">
        <f t="shared" si="13"/>
        <v/>
      </c>
      <c r="L228" s="1" t="str">
        <f t="shared" si="10"/>
        <v/>
      </c>
      <c r="M228" s="4" t="str">
        <f t="shared" si="14"/>
        <v/>
      </c>
      <c r="N228" s="17" t="str">
        <f>if(M228&lt;&gt;"",'Actuals - Billing - 2025'!BG460,"")</f>
        <v/>
      </c>
      <c r="O228" s="15"/>
    </row>
    <row r="229">
      <c r="A229" s="7" t="str">
        <f t="shared" si="11"/>
        <v/>
      </c>
      <c r="B229" s="8" t="str">
        <f>if(and('Actuals - Billing - 2025'!E$261=True,C229&lt;&gt;""),'Actuals - Billing - 2025'!C461,"")</f>
        <v/>
      </c>
      <c r="C229" s="9" t="str">
        <f>IF(and('Actuals - Billing - 2025'!E$261=True,sum('Actuals - Billing - 2025'!T461:Y461)&gt;0),'Actuals - Billing - 2025'!B461,"")</f>
        <v/>
      </c>
      <c r="D229" s="10" t="str">
        <f>if(and(sum('Actuals - Billing - 2025'!T461:Y461)&gt;0,C229&lt;&gt;""),'Actuals - Billing - 2025'!$U$2,"")</f>
        <v/>
      </c>
      <c r="E229" s="11" t="str">
        <f t="array" ref="E229">if($D229="","",index('Actuals - Billing - 2025'!$B229:$AE1127,Match($C229,'Actuals - Billing - 2025'!$B229:$B1127,0),Match(E$1,'Actuals - Billing - 2025'!$B$2:$AE$2,0)))</f>
        <v/>
      </c>
      <c r="F229" s="11" t="str">
        <f t="array" ref="F229">if($D229="","",index('Actuals - Billing - 2025'!$B229:$AE1127,Match($C229,'Actuals - Billing - 2025'!$B229:$B1127,0),Match(F$1,'Actuals - Billing - 2025'!$B$2:$AE$2,0)))</f>
        <v/>
      </c>
      <c r="G229" s="11" t="str">
        <f t="array" ref="G229">if($D229="","",index('Actuals - Billing - 2025'!$B229:$AE1127,Match($C229,'Actuals - Billing - 2025'!$B229:$B1127,0),Match(G$1,'Actuals - Billing - 2025'!$B$2:$AE$2,0)))</f>
        <v/>
      </c>
      <c r="H229" s="11" t="str">
        <f t="array" ref="H229">if($D229="","",index('Actuals - Billing - 2025'!$B229:$AE1127,Match($C229,'Actuals - Billing - 2025'!$B229:$B1127,0),Match(H$1,'Actuals - Billing - 2025'!$B$2:$AE$2,0)))</f>
        <v/>
      </c>
      <c r="I229" s="11"/>
      <c r="J229" s="11" t="str">
        <f t="shared" si="12"/>
        <v/>
      </c>
      <c r="K229" s="12" t="str">
        <f t="shared" si="13"/>
        <v/>
      </c>
      <c r="L229" s="1" t="str">
        <f t="shared" si="10"/>
        <v/>
      </c>
      <c r="M229" s="4" t="str">
        <f t="shared" si="14"/>
        <v/>
      </c>
      <c r="N229" s="17" t="str">
        <f>if(M229&lt;&gt;"",'Actuals - Billing - 2025'!BG461,"")</f>
        <v/>
      </c>
      <c r="O229" s="15"/>
    </row>
    <row r="230">
      <c r="A230" s="7" t="str">
        <f t="shared" si="11"/>
        <v/>
      </c>
      <c r="B230" s="8" t="str">
        <f>if(and('Actuals - Billing - 2025'!E$261=True,C230&lt;&gt;""),'Actuals - Billing - 2025'!C462,"")</f>
        <v/>
      </c>
      <c r="C230" s="9" t="str">
        <f>IF(and('Actuals - Billing - 2025'!E$261=True,sum('Actuals - Billing - 2025'!T462:Y462)&gt;0),'Actuals - Billing - 2025'!B462,"")</f>
        <v/>
      </c>
      <c r="D230" s="10" t="str">
        <f>if(and(sum('Actuals - Billing - 2025'!T462:Y462)&gt;0,C230&lt;&gt;""),'Actuals - Billing - 2025'!$U$2,"")</f>
        <v/>
      </c>
      <c r="E230" s="11" t="str">
        <f t="array" ref="E230">if($D230="","",index('Actuals - Billing - 2025'!$B230:$AE1128,Match($C230,'Actuals - Billing - 2025'!$B230:$B1128,0),Match(E$1,'Actuals - Billing - 2025'!$B$2:$AE$2,0)))</f>
        <v/>
      </c>
      <c r="F230" s="11" t="str">
        <f t="array" ref="F230">if($D230="","",index('Actuals - Billing - 2025'!$B230:$AE1128,Match($C230,'Actuals - Billing - 2025'!$B230:$B1128,0),Match(F$1,'Actuals - Billing - 2025'!$B$2:$AE$2,0)))</f>
        <v/>
      </c>
      <c r="G230" s="11" t="str">
        <f t="array" ref="G230">if($D230="","",index('Actuals - Billing - 2025'!$B230:$AE1128,Match($C230,'Actuals - Billing - 2025'!$B230:$B1128,0),Match(G$1,'Actuals - Billing - 2025'!$B$2:$AE$2,0)))</f>
        <v/>
      </c>
      <c r="H230" s="11" t="str">
        <f t="array" ref="H230">if($D230="","",index('Actuals - Billing - 2025'!$B230:$AE1128,Match($C230,'Actuals - Billing - 2025'!$B230:$B1128,0),Match(H$1,'Actuals - Billing - 2025'!$B$2:$AE$2,0)))</f>
        <v/>
      </c>
      <c r="I230" s="11"/>
      <c r="J230" s="11" t="str">
        <f t="shared" si="12"/>
        <v/>
      </c>
      <c r="K230" s="12" t="str">
        <f t="shared" si="13"/>
        <v/>
      </c>
      <c r="L230" s="1" t="str">
        <f t="shared" si="10"/>
        <v/>
      </c>
      <c r="M230" s="4" t="str">
        <f t="shared" si="14"/>
        <v/>
      </c>
      <c r="N230" s="17" t="str">
        <f>if(M230&lt;&gt;"",'Actuals - Billing - 2025'!BG462,"")</f>
        <v/>
      </c>
      <c r="O230" s="15"/>
    </row>
    <row r="231">
      <c r="A231" s="7" t="str">
        <f t="shared" si="11"/>
        <v/>
      </c>
      <c r="B231" s="8" t="str">
        <f>if(and('Actuals - Billing - 2025'!E$261=True,C231&lt;&gt;""),'Actuals - Billing - 2025'!C463,"")</f>
        <v/>
      </c>
      <c r="C231" s="9" t="str">
        <f>IF(and('Actuals - Billing - 2025'!E$261=True,sum('Actuals - Billing - 2025'!T463:Y463)&gt;0),'Actuals - Billing - 2025'!B463,"")</f>
        <v/>
      </c>
      <c r="D231" s="10" t="str">
        <f>if(and(sum('Actuals - Billing - 2025'!T463:Y463)&gt;0,C231&lt;&gt;""),'Actuals - Billing - 2025'!$U$2,"")</f>
        <v/>
      </c>
      <c r="E231" s="11" t="str">
        <f t="array" ref="E231">if($D231="","",index('Actuals - Billing - 2025'!$B231:$AE1129,Match($C231,'Actuals - Billing - 2025'!$B231:$B1129,0),Match(E$1,'Actuals - Billing - 2025'!$B$2:$AE$2,0)))</f>
        <v/>
      </c>
      <c r="F231" s="11" t="str">
        <f t="array" ref="F231">if($D231="","",index('Actuals - Billing - 2025'!$B231:$AE1129,Match($C231,'Actuals - Billing - 2025'!$B231:$B1129,0),Match(F$1,'Actuals - Billing - 2025'!$B$2:$AE$2,0)))</f>
        <v/>
      </c>
      <c r="G231" s="11" t="str">
        <f t="array" ref="G231">if($D231="","",index('Actuals - Billing - 2025'!$B231:$AE1129,Match($C231,'Actuals - Billing - 2025'!$B231:$B1129,0),Match(G$1,'Actuals - Billing - 2025'!$B$2:$AE$2,0)))</f>
        <v/>
      </c>
      <c r="H231" s="11" t="str">
        <f t="array" ref="H231">if($D231="","",index('Actuals - Billing - 2025'!$B231:$AE1129,Match($C231,'Actuals - Billing - 2025'!$B231:$B1129,0),Match(H$1,'Actuals - Billing - 2025'!$B$2:$AE$2,0)))</f>
        <v/>
      </c>
      <c r="I231" s="11"/>
      <c r="J231" s="11" t="str">
        <f t="shared" si="12"/>
        <v/>
      </c>
      <c r="K231" s="12" t="str">
        <f t="shared" si="13"/>
        <v/>
      </c>
      <c r="L231" s="1" t="str">
        <f t="shared" si="10"/>
        <v/>
      </c>
      <c r="M231" s="4" t="str">
        <f t="shared" si="14"/>
        <v/>
      </c>
      <c r="N231" s="17" t="str">
        <f>if(M231&lt;&gt;"",'Actuals - Billing - 2025'!BG463,"")</f>
        <v/>
      </c>
      <c r="O231" s="15"/>
    </row>
    <row r="232">
      <c r="A232" s="7" t="str">
        <f t="shared" si="11"/>
        <v/>
      </c>
      <c r="B232" s="8" t="str">
        <f>if(and('Actuals - Billing - 2025'!E$261=True,C232&lt;&gt;""),'Actuals - Billing - 2025'!C464,"")</f>
        <v/>
      </c>
      <c r="C232" s="9" t="str">
        <f>IF(and('Actuals - Billing - 2025'!E$261=True,sum('Actuals - Billing - 2025'!T464:Y464)&gt;0),'Actuals - Billing - 2025'!B464,"")</f>
        <v/>
      </c>
      <c r="D232" s="10" t="str">
        <f>if(and(sum('Actuals - Billing - 2025'!T464:Y464)&gt;0,C232&lt;&gt;""),'Actuals - Billing - 2025'!$U$2,"")</f>
        <v/>
      </c>
      <c r="E232" s="11" t="str">
        <f t="array" ref="E232">if($D232="","",index('Actuals - Billing - 2025'!$B232:$AE1130,Match($C232,'Actuals - Billing - 2025'!$B232:$B1130,0),Match(E$1,'Actuals - Billing - 2025'!$B$2:$AE$2,0)))</f>
        <v/>
      </c>
      <c r="F232" s="11" t="str">
        <f t="array" ref="F232">if($D232="","",index('Actuals - Billing - 2025'!$B232:$AE1130,Match($C232,'Actuals - Billing - 2025'!$B232:$B1130,0),Match(F$1,'Actuals - Billing - 2025'!$B$2:$AE$2,0)))</f>
        <v/>
      </c>
      <c r="G232" s="11" t="str">
        <f t="array" ref="G232">if($D232="","",index('Actuals - Billing - 2025'!$B232:$AE1130,Match($C232,'Actuals - Billing - 2025'!$B232:$B1130,0),Match(G$1,'Actuals - Billing - 2025'!$B$2:$AE$2,0)))</f>
        <v/>
      </c>
      <c r="H232" s="11" t="str">
        <f t="array" ref="H232">if($D232="","",index('Actuals - Billing - 2025'!$B232:$AE1130,Match($C232,'Actuals - Billing - 2025'!$B232:$B1130,0),Match(H$1,'Actuals - Billing - 2025'!$B$2:$AE$2,0)))</f>
        <v/>
      </c>
      <c r="I232" s="11"/>
      <c r="J232" s="11" t="str">
        <f t="shared" si="12"/>
        <v/>
      </c>
      <c r="K232" s="12" t="str">
        <f t="shared" si="13"/>
        <v/>
      </c>
      <c r="L232" s="1" t="str">
        <f t="shared" si="10"/>
        <v/>
      </c>
      <c r="M232" s="4" t="str">
        <f t="shared" si="14"/>
        <v/>
      </c>
      <c r="N232" s="17" t="str">
        <f>if(M232&lt;&gt;"",'Actuals - Billing - 2025'!BG464,"")</f>
        <v/>
      </c>
      <c r="O232" s="15"/>
    </row>
    <row r="233">
      <c r="A233" s="7" t="str">
        <f t="shared" si="11"/>
        <v/>
      </c>
      <c r="B233" s="8" t="str">
        <f>if(and('Actuals - Billing - 2025'!E$261=True,C233&lt;&gt;""),'Actuals - Billing - 2025'!C465,"")</f>
        <v/>
      </c>
      <c r="C233" s="9" t="str">
        <f>IF(and('Actuals - Billing - 2025'!E$261=True,sum('Actuals - Billing - 2025'!T465:Y465)&gt;0),'Actuals - Billing - 2025'!B465,"")</f>
        <v/>
      </c>
      <c r="D233" s="10" t="str">
        <f>if(and(sum('Actuals - Billing - 2025'!T465:Y465)&gt;0,C233&lt;&gt;""),'Actuals - Billing - 2025'!$U$2,"")</f>
        <v/>
      </c>
      <c r="E233" s="11" t="str">
        <f t="array" ref="E233">if($D233="","",index('Actuals - Billing - 2025'!$B233:$AE1131,Match($C233,'Actuals - Billing - 2025'!$B233:$B1131,0),Match(E$1,'Actuals - Billing - 2025'!$B$2:$AE$2,0)))</f>
        <v/>
      </c>
      <c r="F233" s="11" t="str">
        <f t="array" ref="F233">if($D233="","",index('Actuals - Billing - 2025'!$B233:$AE1131,Match($C233,'Actuals - Billing - 2025'!$B233:$B1131,0),Match(F$1,'Actuals - Billing - 2025'!$B$2:$AE$2,0)))</f>
        <v/>
      </c>
      <c r="G233" s="11" t="str">
        <f t="array" ref="G233">if($D233="","",index('Actuals - Billing - 2025'!$B233:$AE1131,Match($C233,'Actuals - Billing - 2025'!$B233:$B1131,0),Match(G$1,'Actuals - Billing - 2025'!$B$2:$AE$2,0)))</f>
        <v/>
      </c>
      <c r="H233" s="11" t="str">
        <f t="array" ref="H233">if($D233="","",index('Actuals - Billing - 2025'!$B233:$AE1131,Match($C233,'Actuals - Billing - 2025'!$B233:$B1131,0),Match(H$1,'Actuals - Billing - 2025'!$B$2:$AE$2,0)))</f>
        <v/>
      </c>
      <c r="I233" s="11"/>
      <c r="J233" s="11" t="str">
        <f t="shared" si="12"/>
        <v/>
      </c>
      <c r="K233" s="12" t="str">
        <f t="shared" si="13"/>
        <v/>
      </c>
      <c r="L233" s="1" t="str">
        <f t="shared" si="10"/>
        <v/>
      </c>
      <c r="M233" s="4" t="str">
        <f t="shared" si="14"/>
        <v/>
      </c>
      <c r="N233" s="17" t="str">
        <f>if(M233&lt;&gt;"",'Actuals - Billing - 2025'!BG465,"")</f>
        <v/>
      </c>
      <c r="O233" s="15"/>
    </row>
    <row r="234">
      <c r="A234" s="7" t="str">
        <f t="shared" si="11"/>
        <v/>
      </c>
      <c r="B234" s="8" t="str">
        <f>if(and('Actuals - Billing - 2025'!E$261=True,C234&lt;&gt;""),'Actuals - Billing - 2025'!C466,"")</f>
        <v/>
      </c>
      <c r="C234" s="9" t="str">
        <f>IF(and('Actuals - Billing - 2025'!E$261=True,sum('Actuals - Billing - 2025'!T466:Y466)&gt;0),'Actuals - Billing - 2025'!B466,"")</f>
        <v/>
      </c>
      <c r="D234" s="10" t="str">
        <f>if(and(sum('Actuals - Billing - 2025'!T466:Y466)&gt;0,C234&lt;&gt;""),'Actuals - Billing - 2025'!$U$2,"")</f>
        <v/>
      </c>
      <c r="E234" s="11" t="str">
        <f t="array" ref="E234">if($D234="","",index('Actuals - Billing - 2025'!$B234:$AE1132,Match($C234,'Actuals - Billing - 2025'!$B234:$B1132,0),Match(E$1,'Actuals - Billing - 2025'!$B$2:$AE$2,0)))</f>
        <v/>
      </c>
      <c r="F234" s="11" t="str">
        <f t="array" ref="F234">if($D234="","",index('Actuals - Billing - 2025'!$B234:$AE1132,Match($C234,'Actuals - Billing - 2025'!$B234:$B1132,0),Match(F$1,'Actuals - Billing - 2025'!$B$2:$AE$2,0)))</f>
        <v/>
      </c>
      <c r="G234" s="11" t="str">
        <f t="array" ref="G234">if($D234="","",index('Actuals - Billing - 2025'!$B234:$AE1132,Match($C234,'Actuals - Billing - 2025'!$B234:$B1132,0),Match(G$1,'Actuals - Billing - 2025'!$B$2:$AE$2,0)))</f>
        <v/>
      </c>
      <c r="H234" s="11" t="str">
        <f t="array" ref="H234">if($D234="","",index('Actuals - Billing - 2025'!$B234:$AE1132,Match($C234,'Actuals - Billing - 2025'!$B234:$B1132,0),Match(H$1,'Actuals - Billing - 2025'!$B$2:$AE$2,0)))</f>
        <v/>
      </c>
      <c r="I234" s="11"/>
      <c r="J234" s="11" t="str">
        <f t="shared" si="12"/>
        <v/>
      </c>
      <c r="K234" s="12" t="str">
        <f t="shared" si="13"/>
        <v/>
      </c>
      <c r="L234" s="1" t="str">
        <f t="shared" si="10"/>
        <v/>
      </c>
      <c r="M234" s="4" t="str">
        <f t="shared" si="14"/>
        <v/>
      </c>
      <c r="N234" s="17" t="str">
        <f>if(M234&lt;&gt;"",'Actuals - Billing - 2025'!BG466,"")</f>
        <v/>
      </c>
      <c r="O234" s="15"/>
    </row>
    <row r="235">
      <c r="A235" s="7" t="str">
        <f t="shared" si="11"/>
        <v/>
      </c>
      <c r="B235" s="8" t="str">
        <f>if(and('Actuals - Billing - 2025'!E$261=True,C235&lt;&gt;""),'Actuals - Billing - 2025'!C467,"")</f>
        <v/>
      </c>
      <c r="C235" s="9" t="str">
        <f>IF(and('Actuals - Billing - 2025'!E$261=True,sum('Actuals - Billing - 2025'!T467:Y467)&gt;0),'Actuals - Billing - 2025'!B467,"")</f>
        <v/>
      </c>
      <c r="D235" s="10" t="str">
        <f>if(and(sum('Actuals - Billing - 2025'!T467:Y467)&gt;0,C235&lt;&gt;""),'Actuals - Billing - 2025'!$U$2,"")</f>
        <v/>
      </c>
      <c r="E235" s="11" t="str">
        <f t="array" ref="E235">if($D235="","",index('Actuals - Billing - 2025'!$B235:$AE1133,Match($C235,'Actuals - Billing - 2025'!$B235:$B1133,0),Match(E$1,'Actuals - Billing - 2025'!$B$2:$AE$2,0)))</f>
        <v/>
      </c>
      <c r="F235" s="11" t="str">
        <f t="array" ref="F235">if($D235="","",index('Actuals - Billing - 2025'!$B235:$AE1133,Match($C235,'Actuals - Billing - 2025'!$B235:$B1133,0),Match(F$1,'Actuals - Billing - 2025'!$B$2:$AE$2,0)))</f>
        <v/>
      </c>
      <c r="G235" s="11" t="str">
        <f t="array" ref="G235">if($D235="","",index('Actuals - Billing - 2025'!$B235:$AE1133,Match($C235,'Actuals - Billing - 2025'!$B235:$B1133,0),Match(G$1,'Actuals - Billing - 2025'!$B$2:$AE$2,0)))</f>
        <v/>
      </c>
      <c r="H235" s="11" t="str">
        <f t="array" ref="H235">if($D235="","",index('Actuals - Billing - 2025'!$B235:$AE1133,Match($C235,'Actuals - Billing - 2025'!$B235:$B1133,0),Match(H$1,'Actuals - Billing - 2025'!$B$2:$AE$2,0)))</f>
        <v/>
      </c>
      <c r="I235" s="11"/>
      <c r="J235" s="11" t="str">
        <f t="shared" si="12"/>
        <v/>
      </c>
      <c r="K235" s="12" t="str">
        <f t="shared" si="13"/>
        <v/>
      </c>
      <c r="L235" s="1" t="str">
        <f t="shared" si="10"/>
        <v/>
      </c>
      <c r="M235" s="4" t="str">
        <f t="shared" si="14"/>
        <v/>
      </c>
      <c r="N235" s="17" t="str">
        <f>if(M235&lt;&gt;"",'Actuals - Billing - 2025'!BG467,"")</f>
        <v/>
      </c>
      <c r="O235" s="15"/>
    </row>
    <row r="236">
      <c r="A236" s="7" t="str">
        <f t="shared" si="11"/>
        <v/>
      </c>
      <c r="B236" s="8" t="str">
        <f>if(and('Actuals - Billing - 2025'!E$261=True,C236&lt;&gt;""),'Actuals - Billing - 2025'!C468,"")</f>
        <v/>
      </c>
      <c r="C236" s="9" t="str">
        <f>IF(and('Actuals - Billing - 2025'!E$261=True,sum('Actuals - Billing - 2025'!T468:Y468)&gt;0),'Actuals - Billing - 2025'!B468,"")</f>
        <v/>
      </c>
      <c r="D236" s="10" t="str">
        <f>if(and(sum('Actuals - Billing - 2025'!T468:Y468)&gt;0,C236&lt;&gt;""),'Actuals - Billing - 2025'!$U$2,"")</f>
        <v/>
      </c>
      <c r="E236" s="11" t="str">
        <f t="array" ref="E236">if($D236="","",index('Actuals - Billing - 2025'!$B236:$AE1134,Match($C236,'Actuals - Billing - 2025'!$B236:$B1134,0),Match(E$1,'Actuals - Billing - 2025'!$B$2:$AE$2,0)))</f>
        <v/>
      </c>
      <c r="F236" s="11" t="str">
        <f t="array" ref="F236">if($D236="","",index('Actuals - Billing - 2025'!$B236:$AE1134,Match($C236,'Actuals - Billing - 2025'!$B236:$B1134,0),Match(F$1,'Actuals - Billing - 2025'!$B$2:$AE$2,0)))</f>
        <v/>
      </c>
      <c r="G236" s="11" t="str">
        <f t="array" ref="G236">if($D236="","",index('Actuals - Billing - 2025'!$B236:$AE1134,Match($C236,'Actuals - Billing - 2025'!$B236:$B1134,0),Match(G$1,'Actuals - Billing - 2025'!$B$2:$AE$2,0)))</f>
        <v/>
      </c>
      <c r="H236" s="11" t="str">
        <f t="array" ref="H236">if($D236="","",index('Actuals - Billing - 2025'!$B236:$AE1134,Match($C236,'Actuals - Billing - 2025'!$B236:$B1134,0),Match(H$1,'Actuals - Billing - 2025'!$B$2:$AE$2,0)))</f>
        <v/>
      </c>
      <c r="I236" s="11"/>
      <c r="J236" s="11" t="str">
        <f t="shared" si="12"/>
        <v/>
      </c>
      <c r="K236" s="12" t="str">
        <f t="shared" si="13"/>
        <v/>
      </c>
      <c r="L236" s="1" t="str">
        <f t="shared" si="10"/>
        <v/>
      </c>
      <c r="M236" s="4" t="str">
        <f t="shared" si="14"/>
        <v/>
      </c>
      <c r="N236" s="17" t="str">
        <f>if(M236&lt;&gt;"",'Actuals - Billing - 2025'!BG468,"")</f>
        <v/>
      </c>
      <c r="O236" s="15"/>
    </row>
    <row r="237">
      <c r="A237" s="7" t="str">
        <f t="shared" si="11"/>
        <v/>
      </c>
      <c r="B237" s="8" t="str">
        <f>if(and('Actuals - Billing - 2025'!E$261=True,C237&lt;&gt;""),'Actuals - Billing - 2025'!C469,"")</f>
        <v/>
      </c>
      <c r="C237" s="9" t="str">
        <f>IF(and('Actuals - Billing - 2025'!E$261=True,sum('Actuals - Billing - 2025'!T469:Y469)&gt;0),'Actuals - Billing - 2025'!B469,"")</f>
        <v/>
      </c>
      <c r="D237" s="10" t="str">
        <f>if(and(sum('Actuals - Billing - 2025'!T469:Y469)&gt;0,C237&lt;&gt;""),'Actuals - Billing - 2025'!$U$2,"")</f>
        <v/>
      </c>
      <c r="E237" s="11" t="str">
        <f t="array" ref="E237">if($D237="","",index('Actuals - Billing - 2025'!$B237:$AE1135,Match($C237,'Actuals - Billing - 2025'!$B237:$B1135,0),Match(E$1,'Actuals - Billing - 2025'!$B$2:$AE$2,0)))</f>
        <v/>
      </c>
      <c r="F237" s="11" t="str">
        <f t="array" ref="F237">if($D237="","",index('Actuals - Billing - 2025'!$B237:$AE1135,Match($C237,'Actuals - Billing - 2025'!$B237:$B1135,0),Match(F$1,'Actuals - Billing - 2025'!$B$2:$AE$2,0)))</f>
        <v/>
      </c>
      <c r="G237" s="11" t="str">
        <f t="array" ref="G237">if($D237="","",index('Actuals - Billing - 2025'!$B237:$AE1135,Match($C237,'Actuals - Billing - 2025'!$B237:$B1135,0),Match(G$1,'Actuals - Billing - 2025'!$B$2:$AE$2,0)))</f>
        <v/>
      </c>
      <c r="H237" s="11" t="str">
        <f t="array" ref="H237">if($D237="","",index('Actuals - Billing - 2025'!$B237:$AE1135,Match($C237,'Actuals - Billing - 2025'!$B237:$B1135,0),Match(H$1,'Actuals - Billing - 2025'!$B$2:$AE$2,0)))</f>
        <v/>
      </c>
      <c r="I237" s="11"/>
      <c r="J237" s="11" t="str">
        <f t="shared" si="12"/>
        <v/>
      </c>
      <c r="K237" s="12" t="str">
        <f t="shared" si="13"/>
        <v/>
      </c>
      <c r="L237" s="1" t="str">
        <f t="shared" si="10"/>
        <v/>
      </c>
      <c r="M237" s="4" t="str">
        <f t="shared" si="14"/>
        <v/>
      </c>
      <c r="N237" s="17" t="str">
        <f>if(M237&lt;&gt;"",'Actuals - Billing - 2025'!BG469,"")</f>
        <v/>
      </c>
      <c r="O237" s="15"/>
    </row>
    <row r="238">
      <c r="A238" s="7" t="str">
        <f t="shared" si="11"/>
        <v/>
      </c>
      <c r="B238" s="8" t="str">
        <f>if(and('Actuals - Billing - 2025'!E$261=True,C238&lt;&gt;""),'Actuals - Billing - 2025'!C470,"")</f>
        <v/>
      </c>
      <c r="C238" s="9" t="str">
        <f>IF(and('Actuals - Billing - 2025'!E$261=True,sum('Actuals - Billing - 2025'!T470:Y470)&gt;0),'Actuals - Billing - 2025'!B470,"")</f>
        <v/>
      </c>
      <c r="D238" s="10" t="str">
        <f>if(and(sum('Actuals - Billing - 2025'!T470:Y470)&gt;0,C238&lt;&gt;""),'Actuals - Billing - 2025'!$U$2,"")</f>
        <v/>
      </c>
      <c r="E238" s="11" t="str">
        <f t="array" ref="E238">if($D238="","",index('Actuals - Billing - 2025'!$B238:$AE1136,Match($C238,'Actuals - Billing - 2025'!$B238:$B1136,0),Match(E$1,'Actuals - Billing - 2025'!$B$2:$AE$2,0)))</f>
        <v/>
      </c>
      <c r="F238" s="11" t="str">
        <f t="array" ref="F238">if($D238="","",index('Actuals - Billing - 2025'!$B238:$AE1136,Match($C238,'Actuals - Billing - 2025'!$B238:$B1136,0),Match(F$1,'Actuals - Billing - 2025'!$B$2:$AE$2,0)))</f>
        <v/>
      </c>
      <c r="G238" s="11" t="str">
        <f t="array" ref="G238">if($D238="","",index('Actuals - Billing - 2025'!$B238:$AE1136,Match($C238,'Actuals - Billing - 2025'!$B238:$B1136,0),Match(G$1,'Actuals - Billing - 2025'!$B$2:$AE$2,0)))</f>
        <v/>
      </c>
      <c r="H238" s="11" t="str">
        <f t="array" ref="H238">if($D238="","",index('Actuals - Billing - 2025'!$B238:$AE1136,Match($C238,'Actuals - Billing - 2025'!$B238:$B1136,0),Match(H$1,'Actuals - Billing - 2025'!$B$2:$AE$2,0)))</f>
        <v/>
      </c>
      <c r="I238" s="11"/>
      <c r="J238" s="11" t="str">
        <f t="shared" si="12"/>
        <v/>
      </c>
      <c r="K238" s="12" t="str">
        <f t="shared" si="13"/>
        <v/>
      </c>
      <c r="L238" s="1" t="str">
        <f t="shared" si="10"/>
        <v/>
      </c>
      <c r="M238" s="4" t="str">
        <f t="shared" si="14"/>
        <v/>
      </c>
      <c r="N238" s="17" t="str">
        <f>if(M238&lt;&gt;"",'Actuals - Billing - 2025'!BG470,"")</f>
        <v/>
      </c>
      <c r="O238" s="15"/>
    </row>
    <row r="239">
      <c r="A239" s="7" t="str">
        <f t="shared" si="11"/>
        <v/>
      </c>
      <c r="B239" s="8" t="str">
        <f>if(and('Actuals - Billing - 2025'!E$261=True,C239&lt;&gt;""),'Actuals - Billing - 2025'!C471,"")</f>
        <v/>
      </c>
      <c r="C239" s="9" t="str">
        <f>IF(and('Actuals - Billing - 2025'!E$261=True,sum('Actuals - Billing - 2025'!T471:Y471)&gt;0),'Actuals - Billing - 2025'!B471,"")</f>
        <v/>
      </c>
      <c r="D239" s="10" t="str">
        <f>if(and(sum('Actuals - Billing - 2025'!T471:Y471)&gt;0,C239&lt;&gt;""),'Actuals - Billing - 2025'!$U$2,"")</f>
        <v/>
      </c>
      <c r="E239" s="11" t="str">
        <f t="array" ref="E239">if($D239="","",index('Actuals - Billing - 2025'!$B239:$AE1137,Match($C239,'Actuals - Billing - 2025'!$B239:$B1137,0),Match(E$1,'Actuals - Billing - 2025'!$B$2:$AE$2,0)))</f>
        <v/>
      </c>
      <c r="F239" s="11" t="str">
        <f t="array" ref="F239">if($D239="","",index('Actuals - Billing - 2025'!$B239:$AE1137,Match($C239,'Actuals - Billing - 2025'!$B239:$B1137,0),Match(F$1,'Actuals - Billing - 2025'!$B$2:$AE$2,0)))</f>
        <v/>
      </c>
      <c r="G239" s="11" t="str">
        <f t="array" ref="G239">if($D239="","",index('Actuals - Billing - 2025'!$B239:$AE1137,Match($C239,'Actuals - Billing - 2025'!$B239:$B1137,0),Match(G$1,'Actuals - Billing - 2025'!$B$2:$AE$2,0)))</f>
        <v/>
      </c>
      <c r="H239" s="11" t="str">
        <f t="array" ref="H239">if($D239="","",index('Actuals - Billing - 2025'!$B239:$AE1137,Match($C239,'Actuals - Billing - 2025'!$B239:$B1137,0),Match(H$1,'Actuals - Billing - 2025'!$B$2:$AE$2,0)))</f>
        <v/>
      </c>
      <c r="I239" s="11"/>
      <c r="J239" s="11" t="str">
        <f t="shared" si="12"/>
        <v/>
      </c>
      <c r="K239" s="12" t="str">
        <f t="shared" si="13"/>
        <v/>
      </c>
      <c r="L239" s="1" t="str">
        <f t="shared" si="10"/>
        <v/>
      </c>
      <c r="M239" s="4" t="str">
        <f t="shared" si="14"/>
        <v/>
      </c>
      <c r="N239" s="17" t="str">
        <f>if(M239&lt;&gt;"",'Actuals - Billing - 2025'!BG471,"")</f>
        <v/>
      </c>
      <c r="O239" s="15"/>
    </row>
    <row r="240">
      <c r="A240" s="7" t="str">
        <f t="shared" si="11"/>
        <v/>
      </c>
      <c r="B240" s="8" t="str">
        <f>if(and('Actuals - Billing - 2025'!E$261=True,C240&lt;&gt;""),'Actuals - Billing - 2025'!C472,"")</f>
        <v/>
      </c>
      <c r="C240" s="9" t="str">
        <f>IF(and('Actuals - Billing - 2025'!E$261=True,sum('Actuals - Billing - 2025'!T472:Y472)&gt;0),'Actuals - Billing - 2025'!B472,"")</f>
        <v/>
      </c>
      <c r="D240" s="10" t="str">
        <f>if(and(sum('Actuals - Billing - 2025'!T472:Y472)&gt;0,C240&lt;&gt;""),'Actuals - Billing - 2025'!$U$2,"")</f>
        <v/>
      </c>
      <c r="E240" s="11" t="str">
        <f t="array" ref="E240">if($D240="","",index('Actuals - Billing - 2025'!$B240:$AE1138,Match($C240,'Actuals - Billing - 2025'!$B240:$B1138,0),Match(E$1,'Actuals - Billing - 2025'!$B$2:$AE$2,0)))</f>
        <v/>
      </c>
      <c r="F240" s="11" t="str">
        <f t="array" ref="F240">if($D240="","",index('Actuals - Billing - 2025'!$B240:$AE1138,Match($C240,'Actuals - Billing - 2025'!$B240:$B1138,0),Match(F$1,'Actuals - Billing - 2025'!$B$2:$AE$2,0)))</f>
        <v/>
      </c>
      <c r="G240" s="11" t="str">
        <f t="array" ref="G240">if($D240="","",index('Actuals - Billing - 2025'!$B240:$AE1138,Match($C240,'Actuals - Billing - 2025'!$B240:$B1138,0),Match(G$1,'Actuals - Billing - 2025'!$B$2:$AE$2,0)))</f>
        <v/>
      </c>
      <c r="H240" s="11" t="str">
        <f t="array" ref="H240">if($D240="","",index('Actuals - Billing - 2025'!$B240:$AE1138,Match($C240,'Actuals - Billing - 2025'!$B240:$B1138,0),Match(H$1,'Actuals - Billing - 2025'!$B$2:$AE$2,0)))</f>
        <v/>
      </c>
      <c r="I240" s="11"/>
      <c r="J240" s="11" t="str">
        <f t="shared" si="12"/>
        <v/>
      </c>
      <c r="K240" s="12" t="str">
        <f t="shared" si="13"/>
        <v/>
      </c>
      <c r="L240" s="1" t="str">
        <f t="shared" si="10"/>
        <v/>
      </c>
      <c r="M240" s="4" t="str">
        <f t="shared" si="14"/>
        <v/>
      </c>
      <c r="N240" s="17" t="str">
        <f>if(M240&lt;&gt;"",'Actuals - Billing - 2025'!BG472,"")</f>
        <v/>
      </c>
      <c r="O240" s="15"/>
    </row>
    <row r="241">
      <c r="A241" s="7" t="str">
        <f t="shared" si="11"/>
        <v/>
      </c>
      <c r="B241" s="8" t="str">
        <f>if(and('Actuals - Billing - 2025'!E$261=True,C241&lt;&gt;""),'Actuals - Billing - 2025'!C473,"")</f>
        <v/>
      </c>
      <c r="C241" s="9" t="str">
        <f>IF(and('Actuals - Billing - 2025'!E$261=True,sum('Actuals - Billing - 2025'!T473:Y473)&gt;0),'Actuals - Billing - 2025'!B473,"")</f>
        <v/>
      </c>
      <c r="D241" s="10" t="str">
        <f>if(and(sum('Actuals - Billing - 2025'!T473:Y473)&gt;0,C241&lt;&gt;""),'Actuals - Billing - 2025'!$U$2,"")</f>
        <v/>
      </c>
      <c r="E241" s="11" t="str">
        <f t="array" ref="E241">if($D241="","",index('Actuals - Billing - 2025'!$B241:$AE1139,Match($C241,'Actuals - Billing - 2025'!$B241:$B1139,0),Match(E$1,'Actuals - Billing - 2025'!$B$2:$AE$2,0)))</f>
        <v/>
      </c>
      <c r="F241" s="11" t="str">
        <f t="array" ref="F241">if($D241="","",index('Actuals - Billing - 2025'!$B241:$AE1139,Match($C241,'Actuals - Billing - 2025'!$B241:$B1139,0),Match(F$1,'Actuals - Billing - 2025'!$B$2:$AE$2,0)))</f>
        <v/>
      </c>
      <c r="G241" s="11" t="str">
        <f t="array" ref="G241">if($D241="","",index('Actuals - Billing - 2025'!$B241:$AE1139,Match($C241,'Actuals - Billing - 2025'!$B241:$B1139,0),Match(G$1,'Actuals - Billing - 2025'!$B$2:$AE$2,0)))</f>
        <v/>
      </c>
      <c r="H241" s="11" t="str">
        <f t="array" ref="H241">if($D241="","",index('Actuals - Billing - 2025'!$B241:$AE1139,Match($C241,'Actuals - Billing - 2025'!$B241:$B1139,0),Match(H$1,'Actuals - Billing - 2025'!$B$2:$AE$2,0)))</f>
        <v/>
      </c>
      <c r="I241" s="11"/>
      <c r="J241" s="11" t="str">
        <f t="shared" si="12"/>
        <v/>
      </c>
      <c r="K241" s="12" t="str">
        <f t="shared" si="13"/>
        <v/>
      </c>
      <c r="L241" s="1" t="str">
        <f t="shared" si="10"/>
        <v/>
      </c>
      <c r="M241" s="4" t="str">
        <f t="shared" si="14"/>
        <v/>
      </c>
      <c r="N241" s="17" t="str">
        <f>if(M241&lt;&gt;"",'Actuals - Billing - 2025'!BG473,"")</f>
        <v/>
      </c>
      <c r="O241" s="15"/>
    </row>
    <row r="242">
      <c r="A242" s="7" t="str">
        <f t="shared" si="11"/>
        <v/>
      </c>
      <c r="B242" s="8" t="str">
        <f>if(and('Actuals - Billing - 2025'!E$261=True,C242&lt;&gt;""),'Actuals - Billing - 2025'!C474,"")</f>
        <v/>
      </c>
      <c r="C242" s="9" t="str">
        <f>IF(and('Actuals - Billing - 2025'!E$261=True,sum('Actuals - Billing - 2025'!T474:Y474)&gt;0),'Actuals - Billing - 2025'!B474,"")</f>
        <v/>
      </c>
      <c r="D242" s="10" t="str">
        <f>if(and(sum('Actuals - Billing - 2025'!T474:Y474)&gt;0,C242&lt;&gt;""),'Actuals - Billing - 2025'!$U$2,"")</f>
        <v/>
      </c>
      <c r="E242" s="11" t="str">
        <f t="array" ref="E242">if($D242="","",index('Actuals - Billing - 2025'!$B242:$AE1140,Match($C242,'Actuals - Billing - 2025'!$B242:$B1140,0),Match(E$1,'Actuals - Billing - 2025'!$B$2:$AE$2,0)))</f>
        <v/>
      </c>
      <c r="F242" s="11" t="str">
        <f t="array" ref="F242">if($D242="","",index('Actuals - Billing - 2025'!$B242:$AE1140,Match($C242,'Actuals - Billing - 2025'!$B242:$B1140,0),Match(F$1,'Actuals - Billing - 2025'!$B$2:$AE$2,0)))</f>
        <v/>
      </c>
      <c r="G242" s="11" t="str">
        <f t="array" ref="G242">if($D242="","",index('Actuals - Billing - 2025'!$B242:$AE1140,Match($C242,'Actuals - Billing - 2025'!$B242:$B1140,0),Match(G$1,'Actuals - Billing - 2025'!$B$2:$AE$2,0)))</f>
        <v/>
      </c>
      <c r="H242" s="11" t="str">
        <f t="array" ref="H242">if($D242="","",index('Actuals - Billing - 2025'!$B242:$AE1140,Match($C242,'Actuals - Billing - 2025'!$B242:$B1140,0),Match(H$1,'Actuals - Billing - 2025'!$B$2:$AE$2,0)))</f>
        <v/>
      </c>
      <c r="I242" s="11"/>
      <c r="J242" s="11" t="str">
        <f t="shared" si="12"/>
        <v/>
      </c>
      <c r="K242" s="12" t="str">
        <f t="shared" si="13"/>
        <v/>
      </c>
      <c r="L242" s="1" t="str">
        <f t="shared" si="10"/>
        <v/>
      </c>
      <c r="M242" s="4" t="str">
        <f t="shared" si="14"/>
        <v/>
      </c>
      <c r="N242" s="17" t="str">
        <f>if(M242&lt;&gt;"",'Actuals - Billing - 2025'!BG474,"")</f>
        <v/>
      </c>
      <c r="O242" s="15"/>
    </row>
    <row r="243">
      <c r="A243" s="7" t="str">
        <f t="shared" si="11"/>
        <v/>
      </c>
      <c r="B243" s="8" t="str">
        <f>if(and('Actuals - Billing - 2025'!E$261=True,C243&lt;&gt;""),'Actuals - Billing - 2025'!C475,"")</f>
        <v/>
      </c>
      <c r="C243" s="9" t="str">
        <f>IF(and('Actuals - Billing - 2025'!E$261=True,sum('Actuals - Billing - 2025'!T475:Y475)&gt;0),'Actuals - Billing - 2025'!B475,"")</f>
        <v/>
      </c>
      <c r="D243" s="10" t="str">
        <f>if(and(sum('Actuals - Billing - 2025'!T475:Y475)&gt;0,C243&lt;&gt;""),'Actuals - Billing - 2025'!$U$2,"")</f>
        <v/>
      </c>
      <c r="E243" s="11" t="str">
        <f t="array" ref="E243">if($D243="","",index('Actuals - Billing - 2025'!$B243:$AE1141,Match($C243,'Actuals - Billing - 2025'!$B243:$B1141,0),Match(E$1,'Actuals - Billing - 2025'!$B$2:$AE$2,0)))</f>
        <v/>
      </c>
      <c r="F243" s="11" t="str">
        <f t="array" ref="F243">if($D243="","",index('Actuals - Billing - 2025'!$B243:$AE1141,Match($C243,'Actuals - Billing - 2025'!$B243:$B1141,0),Match(F$1,'Actuals - Billing - 2025'!$B$2:$AE$2,0)))</f>
        <v/>
      </c>
      <c r="G243" s="11" t="str">
        <f t="array" ref="G243">if($D243="","",index('Actuals - Billing - 2025'!$B243:$AE1141,Match($C243,'Actuals - Billing - 2025'!$B243:$B1141,0),Match(G$1,'Actuals - Billing - 2025'!$B$2:$AE$2,0)))</f>
        <v/>
      </c>
      <c r="H243" s="11" t="str">
        <f t="array" ref="H243">if($D243="","",index('Actuals - Billing - 2025'!$B243:$AE1141,Match($C243,'Actuals - Billing - 2025'!$B243:$B1141,0),Match(H$1,'Actuals - Billing - 2025'!$B$2:$AE$2,0)))</f>
        <v/>
      </c>
      <c r="I243" s="11"/>
      <c r="J243" s="11" t="str">
        <f t="shared" si="12"/>
        <v/>
      </c>
      <c r="K243" s="12" t="str">
        <f t="shared" si="13"/>
        <v/>
      </c>
      <c r="L243" s="1" t="str">
        <f t="shared" si="10"/>
        <v/>
      </c>
      <c r="M243" s="4" t="str">
        <f t="shared" si="14"/>
        <v/>
      </c>
      <c r="N243" s="17" t="str">
        <f>if(M243&lt;&gt;"",'Actuals - Billing - 2025'!BG475,"")</f>
        <v/>
      </c>
      <c r="O243" s="15"/>
    </row>
    <row r="244">
      <c r="A244" s="7" t="str">
        <f t="shared" si="11"/>
        <v/>
      </c>
      <c r="B244" s="8" t="str">
        <f>if(and('Actuals - Billing - 2025'!E$261=True,C244&lt;&gt;""),'Actuals - Billing - 2025'!C476,"")</f>
        <v/>
      </c>
      <c r="C244" s="9" t="str">
        <f>IF(and('Actuals - Billing - 2025'!E$261=True,sum('Actuals - Billing - 2025'!T476:Y476)&gt;0),'Actuals - Billing - 2025'!B476,"")</f>
        <v/>
      </c>
      <c r="D244" s="10" t="str">
        <f>if(and(sum('Actuals - Billing - 2025'!T476:Y476)&gt;0,C244&lt;&gt;""),'Actuals - Billing - 2025'!$U$2,"")</f>
        <v/>
      </c>
      <c r="E244" s="11" t="str">
        <f t="array" ref="E244">if($D244="","",index('Actuals - Billing - 2025'!$B244:$AE1142,Match($C244,'Actuals - Billing - 2025'!$B244:$B1142,0),Match(E$1,'Actuals - Billing - 2025'!$B$2:$AE$2,0)))</f>
        <v/>
      </c>
      <c r="F244" s="11" t="str">
        <f t="array" ref="F244">if($D244="","",index('Actuals - Billing - 2025'!$B244:$AE1142,Match($C244,'Actuals - Billing - 2025'!$B244:$B1142,0),Match(F$1,'Actuals - Billing - 2025'!$B$2:$AE$2,0)))</f>
        <v/>
      </c>
      <c r="G244" s="11" t="str">
        <f t="array" ref="G244">if($D244="","",index('Actuals - Billing - 2025'!$B244:$AE1142,Match($C244,'Actuals - Billing - 2025'!$B244:$B1142,0),Match(G$1,'Actuals - Billing - 2025'!$B$2:$AE$2,0)))</f>
        <v/>
      </c>
      <c r="H244" s="11" t="str">
        <f t="array" ref="H244">if($D244="","",index('Actuals - Billing - 2025'!$B244:$AE1142,Match($C244,'Actuals - Billing - 2025'!$B244:$B1142,0),Match(H$1,'Actuals - Billing - 2025'!$B$2:$AE$2,0)))</f>
        <v/>
      </c>
      <c r="I244" s="11"/>
      <c r="J244" s="11" t="str">
        <f t="shared" si="12"/>
        <v/>
      </c>
      <c r="K244" s="12" t="str">
        <f t="shared" si="13"/>
        <v/>
      </c>
      <c r="L244" s="1" t="str">
        <f t="shared" si="10"/>
        <v/>
      </c>
      <c r="M244" s="4" t="str">
        <f t="shared" si="14"/>
        <v/>
      </c>
      <c r="N244" s="17" t="str">
        <f>if(M244&lt;&gt;"",'Actuals - Billing - 2025'!BG476,"")</f>
        <v/>
      </c>
      <c r="O244" s="15"/>
    </row>
    <row r="245">
      <c r="A245" s="7" t="str">
        <f t="shared" si="11"/>
        <v/>
      </c>
      <c r="B245" s="8" t="str">
        <f>if(and('Actuals - Billing - 2025'!E$261=True,C245&lt;&gt;""),'Actuals - Billing - 2025'!C477,"")</f>
        <v/>
      </c>
      <c r="C245" s="9" t="str">
        <f>IF(and('Actuals - Billing - 2025'!E$261=True,sum('Actuals - Billing - 2025'!T477:Y477)&gt;0),'Actuals - Billing - 2025'!B477,"")</f>
        <v/>
      </c>
      <c r="D245" s="10" t="str">
        <f>if(and(sum('Actuals - Billing - 2025'!T477:Y477)&gt;0,C245&lt;&gt;""),'Actuals - Billing - 2025'!$U$2,"")</f>
        <v/>
      </c>
      <c r="E245" s="11" t="str">
        <f t="array" ref="E245">if($D245="","",index('Actuals - Billing - 2025'!$B245:$AE1143,Match($C245,'Actuals - Billing - 2025'!$B245:$B1143,0),Match(E$1,'Actuals - Billing - 2025'!$B$2:$AE$2,0)))</f>
        <v/>
      </c>
      <c r="F245" s="11" t="str">
        <f t="array" ref="F245">if($D245="","",index('Actuals - Billing - 2025'!$B245:$AE1143,Match($C245,'Actuals - Billing - 2025'!$B245:$B1143,0),Match(F$1,'Actuals - Billing - 2025'!$B$2:$AE$2,0)))</f>
        <v/>
      </c>
      <c r="G245" s="11" t="str">
        <f t="array" ref="G245">if($D245="","",index('Actuals - Billing - 2025'!$B245:$AE1143,Match($C245,'Actuals - Billing - 2025'!$B245:$B1143,0),Match(G$1,'Actuals - Billing - 2025'!$B$2:$AE$2,0)))</f>
        <v/>
      </c>
      <c r="H245" s="11" t="str">
        <f t="array" ref="H245">if($D245="","",index('Actuals - Billing - 2025'!$B245:$AE1143,Match($C245,'Actuals - Billing - 2025'!$B245:$B1143,0),Match(H$1,'Actuals - Billing - 2025'!$B$2:$AE$2,0)))</f>
        <v/>
      </c>
      <c r="I245" s="11"/>
      <c r="J245" s="11" t="str">
        <f t="shared" si="12"/>
        <v/>
      </c>
      <c r="K245" s="12" t="str">
        <f t="shared" si="13"/>
        <v/>
      </c>
      <c r="L245" s="1" t="str">
        <f t="shared" si="10"/>
        <v/>
      </c>
      <c r="M245" s="4" t="str">
        <f t="shared" si="14"/>
        <v/>
      </c>
      <c r="N245" s="17" t="str">
        <f>if(M245&lt;&gt;"",'Actuals - Billing - 2025'!BG477,"")</f>
        <v/>
      </c>
      <c r="O245" s="15"/>
    </row>
    <row r="246">
      <c r="A246" s="7" t="str">
        <f t="shared" si="11"/>
        <v/>
      </c>
      <c r="B246" s="8" t="str">
        <f>if(and('Actuals - Billing - 2025'!E$261=True,C246&lt;&gt;""),'Actuals - Billing - 2025'!C478,"")</f>
        <v/>
      </c>
      <c r="C246" s="9" t="str">
        <f>IF(and('Actuals - Billing - 2025'!E$261=True,sum('Actuals - Billing - 2025'!T478:Y478)&gt;0),'Actuals - Billing - 2025'!B478,"")</f>
        <v/>
      </c>
      <c r="D246" s="10" t="str">
        <f>if(and(sum('Actuals - Billing - 2025'!T478:Y478)&gt;0,C246&lt;&gt;""),'Actuals - Billing - 2025'!$U$2,"")</f>
        <v/>
      </c>
      <c r="E246" s="11" t="str">
        <f t="array" ref="E246">if($D246="","",index('Actuals - Billing - 2025'!$B246:$AE1144,Match($C246,'Actuals - Billing - 2025'!$B246:$B1144,0),Match(E$1,'Actuals - Billing - 2025'!$B$2:$AE$2,0)))</f>
        <v/>
      </c>
      <c r="F246" s="11" t="str">
        <f t="array" ref="F246">if($D246="","",index('Actuals - Billing - 2025'!$B246:$AE1144,Match($C246,'Actuals - Billing - 2025'!$B246:$B1144,0),Match(F$1,'Actuals - Billing - 2025'!$B$2:$AE$2,0)))</f>
        <v/>
      </c>
      <c r="G246" s="11" t="str">
        <f t="array" ref="G246">if($D246="","",index('Actuals - Billing - 2025'!$B246:$AE1144,Match($C246,'Actuals - Billing - 2025'!$B246:$B1144,0),Match(G$1,'Actuals - Billing - 2025'!$B$2:$AE$2,0)))</f>
        <v/>
      </c>
      <c r="H246" s="11" t="str">
        <f t="array" ref="H246">if($D246="","",index('Actuals - Billing - 2025'!$B246:$AE1144,Match($C246,'Actuals - Billing - 2025'!$B246:$B1144,0),Match(H$1,'Actuals - Billing - 2025'!$B$2:$AE$2,0)))</f>
        <v/>
      </c>
      <c r="I246" s="11"/>
      <c r="J246" s="11" t="str">
        <f t="shared" si="12"/>
        <v/>
      </c>
      <c r="K246" s="12" t="str">
        <f t="shared" si="13"/>
        <v/>
      </c>
      <c r="L246" s="1" t="str">
        <f t="shared" si="10"/>
        <v/>
      </c>
      <c r="M246" s="4" t="str">
        <f t="shared" si="14"/>
        <v/>
      </c>
      <c r="N246" s="17" t="str">
        <f>if(M246&lt;&gt;"",'Actuals - Billing - 2025'!BG478,"")</f>
        <v/>
      </c>
      <c r="O246" s="15"/>
    </row>
    <row r="247">
      <c r="A247" s="7" t="str">
        <f t="shared" si="11"/>
        <v/>
      </c>
      <c r="B247" s="8" t="str">
        <f>if(and('Actuals - Billing - 2025'!E$261=True,C247&lt;&gt;""),'Actuals - Billing - 2025'!C479,"")</f>
        <v/>
      </c>
      <c r="C247" s="9" t="str">
        <f>IF(and('Actuals - Billing - 2025'!E$261=True,sum('Actuals - Billing - 2025'!T479:Y479)&gt;0),'Actuals - Billing - 2025'!B479,"")</f>
        <v/>
      </c>
      <c r="D247" s="10" t="str">
        <f>if(and(sum('Actuals - Billing - 2025'!T479:Y479)&gt;0,C247&lt;&gt;""),'Actuals - Billing - 2025'!$U$2,"")</f>
        <v/>
      </c>
      <c r="E247" s="11" t="str">
        <f t="array" ref="E247">if($D247="","",index('Actuals - Billing - 2025'!$B247:$AE1145,Match($C247,'Actuals - Billing - 2025'!$B247:$B1145,0),Match(E$1,'Actuals - Billing - 2025'!$B$2:$AE$2,0)))</f>
        <v/>
      </c>
      <c r="F247" s="11" t="str">
        <f t="array" ref="F247">if($D247="","",index('Actuals - Billing - 2025'!$B247:$AE1145,Match($C247,'Actuals - Billing - 2025'!$B247:$B1145,0),Match(F$1,'Actuals - Billing - 2025'!$B$2:$AE$2,0)))</f>
        <v/>
      </c>
      <c r="G247" s="11" t="str">
        <f t="array" ref="G247">if($D247="","",index('Actuals - Billing - 2025'!$B247:$AE1145,Match($C247,'Actuals - Billing - 2025'!$B247:$B1145,0),Match(G$1,'Actuals - Billing - 2025'!$B$2:$AE$2,0)))</f>
        <v/>
      </c>
      <c r="H247" s="11" t="str">
        <f t="array" ref="H247">if($D247="","",index('Actuals - Billing - 2025'!$B247:$AE1145,Match($C247,'Actuals - Billing - 2025'!$B247:$B1145,0),Match(H$1,'Actuals - Billing - 2025'!$B$2:$AE$2,0)))</f>
        <v/>
      </c>
      <c r="I247" s="11"/>
      <c r="J247" s="11" t="str">
        <f t="shared" si="12"/>
        <v/>
      </c>
      <c r="K247" s="12" t="str">
        <f t="shared" si="13"/>
        <v/>
      </c>
      <c r="L247" s="1" t="str">
        <f t="shared" si="10"/>
        <v/>
      </c>
      <c r="M247" s="4" t="str">
        <f t="shared" si="14"/>
        <v/>
      </c>
      <c r="N247" s="17" t="str">
        <f>if(M247&lt;&gt;"",'Actuals - Billing - 2025'!BG479,"")</f>
        <v/>
      </c>
      <c r="O247" s="15"/>
    </row>
    <row r="248">
      <c r="A248" s="7" t="str">
        <f t="shared" si="11"/>
        <v/>
      </c>
      <c r="B248" s="8" t="str">
        <f>if(and('Actuals - Billing - 2025'!E$261=True,C248&lt;&gt;""),'Actuals - Billing - 2025'!C480,"")</f>
        <v/>
      </c>
      <c r="C248" s="9" t="str">
        <f>IF(and('Actuals - Billing - 2025'!E$261=True,sum('Actuals - Billing - 2025'!T480:Y480)&gt;0),'Actuals - Billing - 2025'!B480,"")</f>
        <v/>
      </c>
      <c r="D248" s="10" t="str">
        <f>if(and(sum('Actuals - Billing - 2025'!T480:Y480)&gt;0,C248&lt;&gt;""),'Actuals - Billing - 2025'!$U$2,"")</f>
        <v/>
      </c>
      <c r="E248" s="11" t="str">
        <f t="array" ref="E248">if($D248="","",index('Actuals - Billing - 2025'!$B248:$AE1146,Match($C248,'Actuals - Billing - 2025'!$B248:$B1146,0),Match(E$1,'Actuals - Billing - 2025'!$B$2:$AE$2,0)))</f>
        <v/>
      </c>
      <c r="F248" s="11" t="str">
        <f t="array" ref="F248">if($D248="","",index('Actuals - Billing - 2025'!$B248:$AE1146,Match($C248,'Actuals - Billing - 2025'!$B248:$B1146,0),Match(F$1,'Actuals - Billing - 2025'!$B$2:$AE$2,0)))</f>
        <v/>
      </c>
      <c r="G248" s="11" t="str">
        <f t="array" ref="G248">if($D248="","",index('Actuals - Billing - 2025'!$B248:$AE1146,Match($C248,'Actuals - Billing - 2025'!$B248:$B1146,0),Match(G$1,'Actuals - Billing - 2025'!$B$2:$AE$2,0)))</f>
        <v/>
      </c>
      <c r="H248" s="11" t="str">
        <f t="array" ref="H248">if($D248="","",index('Actuals - Billing - 2025'!$B248:$AE1146,Match($C248,'Actuals - Billing - 2025'!$B248:$B1146,0),Match(H$1,'Actuals - Billing - 2025'!$B$2:$AE$2,0)))</f>
        <v/>
      </c>
      <c r="I248" s="11"/>
      <c r="J248" s="11" t="str">
        <f t="shared" si="12"/>
        <v/>
      </c>
      <c r="K248" s="12" t="str">
        <f t="shared" si="13"/>
        <v/>
      </c>
      <c r="L248" s="1" t="str">
        <f t="shared" si="10"/>
        <v/>
      </c>
      <c r="M248" s="4" t="str">
        <f t="shared" si="14"/>
        <v/>
      </c>
      <c r="N248" s="17" t="str">
        <f>if(M248&lt;&gt;"",'Actuals - Billing - 2025'!BG480,"")</f>
        <v/>
      </c>
      <c r="O248" s="15"/>
    </row>
    <row r="249">
      <c r="A249" s="7" t="str">
        <f t="shared" si="11"/>
        <v/>
      </c>
      <c r="B249" s="8" t="str">
        <f>if(and('Actuals - Billing - 2025'!E$261=True,C249&lt;&gt;""),'Actuals - Billing - 2025'!C481,"")</f>
        <v/>
      </c>
      <c r="C249" s="9" t="str">
        <f>IF(and('Actuals - Billing - 2025'!E$261=True,sum('Actuals - Billing - 2025'!T481:Y481)&gt;0),'Actuals - Billing - 2025'!B481,"")</f>
        <v/>
      </c>
      <c r="D249" s="10" t="str">
        <f>if(and(sum('Actuals - Billing - 2025'!T481:Y481)&gt;0,C249&lt;&gt;""),'Actuals - Billing - 2025'!$U$2,"")</f>
        <v/>
      </c>
      <c r="E249" s="11" t="str">
        <f t="array" ref="E249">if($D249="","",index('Actuals - Billing - 2025'!$B249:$AE1147,Match($C249,'Actuals - Billing - 2025'!$B249:$B1147,0),Match(E$1,'Actuals - Billing - 2025'!$B$2:$AE$2,0)))</f>
        <v/>
      </c>
      <c r="F249" s="11" t="str">
        <f t="array" ref="F249">if($D249="","",index('Actuals - Billing - 2025'!$B249:$AE1147,Match($C249,'Actuals - Billing - 2025'!$B249:$B1147,0),Match(F$1,'Actuals - Billing - 2025'!$B$2:$AE$2,0)))</f>
        <v/>
      </c>
      <c r="G249" s="11" t="str">
        <f t="array" ref="G249">if($D249="","",index('Actuals - Billing - 2025'!$B249:$AE1147,Match($C249,'Actuals - Billing - 2025'!$B249:$B1147,0),Match(G$1,'Actuals - Billing - 2025'!$B$2:$AE$2,0)))</f>
        <v/>
      </c>
      <c r="H249" s="11" t="str">
        <f t="array" ref="H249">if($D249="","",index('Actuals - Billing - 2025'!$B249:$AE1147,Match($C249,'Actuals - Billing - 2025'!$B249:$B1147,0),Match(H$1,'Actuals - Billing - 2025'!$B$2:$AE$2,0)))</f>
        <v/>
      </c>
      <c r="I249" s="11"/>
      <c r="J249" s="11" t="str">
        <f t="shared" si="12"/>
        <v/>
      </c>
      <c r="K249" s="12" t="str">
        <f t="shared" si="13"/>
        <v/>
      </c>
      <c r="L249" s="1" t="str">
        <f t="shared" si="10"/>
        <v/>
      </c>
      <c r="M249" s="4" t="str">
        <f t="shared" si="14"/>
        <v/>
      </c>
      <c r="N249" s="17" t="str">
        <f>if(M249&lt;&gt;"",'Actuals - Billing - 2025'!BG481,"")</f>
        <v/>
      </c>
      <c r="O249" s="15"/>
    </row>
    <row r="250">
      <c r="A250" s="7" t="str">
        <f t="shared" si="11"/>
        <v/>
      </c>
      <c r="B250" s="8" t="str">
        <f>if(and('Actuals - Billing - 2025'!E$261=True,C250&lt;&gt;""),'Actuals - Billing - 2025'!C482,"")</f>
        <v/>
      </c>
      <c r="C250" s="9" t="str">
        <f>IF(and('Actuals - Billing - 2025'!E$261=True,sum('Actuals - Billing - 2025'!T482:Y482)&gt;0),'Actuals - Billing - 2025'!B482,"")</f>
        <v/>
      </c>
      <c r="D250" s="10" t="str">
        <f>if(and(sum('Actuals - Billing - 2025'!T482:Y482)&gt;0,C250&lt;&gt;""),'Actuals - Billing - 2025'!$U$2,"")</f>
        <v/>
      </c>
      <c r="E250" s="11" t="str">
        <f t="array" ref="E250">if($D250="","",index('Actuals - Billing - 2025'!$B250:$AE1148,Match($C250,'Actuals - Billing - 2025'!$B250:$B1148,0),Match(E$1,'Actuals - Billing - 2025'!$B$2:$AE$2,0)))</f>
        <v/>
      </c>
      <c r="F250" s="11" t="str">
        <f t="array" ref="F250">if($D250="","",index('Actuals - Billing - 2025'!$B250:$AE1148,Match($C250,'Actuals - Billing - 2025'!$B250:$B1148,0),Match(F$1,'Actuals - Billing - 2025'!$B$2:$AE$2,0)))</f>
        <v/>
      </c>
      <c r="G250" s="11" t="str">
        <f t="array" ref="G250">if($D250="","",index('Actuals - Billing - 2025'!$B250:$AE1148,Match($C250,'Actuals - Billing - 2025'!$B250:$B1148,0),Match(G$1,'Actuals - Billing - 2025'!$B$2:$AE$2,0)))</f>
        <v/>
      </c>
      <c r="H250" s="11" t="str">
        <f t="array" ref="H250">if($D250="","",index('Actuals - Billing - 2025'!$B250:$AE1148,Match($C250,'Actuals - Billing - 2025'!$B250:$B1148,0),Match(H$1,'Actuals - Billing - 2025'!$B$2:$AE$2,0)))</f>
        <v/>
      </c>
      <c r="I250" s="11"/>
      <c r="J250" s="11" t="str">
        <f t="shared" si="12"/>
        <v/>
      </c>
      <c r="K250" s="12" t="str">
        <f t="shared" si="13"/>
        <v/>
      </c>
      <c r="L250" s="1" t="str">
        <f t="shared" si="10"/>
        <v/>
      </c>
      <c r="M250" s="4" t="str">
        <f t="shared" si="14"/>
        <v/>
      </c>
      <c r="N250" s="17" t="str">
        <f>if(M250&lt;&gt;"",'Actuals - Billing - 2025'!BG482,"")</f>
        <v/>
      </c>
      <c r="O250" s="15"/>
    </row>
    <row r="251">
      <c r="A251" s="7" t="str">
        <f t="shared" si="11"/>
        <v/>
      </c>
      <c r="B251" s="8" t="str">
        <f>if(and('Actuals - Billing - 2025'!E$261=True,C251&lt;&gt;""),'Actuals - Billing - 2025'!C483,"")</f>
        <v/>
      </c>
      <c r="C251" s="9" t="str">
        <f>IF(and('Actuals - Billing - 2025'!E$261=True,sum('Actuals - Billing - 2025'!T483:Y483)&gt;0),'Actuals - Billing - 2025'!B483,"")</f>
        <v/>
      </c>
      <c r="D251" s="10" t="str">
        <f>if(and(sum('Actuals - Billing - 2025'!T483:Y483)&gt;0,C251&lt;&gt;""),'Actuals - Billing - 2025'!$U$2,"")</f>
        <v/>
      </c>
      <c r="E251" s="11" t="str">
        <f t="array" ref="E251">if($D251="","",index('Actuals - Billing - 2025'!$B251:$AE1149,Match($C251,'Actuals - Billing - 2025'!$B251:$B1149,0),Match(E$1,'Actuals - Billing - 2025'!$B$2:$AE$2,0)))</f>
        <v/>
      </c>
      <c r="F251" s="11" t="str">
        <f t="array" ref="F251">if($D251="","",index('Actuals - Billing - 2025'!$B251:$AE1149,Match($C251,'Actuals - Billing - 2025'!$B251:$B1149,0),Match(F$1,'Actuals - Billing - 2025'!$B$2:$AE$2,0)))</f>
        <v/>
      </c>
      <c r="G251" s="11" t="str">
        <f t="array" ref="G251">if($D251="","",index('Actuals - Billing - 2025'!$B251:$AE1149,Match($C251,'Actuals - Billing - 2025'!$B251:$B1149,0),Match(G$1,'Actuals - Billing - 2025'!$B$2:$AE$2,0)))</f>
        <v/>
      </c>
      <c r="H251" s="11" t="str">
        <f t="array" ref="H251">if($D251="","",index('Actuals - Billing - 2025'!$B251:$AE1149,Match($C251,'Actuals - Billing - 2025'!$B251:$B1149,0),Match(H$1,'Actuals - Billing - 2025'!$B$2:$AE$2,0)))</f>
        <v/>
      </c>
      <c r="I251" s="11"/>
      <c r="J251" s="11" t="str">
        <f t="shared" si="12"/>
        <v/>
      </c>
      <c r="K251" s="12" t="str">
        <f t="shared" si="13"/>
        <v/>
      </c>
      <c r="L251" s="1" t="str">
        <f t="shared" si="10"/>
        <v/>
      </c>
      <c r="M251" s="4" t="str">
        <f t="shared" si="14"/>
        <v/>
      </c>
      <c r="N251" s="17" t="str">
        <f>if(M251&lt;&gt;"",'Actuals - Billing - 2025'!BG483,"")</f>
        <v/>
      </c>
      <c r="O251" s="15"/>
    </row>
    <row r="252">
      <c r="A252" s="7" t="str">
        <f t="shared" si="11"/>
        <v/>
      </c>
      <c r="B252" s="8" t="str">
        <f>if(and('Actuals - Billing - 2025'!E$261=True,C252&lt;&gt;""),'Actuals - Billing - 2025'!C484,"")</f>
        <v/>
      </c>
      <c r="C252" s="9" t="str">
        <f>IF(and('Actuals - Billing - 2025'!E$261=True,sum('Actuals - Billing - 2025'!T484:Y484)&gt;0),'Actuals - Billing - 2025'!B484,"")</f>
        <v/>
      </c>
      <c r="D252" s="10" t="str">
        <f>if(and(sum('Actuals - Billing - 2025'!T484:Y484)&gt;0,C252&lt;&gt;""),'Actuals - Billing - 2025'!$U$2,"")</f>
        <v/>
      </c>
      <c r="E252" s="11" t="str">
        <f t="array" ref="E252">if($D252="","",index('Actuals - Billing - 2025'!$B252:$AE1150,Match($C252,'Actuals - Billing - 2025'!$B252:$B1150,0),Match(E$1,'Actuals - Billing - 2025'!$B$2:$AE$2,0)))</f>
        <v/>
      </c>
      <c r="F252" s="11" t="str">
        <f t="array" ref="F252">if($D252="","",index('Actuals - Billing - 2025'!$B252:$AE1150,Match($C252,'Actuals - Billing - 2025'!$B252:$B1150,0),Match(F$1,'Actuals - Billing - 2025'!$B$2:$AE$2,0)))</f>
        <v/>
      </c>
      <c r="G252" s="11" t="str">
        <f t="array" ref="G252">if($D252="","",index('Actuals - Billing - 2025'!$B252:$AE1150,Match($C252,'Actuals - Billing - 2025'!$B252:$B1150,0),Match(G$1,'Actuals - Billing - 2025'!$B$2:$AE$2,0)))</f>
        <v/>
      </c>
      <c r="H252" s="11" t="str">
        <f t="array" ref="H252">if($D252="","",index('Actuals - Billing - 2025'!$B252:$AE1150,Match($C252,'Actuals - Billing - 2025'!$B252:$B1150,0),Match(H$1,'Actuals - Billing - 2025'!$B$2:$AE$2,0)))</f>
        <v/>
      </c>
      <c r="I252" s="11"/>
      <c r="J252" s="11" t="str">
        <f t="shared" si="12"/>
        <v/>
      </c>
      <c r="K252" s="12" t="str">
        <f t="shared" si="13"/>
        <v/>
      </c>
      <c r="L252" s="1" t="str">
        <f t="shared" si="10"/>
        <v/>
      </c>
      <c r="M252" s="4" t="str">
        <f t="shared" si="14"/>
        <v/>
      </c>
      <c r="N252" s="17" t="str">
        <f>if(M252&lt;&gt;"",'Actuals - Billing - 2025'!BG484,"")</f>
        <v/>
      </c>
      <c r="O252" s="15"/>
    </row>
    <row r="253">
      <c r="A253" s="7" t="str">
        <f t="shared" si="11"/>
        <v/>
      </c>
      <c r="B253" s="8" t="str">
        <f>if(and('Actuals - Billing - 2025'!E$261=True,C253&lt;&gt;""),'Actuals - Billing - 2025'!C485,"")</f>
        <v/>
      </c>
      <c r="C253" s="9" t="str">
        <f>IF(and('Actuals - Billing - 2025'!E$261=True,sum('Actuals - Billing - 2025'!T485:Y485)&gt;0),'Actuals - Billing - 2025'!B485,"")</f>
        <v/>
      </c>
      <c r="D253" s="10" t="str">
        <f>if(and(sum('Actuals - Billing - 2025'!T485:Y485)&gt;0,C253&lt;&gt;""),'Actuals - Billing - 2025'!$U$2,"")</f>
        <v/>
      </c>
      <c r="E253" s="11" t="str">
        <f t="array" ref="E253">if($D253="","",index('Actuals - Billing - 2025'!$B253:$AE1151,Match($C253,'Actuals - Billing - 2025'!$B253:$B1151,0),Match(E$1,'Actuals - Billing - 2025'!$B$2:$AE$2,0)))</f>
        <v/>
      </c>
      <c r="F253" s="11" t="str">
        <f t="array" ref="F253">if($D253="","",index('Actuals - Billing - 2025'!$B253:$AE1151,Match($C253,'Actuals - Billing - 2025'!$B253:$B1151,0),Match(F$1,'Actuals - Billing - 2025'!$B$2:$AE$2,0)))</f>
        <v/>
      </c>
      <c r="G253" s="11" t="str">
        <f t="array" ref="G253">if($D253="","",index('Actuals - Billing - 2025'!$B253:$AE1151,Match($C253,'Actuals - Billing - 2025'!$B253:$B1151,0),Match(G$1,'Actuals - Billing - 2025'!$B$2:$AE$2,0)))</f>
        <v/>
      </c>
      <c r="H253" s="11" t="str">
        <f t="array" ref="H253">if($D253="","",index('Actuals - Billing - 2025'!$B253:$AE1151,Match($C253,'Actuals - Billing - 2025'!$B253:$B1151,0),Match(H$1,'Actuals - Billing - 2025'!$B$2:$AE$2,0)))</f>
        <v/>
      </c>
      <c r="I253" s="11"/>
      <c r="J253" s="11" t="str">
        <f t="shared" si="12"/>
        <v/>
      </c>
      <c r="K253" s="12" t="str">
        <f t="shared" si="13"/>
        <v/>
      </c>
      <c r="L253" s="1" t="str">
        <f t="shared" si="10"/>
        <v/>
      </c>
      <c r="M253" s="4" t="str">
        <f t="shared" si="14"/>
        <v/>
      </c>
      <c r="N253" s="17" t="str">
        <f>if(M253&lt;&gt;"",'Actuals - Billing - 2025'!BG485,"")</f>
        <v/>
      </c>
      <c r="O253" s="15"/>
    </row>
    <row r="254">
      <c r="A254" s="7" t="str">
        <f t="shared" si="11"/>
        <v/>
      </c>
      <c r="B254" s="8" t="str">
        <f>if(and('Actuals - Billing - 2025'!E$261=True,C254&lt;&gt;""),'Actuals - Billing - 2025'!C486,"")</f>
        <v/>
      </c>
      <c r="C254" s="9" t="str">
        <f>IF(and('Actuals - Billing - 2025'!E$261=True,sum('Actuals - Billing - 2025'!T486:Y486)&gt;0),'Actuals - Billing - 2025'!B486,"")</f>
        <v/>
      </c>
      <c r="D254" s="10" t="str">
        <f>if(and(sum('Actuals - Billing - 2025'!T486:Y486)&gt;0,C254&lt;&gt;""),'Actuals - Billing - 2025'!$U$2,"")</f>
        <v/>
      </c>
      <c r="E254" s="11" t="str">
        <f t="array" ref="E254">if($D254="","",index('Actuals - Billing - 2025'!$B254:$AE1152,Match($C254,'Actuals - Billing - 2025'!$B254:$B1152,0),Match(E$1,'Actuals - Billing - 2025'!$B$2:$AE$2,0)))</f>
        <v/>
      </c>
      <c r="F254" s="11" t="str">
        <f t="array" ref="F254">if($D254="","",index('Actuals - Billing - 2025'!$B254:$AE1152,Match($C254,'Actuals - Billing - 2025'!$B254:$B1152,0),Match(F$1,'Actuals - Billing - 2025'!$B$2:$AE$2,0)))</f>
        <v/>
      </c>
      <c r="G254" s="11" t="str">
        <f t="array" ref="G254">if($D254="","",index('Actuals - Billing - 2025'!$B254:$AE1152,Match($C254,'Actuals - Billing - 2025'!$B254:$B1152,0),Match(G$1,'Actuals - Billing - 2025'!$B$2:$AE$2,0)))</f>
        <v/>
      </c>
      <c r="H254" s="11" t="str">
        <f t="array" ref="H254">if($D254="","",index('Actuals - Billing - 2025'!$B254:$AE1152,Match($C254,'Actuals - Billing - 2025'!$B254:$B1152,0),Match(H$1,'Actuals - Billing - 2025'!$B$2:$AE$2,0)))</f>
        <v/>
      </c>
      <c r="I254" s="11"/>
      <c r="J254" s="11" t="str">
        <f t="shared" si="12"/>
        <v/>
      </c>
      <c r="K254" s="12" t="str">
        <f t="shared" si="13"/>
        <v/>
      </c>
      <c r="L254" s="1" t="str">
        <f t="shared" si="10"/>
        <v/>
      </c>
      <c r="M254" s="4" t="str">
        <f t="shared" si="14"/>
        <v/>
      </c>
      <c r="N254" s="17" t="str">
        <f>if(M254&lt;&gt;"",'Actuals - Billing - 2025'!BG486,"")</f>
        <v/>
      </c>
      <c r="O254" s="15"/>
    </row>
    <row r="255">
      <c r="A255" s="7" t="str">
        <f t="shared" si="11"/>
        <v/>
      </c>
      <c r="B255" s="8" t="str">
        <f>if(and('Actuals - Billing - 2025'!E$261=True,C255&lt;&gt;""),'Actuals - Billing - 2025'!C487,"")</f>
        <v/>
      </c>
      <c r="C255" s="9" t="str">
        <f>IF(and('Actuals - Billing - 2025'!E$261=True,sum('Actuals - Billing - 2025'!T487:Y487)&gt;0),'Actuals - Billing - 2025'!B487,"")</f>
        <v/>
      </c>
      <c r="D255" s="10" t="str">
        <f>if(and(sum('Actuals - Billing - 2025'!T487:Y487)&gt;0,C255&lt;&gt;""),'Actuals - Billing - 2025'!$U$2,"")</f>
        <v/>
      </c>
      <c r="E255" s="11" t="str">
        <f t="array" ref="E255">if($D255="","",index('Actuals - Billing - 2025'!$B255:$AE1153,Match($C255,'Actuals - Billing - 2025'!$B255:$B1153,0),Match(E$1,'Actuals - Billing - 2025'!$B$2:$AE$2,0)))</f>
        <v/>
      </c>
      <c r="F255" s="11" t="str">
        <f t="array" ref="F255">if($D255="","",index('Actuals - Billing - 2025'!$B255:$AE1153,Match($C255,'Actuals - Billing - 2025'!$B255:$B1153,0),Match(F$1,'Actuals - Billing - 2025'!$B$2:$AE$2,0)))</f>
        <v/>
      </c>
      <c r="G255" s="11" t="str">
        <f t="array" ref="G255">if($D255="","",index('Actuals - Billing - 2025'!$B255:$AE1153,Match($C255,'Actuals - Billing - 2025'!$B255:$B1153,0),Match(G$1,'Actuals - Billing - 2025'!$B$2:$AE$2,0)))</f>
        <v/>
      </c>
      <c r="H255" s="11" t="str">
        <f t="array" ref="H255">if($D255="","",index('Actuals - Billing - 2025'!$B255:$AE1153,Match($C255,'Actuals - Billing - 2025'!$B255:$B1153,0),Match(H$1,'Actuals - Billing - 2025'!$B$2:$AE$2,0)))</f>
        <v/>
      </c>
      <c r="I255" s="11"/>
      <c r="J255" s="11" t="str">
        <f t="shared" si="12"/>
        <v/>
      </c>
      <c r="K255" s="12" t="str">
        <f t="shared" si="13"/>
        <v/>
      </c>
      <c r="L255" s="1" t="str">
        <f t="shared" si="10"/>
        <v/>
      </c>
      <c r="M255" s="4" t="str">
        <f t="shared" si="14"/>
        <v/>
      </c>
      <c r="N255" s="17" t="str">
        <f>if(M255&lt;&gt;"",'Actuals - Billing - 2025'!BG487,"")</f>
        <v/>
      </c>
      <c r="O255" s="15"/>
    </row>
    <row r="256">
      <c r="A256" s="7" t="str">
        <f t="shared" si="11"/>
        <v/>
      </c>
      <c r="B256" s="8" t="str">
        <f>if(and('Actuals - Billing - 2025'!E$261=True,C256&lt;&gt;""),'Actuals - Billing - 2025'!C488,"")</f>
        <v/>
      </c>
      <c r="C256" s="9" t="str">
        <f>IF(and('Actuals - Billing - 2025'!E$261=True,sum('Actuals - Billing - 2025'!T488:Y488)&gt;0),'Actuals - Billing - 2025'!B488,"")</f>
        <v/>
      </c>
      <c r="D256" s="10" t="str">
        <f>if(and(sum('Actuals - Billing - 2025'!T488:Y488)&gt;0,C256&lt;&gt;""),'Actuals - Billing - 2025'!$U$2,"")</f>
        <v/>
      </c>
      <c r="E256" s="11" t="str">
        <f t="array" ref="E256">if($D256="","",index('Actuals - Billing - 2025'!$B256:$AE1154,Match($C256,'Actuals - Billing - 2025'!$B256:$B1154,0),Match(E$1,'Actuals - Billing - 2025'!$B$2:$AE$2,0)))</f>
        <v/>
      </c>
      <c r="F256" s="11" t="str">
        <f t="array" ref="F256">if($D256="","",index('Actuals - Billing - 2025'!$B256:$AE1154,Match($C256,'Actuals - Billing - 2025'!$B256:$B1154,0),Match(F$1,'Actuals - Billing - 2025'!$B$2:$AE$2,0)))</f>
        <v/>
      </c>
      <c r="G256" s="11" t="str">
        <f t="array" ref="G256">if($D256="","",index('Actuals - Billing - 2025'!$B256:$AE1154,Match($C256,'Actuals - Billing - 2025'!$B256:$B1154,0),Match(G$1,'Actuals - Billing - 2025'!$B$2:$AE$2,0)))</f>
        <v/>
      </c>
      <c r="H256" s="11" t="str">
        <f t="array" ref="H256">if($D256="","",index('Actuals - Billing - 2025'!$B256:$AE1154,Match($C256,'Actuals - Billing - 2025'!$B256:$B1154,0),Match(H$1,'Actuals - Billing - 2025'!$B$2:$AE$2,0)))</f>
        <v/>
      </c>
      <c r="I256" s="11"/>
      <c r="J256" s="11" t="str">
        <f t="shared" si="12"/>
        <v/>
      </c>
      <c r="K256" s="12" t="str">
        <f t="shared" si="13"/>
        <v/>
      </c>
      <c r="L256" s="1" t="str">
        <f t="shared" si="10"/>
        <v/>
      </c>
      <c r="M256" s="4" t="str">
        <f t="shared" si="14"/>
        <v/>
      </c>
      <c r="N256" s="17" t="str">
        <f>if(M256&lt;&gt;"",'Actuals - Billing - 2025'!BG488,"")</f>
        <v/>
      </c>
      <c r="O256" s="15"/>
    </row>
    <row r="257">
      <c r="A257" s="7" t="str">
        <f t="shared" si="11"/>
        <v/>
      </c>
      <c r="B257" s="8" t="str">
        <f>if(and('Actuals - Billing - 2025'!E$261=True,C257&lt;&gt;""),'Actuals - Billing - 2025'!C489,"")</f>
        <v/>
      </c>
      <c r="C257" s="9" t="str">
        <f>IF(and('Actuals - Billing - 2025'!E$261=True,sum('Actuals - Billing - 2025'!T489:Y489)&gt;0),'Actuals - Billing - 2025'!B489,"")</f>
        <v/>
      </c>
      <c r="D257" s="10" t="str">
        <f>if(and(sum('Actuals - Billing - 2025'!T489:Y489)&gt;0,C257&lt;&gt;""),'Actuals - Billing - 2025'!$U$2,"")</f>
        <v/>
      </c>
      <c r="E257" s="11" t="str">
        <f t="array" ref="E257">if($D257="","",index('Actuals - Billing - 2025'!$B257:$AE1155,Match($C257,'Actuals - Billing - 2025'!$B257:$B1155,0),Match(E$1,'Actuals - Billing - 2025'!$B$2:$AE$2,0)))</f>
        <v/>
      </c>
      <c r="F257" s="11" t="str">
        <f t="array" ref="F257">if($D257="","",index('Actuals - Billing - 2025'!$B257:$AE1155,Match($C257,'Actuals - Billing - 2025'!$B257:$B1155,0),Match(F$1,'Actuals - Billing - 2025'!$B$2:$AE$2,0)))</f>
        <v/>
      </c>
      <c r="G257" s="11" t="str">
        <f t="array" ref="G257">if($D257="","",index('Actuals - Billing - 2025'!$B257:$AE1155,Match($C257,'Actuals - Billing - 2025'!$B257:$B1155,0),Match(G$1,'Actuals - Billing - 2025'!$B$2:$AE$2,0)))</f>
        <v/>
      </c>
      <c r="H257" s="11" t="str">
        <f t="array" ref="H257">if($D257="","",index('Actuals - Billing - 2025'!$B257:$AE1155,Match($C257,'Actuals - Billing - 2025'!$B257:$B1155,0),Match(H$1,'Actuals - Billing - 2025'!$B$2:$AE$2,0)))</f>
        <v/>
      </c>
      <c r="I257" s="11"/>
      <c r="J257" s="11" t="str">
        <f t="shared" si="12"/>
        <v/>
      </c>
      <c r="K257" s="12" t="str">
        <f t="shared" si="13"/>
        <v/>
      </c>
      <c r="L257" s="1" t="str">
        <f t="shared" si="10"/>
        <v/>
      </c>
      <c r="M257" s="4" t="str">
        <f t="shared" si="14"/>
        <v/>
      </c>
      <c r="N257" s="17" t="str">
        <f>if(M257&lt;&gt;"",'Actuals - Billing - 2025'!BG489,"")</f>
        <v/>
      </c>
      <c r="O257" s="15"/>
    </row>
    <row r="258">
      <c r="A258" s="7" t="str">
        <f t="shared" si="11"/>
        <v/>
      </c>
      <c r="B258" s="8" t="str">
        <f>if(and('Actuals - Billing - 2025'!E$261=True,C258&lt;&gt;""),'Actuals - Billing - 2025'!C490,"")</f>
        <v/>
      </c>
      <c r="C258" s="9" t="str">
        <f>IF(and('Actuals - Billing - 2025'!E$261=True,sum('Actuals - Billing - 2025'!T490:Y490)&gt;0),'Actuals - Billing - 2025'!B490,"")</f>
        <v/>
      </c>
      <c r="D258" s="10" t="str">
        <f>if(and(sum('Actuals - Billing - 2025'!T490:Y490)&gt;0,C258&lt;&gt;""),'Actuals - Billing - 2025'!$U$2,"")</f>
        <v/>
      </c>
      <c r="E258" s="11" t="str">
        <f t="array" ref="E258">if($D258="","",index('Actuals - Billing - 2025'!$B258:$AE1156,Match($C258,'Actuals - Billing - 2025'!$B258:$B1156,0),Match(E$1,'Actuals - Billing - 2025'!$B$2:$AE$2,0)))</f>
        <v/>
      </c>
      <c r="F258" s="11" t="str">
        <f t="array" ref="F258">if($D258="","",index('Actuals - Billing - 2025'!$B258:$AE1156,Match($C258,'Actuals - Billing - 2025'!$B258:$B1156,0),Match(F$1,'Actuals - Billing - 2025'!$B$2:$AE$2,0)))</f>
        <v/>
      </c>
      <c r="G258" s="11" t="str">
        <f t="array" ref="G258">if($D258="","",index('Actuals - Billing - 2025'!$B258:$AE1156,Match($C258,'Actuals - Billing - 2025'!$B258:$B1156,0),Match(G$1,'Actuals - Billing - 2025'!$B$2:$AE$2,0)))</f>
        <v/>
      </c>
      <c r="H258" s="11" t="str">
        <f t="array" ref="H258">if($D258="","",index('Actuals - Billing - 2025'!$B258:$AE1156,Match($C258,'Actuals - Billing - 2025'!$B258:$B1156,0),Match(H$1,'Actuals - Billing - 2025'!$B$2:$AE$2,0)))</f>
        <v/>
      </c>
      <c r="I258" s="11"/>
      <c r="J258" s="11" t="str">
        <f t="shared" si="12"/>
        <v/>
      </c>
      <c r="K258" s="12" t="str">
        <f t="shared" si="13"/>
        <v/>
      </c>
      <c r="L258" s="1" t="str">
        <f t="shared" si="10"/>
        <v/>
      </c>
      <c r="M258" s="4" t="str">
        <f t="shared" si="14"/>
        <v/>
      </c>
      <c r="N258" s="17" t="str">
        <f>if(M258&lt;&gt;"",'Actuals - Billing - 2025'!BG490,"")</f>
        <v/>
      </c>
      <c r="O258" s="15"/>
    </row>
    <row r="259">
      <c r="A259" s="7" t="str">
        <f t="shared" si="11"/>
        <v/>
      </c>
      <c r="B259" s="8" t="str">
        <f>if(and('Actuals - Billing - 2025'!E$261=True,C259&lt;&gt;""),'Actuals - Billing - 2025'!C491,"")</f>
        <v/>
      </c>
      <c r="C259" s="9" t="str">
        <f>IF(and('Actuals - Billing - 2025'!E$261=True,sum('Actuals - Billing - 2025'!T491:Y491)&gt;0),'Actuals - Billing - 2025'!B491,"")</f>
        <v/>
      </c>
      <c r="D259" s="10" t="str">
        <f>if(and(sum('Actuals - Billing - 2025'!T491:Y491)&gt;0,C259&lt;&gt;""),'Actuals - Billing - 2025'!$U$2,"")</f>
        <v/>
      </c>
      <c r="E259" s="11" t="str">
        <f t="array" ref="E259">if($D259="","",index('Actuals - Billing - 2025'!$B259:$AE1157,Match($C259,'Actuals - Billing - 2025'!$B259:$B1157,0),Match(E$1,'Actuals - Billing - 2025'!$B$2:$AE$2,0)))</f>
        <v/>
      </c>
      <c r="F259" s="11" t="str">
        <f t="array" ref="F259">if($D259="","",index('Actuals - Billing - 2025'!$B259:$AE1157,Match($C259,'Actuals - Billing - 2025'!$B259:$B1157,0),Match(F$1,'Actuals - Billing - 2025'!$B$2:$AE$2,0)))</f>
        <v/>
      </c>
      <c r="G259" s="11" t="str">
        <f t="array" ref="G259">if($D259="","",index('Actuals - Billing - 2025'!$B259:$AE1157,Match($C259,'Actuals - Billing - 2025'!$B259:$B1157,0),Match(G$1,'Actuals - Billing - 2025'!$B$2:$AE$2,0)))</f>
        <v/>
      </c>
      <c r="H259" s="11" t="str">
        <f t="array" ref="H259">if($D259="","",index('Actuals - Billing - 2025'!$B259:$AE1157,Match($C259,'Actuals - Billing - 2025'!$B259:$B1157,0),Match(H$1,'Actuals - Billing - 2025'!$B$2:$AE$2,0)))</f>
        <v/>
      </c>
      <c r="I259" s="11"/>
      <c r="J259" s="11" t="str">
        <f t="shared" si="12"/>
        <v/>
      </c>
      <c r="K259" s="12" t="str">
        <f t="shared" si="13"/>
        <v/>
      </c>
      <c r="L259" s="1" t="str">
        <f t="shared" si="10"/>
        <v/>
      </c>
      <c r="M259" s="4" t="str">
        <f t="shared" si="14"/>
        <v/>
      </c>
      <c r="N259" s="17" t="str">
        <f>if(M259&lt;&gt;"",'Actuals - Billing - 2025'!BG491,"")</f>
        <v/>
      </c>
      <c r="O259" s="15"/>
    </row>
    <row r="260">
      <c r="A260" s="7" t="str">
        <f t="shared" si="11"/>
        <v/>
      </c>
      <c r="B260" s="8" t="str">
        <f>if(and('Actuals - Billing - 2025'!E$261=True,C260&lt;&gt;""),'Actuals - Billing - 2025'!C492,"")</f>
        <v/>
      </c>
      <c r="C260" s="9" t="str">
        <f>IF(and('Actuals - Billing - 2025'!E$261=True,sum('Actuals - Billing - 2025'!T492:Y492)&gt;0),'Actuals - Billing - 2025'!B492,"")</f>
        <v/>
      </c>
      <c r="D260" s="10" t="str">
        <f>if(and(sum('Actuals - Billing - 2025'!T492:Y492)&gt;0,C260&lt;&gt;""),'Actuals - Billing - 2025'!$U$2,"")</f>
        <v/>
      </c>
      <c r="E260" s="11" t="str">
        <f t="array" ref="E260">if($D260="","",index('Actuals - Billing - 2025'!$B260:$AE1158,Match($C260,'Actuals - Billing - 2025'!$B260:$B1158,0),Match(E$1,'Actuals - Billing - 2025'!$B$2:$AE$2,0)))</f>
        <v/>
      </c>
      <c r="F260" s="11" t="str">
        <f t="array" ref="F260">if($D260="","",index('Actuals - Billing - 2025'!$B260:$AE1158,Match($C260,'Actuals - Billing - 2025'!$B260:$B1158,0),Match(F$1,'Actuals - Billing - 2025'!$B$2:$AE$2,0)))</f>
        <v/>
      </c>
      <c r="G260" s="11" t="str">
        <f t="array" ref="G260">if($D260="","",index('Actuals - Billing - 2025'!$B260:$AE1158,Match($C260,'Actuals - Billing - 2025'!$B260:$B1158,0),Match(G$1,'Actuals - Billing - 2025'!$B$2:$AE$2,0)))</f>
        <v/>
      </c>
      <c r="H260" s="11" t="str">
        <f t="array" ref="H260">if($D260="","",index('Actuals - Billing - 2025'!$B260:$AE1158,Match($C260,'Actuals - Billing - 2025'!$B260:$B1158,0),Match(H$1,'Actuals - Billing - 2025'!$B$2:$AE$2,0)))</f>
        <v/>
      </c>
      <c r="I260" s="11"/>
      <c r="J260" s="11" t="str">
        <f t="shared" si="12"/>
        <v/>
      </c>
      <c r="K260" s="12" t="str">
        <f t="shared" si="13"/>
        <v/>
      </c>
      <c r="L260" s="1" t="str">
        <f t="shared" si="10"/>
        <v/>
      </c>
      <c r="M260" s="4" t="str">
        <f t="shared" si="14"/>
        <v/>
      </c>
      <c r="N260" s="17" t="str">
        <f>if(M260&lt;&gt;"",'Actuals - Billing - 2025'!BG492,"")</f>
        <v/>
      </c>
      <c r="O260" s="15"/>
    </row>
    <row r="261">
      <c r="A261" s="7" t="str">
        <f t="shared" si="11"/>
        <v/>
      </c>
      <c r="B261" s="8" t="str">
        <f>if(and('Actuals - Billing - 2025'!E$261=True,C261&lt;&gt;""),'Actuals - Billing - 2025'!C493,"")</f>
        <v/>
      </c>
      <c r="C261" s="9" t="str">
        <f>IF(and('Actuals - Billing - 2025'!E$261=True,sum('Actuals - Billing - 2025'!T493:Y493)&gt;0),'Actuals - Billing - 2025'!B493,"")</f>
        <v/>
      </c>
      <c r="D261" s="10" t="str">
        <f>if(and(sum('Actuals - Billing - 2025'!T493:Y493)&gt;0,C261&lt;&gt;""),'Actuals - Billing - 2025'!$U$2,"")</f>
        <v/>
      </c>
      <c r="E261" s="11" t="str">
        <f t="array" ref="E261">if($D261="","",index('Actuals - Billing - 2025'!$B261:$AE1159,Match($C261,'Actuals - Billing - 2025'!$B261:$B1159,0),Match(E$1,'Actuals - Billing - 2025'!$B$2:$AE$2,0)))</f>
        <v/>
      </c>
      <c r="F261" s="11" t="str">
        <f t="array" ref="F261">if($D261="","",index('Actuals - Billing - 2025'!$B261:$AE1159,Match($C261,'Actuals - Billing - 2025'!$B261:$B1159,0),Match(F$1,'Actuals - Billing - 2025'!$B$2:$AE$2,0)))</f>
        <v/>
      </c>
      <c r="G261" s="11" t="str">
        <f t="array" ref="G261">if($D261="","",index('Actuals - Billing - 2025'!$B261:$AE1159,Match($C261,'Actuals - Billing - 2025'!$B261:$B1159,0),Match(G$1,'Actuals - Billing - 2025'!$B$2:$AE$2,0)))</f>
        <v/>
      </c>
      <c r="H261" s="11" t="str">
        <f t="array" ref="H261">if($D261="","",index('Actuals - Billing - 2025'!$B261:$AE1159,Match($C261,'Actuals - Billing - 2025'!$B261:$B1159,0),Match(H$1,'Actuals - Billing - 2025'!$B$2:$AE$2,0)))</f>
        <v/>
      </c>
      <c r="I261" s="11"/>
      <c r="J261" s="11" t="str">
        <f t="shared" si="12"/>
        <v/>
      </c>
      <c r="K261" s="12" t="str">
        <f t="shared" si="13"/>
        <v/>
      </c>
      <c r="L261" s="1" t="str">
        <f t="shared" si="10"/>
        <v/>
      </c>
      <c r="M261" s="4" t="str">
        <f t="shared" si="14"/>
        <v/>
      </c>
      <c r="N261" s="17" t="str">
        <f>if(M261&lt;&gt;"",'Actuals - Billing - 2025'!BG493,"")</f>
        <v/>
      </c>
      <c r="O261" s="15"/>
    </row>
    <row r="262">
      <c r="A262" s="7" t="str">
        <f t="shared" si="11"/>
        <v/>
      </c>
      <c r="B262" s="8" t="str">
        <f>if(and('Actuals - Billing - 2025'!E$261=True,C262&lt;&gt;""),'Actuals - Billing - 2025'!C494,"")</f>
        <v/>
      </c>
      <c r="C262" s="9" t="str">
        <f>IF(and('Actuals - Billing - 2025'!E$261=True,sum('Actuals - Billing - 2025'!T494:Y494)&gt;0),'Actuals - Billing - 2025'!B494,"")</f>
        <v/>
      </c>
      <c r="D262" s="10" t="str">
        <f>if(and(sum('Actuals - Billing - 2025'!T494:Y494)&gt;0,C262&lt;&gt;""),'Actuals - Billing - 2025'!$U$2,"")</f>
        <v/>
      </c>
      <c r="E262" s="11" t="str">
        <f t="array" ref="E262">if($D262="","",index('Actuals - Billing - 2025'!$B262:$AE1160,Match($C262,'Actuals - Billing - 2025'!$B262:$B1160,0),Match(E$1,'Actuals - Billing - 2025'!$B$2:$AE$2,0)))</f>
        <v/>
      </c>
      <c r="F262" s="11" t="str">
        <f t="array" ref="F262">if($D262="","",index('Actuals - Billing - 2025'!$B262:$AE1160,Match($C262,'Actuals - Billing - 2025'!$B262:$B1160,0),Match(F$1,'Actuals - Billing - 2025'!$B$2:$AE$2,0)))</f>
        <v/>
      </c>
      <c r="G262" s="11" t="str">
        <f t="array" ref="G262">if($D262="","",index('Actuals - Billing - 2025'!$B262:$AE1160,Match($C262,'Actuals - Billing - 2025'!$B262:$B1160,0),Match(G$1,'Actuals - Billing - 2025'!$B$2:$AE$2,0)))</f>
        <v/>
      </c>
      <c r="H262" s="11" t="str">
        <f t="array" ref="H262">if($D262="","",index('Actuals - Billing - 2025'!$B262:$AE1160,Match($C262,'Actuals - Billing - 2025'!$B262:$B1160,0),Match(H$1,'Actuals - Billing - 2025'!$B$2:$AE$2,0)))</f>
        <v/>
      </c>
      <c r="I262" s="11"/>
      <c r="J262" s="11" t="str">
        <f t="shared" si="12"/>
        <v/>
      </c>
      <c r="K262" s="12" t="str">
        <f t="shared" si="13"/>
        <v/>
      </c>
      <c r="L262" s="1" t="str">
        <f t="shared" si="10"/>
        <v/>
      </c>
      <c r="M262" s="4" t="str">
        <f t="shared" si="14"/>
        <v/>
      </c>
      <c r="N262" s="17" t="str">
        <f>if(M262&lt;&gt;"",'Actuals - Billing - 2025'!BG494,"")</f>
        <v/>
      </c>
      <c r="O262" s="15"/>
    </row>
    <row r="263">
      <c r="A263" s="7" t="str">
        <f t="shared" si="11"/>
        <v/>
      </c>
      <c r="B263" s="8" t="str">
        <f>if(and('Actuals - Billing - 2025'!E$261=True,C263&lt;&gt;""),'Actuals - Billing - 2025'!C495,"")</f>
        <v/>
      </c>
      <c r="C263" s="9" t="str">
        <f>IF(and('Actuals - Billing - 2025'!E$261=True,sum('Actuals - Billing - 2025'!T495:Y495)&gt;0),'Actuals - Billing - 2025'!B495,"")</f>
        <v/>
      </c>
      <c r="D263" s="10" t="str">
        <f>if(and(sum('Actuals - Billing - 2025'!T495:Y495)&gt;0,C263&lt;&gt;""),'Actuals - Billing - 2025'!$U$2,"")</f>
        <v/>
      </c>
      <c r="E263" s="11" t="str">
        <f t="array" ref="E263">if($D263="","",index('Actuals - Billing - 2025'!$B263:$AE1161,Match($C263,'Actuals - Billing - 2025'!$B263:$B1161,0),Match(E$1,'Actuals - Billing - 2025'!$B$2:$AE$2,0)))</f>
        <v/>
      </c>
      <c r="F263" s="11" t="str">
        <f t="array" ref="F263">if($D263="","",index('Actuals - Billing - 2025'!$B263:$AE1161,Match($C263,'Actuals - Billing - 2025'!$B263:$B1161,0),Match(F$1,'Actuals - Billing - 2025'!$B$2:$AE$2,0)))</f>
        <v/>
      </c>
      <c r="G263" s="11" t="str">
        <f t="array" ref="G263">if($D263="","",index('Actuals - Billing - 2025'!$B263:$AE1161,Match($C263,'Actuals - Billing - 2025'!$B263:$B1161,0),Match(G$1,'Actuals - Billing - 2025'!$B$2:$AE$2,0)))</f>
        <v/>
      </c>
      <c r="H263" s="11" t="str">
        <f t="array" ref="H263">if($D263="","",index('Actuals - Billing - 2025'!$B263:$AE1161,Match($C263,'Actuals - Billing - 2025'!$B263:$B1161,0),Match(H$1,'Actuals - Billing - 2025'!$B$2:$AE$2,0)))</f>
        <v/>
      </c>
      <c r="I263" s="11"/>
      <c r="J263" s="11" t="str">
        <f t="shared" si="12"/>
        <v/>
      </c>
      <c r="K263" s="12" t="str">
        <f t="shared" si="13"/>
        <v/>
      </c>
      <c r="L263" s="1" t="str">
        <f t="shared" si="10"/>
        <v/>
      </c>
      <c r="M263" s="4" t="str">
        <f t="shared" si="14"/>
        <v/>
      </c>
      <c r="N263" s="17" t="str">
        <f>if(M263&lt;&gt;"",'Actuals - Billing - 2025'!BG495,"")</f>
        <v/>
      </c>
      <c r="O263" s="15"/>
    </row>
    <row r="264">
      <c r="A264" s="7" t="str">
        <f t="shared" si="11"/>
        <v/>
      </c>
      <c r="B264" s="8" t="str">
        <f>if(and('Actuals - Billing - 2025'!E$261=True,C264&lt;&gt;""),'Actuals - Billing - 2025'!C496,"")</f>
        <v/>
      </c>
      <c r="C264" s="9" t="str">
        <f>IF(and('Actuals - Billing - 2025'!E$261=True,sum('Actuals - Billing - 2025'!T496:Y496)&gt;0),'Actuals - Billing - 2025'!B496,"")</f>
        <v/>
      </c>
      <c r="D264" s="10" t="str">
        <f>if(and(sum('Actuals - Billing - 2025'!T496:Y496)&gt;0,C264&lt;&gt;""),'Actuals - Billing - 2025'!$U$2,"")</f>
        <v/>
      </c>
      <c r="E264" s="11" t="str">
        <f t="array" ref="E264">if($D264="","",index('Actuals - Billing - 2025'!$B264:$AE1162,Match($C264,'Actuals - Billing - 2025'!$B264:$B1162,0),Match(E$1,'Actuals - Billing - 2025'!$B$2:$AE$2,0)))</f>
        <v/>
      </c>
      <c r="F264" s="11" t="str">
        <f t="array" ref="F264">if($D264="","",index('Actuals - Billing - 2025'!$B264:$AE1162,Match($C264,'Actuals - Billing - 2025'!$B264:$B1162,0),Match(F$1,'Actuals - Billing - 2025'!$B$2:$AE$2,0)))</f>
        <v/>
      </c>
      <c r="G264" s="11" t="str">
        <f t="array" ref="G264">if($D264="","",index('Actuals - Billing - 2025'!$B264:$AE1162,Match($C264,'Actuals - Billing - 2025'!$B264:$B1162,0),Match(G$1,'Actuals - Billing - 2025'!$B$2:$AE$2,0)))</f>
        <v/>
      </c>
      <c r="H264" s="11" t="str">
        <f t="array" ref="H264">if($D264="","",index('Actuals - Billing - 2025'!$B264:$AE1162,Match($C264,'Actuals - Billing - 2025'!$B264:$B1162,0),Match(H$1,'Actuals - Billing - 2025'!$B$2:$AE$2,0)))</f>
        <v/>
      </c>
      <c r="I264" s="11"/>
      <c r="J264" s="11" t="str">
        <f t="shared" si="12"/>
        <v/>
      </c>
      <c r="K264" s="12" t="str">
        <f t="shared" si="13"/>
        <v/>
      </c>
      <c r="L264" s="1" t="str">
        <f t="shared" si="10"/>
        <v/>
      </c>
      <c r="M264" s="4" t="str">
        <f t="shared" si="14"/>
        <v/>
      </c>
      <c r="N264" s="17" t="str">
        <f>if(M264&lt;&gt;"",'Actuals - Billing - 2025'!BG496,"")</f>
        <v/>
      </c>
      <c r="O264" s="15"/>
    </row>
    <row r="265">
      <c r="A265" s="7" t="str">
        <f t="shared" si="11"/>
        <v/>
      </c>
      <c r="B265" s="8" t="str">
        <f>if(and('Actuals - Billing - 2025'!E$261=True,C265&lt;&gt;""),'Actuals - Billing - 2025'!C497,"")</f>
        <v/>
      </c>
      <c r="C265" s="9" t="str">
        <f>IF(and('Actuals - Billing - 2025'!E$261=True,sum('Actuals - Billing - 2025'!T497:Y497)&gt;0),'Actuals - Billing - 2025'!B497,"")</f>
        <v/>
      </c>
      <c r="D265" s="10" t="str">
        <f>if(and(sum('Actuals - Billing - 2025'!T497:Y497)&gt;0,C265&lt;&gt;""),'Actuals - Billing - 2025'!$U$2,"")</f>
        <v/>
      </c>
      <c r="E265" s="11" t="str">
        <f t="array" ref="E265">if($D265="","",index('Actuals - Billing - 2025'!$B265:$AE1163,Match($C265,'Actuals - Billing - 2025'!$B265:$B1163,0),Match(E$1,'Actuals - Billing - 2025'!$B$2:$AE$2,0)))</f>
        <v/>
      </c>
      <c r="F265" s="11" t="str">
        <f t="array" ref="F265">if($D265="","",index('Actuals - Billing - 2025'!$B265:$AE1163,Match($C265,'Actuals - Billing - 2025'!$B265:$B1163,0),Match(F$1,'Actuals - Billing - 2025'!$B$2:$AE$2,0)))</f>
        <v/>
      </c>
      <c r="G265" s="11" t="str">
        <f t="array" ref="G265">if($D265="","",index('Actuals - Billing - 2025'!$B265:$AE1163,Match($C265,'Actuals - Billing - 2025'!$B265:$B1163,0),Match(G$1,'Actuals - Billing - 2025'!$B$2:$AE$2,0)))</f>
        <v/>
      </c>
      <c r="H265" s="11" t="str">
        <f t="array" ref="H265">if($D265="","",index('Actuals - Billing - 2025'!$B265:$AE1163,Match($C265,'Actuals - Billing - 2025'!$B265:$B1163,0),Match(H$1,'Actuals - Billing - 2025'!$B$2:$AE$2,0)))</f>
        <v/>
      </c>
      <c r="I265" s="11"/>
      <c r="J265" s="11" t="str">
        <f t="shared" si="12"/>
        <v/>
      </c>
      <c r="K265" s="12" t="str">
        <f t="shared" si="13"/>
        <v/>
      </c>
      <c r="L265" s="1" t="str">
        <f t="shared" si="10"/>
        <v/>
      </c>
      <c r="M265" s="4" t="str">
        <f t="shared" si="14"/>
        <v/>
      </c>
      <c r="N265" s="17" t="str">
        <f>if(M265&lt;&gt;"",'Actuals - Billing - 2025'!BG497,"")</f>
        <v/>
      </c>
      <c r="O265" s="15"/>
    </row>
    <row r="266">
      <c r="A266" s="7" t="str">
        <f t="shared" si="11"/>
        <v/>
      </c>
      <c r="B266" s="8" t="str">
        <f>if(and('Actuals - Billing - 2025'!E$261=True,C266&lt;&gt;""),'Actuals - Billing - 2025'!C498,"")</f>
        <v/>
      </c>
      <c r="C266" s="9" t="str">
        <f>IF(and('Actuals - Billing - 2025'!E$261=True,sum('Actuals - Billing - 2025'!T498:Y498)&gt;0),'Actuals - Billing - 2025'!B498,"")</f>
        <v/>
      </c>
      <c r="D266" s="10" t="str">
        <f>if(and(sum('Actuals - Billing - 2025'!T498:Y498)&gt;0,C266&lt;&gt;""),'Actuals - Billing - 2025'!$U$2,"")</f>
        <v/>
      </c>
      <c r="E266" s="11" t="str">
        <f t="array" ref="E266">if($D266="","",index('Actuals - Billing - 2025'!$B266:$AE1164,Match($C266,'Actuals - Billing - 2025'!$B266:$B1164,0),Match(E$1,'Actuals - Billing - 2025'!$B$2:$AE$2,0)))</f>
        <v/>
      </c>
      <c r="F266" s="11" t="str">
        <f t="array" ref="F266">if($D266="","",index('Actuals - Billing - 2025'!$B266:$AE1164,Match($C266,'Actuals - Billing - 2025'!$B266:$B1164,0),Match(F$1,'Actuals - Billing - 2025'!$B$2:$AE$2,0)))</f>
        <v/>
      </c>
      <c r="G266" s="11" t="str">
        <f t="array" ref="G266">if($D266="","",index('Actuals - Billing - 2025'!$B266:$AE1164,Match($C266,'Actuals - Billing - 2025'!$B266:$B1164,0),Match(G$1,'Actuals - Billing - 2025'!$B$2:$AE$2,0)))</f>
        <v/>
      </c>
      <c r="H266" s="11" t="str">
        <f t="array" ref="H266">if($D266="","",index('Actuals - Billing - 2025'!$B266:$AE1164,Match($C266,'Actuals - Billing - 2025'!$B266:$B1164,0),Match(H$1,'Actuals - Billing - 2025'!$B$2:$AE$2,0)))</f>
        <v/>
      </c>
      <c r="I266" s="11"/>
      <c r="J266" s="11" t="str">
        <f t="shared" si="12"/>
        <v/>
      </c>
      <c r="K266" s="12" t="str">
        <f t="shared" si="13"/>
        <v/>
      </c>
      <c r="L266" s="1" t="str">
        <f t="shared" si="10"/>
        <v/>
      </c>
      <c r="M266" s="4" t="str">
        <f t="shared" si="14"/>
        <v/>
      </c>
      <c r="N266" s="17" t="str">
        <f>if(M266&lt;&gt;"",'Actuals - Billing - 2025'!BG498,"")</f>
        <v/>
      </c>
      <c r="O266" s="15"/>
    </row>
    <row r="267">
      <c r="A267" s="7" t="str">
        <f t="shared" si="11"/>
        <v/>
      </c>
      <c r="B267" s="8" t="str">
        <f>if(and('Actuals - Billing - 2025'!E$261=True,C267&lt;&gt;""),'Actuals - Billing - 2025'!C499,"")</f>
        <v/>
      </c>
      <c r="C267" s="9" t="str">
        <f>IF(and('Actuals - Billing - 2025'!E$261=True,sum('Actuals - Billing - 2025'!T499:Y499)&gt;0),'Actuals - Billing - 2025'!B499,"")</f>
        <v/>
      </c>
      <c r="D267" s="10" t="str">
        <f>if(and(sum('Actuals - Billing - 2025'!T499:Y499)&gt;0,C267&lt;&gt;""),'Actuals - Billing - 2025'!$U$2,"")</f>
        <v/>
      </c>
      <c r="E267" s="11" t="str">
        <f t="array" ref="E267">if($D267="","",index('Actuals - Billing - 2025'!$B267:$AE1165,Match($C267,'Actuals - Billing - 2025'!$B267:$B1165,0),Match(E$1,'Actuals - Billing - 2025'!$B$2:$AE$2,0)))</f>
        <v/>
      </c>
      <c r="F267" s="11" t="str">
        <f t="array" ref="F267">if($D267="","",index('Actuals - Billing - 2025'!$B267:$AE1165,Match($C267,'Actuals - Billing - 2025'!$B267:$B1165,0),Match(F$1,'Actuals - Billing - 2025'!$B$2:$AE$2,0)))</f>
        <v/>
      </c>
      <c r="G267" s="11" t="str">
        <f t="array" ref="G267">if($D267="","",index('Actuals - Billing - 2025'!$B267:$AE1165,Match($C267,'Actuals - Billing - 2025'!$B267:$B1165,0),Match(G$1,'Actuals - Billing - 2025'!$B$2:$AE$2,0)))</f>
        <v/>
      </c>
      <c r="H267" s="11" t="str">
        <f t="array" ref="H267">if($D267="","",index('Actuals - Billing - 2025'!$B267:$AE1165,Match($C267,'Actuals - Billing - 2025'!$B267:$B1165,0),Match(H$1,'Actuals - Billing - 2025'!$B$2:$AE$2,0)))</f>
        <v/>
      </c>
      <c r="I267" s="11"/>
      <c r="J267" s="11" t="str">
        <f t="shared" si="12"/>
        <v/>
      </c>
      <c r="K267" s="12" t="str">
        <f t="shared" si="13"/>
        <v/>
      </c>
      <c r="L267" s="1" t="str">
        <f t="shared" si="10"/>
        <v/>
      </c>
      <c r="M267" s="4" t="str">
        <f t="shared" si="14"/>
        <v/>
      </c>
      <c r="N267" s="17" t="str">
        <f>if(M267&lt;&gt;"",'Actuals - Billing - 2025'!BG499,"")</f>
        <v/>
      </c>
      <c r="O267" s="15"/>
    </row>
    <row r="268">
      <c r="A268" s="7" t="str">
        <f t="shared" si="11"/>
        <v/>
      </c>
      <c r="B268" s="8" t="str">
        <f>if(and('Actuals - Billing - 2025'!E$261=True,C268&lt;&gt;""),'Actuals - Billing - 2025'!C500,"")</f>
        <v/>
      </c>
      <c r="C268" s="9" t="str">
        <f>IF(and('Actuals - Billing - 2025'!E$261=True,sum('Actuals - Billing - 2025'!T500:Y500)&gt;0),'Actuals - Billing - 2025'!B500,"")</f>
        <v/>
      </c>
      <c r="D268" s="10" t="str">
        <f>if(and(sum('Actuals - Billing - 2025'!T500:Y500)&gt;0,C268&lt;&gt;""),'Actuals - Billing - 2025'!$U$2,"")</f>
        <v/>
      </c>
      <c r="E268" s="11" t="str">
        <f t="array" ref="E268">if($D268="","",index('Actuals - Billing - 2025'!$B268:$AE1166,Match($C268,'Actuals - Billing - 2025'!$B268:$B1166,0),Match(E$1,'Actuals - Billing - 2025'!$B$2:$AE$2,0)))</f>
        <v/>
      </c>
      <c r="F268" s="11" t="str">
        <f t="array" ref="F268">if($D268="","",index('Actuals - Billing - 2025'!$B268:$AE1166,Match($C268,'Actuals - Billing - 2025'!$B268:$B1166,0),Match(F$1,'Actuals - Billing - 2025'!$B$2:$AE$2,0)))</f>
        <v/>
      </c>
      <c r="G268" s="11" t="str">
        <f t="array" ref="G268">if($D268="","",index('Actuals - Billing - 2025'!$B268:$AE1166,Match($C268,'Actuals - Billing - 2025'!$B268:$B1166,0),Match(G$1,'Actuals - Billing - 2025'!$B$2:$AE$2,0)))</f>
        <v/>
      </c>
      <c r="H268" s="11" t="str">
        <f t="array" ref="H268">if($D268="","",index('Actuals - Billing - 2025'!$B268:$AE1166,Match($C268,'Actuals - Billing - 2025'!$B268:$B1166,0),Match(H$1,'Actuals - Billing - 2025'!$B$2:$AE$2,0)))</f>
        <v/>
      </c>
      <c r="I268" s="11"/>
      <c r="J268" s="11" t="str">
        <f t="shared" si="12"/>
        <v/>
      </c>
      <c r="K268" s="12" t="str">
        <f t="shared" si="13"/>
        <v/>
      </c>
      <c r="L268" s="1" t="str">
        <f t="shared" si="10"/>
        <v/>
      </c>
      <c r="M268" s="4" t="str">
        <f t="shared" si="14"/>
        <v/>
      </c>
      <c r="N268" s="17" t="str">
        <f>if(M268&lt;&gt;"",'Actuals - Billing - 2025'!BG500,"")</f>
        <v/>
      </c>
      <c r="O268" s="15"/>
    </row>
    <row r="269">
      <c r="A269" s="7" t="str">
        <f t="shared" si="11"/>
        <v/>
      </c>
      <c r="B269" s="8" t="str">
        <f>if(and('Actuals - Billing - 2025'!E$261=True,C269&lt;&gt;""),'Actuals - Billing - 2025'!C501,"")</f>
        <v/>
      </c>
      <c r="C269" s="9" t="str">
        <f>IF(and('Actuals - Billing - 2025'!E$261=True,sum('Actuals - Billing - 2025'!T501:Y501)&gt;0),'Actuals - Billing - 2025'!B501,"")</f>
        <v/>
      </c>
      <c r="D269" s="10" t="str">
        <f>if(and(sum('Actuals - Billing - 2025'!T501:Y501)&gt;0,C269&lt;&gt;""),'Actuals - Billing - 2025'!$U$2,"")</f>
        <v/>
      </c>
      <c r="E269" s="11" t="str">
        <f t="array" ref="E269">if($D269="","",index('Actuals - Billing - 2025'!$B269:$AE1167,Match($C269,'Actuals - Billing - 2025'!$B269:$B1167,0),Match(E$1,'Actuals - Billing - 2025'!$B$2:$AE$2,0)))</f>
        <v/>
      </c>
      <c r="F269" s="11" t="str">
        <f t="array" ref="F269">if($D269="","",index('Actuals - Billing - 2025'!$B269:$AE1167,Match($C269,'Actuals - Billing - 2025'!$B269:$B1167,0),Match(F$1,'Actuals - Billing - 2025'!$B$2:$AE$2,0)))</f>
        <v/>
      </c>
      <c r="G269" s="11" t="str">
        <f t="array" ref="G269">if($D269="","",index('Actuals - Billing - 2025'!$B269:$AE1167,Match($C269,'Actuals - Billing - 2025'!$B269:$B1167,0),Match(G$1,'Actuals - Billing - 2025'!$B$2:$AE$2,0)))</f>
        <v/>
      </c>
      <c r="H269" s="11" t="str">
        <f t="array" ref="H269">if($D269="","",index('Actuals - Billing - 2025'!$B269:$AE1167,Match($C269,'Actuals - Billing - 2025'!$B269:$B1167,0),Match(H$1,'Actuals - Billing - 2025'!$B$2:$AE$2,0)))</f>
        <v/>
      </c>
      <c r="I269" s="11"/>
      <c r="J269" s="11" t="str">
        <f t="shared" si="12"/>
        <v/>
      </c>
      <c r="K269" s="12" t="str">
        <f t="shared" si="13"/>
        <v/>
      </c>
      <c r="L269" s="1" t="str">
        <f t="shared" si="10"/>
        <v/>
      </c>
      <c r="M269" s="4" t="str">
        <f t="shared" si="14"/>
        <v/>
      </c>
      <c r="N269" s="17" t="str">
        <f>if(M269&lt;&gt;"",'Actuals - Billing - 2025'!BG501,"")</f>
        <v/>
      </c>
      <c r="O269" s="15"/>
    </row>
    <row r="270">
      <c r="A270" s="7" t="str">
        <f t="shared" si="11"/>
        <v/>
      </c>
      <c r="B270" s="8" t="str">
        <f>if(and('Actuals - Billing - 2025'!E$261=True,C270&lt;&gt;""),'Actuals - Billing - 2025'!C502,"")</f>
        <v/>
      </c>
      <c r="C270" s="9" t="str">
        <f>IF(and('Actuals - Billing - 2025'!E$261=True,sum('Actuals - Billing - 2025'!T502:Y502)&gt;0),'Actuals - Billing - 2025'!B502,"")</f>
        <v/>
      </c>
      <c r="D270" s="10" t="str">
        <f>if(and(sum('Actuals - Billing - 2025'!T502:Y502)&gt;0,C270&lt;&gt;""),'Actuals - Billing - 2025'!$U$2,"")</f>
        <v/>
      </c>
      <c r="E270" s="11" t="str">
        <f t="array" ref="E270">if($D270="","",index('Actuals - Billing - 2025'!$B270:$AE1168,Match($C270,'Actuals - Billing - 2025'!$B270:$B1168,0),Match(E$1,'Actuals - Billing - 2025'!$B$2:$AE$2,0)))</f>
        <v/>
      </c>
      <c r="F270" s="11" t="str">
        <f t="array" ref="F270">if($D270="","",index('Actuals - Billing - 2025'!$B270:$AE1168,Match($C270,'Actuals - Billing - 2025'!$B270:$B1168,0),Match(F$1,'Actuals - Billing - 2025'!$B$2:$AE$2,0)))</f>
        <v/>
      </c>
      <c r="G270" s="11" t="str">
        <f t="array" ref="G270">if($D270="","",index('Actuals - Billing - 2025'!$B270:$AE1168,Match($C270,'Actuals - Billing - 2025'!$B270:$B1168,0),Match(G$1,'Actuals - Billing - 2025'!$B$2:$AE$2,0)))</f>
        <v/>
      </c>
      <c r="H270" s="11" t="str">
        <f t="array" ref="H270">if($D270="","",index('Actuals - Billing - 2025'!$B270:$AE1168,Match($C270,'Actuals - Billing - 2025'!$B270:$B1168,0),Match(H$1,'Actuals - Billing - 2025'!$B$2:$AE$2,0)))</f>
        <v/>
      </c>
      <c r="I270" s="11"/>
      <c r="J270" s="11" t="str">
        <f t="shared" si="12"/>
        <v/>
      </c>
      <c r="K270" s="12" t="str">
        <f t="shared" si="13"/>
        <v/>
      </c>
      <c r="L270" s="1" t="str">
        <f t="shared" si="10"/>
        <v/>
      </c>
      <c r="M270" s="4" t="str">
        <f t="shared" si="14"/>
        <v/>
      </c>
      <c r="N270" s="17" t="str">
        <f>if(M270&lt;&gt;"",'Actuals - Billing - 2025'!BG502,"")</f>
        <v/>
      </c>
      <c r="O270" s="15"/>
    </row>
    <row r="271">
      <c r="A271" s="7" t="str">
        <f t="shared" si="11"/>
        <v/>
      </c>
      <c r="B271" s="8" t="str">
        <f>if(and('Actuals - Billing - 2025'!E$261=True,C271&lt;&gt;""),'Actuals - Billing - 2025'!C503,"")</f>
        <v/>
      </c>
      <c r="C271" s="9" t="str">
        <f>IF(and('Actuals - Billing - 2025'!E$261=True,sum('Actuals - Billing - 2025'!T503:Y503)&gt;0),'Actuals - Billing - 2025'!B503,"")</f>
        <v/>
      </c>
      <c r="D271" s="10" t="str">
        <f>if(and(sum('Actuals - Billing - 2025'!T503:Y503)&gt;0,C271&lt;&gt;""),'Actuals - Billing - 2025'!$U$2,"")</f>
        <v/>
      </c>
      <c r="E271" s="11" t="str">
        <f t="array" ref="E271">if($D271="","",index('Actuals - Billing - 2025'!$B271:$AE1169,Match($C271,'Actuals - Billing - 2025'!$B271:$B1169,0),Match(E$1,'Actuals - Billing - 2025'!$B$2:$AE$2,0)))</f>
        <v/>
      </c>
      <c r="F271" s="11" t="str">
        <f t="array" ref="F271">if($D271="","",index('Actuals - Billing - 2025'!$B271:$AE1169,Match($C271,'Actuals - Billing - 2025'!$B271:$B1169,0),Match(F$1,'Actuals - Billing - 2025'!$B$2:$AE$2,0)))</f>
        <v/>
      </c>
      <c r="G271" s="11" t="str">
        <f t="array" ref="G271">if($D271="","",index('Actuals - Billing - 2025'!$B271:$AE1169,Match($C271,'Actuals - Billing - 2025'!$B271:$B1169,0),Match(G$1,'Actuals - Billing - 2025'!$B$2:$AE$2,0)))</f>
        <v/>
      </c>
      <c r="H271" s="11" t="str">
        <f t="array" ref="H271">if($D271="","",index('Actuals - Billing - 2025'!$B271:$AE1169,Match($C271,'Actuals - Billing - 2025'!$B271:$B1169,0),Match(H$1,'Actuals - Billing - 2025'!$B$2:$AE$2,0)))</f>
        <v/>
      </c>
      <c r="I271" s="11"/>
      <c r="J271" s="11" t="str">
        <f t="shared" si="12"/>
        <v/>
      </c>
      <c r="K271" s="12" t="str">
        <f t="shared" si="13"/>
        <v/>
      </c>
      <c r="L271" s="1" t="str">
        <f t="shared" si="10"/>
        <v/>
      </c>
      <c r="M271" s="4" t="str">
        <f t="shared" si="14"/>
        <v/>
      </c>
      <c r="N271" s="17" t="str">
        <f>if(M271&lt;&gt;"",'Actuals - Billing - 2025'!BG503,"")</f>
        <v/>
      </c>
      <c r="O271" s="15"/>
    </row>
    <row r="272">
      <c r="A272" s="7" t="str">
        <f t="shared" si="11"/>
        <v/>
      </c>
      <c r="B272" s="8" t="str">
        <f>if(and('Actuals - Billing - 2025'!E$261=True,C272&lt;&gt;""),'Actuals - Billing - 2025'!C504,"")</f>
        <v/>
      </c>
      <c r="C272" s="9" t="str">
        <f>IF(and('Actuals - Billing - 2025'!E$261=True,sum('Actuals - Billing - 2025'!T504:Y504)&gt;0),'Actuals - Billing - 2025'!B504,"")</f>
        <v/>
      </c>
      <c r="D272" s="10" t="str">
        <f>if(and(sum('Actuals - Billing - 2025'!T504:Y504)&gt;0,C272&lt;&gt;""),'Actuals - Billing - 2025'!$U$2,"")</f>
        <v/>
      </c>
      <c r="E272" s="11" t="str">
        <f t="array" ref="E272">if($D272="","",index('Actuals - Billing - 2025'!$B272:$AE1170,Match($C272,'Actuals - Billing - 2025'!$B272:$B1170,0),Match(E$1,'Actuals - Billing - 2025'!$B$2:$AE$2,0)))</f>
        <v/>
      </c>
      <c r="F272" s="11" t="str">
        <f t="array" ref="F272">if($D272="","",index('Actuals - Billing - 2025'!$B272:$AE1170,Match($C272,'Actuals - Billing - 2025'!$B272:$B1170,0),Match(F$1,'Actuals - Billing - 2025'!$B$2:$AE$2,0)))</f>
        <v/>
      </c>
      <c r="G272" s="11" t="str">
        <f t="array" ref="G272">if($D272="","",index('Actuals - Billing - 2025'!$B272:$AE1170,Match($C272,'Actuals - Billing - 2025'!$B272:$B1170,0),Match(G$1,'Actuals - Billing - 2025'!$B$2:$AE$2,0)))</f>
        <v/>
      </c>
      <c r="H272" s="11" t="str">
        <f t="array" ref="H272">if($D272="","",index('Actuals - Billing - 2025'!$B272:$AE1170,Match($C272,'Actuals - Billing - 2025'!$B272:$B1170,0),Match(H$1,'Actuals - Billing - 2025'!$B$2:$AE$2,0)))</f>
        <v/>
      </c>
      <c r="I272" s="11"/>
      <c r="J272" s="11" t="str">
        <f t="shared" si="12"/>
        <v/>
      </c>
      <c r="K272" s="12" t="str">
        <f t="shared" si="13"/>
        <v/>
      </c>
      <c r="L272" s="1" t="str">
        <f t="shared" si="10"/>
        <v/>
      </c>
      <c r="M272" s="4" t="str">
        <f t="shared" si="14"/>
        <v/>
      </c>
      <c r="N272" s="17" t="str">
        <f>if(M272&lt;&gt;"",'Actuals - Billing - 2025'!BG504,"")</f>
        <v/>
      </c>
      <c r="O272" s="15"/>
    </row>
    <row r="273">
      <c r="A273" s="7" t="str">
        <f t="shared" si="11"/>
        <v/>
      </c>
      <c r="B273" s="8" t="str">
        <f>if(and('Actuals - Billing - 2025'!E$261=True,C273&lt;&gt;""),'Actuals - Billing - 2025'!C505,"")</f>
        <v/>
      </c>
      <c r="C273" s="9" t="str">
        <f>IF(and('Actuals - Billing - 2025'!E$261=True,sum('Actuals - Billing - 2025'!T505:Y505)&gt;0),'Actuals - Billing - 2025'!B505,"")</f>
        <v/>
      </c>
      <c r="D273" s="10" t="str">
        <f>if(and(sum('Actuals - Billing - 2025'!T505:Y505)&gt;0,C273&lt;&gt;""),'Actuals - Billing - 2025'!$U$2,"")</f>
        <v/>
      </c>
      <c r="E273" s="11" t="str">
        <f t="array" ref="E273">if($D273="","",index('Actuals - Billing - 2025'!$B273:$AE1171,Match($C273,'Actuals - Billing - 2025'!$B273:$B1171,0),Match(E$1,'Actuals - Billing - 2025'!$B$2:$AE$2,0)))</f>
        <v/>
      </c>
      <c r="F273" s="11" t="str">
        <f t="array" ref="F273">if($D273="","",index('Actuals - Billing - 2025'!$B273:$AE1171,Match($C273,'Actuals - Billing - 2025'!$B273:$B1171,0),Match(F$1,'Actuals - Billing - 2025'!$B$2:$AE$2,0)))</f>
        <v/>
      </c>
      <c r="G273" s="11" t="str">
        <f t="array" ref="G273">if($D273="","",index('Actuals - Billing - 2025'!$B273:$AE1171,Match($C273,'Actuals - Billing - 2025'!$B273:$B1171,0),Match(G$1,'Actuals - Billing - 2025'!$B$2:$AE$2,0)))</f>
        <v/>
      </c>
      <c r="H273" s="11" t="str">
        <f t="array" ref="H273">if($D273="","",index('Actuals - Billing - 2025'!$B273:$AE1171,Match($C273,'Actuals - Billing - 2025'!$B273:$B1171,0),Match(H$1,'Actuals - Billing - 2025'!$B$2:$AE$2,0)))</f>
        <v/>
      </c>
      <c r="I273" s="11"/>
      <c r="J273" s="11" t="str">
        <f t="shared" si="12"/>
        <v/>
      </c>
      <c r="K273" s="12" t="str">
        <f t="shared" si="13"/>
        <v/>
      </c>
      <c r="L273" s="1" t="str">
        <f t="shared" si="10"/>
        <v/>
      </c>
      <c r="M273" s="4" t="str">
        <f t="shared" si="14"/>
        <v/>
      </c>
      <c r="N273" s="17" t="str">
        <f>if(M273&lt;&gt;"",'Actuals - Billing - 2025'!BG505,"")</f>
        <v/>
      </c>
      <c r="O273" s="15"/>
    </row>
    <row r="274">
      <c r="A274" s="7" t="str">
        <f t="shared" si="11"/>
        <v/>
      </c>
      <c r="B274" s="8" t="str">
        <f>if(and('Actuals - Billing - 2025'!E$261=True,C274&lt;&gt;""),'Actuals - Billing - 2025'!C506,"")</f>
        <v/>
      </c>
      <c r="C274" s="9" t="str">
        <f>IF(and('Actuals - Billing - 2025'!E$261=True,sum('Actuals - Billing - 2025'!T506:Y506)&gt;0),'Actuals - Billing - 2025'!B506,"")</f>
        <v/>
      </c>
      <c r="D274" s="10" t="str">
        <f>if(and(sum('Actuals - Billing - 2025'!T506:Y506)&gt;0,C274&lt;&gt;""),'Actuals - Billing - 2025'!$U$2,"")</f>
        <v/>
      </c>
      <c r="E274" s="11" t="str">
        <f t="array" ref="E274">if($D274="","",index('Actuals - Billing - 2025'!$B274:$AE1172,Match($C274,'Actuals - Billing - 2025'!$B274:$B1172,0),Match(E$1,'Actuals - Billing - 2025'!$B$2:$AE$2,0)))</f>
        <v/>
      </c>
      <c r="F274" s="11" t="str">
        <f t="array" ref="F274">if($D274="","",index('Actuals - Billing - 2025'!$B274:$AE1172,Match($C274,'Actuals - Billing - 2025'!$B274:$B1172,0),Match(F$1,'Actuals - Billing - 2025'!$B$2:$AE$2,0)))</f>
        <v/>
      </c>
      <c r="G274" s="11" t="str">
        <f t="array" ref="G274">if($D274="","",index('Actuals - Billing - 2025'!$B274:$AE1172,Match($C274,'Actuals - Billing - 2025'!$B274:$B1172,0),Match(G$1,'Actuals - Billing - 2025'!$B$2:$AE$2,0)))</f>
        <v/>
      </c>
      <c r="H274" s="11" t="str">
        <f t="array" ref="H274">if($D274="","",index('Actuals - Billing - 2025'!$B274:$AE1172,Match($C274,'Actuals - Billing - 2025'!$B274:$B1172,0),Match(H$1,'Actuals - Billing - 2025'!$B$2:$AE$2,0)))</f>
        <v/>
      </c>
      <c r="I274" s="11"/>
      <c r="J274" s="11" t="str">
        <f t="shared" si="12"/>
        <v/>
      </c>
      <c r="K274" s="12" t="str">
        <f t="shared" si="13"/>
        <v/>
      </c>
      <c r="L274" s="1" t="str">
        <f t="shared" si="10"/>
        <v/>
      </c>
      <c r="M274" s="4" t="str">
        <f t="shared" si="14"/>
        <v/>
      </c>
      <c r="N274" s="17" t="str">
        <f>if(M274&lt;&gt;"",'Actuals - Billing - 2025'!BG506,"")</f>
        <v/>
      </c>
      <c r="O274" s="15"/>
    </row>
    <row r="275">
      <c r="A275" s="7" t="str">
        <f t="shared" si="11"/>
        <v/>
      </c>
      <c r="B275" s="8" t="str">
        <f>if(and('Actuals - Billing - 2025'!E$261=True,C275&lt;&gt;""),'Actuals - Billing - 2025'!C507,"")</f>
        <v/>
      </c>
      <c r="C275" s="9" t="str">
        <f>IF(and('Actuals - Billing - 2025'!E$261=True,sum('Actuals - Billing - 2025'!T507:Y507)&gt;0),'Actuals - Billing - 2025'!B507,"")</f>
        <v/>
      </c>
      <c r="D275" s="10" t="str">
        <f>if(and(sum('Actuals - Billing - 2025'!T507:Y507)&gt;0,C275&lt;&gt;""),'Actuals - Billing - 2025'!$U$2,"")</f>
        <v/>
      </c>
      <c r="E275" s="11" t="str">
        <f t="array" ref="E275">if($D275="","",index('Actuals - Billing - 2025'!$B275:$AE1173,Match($C275,'Actuals - Billing - 2025'!$B275:$B1173,0),Match(E$1,'Actuals - Billing - 2025'!$B$2:$AE$2,0)))</f>
        <v/>
      </c>
      <c r="F275" s="11" t="str">
        <f t="array" ref="F275">if($D275="","",index('Actuals - Billing - 2025'!$B275:$AE1173,Match($C275,'Actuals - Billing - 2025'!$B275:$B1173,0),Match(F$1,'Actuals - Billing - 2025'!$B$2:$AE$2,0)))</f>
        <v/>
      </c>
      <c r="G275" s="11" t="str">
        <f t="array" ref="G275">if($D275="","",index('Actuals - Billing - 2025'!$B275:$AE1173,Match($C275,'Actuals - Billing - 2025'!$B275:$B1173,0),Match(G$1,'Actuals - Billing - 2025'!$B$2:$AE$2,0)))</f>
        <v/>
      </c>
      <c r="H275" s="11" t="str">
        <f t="array" ref="H275">if($D275="","",index('Actuals - Billing - 2025'!$B275:$AE1173,Match($C275,'Actuals - Billing - 2025'!$B275:$B1173,0),Match(H$1,'Actuals - Billing - 2025'!$B$2:$AE$2,0)))</f>
        <v/>
      </c>
      <c r="I275" s="11"/>
      <c r="J275" s="11" t="str">
        <f t="shared" si="12"/>
        <v/>
      </c>
      <c r="K275" s="12" t="str">
        <f t="shared" si="13"/>
        <v/>
      </c>
      <c r="L275" s="1" t="str">
        <f t="shared" si="10"/>
        <v/>
      </c>
      <c r="M275" s="4" t="str">
        <f t="shared" si="14"/>
        <v/>
      </c>
      <c r="N275" s="17" t="str">
        <f>if(M275&lt;&gt;"",'Actuals - Billing - 2025'!BG507,"")</f>
        <v/>
      </c>
      <c r="O275" s="15"/>
    </row>
    <row r="276">
      <c r="A276" s="7" t="str">
        <f t="shared" si="11"/>
        <v/>
      </c>
      <c r="B276" s="8" t="str">
        <f>if(and('Actuals - Billing - 2025'!E$261=True,C276&lt;&gt;""),'Actuals - Billing - 2025'!C508,"")</f>
        <v/>
      </c>
      <c r="C276" s="9" t="str">
        <f>IF(and('Actuals - Billing - 2025'!E$261=True,sum('Actuals - Billing - 2025'!T508:Y508)&gt;0),'Actuals - Billing - 2025'!B508,"")</f>
        <v/>
      </c>
      <c r="D276" s="10" t="str">
        <f>if(and(sum('Actuals - Billing - 2025'!T508:Y508)&gt;0,C276&lt;&gt;""),'Actuals - Billing - 2025'!$U$2,"")</f>
        <v/>
      </c>
      <c r="E276" s="11" t="str">
        <f t="array" ref="E276">if($D276="","",index('Actuals - Billing - 2025'!$B276:$AE1174,Match($C276,'Actuals - Billing - 2025'!$B276:$B1174,0),Match(E$1,'Actuals - Billing - 2025'!$B$2:$AE$2,0)))</f>
        <v/>
      </c>
      <c r="F276" s="11" t="str">
        <f t="array" ref="F276">if($D276="","",index('Actuals - Billing - 2025'!$B276:$AE1174,Match($C276,'Actuals - Billing - 2025'!$B276:$B1174,0),Match(F$1,'Actuals - Billing - 2025'!$B$2:$AE$2,0)))</f>
        <v/>
      </c>
      <c r="G276" s="11" t="str">
        <f t="array" ref="G276">if($D276="","",index('Actuals - Billing - 2025'!$B276:$AE1174,Match($C276,'Actuals - Billing - 2025'!$B276:$B1174,0),Match(G$1,'Actuals - Billing - 2025'!$B$2:$AE$2,0)))</f>
        <v/>
      </c>
      <c r="H276" s="11" t="str">
        <f t="array" ref="H276">if($D276="","",index('Actuals - Billing - 2025'!$B276:$AE1174,Match($C276,'Actuals - Billing - 2025'!$B276:$B1174,0),Match(H$1,'Actuals - Billing - 2025'!$B$2:$AE$2,0)))</f>
        <v/>
      </c>
      <c r="I276" s="11"/>
      <c r="J276" s="11" t="str">
        <f t="shared" si="12"/>
        <v/>
      </c>
      <c r="K276" s="12" t="str">
        <f t="shared" si="13"/>
        <v/>
      </c>
      <c r="L276" s="1" t="str">
        <f t="shared" si="10"/>
        <v/>
      </c>
      <c r="M276" s="4" t="str">
        <f t="shared" si="14"/>
        <v/>
      </c>
      <c r="N276" s="17" t="str">
        <f>if(M276&lt;&gt;"",'Actuals - Billing - 2025'!BG508,"")</f>
        <v/>
      </c>
      <c r="O276" s="15"/>
    </row>
    <row r="277">
      <c r="A277" s="7" t="str">
        <f t="shared" si="11"/>
        <v/>
      </c>
      <c r="B277" s="8" t="str">
        <f>if(and('Actuals - Billing - 2025'!E$261=True,C277&lt;&gt;""),'Actuals - Billing - 2025'!C509,"")</f>
        <v/>
      </c>
      <c r="C277" s="9" t="str">
        <f>IF(and('Actuals - Billing - 2025'!E$261=True,sum('Actuals - Billing - 2025'!T509:Y509)&gt;0),'Actuals - Billing - 2025'!B509,"")</f>
        <v/>
      </c>
      <c r="D277" s="10" t="str">
        <f>if(and(sum('Actuals - Billing - 2025'!T509:Y509)&gt;0,C277&lt;&gt;""),'Actuals - Billing - 2025'!$U$2,"")</f>
        <v/>
      </c>
      <c r="E277" s="11" t="str">
        <f t="array" ref="E277">if($D277="","",index('Actuals - Billing - 2025'!$B277:$AE1175,Match($C277,'Actuals - Billing - 2025'!$B277:$B1175,0),Match(E$1,'Actuals - Billing - 2025'!$B$2:$AE$2,0)))</f>
        <v/>
      </c>
      <c r="F277" s="11" t="str">
        <f t="array" ref="F277">if($D277="","",index('Actuals - Billing - 2025'!$B277:$AE1175,Match($C277,'Actuals - Billing - 2025'!$B277:$B1175,0),Match(F$1,'Actuals - Billing - 2025'!$B$2:$AE$2,0)))</f>
        <v/>
      </c>
      <c r="G277" s="11" t="str">
        <f t="array" ref="G277">if($D277="","",index('Actuals - Billing - 2025'!$B277:$AE1175,Match($C277,'Actuals - Billing - 2025'!$B277:$B1175,0),Match(G$1,'Actuals - Billing - 2025'!$B$2:$AE$2,0)))</f>
        <v/>
      </c>
      <c r="H277" s="11" t="str">
        <f t="array" ref="H277">if($D277="","",index('Actuals - Billing - 2025'!$B277:$AE1175,Match($C277,'Actuals - Billing - 2025'!$B277:$B1175,0),Match(H$1,'Actuals - Billing - 2025'!$B$2:$AE$2,0)))</f>
        <v/>
      </c>
      <c r="I277" s="11"/>
      <c r="J277" s="11" t="str">
        <f t="shared" si="12"/>
        <v/>
      </c>
      <c r="K277" s="12" t="str">
        <f t="shared" si="13"/>
        <v/>
      </c>
      <c r="L277" s="1" t="str">
        <f t="shared" si="10"/>
        <v/>
      </c>
      <c r="M277" s="4" t="str">
        <f t="shared" si="14"/>
        <v/>
      </c>
      <c r="N277" s="17" t="str">
        <f>if(M277&lt;&gt;"",'Actuals - Billing - 2025'!BG509,"")</f>
        <v/>
      </c>
      <c r="O277" s="15"/>
    </row>
    <row r="278">
      <c r="A278" s="7" t="str">
        <f t="shared" si="11"/>
        <v/>
      </c>
      <c r="B278" s="8" t="str">
        <f>if(and('Actuals - Billing - 2025'!E$261=True,C278&lt;&gt;""),'Actuals - Billing - 2025'!C510,"")</f>
        <v/>
      </c>
      <c r="C278" s="9" t="str">
        <f>IF(and('Actuals - Billing - 2025'!E$261=True,sum('Actuals - Billing - 2025'!T510:Y510)&gt;0),'Actuals - Billing - 2025'!B510,"")</f>
        <v/>
      </c>
      <c r="D278" s="10" t="str">
        <f>if(and(sum('Actuals - Billing - 2025'!T510:Y510)&gt;0,C278&lt;&gt;""),'Actuals - Billing - 2025'!$U$2,"")</f>
        <v/>
      </c>
      <c r="E278" s="11" t="str">
        <f t="array" ref="E278">if($D278="","",index('Actuals - Billing - 2025'!$B278:$AE1176,Match($C278,'Actuals - Billing - 2025'!$B278:$B1176,0),Match(E$1,'Actuals - Billing - 2025'!$B$2:$AE$2,0)))</f>
        <v/>
      </c>
      <c r="F278" s="11" t="str">
        <f t="array" ref="F278">if($D278="","",index('Actuals - Billing - 2025'!$B278:$AE1176,Match($C278,'Actuals - Billing - 2025'!$B278:$B1176,0),Match(F$1,'Actuals - Billing - 2025'!$B$2:$AE$2,0)))</f>
        <v/>
      </c>
      <c r="G278" s="11" t="str">
        <f t="array" ref="G278">if($D278="","",index('Actuals - Billing - 2025'!$B278:$AE1176,Match($C278,'Actuals - Billing - 2025'!$B278:$B1176,0),Match(G$1,'Actuals - Billing - 2025'!$B$2:$AE$2,0)))</f>
        <v/>
      </c>
      <c r="H278" s="11" t="str">
        <f t="array" ref="H278">if($D278="","",index('Actuals - Billing - 2025'!$B278:$AE1176,Match($C278,'Actuals - Billing - 2025'!$B278:$B1176,0),Match(H$1,'Actuals - Billing - 2025'!$B$2:$AE$2,0)))</f>
        <v/>
      </c>
      <c r="I278" s="11"/>
      <c r="J278" s="11" t="str">
        <f t="shared" si="12"/>
        <v/>
      </c>
      <c r="K278" s="12" t="str">
        <f t="shared" si="13"/>
        <v/>
      </c>
      <c r="L278" s="1" t="str">
        <f t="shared" si="10"/>
        <v/>
      </c>
      <c r="M278" s="4" t="str">
        <f t="shared" si="14"/>
        <v/>
      </c>
      <c r="N278" s="17" t="str">
        <f>if(M278&lt;&gt;"",'Actuals - Billing - 2025'!BG510,"")</f>
        <v/>
      </c>
      <c r="O278" s="15"/>
    </row>
    <row r="279">
      <c r="A279" s="7" t="str">
        <f t="shared" si="11"/>
        <v/>
      </c>
      <c r="B279" s="8" t="str">
        <f>if(and('Actuals - Billing - 2025'!E$261=True,C279&lt;&gt;""),'Actuals - Billing - 2025'!C511,"")</f>
        <v/>
      </c>
      <c r="C279" s="9" t="str">
        <f>IF(and('Actuals - Billing - 2025'!E$261=True,sum('Actuals - Billing - 2025'!T511:Y511)&gt;0),'Actuals - Billing - 2025'!B511,"")</f>
        <v/>
      </c>
      <c r="D279" s="10" t="str">
        <f>if(and(sum('Actuals - Billing - 2025'!T511:Y511)&gt;0,C279&lt;&gt;""),'Actuals - Billing - 2025'!$U$2,"")</f>
        <v/>
      </c>
      <c r="E279" s="11" t="str">
        <f t="array" ref="E279">if($D279="","",index('Actuals - Billing - 2025'!$B279:$AE1177,Match($C279,'Actuals - Billing - 2025'!$B279:$B1177,0),Match(E$1,'Actuals - Billing - 2025'!$B$2:$AE$2,0)))</f>
        <v/>
      </c>
      <c r="F279" s="11" t="str">
        <f t="array" ref="F279">if($D279="","",index('Actuals - Billing - 2025'!$B279:$AE1177,Match($C279,'Actuals - Billing - 2025'!$B279:$B1177,0),Match(F$1,'Actuals - Billing - 2025'!$B$2:$AE$2,0)))</f>
        <v/>
      </c>
      <c r="G279" s="11" t="str">
        <f t="array" ref="G279">if($D279="","",index('Actuals - Billing - 2025'!$B279:$AE1177,Match($C279,'Actuals - Billing - 2025'!$B279:$B1177,0),Match(G$1,'Actuals - Billing - 2025'!$B$2:$AE$2,0)))</f>
        <v/>
      </c>
      <c r="H279" s="11" t="str">
        <f t="array" ref="H279">if($D279="","",index('Actuals - Billing - 2025'!$B279:$AE1177,Match($C279,'Actuals - Billing - 2025'!$B279:$B1177,0),Match(H$1,'Actuals - Billing - 2025'!$B$2:$AE$2,0)))</f>
        <v/>
      </c>
      <c r="I279" s="11"/>
      <c r="J279" s="11" t="str">
        <f t="shared" si="12"/>
        <v/>
      </c>
      <c r="K279" s="12" t="str">
        <f t="shared" si="13"/>
        <v/>
      </c>
      <c r="L279" s="1" t="str">
        <f t="shared" si="10"/>
        <v/>
      </c>
      <c r="M279" s="4" t="str">
        <f t="shared" si="14"/>
        <v/>
      </c>
      <c r="N279" s="17" t="str">
        <f>if(M279&lt;&gt;"",'Actuals - Billing - 2025'!BG511,"")</f>
        <v/>
      </c>
      <c r="O279" s="15"/>
    </row>
    <row r="280">
      <c r="A280" s="7" t="str">
        <f t="shared" si="11"/>
        <v/>
      </c>
      <c r="B280" s="8" t="str">
        <f>if(and('Actuals - Billing - 2025'!E$261=True,C280&lt;&gt;""),'Actuals - Billing - 2025'!C512,"")</f>
        <v/>
      </c>
      <c r="C280" s="9" t="str">
        <f>IF(and('Actuals - Billing - 2025'!E$261=True,sum('Actuals - Billing - 2025'!T512:Y512)&gt;0),'Actuals - Billing - 2025'!B512,"")</f>
        <v/>
      </c>
      <c r="D280" s="10" t="str">
        <f>if(and(sum('Actuals - Billing - 2025'!T512:Y512)&gt;0,C280&lt;&gt;""),'Actuals - Billing - 2025'!$U$2,"")</f>
        <v/>
      </c>
      <c r="E280" s="11" t="str">
        <f t="array" ref="E280">if($D280="","",index('Actuals - Billing - 2025'!$B280:$AE1178,Match($C280,'Actuals - Billing - 2025'!$B280:$B1178,0),Match(E$1,'Actuals - Billing - 2025'!$B$2:$AE$2,0)))</f>
        <v/>
      </c>
      <c r="F280" s="11" t="str">
        <f t="array" ref="F280">if($D280="","",index('Actuals - Billing - 2025'!$B280:$AE1178,Match($C280,'Actuals - Billing - 2025'!$B280:$B1178,0),Match(F$1,'Actuals - Billing - 2025'!$B$2:$AE$2,0)))</f>
        <v/>
      </c>
      <c r="G280" s="11" t="str">
        <f t="array" ref="G280">if($D280="","",index('Actuals - Billing - 2025'!$B280:$AE1178,Match($C280,'Actuals - Billing - 2025'!$B280:$B1178,0),Match(G$1,'Actuals - Billing - 2025'!$B$2:$AE$2,0)))</f>
        <v/>
      </c>
      <c r="H280" s="11" t="str">
        <f t="array" ref="H280">if($D280="","",index('Actuals - Billing - 2025'!$B280:$AE1178,Match($C280,'Actuals - Billing - 2025'!$B280:$B1178,0),Match(H$1,'Actuals - Billing - 2025'!$B$2:$AE$2,0)))</f>
        <v/>
      </c>
      <c r="I280" s="11"/>
      <c r="J280" s="11" t="str">
        <f t="shared" si="12"/>
        <v/>
      </c>
      <c r="K280" s="12" t="str">
        <f t="shared" si="13"/>
        <v/>
      </c>
      <c r="L280" s="1" t="str">
        <f t="shared" si="10"/>
        <v/>
      </c>
      <c r="M280" s="4" t="str">
        <f t="shared" si="14"/>
        <v/>
      </c>
      <c r="N280" s="17" t="str">
        <f>if(M280&lt;&gt;"",'Actuals - Billing - 2025'!BG512,"")</f>
        <v/>
      </c>
      <c r="O280" s="15"/>
    </row>
    <row r="281">
      <c r="A281" s="7" t="str">
        <f t="shared" si="11"/>
        <v/>
      </c>
      <c r="B281" s="8" t="str">
        <f>if(and('Actuals - Billing - 2025'!E$261=True,C281&lt;&gt;""),'Actuals - Billing - 2025'!C513,"")</f>
        <v/>
      </c>
      <c r="C281" s="9" t="str">
        <f>IF(and('Actuals - Billing - 2025'!E$261=True,sum('Actuals - Billing - 2025'!T513:Y513)&gt;0),'Actuals - Billing - 2025'!B513,"")</f>
        <v/>
      </c>
      <c r="D281" s="10" t="str">
        <f>if(and(sum('Actuals - Billing - 2025'!T513:Y513)&gt;0,C281&lt;&gt;""),'Actuals - Billing - 2025'!$U$2,"")</f>
        <v/>
      </c>
      <c r="E281" s="11" t="str">
        <f t="array" ref="E281">if($D281="","",index('Actuals - Billing - 2025'!$B281:$AE1179,Match($C281,'Actuals - Billing - 2025'!$B281:$B1179,0),Match(E$1,'Actuals - Billing - 2025'!$B$2:$AE$2,0)))</f>
        <v/>
      </c>
      <c r="F281" s="11" t="str">
        <f t="array" ref="F281">if($D281="","",index('Actuals - Billing - 2025'!$B281:$AE1179,Match($C281,'Actuals - Billing - 2025'!$B281:$B1179,0),Match(F$1,'Actuals - Billing - 2025'!$B$2:$AE$2,0)))</f>
        <v/>
      </c>
      <c r="G281" s="11" t="str">
        <f t="array" ref="G281">if($D281="","",index('Actuals - Billing - 2025'!$B281:$AE1179,Match($C281,'Actuals - Billing - 2025'!$B281:$B1179,0),Match(G$1,'Actuals - Billing - 2025'!$B$2:$AE$2,0)))</f>
        <v/>
      </c>
      <c r="H281" s="11" t="str">
        <f t="array" ref="H281">if($D281="","",index('Actuals - Billing - 2025'!$B281:$AE1179,Match($C281,'Actuals - Billing - 2025'!$B281:$B1179,0),Match(H$1,'Actuals - Billing - 2025'!$B$2:$AE$2,0)))</f>
        <v/>
      </c>
      <c r="I281" s="11"/>
      <c r="J281" s="11" t="str">
        <f t="shared" si="12"/>
        <v/>
      </c>
      <c r="K281" s="12" t="str">
        <f t="shared" si="13"/>
        <v/>
      </c>
      <c r="L281" s="1" t="str">
        <f t="shared" si="10"/>
        <v/>
      </c>
      <c r="M281" s="4" t="str">
        <f t="shared" si="14"/>
        <v/>
      </c>
      <c r="N281" s="17" t="str">
        <f>if(M281&lt;&gt;"",'Actuals - Billing - 2025'!BG513,"")</f>
        <v/>
      </c>
      <c r="O281" s="15"/>
    </row>
    <row r="282">
      <c r="A282" s="7" t="str">
        <f t="shared" si="11"/>
        <v/>
      </c>
      <c r="B282" s="8" t="str">
        <f>if(and('Actuals - Billing - 2025'!E$261=True,C282&lt;&gt;""),'Actuals - Billing - 2025'!C514,"")</f>
        <v/>
      </c>
      <c r="C282" s="9" t="str">
        <f>IF(and('Actuals - Billing - 2025'!E$261=True,sum('Actuals - Billing - 2025'!T514:Y514)&gt;0),'Actuals - Billing - 2025'!B514,"")</f>
        <v/>
      </c>
      <c r="D282" s="10" t="str">
        <f>if(and(sum('Actuals - Billing - 2025'!T514:Y514)&gt;0,C282&lt;&gt;""),'Actuals - Billing - 2025'!$U$2,"")</f>
        <v/>
      </c>
      <c r="E282" s="11" t="str">
        <f t="array" ref="E282">if($D282="","",index('Actuals - Billing - 2025'!$B282:$AE1180,Match($C282,'Actuals - Billing - 2025'!$B282:$B1180,0),Match(E$1,'Actuals - Billing - 2025'!$B$2:$AE$2,0)))</f>
        <v/>
      </c>
      <c r="F282" s="11" t="str">
        <f t="array" ref="F282">if($D282="","",index('Actuals - Billing - 2025'!$B282:$AE1180,Match($C282,'Actuals - Billing - 2025'!$B282:$B1180,0),Match(F$1,'Actuals - Billing - 2025'!$B$2:$AE$2,0)))</f>
        <v/>
      </c>
      <c r="G282" s="11" t="str">
        <f t="array" ref="G282">if($D282="","",index('Actuals - Billing - 2025'!$B282:$AE1180,Match($C282,'Actuals - Billing - 2025'!$B282:$B1180,0),Match(G$1,'Actuals - Billing - 2025'!$B$2:$AE$2,0)))</f>
        <v/>
      </c>
      <c r="H282" s="11" t="str">
        <f t="array" ref="H282">if($D282="","",index('Actuals - Billing - 2025'!$B282:$AE1180,Match($C282,'Actuals - Billing - 2025'!$B282:$B1180,0),Match(H$1,'Actuals - Billing - 2025'!$B$2:$AE$2,0)))</f>
        <v/>
      </c>
      <c r="I282" s="11"/>
      <c r="J282" s="11" t="str">
        <f t="shared" si="12"/>
        <v/>
      </c>
      <c r="K282" s="12" t="str">
        <f t="shared" si="13"/>
        <v/>
      </c>
      <c r="L282" s="1" t="str">
        <f t="shared" si="10"/>
        <v/>
      </c>
      <c r="M282" s="4" t="str">
        <f t="shared" si="14"/>
        <v/>
      </c>
      <c r="N282" s="17" t="str">
        <f>if(M282&lt;&gt;"",'Actuals - Billing - 2025'!BG514,"")</f>
        <v/>
      </c>
      <c r="O282" s="15"/>
    </row>
    <row r="283">
      <c r="A283" s="7" t="str">
        <f t="shared" si="11"/>
        <v/>
      </c>
      <c r="B283" s="8" t="str">
        <f>if(and('Actuals - Billing - 2025'!E$261=True,C283&lt;&gt;""),'Actuals - Billing - 2025'!C515,"")</f>
        <v/>
      </c>
      <c r="C283" s="9" t="str">
        <f>IF(and('Actuals - Billing - 2025'!E$261=True,sum('Actuals - Billing - 2025'!T515:Y515)&gt;0),'Actuals - Billing - 2025'!B515,"")</f>
        <v/>
      </c>
      <c r="D283" s="10" t="str">
        <f>if(and(sum('Actuals - Billing - 2025'!T515:Y515)&gt;0,C283&lt;&gt;""),'Actuals - Billing - 2025'!$U$2,"")</f>
        <v/>
      </c>
      <c r="E283" s="11" t="str">
        <f t="array" ref="E283">if($D283="","",index('Actuals - Billing - 2025'!$B283:$AE1181,Match($C283,'Actuals - Billing - 2025'!$B283:$B1181,0),Match(E$1,'Actuals - Billing - 2025'!$B$2:$AE$2,0)))</f>
        <v/>
      </c>
      <c r="F283" s="11" t="str">
        <f t="array" ref="F283">if($D283="","",index('Actuals - Billing - 2025'!$B283:$AE1181,Match($C283,'Actuals - Billing - 2025'!$B283:$B1181,0),Match(F$1,'Actuals - Billing - 2025'!$B$2:$AE$2,0)))</f>
        <v/>
      </c>
      <c r="G283" s="11" t="str">
        <f t="array" ref="G283">if($D283="","",index('Actuals - Billing - 2025'!$B283:$AE1181,Match($C283,'Actuals - Billing - 2025'!$B283:$B1181,0),Match(G$1,'Actuals - Billing - 2025'!$B$2:$AE$2,0)))</f>
        <v/>
      </c>
      <c r="H283" s="11" t="str">
        <f t="array" ref="H283">if($D283="","",index('Actuals - Billing - 2025'!$B283:$AE1181,Match($C283,'Actuals - Billing - 2025'!$B283:$B1181,0),Match(H$1,'Actuals - Billing - 2025'!$B$2:$AE$2,0)))</f>
        <v/>
      </c>
      <c r="I283" s="11"/>
      <c r="J283" s="11" t="str">
        <f t="shared" si="12"/>
        <v/>
      </c>
      <c r="K283" s="12" t="str">
        <f t="shared" si="13"/>
        <v/>
      </c>
      <c r="L283" s="1" t="str">
        <f t="shared" si="10"/>
        <v/>
      </c>
      <c r="M283" s="4" t="str">
        <f t="shared" si="14"/>
        <v/>
      </c>
      <c r="N283" s="17" t="str">
        <f>if(M283&lt;&gt;"",'Actuals - Billing - 2025'!BG515,"")</f>
        <v/>
      </c>
      <c r="O283" s="15"/>
    </row>
    <row r="284">
      <c r="A284" s="7" t="str">
        <f t="shared" si="11"/>
        <v/>
      </c>
      <c r="B284" s="8" t="str">
        <f>if(and('Actuals - Billing - 2025'!E$261=True,C284&lt;&gt;""),'Actuals - Billing - 2025'!C516,"")</f>
        <v/>
      </c>
      <c r="C284" s="9" t="str">
        <f>IF(and('Actuals - Billing - 2025'!E$261=True,sum('Actuals - Billing - 2025'!T516:Y516)&gt;0),'Actuals - Billing - 2025'!B516,"")</f>
        <v/>
      </c>
      <c r="D284" s="10" t="str">
        <f>if(and(sum('Actuals - Billing - 2025'!T516:Y516)&gt;0,C284&lt;&gt;""),'Actuals - Billing - 2025'!$U$2,"")</f>
        <v/>
      </c>
      <c r="E284" s="11" t="str">
        <f t="array" ref="E284">if($D284="","",index('Actuals - Billing - 2025'!$B284:$AE1182,Match($C284,'Actuals - Billing - 2025'!$B284:$B1182,0),Match(E$1,'Actuals - Billing - 2025'!$B$2:$AE$2,0)))</f>
        <v/>
      </c>
      <c r="F284" s="11" t="str">
        <f t="array" ref="F284">if($D284="","",index('Actuals - Billing - 2025'!$B284:$AE1182,Match($C284,'Actuals - Billing - 2025'!$B284:$B1182,0),Match(F$1,'Actuals - Billing - 2025'!$B$2:$AE$2,0)))</f>
        <v/>
      </c>
      <c r="G284" s="11" t="str">
        <f t="array" ref="G284">if($D284="","",index('Actuals - Billing - 2025'!$B284:$AE1182,Match($C284,'Actuals - Billing - 2025'!$B284:$B1182,0),Match(G$1,'Actuals - Billing - 2025'!$B$2:$AE$2,0)))</f>
        <v/>
      </c>
      <c r="H284" s="11" t="str">
        <f t="array" ref="H284">if($D284="","",index('Actuals - Billing - 2025'!$B284:$AE1182,Match($C284,'Actuals - Billing - 2025'!$B284:$B1182,0),Match(H$1,'Actuals - Billing - 2025'!$B$2:$AE$2,0)))</f>
        <v/>
      </c>
      <c r="I284" s="11"/>
      <c r="J284" s="11" t="str">
        <f t="shared" si="12"/>
        <v/>
      </c>
      <c r="K284" s="12" t="str">
        <f t="shared" si="13"/>
        <v/>
      </c>
      <c r="L284" s="1" t="str">
        <f t="shared" si="10"/>
        <v/>
      </c>
      <c r="M284" s="4" t="str">
        <f t="shared" si="14"/>
        <v/>
      </c>
      <c r="N284" s="17" t="str">
        <f>if(M284&lt;&gt;"",'Actuals - Billing - 2025'!BG516,"")</f>
        <v/>
      </c>
      <c r="O284" s="15"/>
    </row>
    <row r="285">
      <c r="A285" s="7" t="str">
        <f t="shared" si="11"/>
        <v/>
      </c>
      <c r="B285" s="8" t="str">
        <f>if(and('Actuals - Billing - 2025'!E$261=True,C285&lt;&gt;""),'Actuals - Billing - 2025'!C517,"")</f>
        <v/>
      </c>
      <c r="C285" s="9" t="str">
        <f>IF(and('Actuals - Billing - 2025'!E$261=True,sum('Actuals - Billing - 2025'!T517:Y517)&gt;0),'Actuals - Billing - 2025'!B517,"")</f>
        <v/>
      </c>
      <c r="D285" s="10" t="str">
        <f>if(and(sum('Actuals - Billing - 2025'!T517:Y517)&gt;0,C285&lt;&gt;""),'Actuals - Billing - 2025'!$U$2,"")</f>
        <v/>
      </c>
      <c r="E285" s="11" t="str">
        <f t="array" ref="E285">if($D285="","",index('Actuals - Billing - 2025'!$B285:$AE1183,Match($C285,'Actuals - Billing - 2025'!$B285:$B1183,0),Match(E$1,'Actuals - Billing - 2025'!$B$2:$AE$2,0)))</f>
        <v/>
      </c>
      <c r="F285" s="11" t="str">
        <f t="array" ref="F285">if($D285="","",index('Actuals - Billing - 2025'!$B285:$AE1183,Match($C285,'Actuals - Billing - 2025'!$B285:$B1183,0),Match(F$1,'Actuals - Billing - 2025'!$B$2:$AE$2,0)))</f>
        <v/>
      </c>
      <c r="G285" s="11" t="str">
        <f t="array" ref="G285">if($D285="","",index('Actuals - Billing - 2025'!$B285:$AE1183,Match($C285,'Actuals - Billing - 2025'!$B285:$B1183,0),Match(G$1,'Actuals - Billing - 2025'!$B$2:$AE$2,0)))</f>
        <v/>
      </c>
      <c r="H285" s="11" t="str">
        <f t="array" ref="H285">if($D285="","",index('Actuals - Billing - 2025'!$B285:$AE1183,Match($C285,'Actuals - Billing - 2025'!$B285:$B1183,0),Match(H$1,'Actuals - Billing - 2025'!$B$2:$AE$2,0)))</f>
        <v/>
      </c>
      <c r="I285" s="11"/>
      <c r="J285" s="11" t="str">
        <f t="shared" si="12"/>
        <v/>
      </c>
      <c r="K285" s="12" t="str">
        <f t="shared" si="13"/>
        <v/>
      </c>
      <c r="L285" s="1" t="str">
        <f t="shared" si="10"/>
        <v/>
      </c>
      <c r="M285" s="4" t="str">
        <f t="shared" si="14"/>
        <v/>
      </c>
      <c r="N285" s="17" t="str">
        <f>if(M285&lt;&gt;"",'Actuals - Billing - 2025'!BG517,"")</f>
        <v/>
      </c>
      <c r="O285" s="15"/>
    </row>
    <row r="286">
      <c r="A286" s="7" t="str">
        <f t="shared" si="11"/>
        <v/>
      </c>
      <c r="B286" s="8" t="str">
        <f>if(and('Actuals - Billing - 2025'!E$261=True,C286&lt;&gt;""),'Actuals - Billing - 2025'!C518,"")</f>
        <v/>
      </c>
      <c r="C286" s="9" t="str">
        <f>IF(and('Actuals - Billing - 2025'!E$261=True,sum('Actuals - Billing - 2025'!T518:Y518)&gt;0),'Actuals - Billing - 2025'!B518,"")</f>
        <v/>
      </c>
      <c r="D286" s="10" t="str">
        <f>if(and(sum('Actuals - Billing - 2025'!T518:Y518)&gt;0,C286&lt;&gt;""),'Actuals - Billing - 2025'!$U$2,"")</f>
        <v/>
      </c>
      <c r="E286" s="11" t="str">
        <f t="array" ref="E286">if($D286="","",index('Actuals - Billing - 2025'!$B286:$AE1184,Match($C286,'Actuals - Billing - 2025'!$B286:$B1184,0),Match(E$1,'Actuals - Billing - 2025'!$B$2:$AE$2,0)))</f>
        <v/>
      </c>
      <c r="F286" s="11" t="str">
        <f t="array" ref="F286">if($D286="","",index('Actuals - Billing - 2025'!$B286:$AE1184,Match($C286,'Actuals - Billing - 2025'!$B286:$B1184,0),Match(F$1,'Actuals - Billing - 2025'!$B$2:$AE$2,0)))</f>
        <v/>
      </c>
      <c r="G286" s="11" t="str">
        <f t="array" ref="G286">if($D286="","",index('Actuals - Billing - 2025'!$B286:$AE1184,Match($C286,'Actuals - Billing - 2025'!$B286:$B1184,0),Match(G$1,'Actuals - Billing - 2025'!$B$2:$AE$2,0)))</f>
        <v/>
      </c>
      <c r="H286" s="11" t="str">
        <f t="array" ref="H286">if($D286="","",index('Actuals - Billing - 2025'!$B286:$AE1184,Match($C286,'Actuals - Billing - 2025'!$B286:$B1184,0),Match(H$1,'Actuals - Billing - 2025'!$B$2:$AE$2,0)))</f>
        <v/>
      </c>
      <c r="I286" s="11"/>
      <c r="J286" s="11" t="str">
        <f t="shared" si="12"/>
        <v/>
      </c>
      <c r="K286" s="12" t="str">
        <f t="shared" si="13"/>
        <v/>
      </c>
      <c r="L286" s="1" t="str">
        <f t="shared" si="10"/>
        <v/>
      </c>
      <c r="M286" s="4" t="str">
        <f t="shared" si="14"/>
        <v/>
      </c>
      <c r="N286" s="17" t="str">
        <f>if(M286&lt;&gt;"",'Actuals - Billing - 2025'!BG518,"")</f>
        <v/>
      </c>
      <c r="O286" s="15"/>
    </row>
    <row r="287">
      <c r="A287" s="7" t="str">
        <f t="shared" si="11"/>
        <v/>
      </c>
      <c r="B287" s="8" t="str">
        <f>if(and('Actuals - Billing - 2025'!E$261=True,C287&lt;&gt;""),'Actuals - Billing - 2025'!C519,"")</f>
        <v/>
      </c>
      <c r="C287" s="9" t="str">
        <f>IF(and('Actuals - Billing - 2025'!E$261=True,sum('Actuals - Billing - 2025'!T519:Y519)&gt;0),'Actuals - Billing - 2025'!B519,"")</f>
        <v/>
      </c>
      <c r="D287" s="10" t="str">
        <f>if(and(sum('Actuals - Billing - 2025'!T519:Y519)&gt;0,C287&lt;&gt;""),'Actuals - Billing - 2025'!$U$2,"")</f>
        <v/>
      </c>
      <c r="E287" s="11" t="str">
        <f t="array" ref="E287">if($D287="","",index('Actuals - Billing - 2025'!$B287:$AE1185,Match($C287,'Actuals - Billing - 2025'!$B287:$B1185,0),Match(E$1,'Actuals - Billing - 2025'!$B$2:$AE$2,0)))</f>
        <v/>
      </c>
      <c r="F287" s="11" t="str">
        <f t="array" ref="F287">if($D287="","",index('Actuals - Billing - 2025'!$B287:$AE1185,Match($C287,'Actuals - Billing - 2025'!$B287:$B1185,0),Match(F$1,'Actuals - Billing - 2025'!$B$2:$AE$2,0)))</f>
        <v/>
      </c>
      <c r="G287" s="11" t="str">
        <f t="array" ref="G287">if($D287="","",index('Actuals - Billing - 2025'!$B287:$AE1185,Match($C287,'Actuals - Billing - 2025'!$B287:$B1185,0),Match(G$1,'Actuals - Billing - 2025'!$B$2:$AE$2,0)))</f>
        <v/>
      </c>
      <c r="H287" s="11" t="str">
        <f t="array" ref="H287">if($D287="","",index('Actuals - Billing - 2025'!$B287:$AE1185,Match($C287,'Actuals - Billing - 2025'!$B287:$B1185,0),Match(H$1,'Actuals - Billing - 2025'!$B$2:$AE$2,0)))</f>
        <v/>
      </c>
      <c r="I287" s="11"/>
      <c r="J287" s="11" t="str">
        <f t="shared" si="12"/>
        <v/>
      </c>
      <c r="K287" s="12" t="str">
        <f t="shared" si="13"/>
        <v/>
      </c>
      <c r="L287" s="1" t="str">
        <f t="shared" si="10"/>
        <v/>
      </c>
      <c r="M287" s="4" t="str">
        <f t="shared" si="14"/>
        <v/>
      </c>
      <c r="N287" s="17" t="str">
        <f>if(M287&lt;&gt;"",'Actuals - Billing - 2025'!BG519,"")</f>
        <v/>
      </c>
      <c r="O287" s="15"/>
    </row>
    <row r="288">
      <c r="A288" s="7" t="str">
        <f t="shared" si="11"/>
        <v/>
      </c>
      <c r="B288" s="8" t="str">
        <f>if(and('Actuals - Billing - 2025'!E$261=True,C288&lt;&gt;""),'Actuals - Billing - 2025'!C520,"")</f>
        <v/>
      </c>
      <c r="C288" s="9" t="str">
        <f>IF(and('Actuals - Billing - 2025'!E$261=True,sum('Actuals - Billing - 2025'!T520:Y520)&gt;0),'Actuals - Billing - 2025'!B520,"")</f>
        <v/>
      </c>
      <c r="D288" s="10" t="str">
        <f>if(and(sum('Actuals - Billing - 2025'!T520:Y520)&gt;0,C288&lt;&gt;""),'Actuals - Billing - 2025'!$U$2,"")</f>
        <v/>
      </c>
      <c r="E288" s="11" t="str">
        <f t="array" ref="E288">if($D288="","",index('Actuals - Billing - 2025'!$B288:$AE1186,Match($C288,'Actuals - Billing - 2025'!$B288:$B1186,0),Match(E$1,'Actuals - Billing - 2025'!$B$2:$AE$2,0)))</f>
        <v/>
      </c>
      <c r="F288" s="11" t="str">
        <f t="array" ref="F288">if($D288="","",index('Actuals - Billing - 2025'!$B288:$AE1186,Match($C288,'Actuals - Billing - 2025'!$B288:$B1186,0),Match(F$1,'Actuals - Billing - 2025'!$B$2:$AE$2,0)))</f>
        <v/>
      </c>
      <c r="G288" s="11" t="str">
        <f t="array" ref="G288">if($D288="","",index('Actuals - Billing - 2025'!$B288:$AE1186,Match($C288,'Actuals - Billing - 2025'!$B288:$B1186,0),Match(G$1,'Actuals - Billing - 2025'!$B$2:$AE$2,0)))</f>
        <v/>
      </c>
      <c r="H288" s="11" t="str">
        <f t="array" ref="H288">if($D288="","",index('Actuals - Billing - 2025'!$B288:$AE1186,Match($C288,'Actuals - Billing - 2025'!$B288:$B1186,0),Match(H$1,'Actuals - Billing - 2025'!$B$2:$AE$2,0)))</f>
        <v/>
      </c>
      <c r="I288" s="11"/>
      <c r="J288" s="11" t="str">
        <f t="shared" si="12"/>
        <v/>
      </c>
      <c r="K288" s="12" t="str">
        <f t="shared" si="13"/>
        <v/>
      </c>
      <c r="L288" s="1" t="str">
        <f t="shared" si="10"/>
        <v/>
      </c>
      <c r="M288" s="4" t="str">
        <f t="shared" si="14"/>
        <v/>
      </c>
      <c r="N288" s="17" t="str">
        <f>if(M288&lt;&gt;"",'Actuals - Billing - 2025'!BG520,"")</f>
        <v/>
      </c>
      <c r="O288" s="15"/>
    </row>
    <row r="289">
      <c r="A289" s="7" t="str">
        <f t="shared" si="11"/>
        <v/>
      </c>
      <c r="B289" s="8" t="str">
        <f>if(and('Actuals - Billing - 2025'!E$261=True,C289&lt;&gt;""),'Actuals - Billing - 2025'!C521,"")</f>
        <v/>
      </c>
      <c r="C289" s="9" t="str">
        <f>IF(and('Actuals - Billing - 2025'!E$261=True,sum('Actuals - Billing - 2025'!T521:Y521)&gt;0),'Actuals - Billing - 2025'!B521,"")</f>
        <v/>
      </c>
      <c r="D289" s="10" t="str">
        <f>if(and(sum('Actuals - Billing - 2025'!T521:Y521)&gt;0,C289&lt;&gt;""),'Actuals - Billing - 2025'!$U$2,"")</f>
        <v/>
      </c>
      <c r="E289" s="11" t="str">
        <f t="array" ref="E289">if($D289="","",index('Actuals - Billing - 2025'!$B289:$AE1187,Match($C289,'Actuals - Billing - 2025'!$B289:$B1187,0),Match(E$1,'Actuals - Billing - 2025'!$B$2:$AE$2,0)))</f>
        <v/>
      </c>
      <c r="F289" s="11" t="str">
        <f t="array" ref="F289">if($D289="","",index('Actuals - Billing - 2025'!$B289:$AE1187,Match($C289,'Actuals - Billing - 2025'!$B289:$B1187,0),Match(F$1,'Actuals - Billing - 2025'!$B$2:$AE$2,0)))</f>
        <v/>
      </c>
      <c r="G289" s="11" t="str">
        <f t="array" ref="G289">if($D289="","",index('Actuals - Billing - 2025'!$B289:$AE1187,Match($C289,'Actuals - Billing - 2025'!$B289:$B1187,0),Match(G$1,'Actuals - Billing - 2025'!$B$2:$AE$2,0)))</f>
        <v/>
      </c>
      <c r="H289" s="11" t="str">
        <f t="array" ref="H289">if($D289="","",index('Actuals - Billing - 2025'!$B289:$AE1187,Match($C289,'Actuals - Billing - 2025'!$B289:$B1187,0),Match(H$1,'Actuals - Billing - 2025'!$B$2:$AE$2,0)))</f>
        <v/>
      </c>
      <c r="I289" s="11"/>
      <c r="J289" s="11" t="str">
        <f t="shared" si="12"/>
        <v/>
      </c>
      <c r="K289" s="12" t="str">
        <f t="shared" si="13"/>
        <v/>
      </c>
      <c r="L289" s="1" t="str">
        <f t="shared" si="10"/>
        <v/>
      </c>
      <c r="M289" s="4" t="str">
        <f t="shared" si="14"/>
        <v/>
      </c>
      <c r="N289" s="17" t="str">
        <f>if(M289&lt;&gt;"",'Actuals - Billing - 2025'!BG521,"")</f>
        <v/>
      </c>
      <c r="O289" s="15"/>
    </row>
    <row r="290">
      <c r="A290" s="7" t="str">
        <f t="shared" si="11"/>
        <v/>
      </c>
      <c r="B290" s="8" t="str">
        <f>if(and('Actuals - Billing - 2025'!E$261=True,C290&lt;&gt;""),'Actuals - Billing - 2025'!C522,"")</f>
        <v/>
      </c>
      <c r="C290" s="9" t="str">
        <f>IF(and('Actuals - Billing - 2025'!E$261=True,sum('Actuals - Billing - 2025'!T522:Y522)&gt;0),'Actuals - Billing - 2025'!B522,"")</f>
        <v/>
      </c>
      <c r="D290" s="10" t="str">
        <f>if(and(sum('Actuals - Billing - 2025'!T522:Y522)&gt;0,C290&lt;&gt;""),'Actuals - Billing - 2025'!$U$2,"")</f>
        <v/>
      </c>
      <c r="E290" s="11" t="str">
        <f t="array" ref="E290">if($D290="","",index('Actuals - Billing - 2025'!$B290:$AE1188,Match($C290,'Actuals - Billing - 2025'!$B290:$B1188,0),Match(E$1,'Actuals - Billing - 2025'!$B$2:$AE$2,0)))</f>
        <v/>
      </c>
      <c r="F290" s="11" t="str">
        <f t="array" ref="F290">if($D290="","",index('Actuals - Billing - 2025'!$B290:$AE1188,Match($C290,'Actuals - Billing - 2025'!$B290:$B1188,0),Match(F$1,'Actuals - Billing - 2025'!$B$2:$AE$2,0)))</f>
        <v/>
      </c>
      <c r="G290" s="11" t="str">
        <f t="array" ref="G290">if($D290="","",index('Actuals - Billing - 2025'!$B290:$AE1188,Match($C290,'Actuals - Billing - 2025'!$B290:$B1188,0),Match(G$1,'Actuals - Billing - 2025'!$B$2:$AE$2,0)))</f>
        <v/>
      </c>
      <c r="H290" s="11" t="str">
        <f t="array" ref="H290">if($D290="","",index('Actuals - Billing - 2025'!$B290:$AE1188,Match($C290,'Actuals - Billing - 2025'!$B290:$B1188,0),Match(H$1,'Actuals - Billing - 2025'!$B$2:$AE$2,0)))</f>
        <v/>
      </c>
      <c r="I290" s="11"/>
      <c r="J290" s="11" t="str">
        <f t="shared" si="12"/>
        <v/>
      </c>
      <c r="K290" s="12" t="str">
        <f t="shared" si="13"/>
        <v/>
      </c>
      <c r="L290" s="1" t="str">
        <f t="shared" si="10"/>
        <v/>
      </c>
      <c r="M290" s="4" t="str">
        <f t="shared" si="14"/>
        <v/>
      </c>
      <c r="N290" s="17" t="str">
        <f>if(M290&lt;&gt;"",'Actuals - Billing - 2025'!BG522,"")</f>
        <v/>
      </c>
      <c r="O290" s="15"/>
    </row>
    <row r="291">
      <c r="A291" s="7" t="str">
        <f t="shared" si="11"/>
        <v/>
      </c>
      <c r="B291" s="8" t="str">
        <f>if(and('Actuals - Billing - 2025'!E$261=True,C291&lt;&gt;""),'Actuals - Billing - 2025'!C523,"")</f>
        <v/>
      </c>
      <c r="C291" s="9" t="str">
        <f>IF(and('Actuals - Billing - 2025'!E$261=True,sum('Actuals - Billing - 2025'!T523:Y523)&gt;0),'Actuals - Billing - 2025'!B523,"")</f>
        <v/>
      </c>
      <c r="D291" s="10" t="str">
        <f>if(and(sum('Actuals - Billing - 2025'!T523:Y523)&gt;0,C291&lt;&gt;""),'Actuals - Billing - 2025'!$U$2,"")</f>
        <v/>
      </c>
      <c r="E291" s="11" t="str">
        <f t="array" ref="E291">if($D291="","",index('Actuals - Billing - 2025'!$B291:$AE1189,Match($C291,'Actuals - Billing - 2025'!$B291:$B1189,0),Match(E$1,'Actuals - Billing - 2025'!$B$2:$AE$2,0)))</f>
        <v/>
      </c>
      <c r="F291" s="11" t="str">
        <f t="array" ref="F291">if($D291="","",index('Actuals - Billing - 2025'!$B291:$AE1189,Match($C291,'Actuals - Billing - 2025'!$B291:$B1189,0),Match(F$1,'Actuals - Billing - 2025'!$B$2:$AE$2,0)))</f>
        <v/>
      </c>
      <c r="G291" s="11" t="str">
        <f t="array" ref="G291">if($D291="","",index('Actuals - Billing - 2025'!$B291:$AE1189,Match($C291,'Actuals - Billing - 2025'!$B291:$B1189,0),Match(G$1,'Actuals - Billing - 2025'!$B$2:$AE$2,0)))</f>
        <v/>
      </c>
      <c r="H291" s="11" t="str">
        <f t="array" ref="H291">if($D291="","",index('Actuals - Billing - 2025'!$B291:$AE1189,Match($C291,'Actuals - Billing - 2025'!$B291:$B1189,0),Match(H$1,'Actuals - Billing - 2025'!$B$2:$AE$2,0)))</f>
        <v/>
      </c>
      <c r="I291" s="11"/>
      <c r="J291" s="11" t="str">
        <f t="shared" si="12"/>
        <v/>
      </c>
      <c r="K291" s="12" t="str">
        <f t="shared" si="13"/>
        <v/>
      </c>
      <c r="L291" s="1" t="str">
        <f t="shared" si="10"/>
        <v/>
      </c>
      <c r="M291" s="4" t="str">
        <f t="shared" si="14"/>
        <v/>
      </c>
      <c r="N291" s="17" t="str">
        <f>if(M291&lt;&gt;"",'Actuals - Billing - 2025'!BG523,"")</f>
        <v/>
      </c>
      <c r="O291" s="15"/>
    </row>
    <row r="292">
      <c r="D292" s="146"/>
      <c r="K292" s="146"/>
      <c r="L292" s="1" t="str">
        <f t="shared" si="10"/>
        <v/>
      </c>
      <c r="N292" s="17" t="str">
        <f>if(M292&lt;&gt;"",'Actuals - Billing - 2025'!BG524,"")</f>
        <v/>
      </c>
      <c r="O292" s="15"/>
    </row>
    <row r="293">
      <c r="D293" s="146"/>
      <c r="K293" s="146"/>
      <c r="L293" s="1" t="str">
        <f t="shared" si="10"/>
        <v/>
      </c>
      <c r="N293" s="17" t="str">
        <f>if(M293&lt;&gt;"",'Actuals - Billing - 2025'!BG525,"")</f>
        <v/>
      </c>
      <c r="O293" s="15"/>
    </row>
    <row r="294">
      <c r="D294" s="146"/>
      <c r="K294" s="146"/>
      <c r="L294" s="1" t="str">
        <f t="shared" si="10"/>
        <v/>
      </c>
      <c r="N294" s="17" t="str">
        <f>if(M294&lt;&gt;"",'Actuals - Billing - 2025'!BG526,"")</f>
        <v/>
      </c>
      <c r="O294" s="15"/>
    </row>
    <row r="295">
      <c r="D295" s="146"/>
      <c r="K295" s="146"/>
      <c r="L295" s="1" t="str">
        <f t="shared" si="10"/>
        <v/>
      </c>
      <c r="N295" s="17" t="str">
        <f>if(M295&lt;&gt;"",'Actuals - Billing - 2025'!BG527,"")</f>
        <v/>
      </c>
      <c r="O295" s="15"/>
    </row>
    <row r="296">
      <c r="D296" s="146"/>
      <c r="K296" s="146"/>
      <c r="L296" s="1" t="str">
        <f t="shared" si="10"/>
        <v/>
      </c>
      <c r="N296" s="17" t="str">
        <f>if(M296&lt;&gt;"",'Actuals - Billing - 2025'!BG528,"")</f>
        <v/>
      </c>
      <c r="O296" s="15"/>
    </row>
    <row r="297">
      <c r="D297" s="146"/>
      <c r="K297" s="146"/>
      <c r="L297" s="1" t="str">
        <f t="shared" si="10"/>
        <v/>
      </c>
      <c r="N297" s="17" t="str">
        <f>if(M297&lt;&gt;"",'Actuals - Billing - 2025'!BG529,"")</f>
        <v/>
      </c>
      <c r="O297" s="15"/>
    </row>
    <row r="298">
      <c r="D298" s="146"/>
      <c r="K298" s="146"/>
      <c r="L298" s="1" t="str">
        <f t="shared" si="10"/>
        <v/>
      </c>
      <c r="N298" s="17" t="str">
        <f>if(M298&lt;&gt;"",'Actuals - Billing - 2025'!BG530,"")</f>
        <v/>
      </c>
      <c r="O298" s="15"/>
    </row>
    <row r="299">
      <c r="D299" s="146"/>
      <c r="K299" s="146"/>
      <c r="L299" s="1" t="str">
        <f t="shared" si="10"/>
        <v/>
      </c>
      <c r="N299" s="17" t="str">
        <f>if(M299&lt;&gt;"",'Actuals - Billing - 2025'!BG531,"")</f>
        <v/>
      </c>
      <c r="O299" s="15"/>
    </row>
    <row r="300">
      <c r="D300" s="146"/>
      <c r="K300" s="146"/>
      <c r="L300" s="1" t="str">
        <f t="shared" si="10"/>
        <v/>
      </c>
      <c r="N300" s="17" t="str">
        <f>if(M300&lt;&gt;"",'Actuals - Billing - 2025'!BG532,"")</f>
        <v/>
      </c>
      <c r="O300" s="15"/>
    </row>
    <row r="301">
      <c r="D301" s="146"/>
      <c r="K301" s="146"/>
      <c r="L301" s="1" t="str">
        <f t="shared" si="10"/>
        <v/>
      </c>
      <c r="N301" s="17" t="str">
        <f>if(M301&lt;&gt;"",'Actuals - Billing - 2025'!BG533,"")</f>
        <v/>
      </c>
      <c r="O301" s="15"/>
    </row>
    <row r="302">
      <c r="D302" s="146"/>
      <c r="K302" s="146"/>
      <c r="L302" s="1" t="str">
        <f t="shared" si="10"/>
        <v/>
      </c>
      <c r="N302" s="17" t="str">
        <f>if(M302&lt;&gt;"",'Actuals - Billing - 2025'!BG534,"")</f>
        <v/>
      </c>
      <c r="O302" s="15"/>
    </row>
    <row r="303">
      <c r="D303" s="146"/>
      <c r="K303" s="146"/>
      <c r="L303" s="1" t="str">
        <f t="shared" si="10"/>
        <v/>
      </c>
      <c r="N303" s="17" t="str">
        <f>if(M303&lt;&gt;"",'Actuals - Billing - 2025'!BG535,"")</f>
        <v/>
      </c>
      <c r="O303" s="15"/>
    </row>
    <row r="304">
      <c r="D304" s="146"/>
      <c r="K304" s="146"/>
      <c r="L304" s="1" t="str">
        <f t="shared" si="10"/>
        <v/>
      </c>
      <c r="N304" s="17" t="str">
        <f>if(M304&lt;&gt;"",'Actuals - Billing - 2025'!BG536,"")</f>
        <v/>
      </c>
      <c r="O304" s="15"/>
    </row>
    <row r="305">
      <c r="D305" s="146"/>
      <c r="K305" s="146"/>
      <c r="L305" s="1" t="str">
        <f t="shared" si="10"/>
        <v/>
      </c>
      <c r="N305" s="17" t="str">
        <f>if(M305&lt;&gt;"",'Actuals - Billing - 2025'!BG537,"")</f>
        <v/>
      </c>
      <c r="O305" s="15"/>
    </row>
    <row r="306">
      <c r="D306" s="146"/>
      <c r="K306" s="146"/>
      <c r="L306" s="1" t="str">
        <f t="shared" si="10"/>
        <v/>
      </c>
      <c r="N306" s="17" t="str">
        <f>if(M306&lt;&gt;"",'Actuals - Billing - 2025'!BG538,"")</f>
        <v/>
      </c>
      <c r="O306" s="15"/>
    </row>
    <row r="307">
      <c r="D307" s="146"/>
      <c r="K307" s="146"/>
      <c r="L307" s="1" t="str">
        <f t="shared" si="10"/>
        <v/>
      </c>
      <c r="N307" s="17" t="str">
        <f>if(M307&lt;&gt;"",'Actuals - Billing - 2025'!BG539,"")</f>
        <v/>
      </c>
      <c r="O307" s="15"/>
    </row>
    <row r="308">
      <c r="D308" s="146"/>
      <c r="K308" s="146"/>
      <c r="L308" s="1" t="str">
        <f t="shared" si="10"/>
        <v/>
      </c>
      <c r="N308" s="17" t="str">
        <f>if(M308&lt;&gt;"",'Actuals - Billing - 2025'!BG540,"")</f>
        <v/>
      </c>
      <c r="O308" s="15"/>
    </row>
    <row r="309">
      <c r="D309" s="146"/>
      <c r="K309" s="146"/>
      <c r="L309" s="1" t="str">
        <f t="shared" si="10"/>
        <v/>
      </c>
      <c r="N309" s="17" t="str">
        <f>if(M309&lt;&gt;"",'Actuals - Billing - 2025'!BG541,"")</f>
        <v/>
      </c>
      <c r="O309" s="15"/>
    </row>
    <row r="310">
      <c r="D310" s="146"/>
      <c r="K310" s="146"/>
      <c r="L310" s="1" t="str">
        <f t="shared" si="10"/>
        <v/>
      </c>
      <c r="N310" s="17" t="str">
        <f>if(M310&lt;&gt;"",'Actuals - Billing - 2025'!BG542,"")</f>
        <v/>
      </c>
      <c r="O310" s="15"/>
    </row>
    <row r="311">
      <c r="D311" s="146"/>
      <c r="K311" s="146"/>
      <c r="L311" s="1" t="str">
        <f t="shared" si="10"/>
        <v/>
      </c>
      <c r="N311" s="17" t="str">
        <f>if(M311&lt;&gt;"",'Actuals - Billing - 2025'!BG543,"")</f>
        <v/>
      </c>
      <c r="O311" s="15"/>
    </row>
    <row r="312">
      <c r="D312" s="146"/>
      <c r="K312" s="146"/>
      <c r="L312" s="1" t="str">
        <f t="shared" si="10"/>
        <v/>
      </c>
      <c r="N312" s="17" t="str">
        <f>if(M312&lt;&gt;"",'Actuals - Billing - 2025'!BG544,"")</f>
        <v/>
      </c>
      <c r="O312" s="15"/>
    </row>
    <row r="313">
      <c r="D313" s="146"/>
      <c r="K313" s="146"/>
      <c r="L313" s="1" t="str">
        <f t="shared" si="10"/>
        <v/>
      </c>
      <c r="N313" s="17" t="str">
        <f>if(M313&lt;&gt;"",'Actuals - Billing - 2025'!BG545,"")</f>
        <v/>
      </c>
      <c r="O313" s="15"/>
    </row>
    <row r="314">
      <c r="D314" s="146"/>
      <c r="K314" s="146"/>
      <c r="L314" s="1" t="str">
        <f t="shared" si="10"/>
        <v/>
      </c>
      <c r="N314" s="17" t="str">
        <f>if(M314&lt;&gt;"",'Actuals - Billing - 2025'!BG546,"")</f>
        <v/>
      </c>
      <c r="O314" s="15"/>
    </row>
    <row r="315">
      <c r="D315" s="146"/>
      <c r="K315" s="146"/>
      <c r="L315" s="1" t="str">
        <f t="shared" si="10"/>
        <v/>
      </c>
      <c r="N315" s="17" t="str">
        <f>if(M315&lt;&gt;"",'Actuals - Billing - 2025'!BG547,"")</f>
        <v/>
      </c>
      <c r="O315" s="15"/>
    </row>
    <row r="316">
      <c r="D316" s="146"/>
      <c r="K316" s="146"/>
      <c r="L316" s="1" t="str">
        <f t="shared" si="10"/>
        <v/>
      </c>
      <c r="N316" s="17" t="str">
        <f>if(M316&lt;&gt;"",'Actuals - Billing - 2025'!BG548,"")</f>
        <v/>
      </c>
      <c r="O316" s="15"/>
    </row>
    <row r="317">
      <c r="D317" s="146"/>
      <c r="K317" s="146"/>
      <c r="L317" s="1" t="str">
        <f t="shared" si="10"/>
        <v/>
      </c>
      <c r="N317" s="17" t="str">
        <f>if(M317&lt;&gt;"",'Actuals - Billing - 2025'!BG549,"")</f>
        <v/>
      </c>
      <c r="O317" s="15"/>
    </row>
    <row r="318">
      <c r="D318" s="146"/>
      <c r="K318" s="146"/>
      <c r="L318" s="1" t="str">
        <f t="shared" si="10"/>
        <v/>
      </c>
      <c r="N318" s="17" t="str">
        <f>if(M318&lt;&gt;"",'Actuals - Billing - 2025'!BG550,"")</f>
        <v/>
      </c>
      <c r="O318" s="15"/>
    </row>
    <row r="319">
      <c r="D319" s="146"/>
      <c r="K319" s="146"/>
      <c r="L319" s="1" t="str">
        <f t="shared" si="10"/>
        <v/>
      </c>
      <c r="N319" s="17" t="str">
        <f>if(M319&lt;&gt;"",'Actuals - Billing - 2025'!BG551,"")</f>
        <v/>
      </c>
      <c r="O319" s="15"/>
    </row>
    <row r="320">
      <c r="D320" s="146"/>
      <c r="K320" s="146"/>
      <c r="L320" s="1" t="str">
        <f t="shared" si="10"/>
        <v/>
      </c>
      <c r="N320" s="17" t="str">
        <f>if(M320&lt;&gt;"",'Actuals - Billing - 2025'!BG552,"")</f>
        <v/>
      </c>
      <c r="O320" s="15"/>
    </row>
    <row r="321">
      <c r="D321" s="146"/>
      <c r="K321" s="146"/>
      <c r="L321" s="1" t="str">
        <f t="shared" si="10"/>
        <v/>
      </c>
      <c r="N321" s="17" t="str">
        <f>if(M321&lt;&gt;"",'Actuals - Billing - 2025'!BG553,"")</f>
        <v/>
      </c>
      <c r="O321" s="15"/>
    </row>
    <row r="322">
      <c r="D322" s="146"/>
      <c r="K322" s="146"/>
      <c r="L322" s="1" t="str">
        <f t="shared" si="10"/>
        <v/>
      </c>
      <c r="N322" s="17" t="str">
        <f>if(M322&lt;&gt;"",'Actuals - Billing - 2025'!BG554,"")</f>
        <v/>
      </c>
      <c r="O322" s="15"/>
    </row>
    <row r="323">
      <c r="D323" s="146"/>
      <c r="K323" s="146"/>
      <c r="L323" s="1" t="str">
        <f t="shared" si="10"/>
        <v/>
      </c>
      <c r="N323" s="17" t="str">
        <f>if(M323&lt;&gt;"",'Actuals - Billing - 2025'!BG555,"")</f>
        <v/>
      </c>
      <c r="O323" s="15"/>
    </row>
    <row r="324">
      <c r="D324" s="146"/>
      <c r="K324" s="146"/>
      <c r="L324" s="1" t="str">
        <f t="shared" si="10"/>
        <v/>
      </c>
      <c r="N324" s="17" t="str">
        <f>if(M324&lt;&gt;"",'Actuals - Billing - 2025'!BG556,"")</f>
        <v/>
      </c>
      <c r="O324" s="15"/>
    </row>
    <row r="325">
      <c r="D325" s="146"/>
      <c r="K325" s="146"/>
      <c r="L325" s="1" t="str">
        <f t="shared" si="10"/>
        <v/>
      </c>
      <c r="N325" s="17" t="str">
        <f>if(M325&lt;&gt;"",'Actuals - Billing - 2025'!BG557,"")</f>
        <v/>
      </c>
      <c r="O325" s="15"/>
    </row>
    <row r="326">
      <c r="D326" s="146"/>
      <c r="K326" s="146"/>
      <c r="L326" s="1" t="str">
        <f t="shared" si="10"/>
        <v/>
      </c>
      <c r="N326" s="17" t="str">
        <f>if(M326&lt;&gt;"",'Actuals - Billing - 2025'!BG558,"")</f>
        <v/>
      </c>
      <c r="O326" s="15"/>
    </row>
    <row r="327">
      <c r="D327" s="146"/>
      <c r="K327" s="146"/>
      <c r="L327" s="1" t="str">
        <f t="shared" si="10"/>
        <v/>
      </c>
      <c r="N327" s="17" t="str">
        <f>if(M327&lt;&gt;"",'Actuals - Billing - 2025'!BG559,"")</f>
        <v/>
      </c>
      <c r="O327" s="15"/>
    </row>
    <row r="328">
      <c r="D328" s="146"/>
      <c r="K328" s="146"/>
      <c r="L328" s="1" t="str">
        <f t="shared" si="10"/>
        <v/>
      </c>
      <c r="N328" s="17" t="str">
        <f>if(M328&lt;&gt;"",'Actuals - Billing - 2025'!BG560,"")</f>
        <v/>
      </c>
      <c r="O328" s="15"/>
    </row>
    <row r="329">
      <c r="D329" s="146"/>
      <c r="K329" s="146"/>
      <c r="L329" s="1" t="str">
        <f t="shared" si="10"/>
        <v/>
      </c>
      <c r="N329" s="17" t="str">
        <f>if(M329&lt;&gt;"",'Actuals - Billing - 2025'!BG561,"")</f>
        <v/>
      </c>
      <c r="O329" s="15"/>
    </row>
    <row r="330">
      <c r="D330" s="146"/>
      <c r="K330" s="146"/>
      <c r="L330" s="1" t="str">
        <f t="shared" si="10"/>
        <v/>
      </c>
      <c r="N330" s="17" t="str">
        <f>if(M330&lt;&gt;"",'Actuals - Billing - 2025'!BG562,"")</f>
        <v/>
      </c>
      <c r="O330" s="15"/>
    </row>
    <row r="331">
      <c r="D331" s="146"/>
      <c r="K331" s="146"/>
      <c r="L331" s="1" t="str">
        <f t="shared" si="10"/>
        <v/>
      </c>
      <c r="N331" s="17" t="str">
        <f>if(M331&lt;&gt;"",'Actuals - Billing - 2025'!BG563,"")</f>
        <v/>
      </c>
      <c r="O331" s="15"/>
    </row>
    <row r="332">
      <c r="D332" s="146"/>
      <c r="K332" s="146"/>
      <c r="L332" s="1" t="str">
        <f t="shared" si="10"/>
        <v/>
      </c>
      <c r="N332" s="17" t="str">
        <f>if(M332&lt;&gt;"",'Actuals - Billing - 2025'!BG564,"")</f>
        <v/>
      </c>
      <c r="O332" s="15"/>
    </row>
    <row r="333">
      <c r="D333" s="146"/>
      <c r="K333" s="146"/>
      <c r="L333" s="1" t="str">
        <f t="shared" si="10"/>
        <v/>
      </c>
      <c r="N333" s="17" t="str">
        <f>if(M333&lt;&gt;"",'Actuals - Billing - 2025'!BG565,"")</f>
        <v/>
      </c>
      <c r="O333" s="15"/>
    </row>
    <row r="334">
      <c r="D334" s="146"/>
      <c r="K334" s="146"/>
      <c r="L334" s="1" t="str">
        <f t="shared" si="10"/>
        <v/>
      </c>
      <c r="N334" s="17" t="str">
        <f>if(M334&lt;&gt;"",'Actuals - Billing - 2025'!BG566,"")</f>
        <v/>
      </c>
      <c r="O334" s="15"/>
    </row>
    <row r="335">
      <c r="D335" s="146"/>
      <c r="K335" s="146"/>
      <c r="L335" s="1" t="str">
        <f t="shared" si="10"/>
        <v/>
      </c>
      <c r="N335" s="17" t="str">
        <f>if(M335&lt;&gt;"",'Actuals - Billing - 2025'!BG567,"")</f>
        <v/>
      </c>
      <c r="O335" s="15"/>
    </row>
    <row r="336">
      <c r="D336" s="146"/>
      <c r="K336" s="146"/>
      <c r="L336" s="1" t="str">
        <f t="shared" si="10"/>
        <v/>
      </c>
      <c r="N336" s="17" t="str">
        <f>if(M336&lt;&gt;"",'Actuals - Billing - 2025'!BG568,"")</f>
        <v/>
      </c>
      <c r="O336" s="15"/>
    </row>
    <row r="337">
      <c r="D337" s="146"/>
      <c r="K337" s="146"/>
      <c r="L337" s="1" t="str">
        <f t="shared" si="10"/>
        <v/>
      </c>
      <c r="N337" s="17" t="str">
        <f>if(M337&lt;&gt;"",'Actuals - Billing - 2025'!BG569,"")</f>
        <v/>
      </c>
      <c r="O337" s="15"/>
    </row>
    <row r="338">
      <c r="D338" s="146"/>
      <c r="K338" s="146"/>
      <c r="L338" s="1" t="str">
        <f t="shared" si="10"/>
        <v/>
      </c>
      <c r="N338" s="17" t="str">
        <f>if(M338&lt;&gt;"",'Actuals - Billing - 2025'!BG570,"")</f>
        <v/>
      </c>
      <c r="O338" s="15"/>
    </row>
    <row r="339">
      <c r="D339" s="146"/>
      <c r="K339" s="146"/>
      <c r="L339" s="1" t="str">
        <f t="shared" si="10"/>
        <v/>
      </c>
      <c r="N339" s="17" t="str">
        <f>if(M339&lt;&gt;"",'Actuals - Billing - 2025'!BG571,"")</f>
        <v/>
      </c>
      <c r="O339" s="15"/>
    </row>
    <row r="340">
      <c r="D340" s="146"/>
      <c r="K340" s="146"/>
      <c r="L340" s="1" t="str">
        <f t="shared" si="10"/>
        <v/>
      </c>
      <c r="N340" s="17" t="str">
        <f>if(M340&lt;&gt;"",'Actuals - Billing - 2025'!BG572,"")</f>
        <v/>
      </c>
      <c r="O340" s="15"/>
    </row>
    <row r="341">
      <c r="D341" s="146"/>
      <c r="K341" s="146"/>
      <c r="L341" s="1" t="str">
        <f t="shared" si="10"/>
        <v/>
      </c>
      <c r="N341" s="17" t="str">
        <f>if(M341&lt;&gt;"",'Actuals - Billing - 2025'!BG573,"")</f>
        <v/>
      </c>
      <c r="O341" s="15"/>
    </row>
    <row r="342">
      <c r="D342" s="146"/>
      <c r="K342" s="146"/>
      <c r="L342" s="1" t="str">
        <f t="shared" si="10"/>
        <v/>
      </c>
      <c r="N342" s="17" t="str">
        <f>if(M342&lt;&gt;"",'Actuals - Billing - 2025'!BG574,"")</f>
        <v/>
      </c>
      <c r="O342" s="15"/>
    </row>
    <row r="343">
      <c r="D343" s="146"/>
      <c r="K343" s="146"/>
      <c r="L343" s="1" t="str">
        <f t="shared" si="10"/>
        <v/>
      </c>
      <c r="N343" s="17" t="str">
        <f>if(M343&lt;&gt;"",'Actuals - Billing - 2025'!BG575,"")</f>
        <v/>
      </c>
      <c r="O343" s="15"/>
    </row>
    <row r="344">
      <c r="D344" s="146"/>
      <c r="K344" s="146"/>
      <c r="L344" s="1" t="str">
        <f t="shared" si="10"/>
        <v/>
      </c>
      <c r="N344" s="17" t="str">
        <f>if(M344&lt;&gt;"",'Actuals - Billing - 2025'!BG576,"")</f>
        <v/>
      </c>
      <c r="O344" s="15"/>
    </row>
    <row r="345">
      <c r="D345" s="146"/>
      <c r="K345" s="146"/>
      <c r="L345" s="1" t="str">
        <f t="shared" si="10"/>
        <v/>
      </c>
      <c r="N345" s="17" t="str">
        <f>if(M345&lt;&gt;"",'Actuals - Billing - 2025'!BG577,"")</f>
        <v/>
      </c>
      <c r="O345" s="15"/>
    </row>
    <row r="346">
      <c r="D346" s="146"/>
      <c r="K346" s="146"/>
      <c r="L346" s="1" t="str">
        <f t="shared" si="10"/>
        <v/>
      </c>
      <c r="N346" s="17" t="str">
        <f>if(M346&lt;&gt;"",'Actuals - Billing - 2025'!BG578,"")</f>
        <v/>
      </c>
      <c r="O346" s="15"/>
    </row>
    <row r="347">
      <c r="D347" s="146"/>
      <c r="K347" s="146"/>
      <c r="L347" s="1" t="str">
        <f t="shared" si="10"/>
        <v/>
      </c>
      <c r="N347" s="17" t="str">
        <f>if(M347&lt;&gt;"",'Actuals - Billing - 2025'!BG579,"")</f>
        <v/>
      </c>
      <c r="O347" s="15"/>
    </row>
    <row r="348">
      <c r="D348" s="146"/>
      <c r="K348" s="146"/>
      <c r="L348" s="1" t="str">
        <f t="shared" si="10"/>
        <v/>
      </c>
      <c r="N348" s="17" t="str">
        <f>if(M348&lt;&gt;"",'Actuals - Billing - 2025'!BG580,"")</f>
        <v/>
      </c>
      <c r="O348" s="15"/>
    </row>
    <row r="349">
      <c r="D349" s="146"/>
      <c r="K349" s="146"/>
      <c r="L349" s="1" t="str">
        <f t="shared" si="10"/>
        <v/>
      </c>
      <c r="N349" s="17" t="str">
        <f>if(M349&lt;&gt;"",'Actuals - Billing - 2025'!BG581,"")</f>
        <v/>
      </c>
      <c r="O349" s="15"/>
    </row>
    <row r="350">
      <c r="D350" s="146"/>
      <c r="K350" s="146"/>
      <c r="L350" s="1" t="str">
        <f t="shared" si="10"/>
        <v/>
      </c>
      <c r="N350" s="17" t="str">
        <f>if(M350&lt;&gt;"",'Actuals - Billing - 2025'!BG582,"")</f>
        <v/>
      </c>
      <c r="O350" s="15"/>
    </row>
    <row r="351">
      <c r="D351" s="146"/>
      <c r="K351" s="146"/>
      <c r="L351" s="1" t="str">
        <f t="shared" si="10"/>
        <v/>
      </c>
      <c r="N351" s="17" t="str">
        <f>if(M351&lt;&gt;"",'Actuals - Billing - 2025'!BG583,"")</f>
        <v/>
      </c>
      <c r="O351" s="15"/>
    </row>
    <row r="352">
      <c r="D352" s="146"/>
      <c r="K352" s="146"/>
      <c r="L352" s="1" t="str">
        <f t="shared" si="10"/>
        <v/>
      </c>
      <c r="N352" s="17" t="str">
        <f>if(M352&lt;&gt;"",'Actuals - Billing - 2025'!BG584,"")</f>
        <v/>
      </c>
      <c r="O352" s="15"/>
    </row>
    <row r="353">
      <c r="D353" s="146"/>
      <c r="K353" s="146"/>
      <c r="L353" s="1" t="str">
        <f t="shared" si="10"/>
        <v/>
      </c>
      <c r="N353" s="17" t="str">
        <f>if(M353&lt;&gt;"",'Actuals - Billing - 2025'!BG585,"")</f>
        <v/>
      </c>
      <c r="O353" s="15"/>
    </row>
    <row r="354">
      <c r="D354" s="146"/>
      <c r="K354" s="146"/>
      <c r="L354" s="1" t="str">
        <f t="shared" si="10"/>
        <v/>
      </c>
      <c r="N354" s="17" t="str">
        <f>if(M354&lt;&gt;"",'Actuals - Billing - 2025'!BG586,"")</f>
        <v/>
      </c>
      <c r="O354" s="15"/>
    </row>
    <row r="355">
      <c r="D355" s="146"/>
      <c r="K355" s="146"/>
      <c r="L355" s="1" t="str">
        <f t="shared" si="10"/>
        <v/>
      </c>
      <c r="N355" s="17" t="str">
        <f>if(M355&lt;&gt;"",'Actuals - Billing - 2025'!BG587,"")</f>
        <v/>
      </c>
      <c r="O355" s="15"/>
    </row>
    <row r="356">
      <c r="D356" s="146"/>
      <c r="K356" s="146"/>
      <c r="L356" s="1" t="str">
        <f t="shared" si="10"/>
        <v/>
      </c>
      <c r="N356" s="17" t="str">
        <f>if(M356&lt;&gt;"",'Actuals - Billing - 2025'!BG588,"")</f>
        <v/>
      </c>
      <c r="O356" s="15"/>
    </row>
    <row r="357">
      <c r="D357" s="146"/>
      <c r="K357" s="146"/>
      <c r="L357" s="1" t="str">
        <f t="shared" si="10"/>
        <v/>
      </c>
      <c r="N357" s="17" t="str">
        <f>if(M357&lt;&gt;"",'Actuals - Billing - 2025'!BG589,"")</f>
        <v/>
      </c>
      <c r="O357" s="15"/>
    </row>
    <row r="358">
      <c r="D358" s="146"/>
      <c r="K358" s="146"/>
      <c r="L358" s="1" t="str">
        <f t="shared" si="10"/>
        <v/>
      </c>
      <c r="N358" s="17" t="str">
        <f>if(M358&lt;&gt;"",'Actuals - Billing - 2025'!BG590,"")</f>
        <v/>
      </c>
      <c r="O358" s="15"/>
    </row>
    <row r="359">
      <c r="D359" s="146"/>
      <c r="K359" s="146"/>
      <c r="L359" s="1" t="str">
        <f t="shared" si="10"/>
        <v/>
      </c>
      <c r="N359" s="17" t="str">
        <f>if(M359&lt;&gt;"",'Actuals - Billing - 2025'!BG591,"")</f>
        <v/>
      </c>
      <c r="O359" s="15"/>
    </row>
    <row r="360">
      <c r="D360" s="146"/>
      <c r="K360" s="146"/>
      <c r="L360" s="1" t="str">
        <f t="shared" si="10"/>
        <v/>
      </c>
      <c r="N360" s="17" t="str">
        <f>if(M360&lt;&gt;"",'Actuals - Billing - 2025'!BG592,"")</f>
        <v/>
      </c>
      <c r="O360" s="15"/>
    </row>
    <row r="361">
      <c r="D361" s="146"/>
      <c r="K361" s="146"/>
      <c r="L361" s="1" t="str">
        <f t="shared" si="10"/>
        <v/>
      </c>
      <c r="N361" s="17" t="str">
        <f>if(M361&lt;&gt;"",'Actuals - Billing - 2025'!BG593,"")</f>
        <v/>
      </c>
      <c r="O361" s="15"/>
    </row>
    <row r="362">
      <c r="D362" s="146"/>
      <c r="K362" s="146"/>
      <c r="L362" s="1" t="str">
        <f t="shared" si="10"/>
        <v/>
      </c>
      <c r="N362" s="17" t="str">
        <f>if(M362&lt;&gt;"",'Actuals - Billing - 2025'!BG594,"")</f>
        <v/>
      </c>
      <c r="O362" s="15"/>
    </row>
    <row r="363">
      <c r="D363" s="146"/>
      <c r="K363" s="146"/>
      <c r="L363" s="1" t="str">
        <f t="shared" si="10"/>
        <v/>
      </c>
      <c r="N363" s="17" t="str">
        <f>if(M363&lt;&gt;"",'Actuals - Billing - 2025'!BG595,"")</f>
        <v/>
      </c>
      <c r="O363" s="15"/>
    </row>
    <row r="364">
      <c r="D364" s="146"/>
      <c r="K364" s="146"/>
      <c r="L364" s="1" t="str">
        <f t="shared" si="10"/>
        <v/>
      </c>
      <c r="N364" s="17" t="str">
        <f>if(M364&lt;&gt;"",'Actuals - Billing - 2025'!BG596,"")</f>
        <v/>
      </c>
      <c r="O364" s="15"/>
    </row>
    <row r="365">
      <c r="D365" s="146"/>
      <c r="K365" s="146"/>
      <c r="L365" s="1" t="str">
        <f t="shared" si="10"/>
        <v/>
      </c>
      <c r="N365" s="17" t="str">
        <f>if(M365&lt;&gt;"",'Actuals - Billing - 2025'!BG597,"")</f>
        <v/>
      </c>
      <c r="O365" s="15"/>
    </row>
    <row r="366">
      <c r="D366" s="146"/>
      <c r="K366" s="146"/>
      <c r="L366" s="1" t="str">
        <f t="shared" si="10"/>
        <v/>
      </c>
      <c r="N366" s="17" t="str">
        <f>if(M366&lt;&gt;"",'Actuals - Billing - 2025'!BG598,"")</f>
        <v/>
      </c>
      <c r="O366" s="15"/>
    </row>
    <row r="367">
      <c r="D367" s="146"/>
      <c r="K367" s="146"/>
      <c r="L367" s="1" t="str">
        <f t="shared" si="10"/>
        <v/>
      </c>
      <c r="N367" s="17" t="str">
        <f>if(M367&lt;&gt;"",'Actuals - Billing - 2025'!BG599,"")</f>
        <v/>
      </c>
      <c r="O367" s="15"/>
    </row>
    <row r="368">
      <c r="D368" s="146"/>
      <c r="K368" s="146"/>
      <c r="L368" s="1" t="str">
        <f t="shared" si="10"/>
        <v/>
      </c>
      <c r="N368" s="17" t="str">
        <f>if(M368&lt;&gt;"",'Actuals - Billing - 2025'!BG600,"")</f>
        <v/>
      </c>
      <c r="O368" s="15"/>
    </row>
    <row r="369">
      <c r="D369" s="146"/>
      <c r="K369" s="146"/>
      <c r="L369" s="1" t="str">
        <f t="shared" si="10"/>
        <v/>
      </c>
      <c r="N369" s="17" t="str">
        <f>if(M369&lt;&gt;"",'Actuals - Billing - 2025'!BG601,"")</f>
        <v/>
      </c>
      <c r="O369" s="15"/>
    </row>
    <row r="370">
      <c r="D370" s="146"/>
      <c r="K370" s="146"/>
      <c r="L370" s="1" t="str">
        <f t="shared" si="10"/>
        <v/>
      </c>
      <c r="N370" s="17" t="str">
        <f>if(M370&lt;&gt;"",'Actuals - Billing - 2025'!BG602,"")</f>
        <v/>
      </c>
      <c r="O370" s="15"/>
    </row>
    <row r="371">
      <c r="D371" s="146"/>
      <c r="K371" s="146"/>
      <c r="L371" s="1" t="str">
        <f t="shared" si="10"/>
        <v/>
      </c>
      <c r="N371" s="17" t="str">
        <f>if(M371&lt;&gt;"",'Actuals - Billing - 2025'!BG603,"")</f>
        <v/>
      </c>
      <c r="O371" s="15"/>
    </row>
    <row r="372">
      <c r="D372" s="146"/>
      <c r="K372" s="146"/>
      <c r="L372" s="1" t="str">
        <f t="shared" si="10"/>
        <v/>
      </c>
      <c r="N372" s="17" t="str">
        <f>if(M372&lt;&gt;"",'Actuals - Billing - 2025'!BG604,"")</f>
        <v/>
      </c>
      <c r="O372" s="15"/>
    </row>
    <row r="373">
      <c r="D373" s="146"/>
      <c r="K373" s="146"/>
      <c r="L373" s="1" t="str">
        <f t="shared" si="10"/>
        <v/>
      </c>
      <c r="N373" s="17" t="str">
        <f>if(M373&lt;&gt;"",'Actuals - Billing - 2025'!BG605,"")</f>
        <v/>
      </c>
      <c r="O373" s="15"/>
    </row>
    <row r="374">
      <c r="D374" s="146"/>
      <c r="K374" s="146"/>
      <c r="L374" s="1" t="str">
        <f t="shared" si="10"/>
        <v/>
      </c>
      <c r="N374" s="17" t="str">
        <f>if(M374&lt;&gt;"",'Actuals - Billing - 2025'!BG606,"")</f>
        <v/>
      </c>
      <c r="O374" s="15"/>
    </row>
    <row r="375">
      <c r="D375" s="146"/>
      <c r="K375" s="146"/>
      <c r="L375" s="1" t="str">
        <f t="shared" si="10"/>
        <v/>
      </c>
      <c r="N375" s="17" t="str">
        <f>if(M375&lt;&gt;"",'Actuals - Billing - 2025'!BG607,"")</f>
        <v/>
      </c>
      <c r="O375" s="15"/>
    </row>
    <row r="376">
      <c r="D376" s="146"/>
      <c r="K376" s="146"/>
      <c r="L376" s="1" t="str">
        <f t="shared" si="10"/>
        <v/>
      </c>
      <c r="N376" s="17" t="str">
        <f>if(M376&lt;&gt;"",'Actuals - Billing - 2025'!BG608,"")</f>
        <v/>
      </c>
      <c r="O376" s="15"/>
    </row>
    <row r="377">
      <c r="D377" s="146"/>
      <c r="K377" s="146"/>
      <c r="L377" s="1" t="str">
        <f t="shared" si="10"/>
        <v/>
      </c>
      <c r="N377" s="17" t="str">
        <f>if(M377&lt;&gt;"",'Actuals - Billing - 2025'!BG609,"")</f>
        <v/>
      </c>
      <c r="O377" s="15"/>
    </row>
    <row r="378">
      <c r="D378" s="146"/>
      <c r="K378" s="146"/>
      <c r="L378" s="1" t="str">
        <f t="shared" si="10"/>
        <v/>
      </c>
      <c r="N378" s="17" t="str">
        <f>if(M378&lt;&gt;"",'Actuals - Billing - 2025'!BG610,"")</f>
        <v/>
      </c>
      <c r="O378" s="15"/>
    </row>
    <row r="379">
      <c r="D379" s="146"/>
      <c r="K379" s="146"/>
      <c r="L379" s="1" t="str">
        <f t="shared" si="10"/>
        <v/>
      </c>
      <c r="N379" s="17" t="str">
        <f>if(M379&lt;&gt;"",'Actuals - Billing - 2025'!BG611,"")</f>
        <v/>
      </c>
      <c r="O379" s="15"/>
    </row>
    <row r="380">
      <c r="D380" s="146"/>
      <c r="K380" s="146"/>
      <c r="L380" s="1" t="str">
        <f t="shared" si="10"/>
        <v/>
      </c>
      <c r="N380" s="17" t="str">
        <f>if(M380&lt;&gt;"",'Actuals - Billing - 2025'!BG612,"")</f>
        <v/>
      </c>
      <c r="O380" s="15"/>
    </row>
    <row r="381">
      <c r="D381" s="146"/>
      <c r="K381" s="146"/>
      <c r="L381" s="1" t="str">
        <f t="shared" si="10"/>
        <v/>
      </c>
      <c r="N381" s="17" t="str">
        <f>if(M381&lt;&gt;"",'Actuals - Billing - 2025'!BG613,"")</f>
        <v/>
      </c>
      <c r="O381" s="15"/>
    </row>
    <row r="382">
      <c r="D382" s="146"/>
      <c r="K382" s="146"/>
      <c r="L382" s="1" t="str">
        <f t="shared" si="10"/>
        <v/>
      </c>
      <c r="N382" s="17" t="str">
        <f>if(M382&lt;&gt;"",'Actuals - Billing - 2025'!BG614,"")</f>
        <v/>
      </c>
      <c r="O382" s="15"/>
    </row>
    <row r="383">
      <c r="D383" s="146"/>
      <c r="K383" s="146"/>
      <c r="L383" s="1" t="str">
        <f t="shared" si="10"/>
        <v/>
      </c>
      <c r="N383" s="17" t="str">
        <f>if(M383&lt;&gt;"",'Actuals - Billing - 2025'!BG615,"")</f>
        <v/>
      </c>
      <c r="O383" s="15"/>
    </row>
    <row r="384">
      <c r="D384" s="146"/>
      <c r="K384" s="146"/>
      <c r="L384" s="1" t="str">
        <f t="shared" si="10"/>
        <v/>
      </c>
      <c r="N384" s="17" t="str">
        <f>if(M384&lt;&gt;"",'Actuals - Billing - 2025'!BG616,"")</f>
        <v/>
      </c>
      <c r="O384" s="15"/>
    </row>
    <row r="385">
      <c r="D385" s="146"/>
      <c r="K385" s="146"/>
      <c r="L385" s="1" t="str">
        <f t="shared" si="10"/>
        <v/>
      </c>
      <c r="N385" s="17" t="str">
        <f>if(M385&lt;&gt;"",'Actuals - Billing - 2025'!BG617,"")</f>
        <v/>
      </c>
      <c r="O385" s="15"/>
    </row>
    <row r="386">
      <c r="D386" s="146"/>
      <c r="K386" s="146"/>
      <c r="L386" s="1" t="str">
        <f t="shared" si="10"/>
        <v/>
      </c>
      <c r="N386" s="17" t="str">
        <f>if(M386&lt;&gt;"",'Actuals - Billing - 2025'!BG618,"")</f>
        <v/>
      </c>
      <c r="O386" s="15"/>
    </row>
    <row r="387">
      <c r="D387" s="146"/>
      <c r="K387" s="146"/>
      <c r="L387" s="1" t="str">
        <f t="shared" si="10"/>
        <v/>
      </c>
      <c r="N387" s="17" t="str">
        <f>if(M387&lt;&gt;"",'Actuals - Billing - 2025'!BG619,"")</f>
        <v/>
      </c>
      <c r="O387" s="15"/>
    </row>
    <row r="388">
      <c r="D388" s="146"/>
      <c r="K388" s="146"/>
      <c r="L388" s="1" t="str">
        <f t="shared" si="10"/>
        <v/>
      </c>
      <c r="O388" s="15"/>
    </row>
    <row r="389">
      <c r="D389" s="146"/>
      <c r="K389" s="146"/>
      <c r="L389" s="1" t="str">
        <f t="shared" si="10"/>
        <v/>
      </c>
      <c r="O389" s="15"/>
    </row>
    <row r="390">
      <c r="D390" s="146"/>
      <c r="K390" s="146"/>
      <c r="L390" s="1" t="str">
        <f t="shared" si="10"/>
        <v/>
      </c>
      <c r="O390" s="15"/>
    </row>
    <row r="391">
      <c r="D391" s="146"/>
      <c r="K391" s="146"/>
      <c r="L391" s="1" t="str">
        <f t="shared" si="10"/>
        <v/>
      </c>
      <c r="O391" s="15"/>
    </row>
    <row r="392">
      <c r="D392" s="146"/>
      <c r="K392" s="146"/>
      <c r="L392" s="1" t="str">
        <f t="shared" si="10"/>
        <v/>
      </c>
      <c r="O392" s="15"/>
    </row>
    <row r="393">
      <c r="D393" s="146"/>
      <c r="K393" s="146"/>
      <c r="L393" s="1" t="str">
        <f t="shared" si="10"/>
        <v/>
      </c>
      <c r="O393" s="15"/>
    </row>
    <row r="394">
      <c r="D394" s="146"/>
      <c r="K394" s="146"/>
      <c r="L394" s="1" t="str">
        <f t="shared" si="10"/>
        <v/>
      </c>
      <c r="O394" s="15"/>
    </row>
    <row r="395">
      <c r="D395" s="146"/>
      <c r="K395" s="146"/>
      <c r="L395" s="1" t="str">
        <f t="shared" si="10"/>
        <v/>
      </c>
      <c r="O395" s="15"/>
    </row>
    <row r="396">
      <c r="D396" s="146"/>
      <c r="K396" s="146"/>
      <c r="L396" s="1" t="str">
        <f t="shared" si="10"/>
        <v/>
      </c>
      <c r="O396" s="15"/>
    </row>
    <row r="397">
      <c r="D397" s="146"/>
      <c r="K397" s="146"/>
      <c r="L397" s="1" t="str">
        <f t="shared" si="10"/>
        <v/>
      </c>
      <c r="O397" s="15"/>
    </row>
    <row r="398">
      <c r="D398" s="146"/>
      <c r="K398" s="146"/>
      <c r="L398" s="1" t="str">
        <f t="shared" si="10"/>
        <v/>
      </c>
      <c r="O398" s="15"/>
    </row>
    <row r="399">
      <c r="D399" s="146"/>
      <c r="K399" s="146"/>
      <c r="L399" s="1" t="str">
        <f t="shared" si="10"/>
        <v/>
      </c>
      <c r="O399" s="15"/>
    </row>
    <row r="400">
      <c r="D400" s="146"/>
      <c r="K400" s="146"/>
      <c r="L400" s="1" t="str">
        <f t="shared" si="10"/>
        <v/>
      </c>
      <c r="O400" s="15"/>
    </row>
    <row r="401">
      <c r="D401" s="146"/>
      <c r="K401" s="146"/>
      <c r="O401" s="15"/>
    </row>
    <row r="402">
      <c r="D402" s="146"/>
      <c r="K402" s="146"/>
      <c r="O402" s="15"/>
    </row>
    <row r="403">
      <c r="D403" s="146"/>
      <c r="K403" s="146"/>
      <c r="O403" s="15"/>
    </row>
    <row r="404">
      <c r="D404" s="146"/>
      <c r="K404" s="146"/>
      <c r="O404" s="15"/>
    </row>
    <row r="405">
      <c r="D405" s="146"/>
      <c r="K405" s="146"/>
      <c r="O405" s="15"/>
    </row>
    <row r="406">
      <c r="D406" s="146"/>
      <c r="K406" s="146"/>
      <c r="O406" s="15"/>
    </row>
    <row r="407">
      <c r="D407" s="146"/>
      <c r="K407" s="146"/>
      <c r="O407" s="15"/>
    </row>
    <row r="408">
      <c r="D408" s="146"/>
      <c r="K408" s="146"/>
      <c r="O408" s="15"/>
    </row>
    <row r="409">
      <c r="D409" s="146"/>
      <c r="K409" s="146"/>
      <c r="O409" s="15"/>
    </row>
    <row r="410">
      <c r="D410" s="146"/>
      <c r="K410" s="146"/>
      <c r="O410" s="15"/>
    </row>
    <row r="411">
      <c r="D411" s="146"/>
      <c r="K411" s="146"/>
      <c r="O411" s="15"/>
    </row>
    <row r="412">
      <c r="D412" s="146"/>
      <c r="K412" s="146"/>
      <c r="O412" s="15"/>
    </row>
    <row r="413">
      <c r="D413" s="146"/>
      <c r="K413" s="146"/>
      <c r="O413" s="15"/>
    </row>
    <row r="414">
      <c r="D414" s="146"/>
      <c r="K414" s="146"/>
      <c r="O414" s="15"/>
    </row>
    <row r="415">
      <c r="D415" s="146"/>
      <c r="K415" s="146"/>
      <c r="O415" s="15"/>
    </row>
    <row r="416">
      <c r="D416" s="146"/>
      <c r="K416" s="146"/>
      <c r="O416" s="15"/>
    </row>
    <row r="417">
      <c r="D417" s="146"/>
      <c r="K417" s="146"/>
      <c r="O417" s="15"/>
    </row>
    <row r="418">
      <c r="D418" s="146"/>
      <c r="K418" s="146"/>
      <c r="O418" s="15"/>
    </row>
    <row r="419">
      <c r="D419" s="146"/>
      <c r="K419" s="146"/>
      <c r="O419" s="15"/>
    </row>
    <row r="420">
      <c r="D420" s="146"/>
      <c r="K420" s="146"/>
      <c r="O420" s="15"/>
    </row>
    <row r="421">
      <c r="D421" s="146"/>
      <c r="K421" s="146"/>
      <c r="O421" s="15"/>
    </row>
    <row r="422">
      <c r="D422" s="146"/>
      <c r="K422" s="146"/>
      <c r="O422" s="15"/>
    </row>
    <row r="423">
      <c r="D423" s="146"/>
      <c r="K423" s="146"/>
      <c r="O423" s="15"/>
    </row>
    <row r="424">
      <c r="D424" s="146"/>
      <c r="K424" s="146"/>
      <c r="O424" s="15"/>
    </row>
    <row r="425">
      <c r="D425" s="146"/>
      <c r="K425" s="146"/>
      <c r="O425" s="15"/>
    </row>
    <row r="426">
      <c r="D426" s="146"/>
      <c r="K426" s="146"/>
      <c r="O426" s="15"/>
    </row>
    <row r="427">
      <c r="D427" s="146"/>
      <c r="K427" s="146"/>
      <c r="O427" s="15"/>
    </row>
    <row r="428">
      <c r="D428" s="146"/>
      <c r="K428" s="146"/>
      <c r="O428" s="15"/>
    </row>
    <row r="429">
      <c r="D429" s="146"/>
      <c r="K429" s="146"/>
      <c r="O429" s="15"/>
    </row>
    <row r="430">
      <c r="D430" s="146"/>
      <c r="K430" s="146"/>
      <c r="O430" s="15"/>
    </row>
    <row r="431">
      <c r="D431" s="146"/>
      <c r="K431" s="146"/>
      <c r="O431" s="15"/>
    </row>
    <row r="432">
      <c r="D432" s="146"/>
      <c r="K432" s="146"/>
      <c r="O432" s="15"/>
    </row>
    <row r="433">
      <c r="D433" s="146"/>
      <c r="K433" s="146"/>
      <c r="O433" s="15"/>
    </row>
    <row r="434">
      <c r="D434" s="146"/>
      <c r="K434" s="146"/>
      <c r="O434" s="15"/>
    </row>
    <row r="435">
      <c r="D435" s="146"/>
      <c r="K435" s="146"/>
      <c r="O435" s="15"/>
    </row>
    <row r="436">
      <c r="D436" s="146"/>
      <c r="K436" s="146"/>
      <c r="O436" s="15"/>
    </row>
    <row r="437">
      <c r="D437" s="146"/>
      <c r="K437" s="146"/>
      <c r="O437" s="15"/>
    </row>
    <row r="438">
      <c r="D438" s="146"/>
      <c r="K438" s="146"/>
      <c r="O438" s="15"/>
    </row>
    <row r="439">
      <c r="D439" s="146"/>
      <c r="K439" s="146"/>
      <c r="O439" s="15"/>
    </row>
    <row r="440">
      <c r="D440" s="146"/>
      <c r="K440" s="146"/>
      <c r="O440" s="15"/>
    </row>
    <row r="441">
      <c r="D441" s="146"/>
      <c r="K441" s="146"/>
      <c r="O441" s="15"/>
    </row>
    <row r="442">
      <c r="D442" s="146"/>
      <c r="K442" s="146"/>
      <c r="O442" s="15"/>
    </row>
    <row r="443">
      <c r="D443" s="146"/>
      <c r="K443" s="146"/>
      <c r="O443" s="15"/>
    </row>
    <row r="444">
      <c r="D444" s="146"/>
      <c r="K444" s="146"/>
      <c r="O444" s="15"/>
    </row>
    <row r="445">
      <c r="D445" s="146"/>
      <c r="K445" s="146"/>
      <c r="O445" s="15"/>
    </row>
    <row r="446">
      <c r="D446" s="146"/>
      <c r="K446" s="146"/>
      <c r="O446" s="15"/>
    </row>
    <row r="447">
      <c r="D447" s="146"/>
      <c r="K447" s="146"/>
      <c r="O447" s="15"/>
    </row>
    <row r="448">
      <c r="D448" s="146"/>
      <c r="K448" s="146"/>
      <c r="O448" s="15"/>
    </row>
    <row r="449">
      <c r="D449" s="146"/>
      <c r="K449" s="146"/>
      <c r="O449" s="15"/>
    </row>
    <row r="450">
      <c r="D450" s="146"/>
      <c r="K450" s="146"/>
      <c r="O450" s="15"/>
    </row>
    <row r="451">
      <c r="D451" s="146"/>
      <c r="K451" s="146"/>
      <c r="O451" s="15"/>
    </row>
    <row r="452">
      <c r="D452" s="146"/>
      <c r="K452" s="146"/>
      <c r="O452" s="15"/>
    </row>
    <row r="453">
      <c r="D453" s="146"/>
      <c r="K453" s="146"/>
      <c r="O453" s="15"/>
    </row>
    <row r="454">
      <c r="D454" s="146"/>
      <c r="K454" s="146"/>
      <c r="O454" s="15"/>
    </row>
    <row r="455">
      <c r="D455" s="146"/>
      <c r="K455" s="146"/>
      <c r="O455" s="15"/>
    </row>
    <row r="456">
      <c r="D456" s="146"/>
      <c r="K456" s="146"/>
      <c r="O456" s="15"/>
    </row>
    <row r="457">
      <c r="D457" s="146"/>
      <c r="K457" s="146"/>
      <c r="O457" s="15"/>
    </row>
    <row r="458">
      <c r="D458" s="146"/>
      <c r="K458" s="146"/>
      <c r="O458" s="15"/>
    </row>
    <row r="459">
      <c r="D459" s="146"/>
      <c r="K459" s="146"/>
      <c r="O459" s="15"/>
    </row>
    <row r="460">
      <c r="D460" s="146"/>
      <c r="K460" s="146"/>
      <c r="O460" s="15"/>
    </row>
    <row r="461">
      <c r="D461" s="146"/>
      <c r="K461" s="146"/>
      <c r="O461" s="15"/>
    </row>
    <row r="462">
      <c r="D462" s="146"/>
      <c r="K462" s="146"/>
      <c r="O462" s="15"/>
    </row>
    <row r="463">
      <c r="D463" s="146"/>
      <c r="K463" s="146"/>
      <c r="O463" s="15"/>
    </row>
    <row r="464">
      <c r="D464" s="146"/>
      <c r="K464" s="146"/>
      <c r="O464" s="15"/>
    </row>
    <row r="465">
      <c r="D465" s="146"/>
      <c r="K465" s="146"/>
      <c r="O465" s="15"/>
    </row>
    <row r="466">
      <c r="D466" s="146"/>
      <c r="K466" s="146"/>
      <c r="O466" s="15"/>
    </row>
    <row r="467">
      <c r="D467" s="146"/>
      <c r="K467" s="146"/>
      <c r="O467" s="15"/>
    </row>
    <row r="468">
      <c r="D468" s="146"/>
      <c r="K468" s="146"/>
      <c r="O468" s="15"/>
    </row>
    <row r="469">
      <c r="D469" s="146"/>
      <c r="K469" s="146"/>
      <c r="O469" s="15"/>
    </row>
    <row r="470">
      <c r="D470" s="146"/>
      <c r="K470" s="146"/>
      <c r="O470" s="15"/>
    </row>
    <row r="471">
      <c r="D471" s="146"/>
      <c r="K471" s="146"/>
      <c r="O471" s="15"/>
    </row>
    <row r="472">
      <c r="D472" s="146"/>
      <c r="K472" s="146"/>
      <c r="O472" s="15"/>
    </row>
    <row r="473">
      <c r="D473" s="146"/>
      <c r="K473" s="146"/>
      <c r="O473" s="15"/>
    </row>
    <row r="474">
      <c r="D474" s="146"/>
      <c r="K474" s="146"/>
      <c r="O474" s="15"/>
    </row>
    <row r="475">
      <c r="D475" s="146"/>
      <c r="K475" s="146"/>
      <c r="O475" s="15"/>
    </row>
    <row r="476">
      <c r="D476" s="146"/>
      <c r="K476" s="146"/>
      <c r="O476" s="15"/>
    </row>
    <row r="477">
      <c r="D477" s="146"/>
      <c r="K477" s="146"/>
      <c r="O477" s="15"/>
    </row>
    <row r="478">
      <c r="D478" s="146"/>
      <c r="K478" s="146"/>
      <c r="O478" s="15"/>
    </row>
    <row r="479">
      <c r="D479" s="146"/>
      <c r="K479" s="146"/>
      <c r="O479" s="15"/>
    </row>
    <row r="480">
      <c r="D480" s="146"/>
      <c r="K480" s="146"/>
      <c r="O480" s="15"/>
    </row>
    <row r="481">
      <c r="D481" s="146"/>
      <c r="K481" s="146"/>
      <c r="O481" s="15"/>
    </row>
    <row r="482">
      <c r="D482" s="146"/>
      <c r="K482" s="146"/>
      <c r="O482" s="15"/>
    </row>
    <row r="483">
      <c r="D483" s="146"/>
      <c r="K483" s="146"/>
      <c r="O483" s="15"/>
    </row>
    <row r="484">
      <c r="D484" s="146"/>
      <c r="K484" s="146"/>
      <c r="O484" s="15"/>
    </row>
    <row r="485">
      <c r="D485" s="146"/>
      <c r="K485" s="146"/>
      <c r="O485" s="15"/>
    </row>
    <row r="486">
      <c r="D486" s="146"/>
      <c r="K486" s="146"/>
      <c r="O486" s="15"/>
    </row>
    <row r="487">
      <c r="D487" s="146"/>
      <c r="K487" s="146"/>
      <c r="O487" s="15"/>
    </row>
    <row r="488">
      <c r="D488" s="146"/>
      <c r="K488" s="146"/>
      <c r="O488" s="15"/>
    </row>
    <row r="489">
      <c r="D489" s="146"/>
      <c r="K489" s="146"/>
      <c r="O489" s="15"/>
    </row>
    <row r="490">
      <c r="D490" s="146"/>
      <c r="K490" s="146"/>
      <c r="O490" s="15"/>
    </row>
    <row r="491">
      <c r="D491" s="146"/>
      <c r="K491" s="146"/>
      <c r="O491" s="15"/>
    </row>
    <row r="492">
      <c r="D492" s="146"/>
      <c r="K492" s="146"/>
      <c r="O492" s="15"/>
    </row>
    <row r="493">
      <c r="D493" s="146"/>
      <c r="K493" s="146"/>
      <c r="O493" s="15"/>
    </row>
    <row r="494">
      <c r="D494" s="146"/>
      <c r="K494" s="146"/>
      <c r="O494" s="15"/>
    </row>
    <row r="495">
      <c r="D495" s="146"/>
      <c r="K495" s="146"/>
      <c r="O495" s="15"/>
    </row>
    <row r="496">
      <c r="D496" s="146"/>
      <c r="K496" s="146"/>
      <c r="O496" s="15"/>
    </row>
    <row r="497">
      <c r="D497" s="146"/>
      <c r="K497" s="146"/>
      <c r="O497" s="15"/>
    </row>
    <row r="498">
      <c r="D498" s="146"/>
      <c r="K498" s="146"/>
      <c r="O498" s="15"/>
    </row>
    <row r="499">
      <c r="D499" s="146"/>
      <c r="K499" s="146"/>
      <c r="O499" s="15"/>
    </row>
    <row r="500">
      <c r="D500" s="146"/>
      <c r="K500" s="146"/>
      <c r="O500" s="15"/>
    </row>
    <row r="501">
      <c r="D501" s="146"/>
      <c r="K501" s="146"/>
      <c r="O501" s="15"/>
    </row>
    <row r="502">
      <c r="D502" s="146"/>
      <c r="K502" s="146"/>
      <c r="O502" s="15"/>
    </row>
    <row r="503">
      <c r="D503" s="146"/>
      <c r="K503" s="146"/>
      <c r="O503" s="15"/>
    </row>
    <row r="504">
      <c r="D504" s="146"/>
      <c r="K504" s="146"/>
      <c r="O504" s="15"/>
    </row>
    <row r="505">
      <c r="D505" s="146"/>
      <c r="K505" s="146"/>
      <c r="O505" s="15"/>
    </row>
    <row r="506">
      <c r="D506" s="146"/>
      <c r="K506" s="146"/>
      <c r="O506" s="15"/>
    </row>
    <row r="507">
      <c r="D507" s="146"/>
      <c r="K507" s="146"/>
      <c r="O507" s="15"/>
    </row>
    <row r="508">
      <c r="D508" s="146"/>
      <c r="K508" s="146"/>
      <c r="O508" s="15"/>
    </row>
    <row r="509">
      <c r="D509" s="146"/>
      <c r="K509" s="146"/>
      <c r="O509" s="15"/>
    </row>
    <row r="510">
      <c r="D510" s="146"/>
      <c r="K510" s="146"/>
      <c r="O510" s="15"/>
    </row>
    <row r="511">
      <c r="D511" s="146"/>
      <c r="K511" s="146"/>
      <c r="O511" s="15"/>
    </row>
    <row r="512">
      <c r="D512" s="146"/>
      <c r="K512" s="146"/>
      <c r="O512" s="15"/>
    </row>
    <row r="513">
      <c r="D513" s="146"/>
      <c r="K513" s="146"/>
      <c r="O513" s="15"/>
    </row>
    <row r="514">
      <c r="D514" s="146"/>
      <c r="K514" s="146"/>
      <c r="O514" s="15"/>
    </row>
    <row r="515">
      <c r="D515" s="146"/>
      <c r="K515" s="146"/>
      <c r="O515" s="15"/>
    </row>
    <row r="516">
      <c r="D516" s="146"/>
      <c r="K516" s="146"/>
      <c r="O516" s="15"/>
    </row>
    <row r="517">
      <c r="D517" s="146"/>
      <c r="K517" s="146"/>
      <c r="O517" s="15"/>
    </row>
    <row r="518">
      <c r="D518" s="146"/>
      <c r="K518" s="146"/>
      <c r="O518" s="15"/>
    </row>
    <row r="519">
      <c r="D519" s="146"/>
      <c r="K519" s="146"/>
      <c r="O519" s="15"/>
    </row>
    <row r="520">
      <c r="D520" s="146"/>
      <c r="K520" s="146"/>
      <c r="O520" s="15"/>
    </row>
    <row r="521">
      <c r="D521" s="146"/>
      <c r="K521" s="146"/>
      <c r="O521" s="15"/>
    </row>
    <row r="522">
      <c r="D522" s="146"/>
      <c r="K522" s="146"/>
      <c r="O522" s="15"/>
    </row>
    <row r="523">
      <c r="D523" s="146"/>
      <c r="K523" s="146"/>
      <c r="O523" s="15"/>
    </row>
    <row r="524">
      <c r="D524" s="146"/>
      <c r="K524" s="146"/>
      <c r="O524" s="15"/>
    </row>
    <row r="525">
      <c r="D525" s="146"/>
      <c r="K525" s="146"/>
      <c r="O525" s="15"/>
    </row>
    <row r="526">
      <c r="D526" s="146"/>
      <c r="K526" s="146"/>
      <c r="O526" s="15"/>
    </row>
    <row r="527">
      <c r="D527" s="146"/>
      <c r="K527" s="146"/>
      <c r="O527" s="15"/>
    </row>
    <row r="528">
      <c r="D528" s="146"/>
      <c r="K528" s="146"/>
      <c r="O528" s="15"/>
    </row>
    <row r="529">
      <c r="D529" s="146"/>
      <c r="K529" s="146"/>
      <c r="O529" s="15"/>
    </row>
    <row r="530">
      <c r="D530" s="146"/>
      <c r="K530" s="146"/>
      <c r="O530" s="15"/>
    </row>
    <row r="531">
      <c r="D531" s="146"/>
      <c r="K531" s="146"/>
      <c r="O531" s="15"/>
    </row>
    <row r="532">
      <c r="D532" s="146"/>
      <c r="K532" s="146"/>
      <c r="O532" s="15"/>
    </row>
    <row r="533">
      <c r="D533" s="146"/>
      <c r="K533" s="146"/>
      <c r="O533" s="15"/>
    </row>
    <row r="534">
      <c r="D534" s="146"/>
      <c r="K534" s="146"/>
      <c r="O534" s="15"/>
    </row>
    <row r="535">
      <c r="D535" s="146"/>
      <c r="K535" s="146"/>
      <c r="O535" s="15"/>
    </row>
    <row r="536">
      <c r="D536" s="146"/>
      <c r="K536" s="146"/>
      <c r="O536" s="15"/>
    </row>
    <row r="537">
      <c r="D537" s="146"/>
      <c r="K537" s="146"/>
      <c r="O537" s="15"/>
    </row>
    <row r="538">
      <c r="D538" s="146"/>
      <c r="K538" s="146"/>
      <c r="O538" s="15"/>
    </row>
    <row r="539">
      <c r="D539" s="146"/>
      <c r="K539" s="146"/>
      <c r="O539" s="15"/>
    </row>
    <row r="540">
      <c r="D540" s="146"/>
      <c r="K540" s="146"/>
      <c r="O540" s="15"/>
    </row>
    <row r="541">
      <c r="D541" s="146"/>
      <c r="K541" s="146"/>
      <c r="O541" s="15"/>
    </row>
    <row r="542">
      <c r="D542" s="146"/>
      <c r="K542" s="146"/>
      <c r="O542" s="15"/>
    </row>
    <row r="543">
      <c r="D543" s="146"/>
      <c r="K543" s="146"/>
      <c r="O543" s="15"/>
    </row>
    <row r="544">
      <c r="D544" s="146"/>
      <c r="K544" s="146"/>
      <c r="O544" s="15"/>
    </row>
    <row r="545">
      <c r="D545" s="146"/>
      <c r="K545" s="146"/>
      <c r="O545" s="15"/>
    </row>
    <row r="546">
      <c r="D546" s="146"/>
      <c r="K546" s="146"/>
      <c r="O546" s="15"/>
    </row>
    <row r="547">
      <c r="D547" s="146"/>
      <c r="K547" s="146"/>
      <c r="O547" s="15"/>
    </row>
    <row r="548">
      <c r="D548" s="146"/>
      <c r="K548" s="146"/>
      <c r="O548" s="15"/>
    </row>
    <row r="549">
      <c r="D549" s="146"/>
      <c r="K549" s="146"/>
      <c r="O549" s="15"/>
    </row>
    <row r="550">
      <c r="D550" s="146"/>
      <c r="K550" s="146"/>
      <c r="O550" s="15"/>
    </row>
    <row r="551">
      <c r="D551" s="146"/>
      <c r="K551" s="146"/>
      <c r="O551" s="15"/>
    </row>
    <row r="552">
      <c r="D552" s="146"/>
      <c r="K552" s="146"/>
      <c r="O552" s="15"/>
    </row>
    <row r="553">
      <c r="D553" s="146"/>
      <c r="K553" s="146"/>
      <c r="O553" s="15"/>
    </row>
    <row r="554">
      <c r="D554" s="146"/>
      <c r="K554" s="146"/>
      <c r="O554" s="15"/>
    </row>
    <row r="555">
      <c r="D555" s="146"/>
      <c r="K555" s="146"/>
      <c r="O555" s="15"/>
    </row>
    <row r="556">
      <c r="D556" s="146"/>
      <c r="K556" s="146"/>
      <c r="O556" s="15"/>
    </row>
    <row r="557">
      <c r="D557" s="146"/>
      <c r="K557" s="146"/>
      <c r="O557" s="15"/>
    </row>
    <row r="558">
      <c r="D558" s="146"/>
      <c r="K558" s="146"/>
      <c r="O558" s="15"/>
    </row>
    <row r="559">
      <c r="D559" s="146"/>
      <c r="K559" s="146"/>
      <c r="O559" s="15"/>
    </row>
    <row r="560">
      <c r="D560" s="146"/>
      <c r="K560" s="146"/>
      <c r="O560" s="15"/>
    </row>
    <row r="561">
      <c r="D561" s="146"/>
      <c r="K561" s="146"/>
      <c r="O561" s="15"/>
    </row>
    <row r="562">
      <c r="D562" s="146"/>
      <c r="K562" s="146"/>
      <c r="O562" s="15"/>
    </row>
    <row r="563">
      <c r="D563" s="146"/>
      <c r="K563" s="146"/>
      <c r="O563" s="15"/>
    </row>
    <row r="564">
      <c r="D564" s="146"/>
      <c r="K564" s="146"/>
      <c r="O564" s="15"/>
    </row>
    <row r="565">
      <c r="D565" s="146"/>
      <c r="K565" s="146"/>
      <c r="O565" s="15"/>
    </row>
    <row r="566">
      <c r="D566" s="146"/>
      <c r="K566" s="146"/>
      <c r="O566" s="15"/>
    </row>
    <row r="567">
      <c r="D567" s="146"/>
      <c r="K567" s="146"/>
      <c r="O567" s="15"/>
    </row>
    <row r="568">
      <c r="D568" s="146"/>
      <c r="K568" s="146"/>
      <c r="O568" s="15"/>
    </row>
    <row r="569">
      <c r="D569" s="146"/>
      <c r="K569" s="146"/>
      <c r="O569" s="15"/>
    </row>
    <row r="570">
      <c r="D570" s="146"/>
      <c r="K570" s="146"/>
      <c r="O570" s="15"/>
    </row>
    <row r="571">
      <c r="D571" s="146"/>
      <c r="K571" s="146"/>
      <c r="O571" s="15"/>
    </row>
    <row r="572">
      <c r="D572" s="146"/>
      <c r="K572" s="146"/>
      <c r="O572" s="15"/>
    </row>
    <row r="573">
      <c r="D573" s="146"/>
      <c r="K573" s="146"/>
      <c r="O573" s="15"/>
    </row>
    <row r="574">
      <c r="D574" s="146"/>
      <c r="K574" s="146"/>
      <c r="O574" s="15"/>
    </row>
    <row r="575">
      <c r="D575" s="146"/>
      <c r="K575" s="146"/>
      <c r="O575" s="15"/>
    </row>
    <row r="576">
      <c r="D576" s="146"/>
      <c r="K576" s="146"/>
      <c r="O576" s="15"/>
    </row>
    <row r="577">
      <c r="D577" s="146"/>
      <c r="K577" s="146"/>
      <c r="O577" s="15"/>
    </row>
    <row r="578">
      <c r="D578" s="146"/>
      <c r="K578" s="146"/>
      <c r="O578" s="15"/>
    </row>
    <row r="579">
      <c r="D579" s="146"/>
      <c r="K579" s="146"/>
      <c r="O579" s="15"/>
    </row>
    <row r="580">
      <c r="D580" s="146"/>
      <c r="K580" s="146"/>
      <c r="O580" s="15"/>
    </row>
    <row r="581">
      <c r="D581" s="146"/>
      <c r="K581" s="146"/>
      <c r="O581" s="15"/>
    </row>
    <row r="582">
      <c r="D582" s="146"/>
      <c r="K582" s="146"/>
      <c r="O582" s="15"/>
    </row>
    <row r="583">
      <c r="D583" s="146"/>
      <c r="K583" s="146"/>
      <c r="O583" s="15"/>
    </row>
    <row r="584">
      <c r="D584" s="146"/>
      <c r="K584" s="146"/>
      <c r="O584" s="15"/>
    </row>
    <row r="585">
      <c r="D585" s="146"/>
      <c r="K585" s="146"/>
      <c r="O585" s="15"/>
    </row>
    <row r="586">
      <c r="D586" s="146"/>
      <c r="K586" s="146"/>
      <c r="O586" s="15"/>
    </row>
    <row r="587">
      <c r="D587" s="146"/>
      <c r="K587" s="146"/>
      <c r="O587" s="15"/>
    </row>
    <row r="588">
      <c r="D588" s="146"/>
      <c r="K588" s="146"/>
      <c r="O588" s="15"/>
    </row>
    <row r="589">
      <c r="D589" s="146"/>
      <c r="K589" s="146"/>
      <c r="O589" s="15"/>
    </row>
    <row r="590">
      <c r="D590" s="146"/>
      <c r="K590" s="146"/>
      <c r="O590" s="15"/>
    </row>
    <row r="591">
      <c r="D591" s="146"/>
      <c r="K591" s="146"/>
      <c r="O591" s="15"/>
    </row>
    <row r="592">
      <c r="D592" s="146"/>
      <c r="K592" s="146"/>
      <c r="O592" s="15"/>
    </row>
    <row r="593">
      <c r="D593" s="146"/>
      <c r="K593" s="146"/>
      <c r="O593" s="15"/>
    </row>
    <row r="594">
      <c r="D594" s="146"/>
      <c r="K594" s="146"/>
      <c r="O594" s="15"/>
    </row>
    <row r="595">
      <c r="D595" s="146"/>
      <c r="K595" s="146"/>
      <c r="O595" s="15"/>
    </row>
    <row r="596">
      <c r="D596" s="146"/>
      <c r="K596" s="146"/>
      <c r="O596" s="15"/>
    </row>
    <row r="597">
      <c r="D597" s="146"/>
      <c r="K597" s="146"/>
      <c r="O597" s="15"/>
    </row>
    <row r="598">
      <c r="D598" s="146"/>
      <c r="K598" s="146"/>
      <c r="O598" s="15"/>
    </row>
    <row r="599">
      <c r="D599" s="146"/>
      <c r="K599" s="146"/>
      <c r="O599" s="15"/>
    </row>
    <row r="600">
      <c r="D600" s="146"/>
      <c r="K600" s="146"/>
      <c r="O600" s="15"/>
    </row>
    <row r="601">
      <c r="D601" s="146"/>
      <c r="K601" s="146"/>
      <c r="O601" s="15"/>
    </row>
    <row r="602">
      <c r="D602" s="146"/>
      <c r="K602" s="146"/>
      <c r="O602" s="15"/>
    </row>
    <row r="603">
      <c r="D603" s="146"/>
      <c r="K603" s="146"/>
      <c r="O603" s="15"/>
    </row>
    <row r="604">
      <c r="D604" s="146"/>
      <c r="K604" s="146"/>
      <c r="O604" s="15"/>
    </row>
    <row r="605">
      <c r="D605" s="146"/>
      <c r="K605" s="146"/>
      <c r="O605" s="15"/>
    </row>
    <row r="606">
      <c r="D606" s="146"/>
      <c r="K606" s="146"/>
      <c r="O606" s="15"/>
    </row>
    <row r="607">
      <c r="D607" s="146"/>
      <c r="K607" s="146"/>
      <c r="O607" s="15"/>
    </row>
    <row r="608">
      <c r="D608" s="146"/>
      <c r="K608" s="146"/>
      <c r="O608" s="15"/>
    </row>
    <row r="609">
      <c r="D609" s="146"/>
      <c r="K609" s="146"/>
      <c r="O609" s="15"/>
    </row>
    <row r="610">
      <c r="D610" s="146"/>
      <c r="K610" s="146"/>
      <c r="O610" s="15"/>
    </row>
    <row r="611">
      <c r="D611" s="146"/>
      <c r="K611" s="146"/>
      <c r="O611" s="15"/>
    </row>
    <row r="612">
      <c r="D612" s="146"/>
      <c r="K612" s="146"/>
      <c r="O612" s="15"/>
    </row>
    <row r="613">
      <c r="D613" s="146"/>
      <c r="K613" s="146"/>
      <c r="O613" s="15"/>
    </row>
    <row r="614">
      <c r="D614" s="146"/>
      <c r="K614" s="146"/>
      <c r="O614" s="15"/>
    </row>
    <row r="615">
      <c r="D615" s="146"/>
      <c r="K615" s="146"/>
      <c r="O615" s="15"/>
    </row>
    <row r="616">
      <c r="D616" s="146"/>
      <c r="K616" s="146"/>
      <c r="O616" s="15"/>
    </row>
    <row r="617">
      <c r="D617" s="146"/>
      <c r="K617" s="146"/>
      <c r="O617" s="15"/>
    </row>
    <row r="618">
      <c r="D618" s="146"/>
      <c r="K618" s="146"/>
      <c r="O618" s="15"/>
    </row>
    <row r="619">
      <c r="D619" s="146"/>
      <c r="K619" s="146"/>
      <c r="O619" s="15"/>
    </row>
    <row r="620">
      <c r="D620" s="146"/>
      <c r="K620" s="146"/>
      <c r="O620" s="15"/>
    </row>
    <row r="621">
      <c r="D621" s="146"/>
      <c r="K621" s="146"/>
      <c r="O621" s="15"/>
    </row>
    <row r="622">
      <c r="D622" s="146"/>
      <c r="K622" s="146"/>
      <c r="O622" s="15"/>
    </row>
    <row r="623">
      <c r="D623" s="146"/>
      <c r="K623" s="146"/>
      <c r="O623" s="15"/>
    </row>
    <row r="624">
      <c r="D624" s="146"/>
      <c r="K624" s="146"/>
      <c r="O624" s="15"/>
    </row>
    <row r="625">
      <c r="D625" s="146"/>
      <c r="K625" s="146"/>
      <c r="O625" s="15"/>
    </row>
    <row r="626">
      <c r="D626" s="146"/>
      <c r="K626" s="146"/>
      <c r="O626" s="15"/>
    </row>
    <row r="627">
      <c r="D627" s="146"/>
      <c r="K627" s="146"/>
      <c r="O627" s="15"/>
    </row>
    <row r="628">
      <c r="D628" s="146"/>
      <c r="K628" s="146"/>
      <c r="O628" s="15"/>
    </row>
    <row r="629">
      <c r="D629" s="146"/>
      <c r="K629" s="146"/>
      <c r="O629" s="15"/>
    </row>
    <row r="630">
      <c r="D630" s="146"/>
      <c r="K630" s="146"/>
      <c r="O630" s="15"/>
    </row>
    <row r="631">
      <c r="D631" s="146"/>
      <c r="K631" s="146"/>
      <c r="O631" s="15"/>
    </row>
    <row r="632">
      <c r="D632" s="146"/>
      <c r="K632" s="146"/>
      <c r="O632" s="15"/>
    </row>
    <row r="633">
      <c r="D633" s="146"/>
      <c r="K633" s="146"/>
      <c r="O633" s="15"/>
    </row>
    <row r="634">
      <c r="D634" s="146"/>
      <c r="K634" s="146"/>
      <c r="O634" s="15"/>
    </row>
    <row r="635">
      <c r="D635" s="146"/>
      <c r="K635" s="146"/>
      <c r="O635" s="15"/>
    </row>
    <row r="636">
      <c r="D636" s="146"/>
      <c r="K636" s="146"/>
      <c r="O636" s="15"/>
    </row>
    <row r="637">
      <c r="D637" s="146"/>
      <c r="K637" s="146"/>
      <c r="O637" s="15"/>
    </row>
    <row r="638">
      <c r="D638" s="146"/>
      <c r="K638" s="146"/>
      <c r="O638" s="15"/>
    </row>
    <row r="639">
      <c r="D639" s="146"/>
      <c r="K639" s="146"/>
      <c r="O639" s="15"/>
    </row>
    <row r="640">
      <c r="D640" s="146"/>
      <c r="K640" s="146"/>
      <c r="O640" s="15"/>
    </row>
    <row r="641">
      <c r="D641" s="146"/>
      <c r="K641" s="146"/>
      <c r="O641" s="15"/>
    </row>
    <row r="642">
      <c r="D642" s="146"/>
      <c r="K642" s="146"/>
      <c r="O642" s="15"/>
    </row>
    <row r="643">
      <c r="D643" s="146"/>
      <c r="K643" s="146"/>
      <c r="O643" s="15"/>
    </row>
    <row r="644">
      <c r="D644" s="146"/>
      <c r="K644" s="146"/>
      <c r="O644" s="15"/>
    </row>
    <row r="645">
      <c r="D645" s="146"/>
      <c r="K645" s="146"/>
      <c r="O645" s="15"/>
    </row>
    <row r="646">
      <c r="D646" s="146"/>
      <c r="K646" s="146"/>
      <c r="O646" s="15"/>
    </row>
    <row r="647">
      <c r="D647" s="146"/>
      <c r="K647" s="146"/>
      <c r="O647" s="15"/>
    </row>
    <row r="648">
      <c r="D648" s="146"/>
      <c r="K648" s="146"/>
      <c r="O648" s="15"/>
    </row>
    <row r="649">
      <c r="D649" s="146"/>
      <c r="K649" s="146"/>
      <c r="O649" s="15"/>
    </row>
    <row r="650">
      <c r="D650" s="146"/>
      <c r="K650" s="146"/>
      <c r="O650" s="15"/>
    </row>
    <row r="651">
      <c r="D651" s="146"/>
      <c r="K651" s="146"/>
      <c r="O651" s="15"/>
    </row>
    <row r="652">
      <c r="D652" s="146"/>
      <c r="K652" s="146"/>
      <c r="O652" s="15"/>
    </row>
    <row r="653">
      <c r="D653" s="146"/>
      <c r="K653" s="146"/>
      <c r="O653" s="15"/>
    </row>
    <row r="654">
      <c r="D654" s="146"/>
      <c r="K654" s="146"/>
      <c r="O654" s="15"/>
    </row>
    <row r="655">
      <c r="D655" s="146"/>
      <c r="K655" s="146"/>
      <c r="O655" s="15"/>
    </row>
    <row r="656">
      <c r="D656" s="146"/>
      <c r="K656" s="146"/>
      <c r="O656" s="15"/>
    </row>
    <row r="657">
      <c r="D657" s="146"/>
      <c r="K657" s="146"/>
      <c r="O657" s="15"/>
    </row>
    <row r="658">
      <c r="D658" s="146"/>
      <c r="K658" s="146"/>
      <c r="O658" s="15"/>
    </row>
    <row r="659">
      <c r="D659" s="146"/>
      <c r="K659" s="146"/>
      <c r="O659" s="15"/>
    </row>
    <row r="660">
      <c r="D660" s="146"/>
      <c r="K660" s="146"/>
      <c r="O660" s="15"/>
    </row>
    <row r="661">
      <c r="D661" s="146"/>
      <c r="K661" s="146"/>
      <c r="O661" s="15"/>
    </row>
    <row r="662">
      <c r="D662" s="146"/>
      <c r="K662" s="146"/>
      <c r="O662" s="15"/>
    </row>
    <row r="663">
      <c r="D663" s="146"/>
      <c r="K663" s="146"/>
      <c r="O663" s="15"/>
    </row>
    <row r="664">
      <c r="D664" s="146"/>
      <c r="K664" s="146"/>
      <c r="O664" s="15"/>
    </row>
    <row r="665">
      <c r="D665" s="146"/>
      <c r="K665" s="146"/>
      <c r="O665" s="15"/>
    </row>
    <row r="666">
      <c r="D666" s="146"/>
      <c r="K666" s="146"/>
      <c r="O666" s="15"/>
    </row>
    <row r="667">
      <c r="D667" s="146"/>
      <c r="K667" s="146"/>
      <c r="O667" s="15"/>
    </row>
    <row r="668">
      <c r="D668" s="146"/>
      <c r="K668" s="146"/>
      <c r="O668" s="15"/>
    </row>
    <row r="669">
      <c r="D669" s="146"/>
      <c r="K669" s="146"/>
      <c r="O669" s="15"/>
    </row>
    <row r="670">
      <c r="D670" s="146"/>
      <c r="K670" s="146"/>
      <c r="O670" s="15"/>
    </row>
    <row r="671">
      <c r="D671" s="146"/>
      <c r="K671" s="146"/>
      <c r="O671" s="15"/>
    </row>
    <row r="672">
      <c r="D672" s="146"/>
      <c r="K672" s="146"/>
      <c r="O672" s="15"/>
    </row>
    <row r="673">
      <c r="D673" s="146"/>
      <c r="K673" s="146"/>
      <c r="O673" s="15"/>
    </row>
    <row r="674">
      <c r="D674" s="146"/>
      <c r="K674" s="146"/>
      <c r="O674" s="15"/>
    </row>
    <row r="675">
      <c r="D675" s="146"/>
      <c r="K675" s="146"/>
      <c r="O675" s="15"/>
    </row>
    <row r="676">
      <c r="D676" s="146"/>
      <c r="K676" s="146"/>
      <c r="O676" s="15"/>
    </row>
    <row r="677">
      <c r="D677" s="146"/>
      <c r="K677" s="146"/>
      <c r="O677" s="15"/>
    </row>
    <row r="678">
      <c r="D678" s="146"/>
      <c r="K678" s="146"/>
      <c r="O678" s="15"/>
    </row>
    <row r="679">
      <c r="D679" s="146"/>
      <c r="K679" s="146"/>
      <c r="O679" s="15"/>
    </row>
    <row r="680">
      <c r="D680" s="146"/>
      <c r="K680" s="146"/>
      <c r="O680" s="15"/>
    </row>
    <row r="681">
      <c r="D681" s="146"/>
      <c r="K681" s="146"/>
      <c r="O681" s="15"/>
    </row>
    <row r="682">
      <c r="D682" s="146"/>
      <c r="K682" s="146"/>
      <c r="O682" s="15"/>
    </row>
    <row r="683">
      <c r="D683" s="146"/>
      <c r="K683" s="146"/>
      <c r="O683" s="15"/>
    </row>
    <row r="684">
      <c r="D684" s="146"/>
      <c r="K684" s="146"/>
      <c r="O684" s="15"/>
    </row>
    <row r="685">
      <c r="D685" s="146"/>
      <c r="K685" s="146"/>
      <c r="O685" s="15"/>
    </row>
    <row r="686">
      <c r="D686" s="146"/>
      <c r="K686" s="146"/>
      <c r="O686" s="15"/>
    </row>
    <row r="687">
      <c r="D687" s="146"/>
      <c r="K687" s="146"/>
      <c r="O687" s="15"/>
    </row>
    <row r="688">
      <c r="D688" s="146"/>
      <c r="K688" s="146"/>
      <c r="O688" s="15"/>
    </row>
    <row r="689">
      <c r="D689" s="146"/>
      <c r="K689" s="146"/>
      <c r="O689" s="15"/>
    </row>
    <row r="690">
      <c r="D690" s="146"/>
      <c r="K690" s="146"/>
      <c r="O690" s="15"/>
    </row>
    <row r="691">
      <c r="D691" s="146"/>
      <c r="K691" s="146"/>
      <c r="O691" s="15"/>
    </row>
    <row r="692">
      <c r="D692" s="146"/>
      <c r="K692" s="146"/>
      <c r="O692" s="15"/>
    </row>
    <row r="693">
      <c r="D693" s="146"/>
      <c r="K693" s="146"/>
      <c r="O693" s="15"/>
    </row>
    <row r="694">
      <c r="D694" s="146"/>
      <c r="K694" s="146"/>
      <c r="O694" s="15"/>
    </row>
    <row r="695">
      <c r="D695" s="146"/>
      <c r="K695" s="146"/>
      <c r="O695" s="15"/>
    </row>
    <row r="696">
      <c r="D696" s="146"/>
      <c r="K696" s="146"/>
      <c r="O696" s="15"/>
    </row>
    <row r="697">
      <c r="D697" s="146"/>
      <c r="K697" s="146"/>
      <c r="O697" s="15"/>
    </row>
    <row r="698">
      <c r="D698" s="146"/>
      <c r="K698" s="146"/>
      <c r="O698" s="15"/>
    </row>
    <row r="699">
      <c r="D699" s="146"/>
      <c r="K699" s="146"/>
      <c r="O699" s="15"/>
    </row>
    <row r="700">
      <c r="D700" s="146"/>
      <c r="K700" s="146"/>
      <c r="O700" s="15"/>
    </row>
    <row r="701">
      <c r="D701" s="146"/>
      <c r="K701" s="146"/>
      <c r="O701" s="15"/>
    </row>
    <row r="702">
      <c r="D702" s="146"/>
      <c r="K702" s="146"/>
      <c r="O702" s="15"/>
    </row>
    <row r="703">
      <c r="D703" s="146"/>
      <c r="K703" s="146"/>
      <c r="O703" s="15"/>
    </row>
    <row r="704">
      <c r="D704" s="146"/>
      <c r="K704" s="146"/>
      <c r="O704" s="15"/>
    </row>
    <row r="705">
      <c r="D705" s="146"/>
      <c r="K705" s="146"/>
      <c r="O705" s="15"/>
    </row>
    <row r="706">
      <c r="D706" s="146"/>
      <c r="K706" s="146"/>
      <c r="O706" s="15"/>
    </row>
    <row r="707">
      <c r="D707" s="146"/>
      <c r="K707" s="146"/>
      <c r="O707" s="15"/>
    </row>
    <row r="708">
      <c r="D708" s="146"/>
      <c r="K708" s="146"/>
      <c r="O708" s="15"/>
    </row>
    <row r="709">
      <c r="D709" s="146"/>
      <c r="K709" s="146"/>
      <c r="O709" s="15"/>
    </row>
    <row r="710">
      <c r="D710" s="146"/>
      <c r="K710" s="146"/>
      <c r="O710" s="15"/>
    </row>
    <row r="711">
      <c r="D711" s="146"/>
      <c r="K711" s="146"/>
      <c r="O711" s="15"/>
    </row>
    <row r="712">
      <c r="D712" s="146"/>
      <c r="K712" s="146"/>
      <c r="O712" s="15"/>
    </row>
    <row r="713">
      <c r="D713" s="146"/>
      <c r="K713" s="146"/>
      <c r="O713" s="15"/>
    </row>
    <row r="714">
      <c r="D714" s="146"/>
      <c r="K714" s="146"/>
      <c r="O714" s="15"/>
    </row>
    <row r="715">
      <c r="D715" s="146"/>
      <c r="K715" s="146"/>
      <c r="O715" s="15"/>
    </row>
    <row r="716">
      <c r="D716" s="146"/>
      <c r="K716" s="146"/>
      <c r="O716" s="15"/>
    </row>
    <row r="717">
      <c r="D717" s="146"/>
      <c r="K717" s="146"/>
      <c r="O717" s="15"/>
    </row>
    <row r="718">
      <c r="D718" s="146"/>
      <c r="K718" s="146"/>
      <c r="O718" s="15"/>
    </row>
    <row r="719">
      <c r="D719" s="146"/>
      <c r="K719" s="146"/>
      <c r="O719" s="15"/>
    </row>
    <row r="720">
      <c r="D720" s="146"/>
      <c r="K720" s="146"/>
      <c r="O720" s="15"/>
    </row>
    <row r="721">
      <c r="D721" s="146"/>
      <c r="K721" s="146"/>
      <c r="O721" s="15"/>
    </row>
    <row r="722">
      <c r="D722" s="146"/>
      <c r="K722" s="146"/>
      <c r="O722" s="15"/>
    </row>
    <row r="723">
      <c r="D723" s="146"/>
      <c r="K723" s="146"/>
      <c r="O723" s="15"/>
    </row>
    <row r="724">
      <c r="D724" s="146"/>
      <c r="K724" s="146"/>
      <c r="O724" s="15"/>
    </row>
    <row r="725">
      <c r="D725" s="146"/>
      <c r="K725" s="146"/>
      <c r="O725" s="15"/>
    </row>
    <row r="726">
      <c r="D726" s="146"/>
      <c r="K726" s="146"/>
      <c r="O726" s="15"/>
    </row>
    <row r="727">
      <c r="D727" s="146"/>
      <c r="K727" s="146"/>
      <c r="O727" s="15"/>
    </row>
    <row r="728">
      <c r="D728" s="146"/>
      <c r="K728" s="146"/>
      <c r="O728" s="15"/>
    </row>
    <row r="729">
      <c r="D729" s="146"/>
      <c r="K729" s="146"/>
      <c r="O729" s="15"/>
    </row>
    <row r="730">
      <c r="D730" s="146"/>
      <c r="K730" s="146"/>
      <c r="O730" s="15"/>
    </row>
    <row r="731">
      <c r="D731" s="146"/>
      <c r="K731" s="146"/>
      <c r="O731" s="15"/>
    </row>
    <row r="732">
      <c r="D732" s="146"/>
      <c r="K732" s="146"/>
      <c r="O732" s="15"/>
    </row>
    <row r="733">
      <c r="D733" s="146"/>
      <c r="K733" s="146"/>
      <c r="O733" s="15"/>
    </row>
    <row r="734">
      <c r="D734" s="146"/>
      <c r="K734" s="146"/>
      <c r="O734" s="15"/>
    </row>
    <row r="735">
      <c r="D735" s="146"/>
      <c r="K735" s="146"/>
      <c r="O735" s="15"/>
    </row>
    <row r="736">
      <c r="D736" s="146"/>
      <c r="K736" s="146"/>
      <c r="O736" s="15"/>
    </row>
    <row r="737">
      <c r="D737" s="146"/>
      <c r="K737" s="146"/>
      <c r="O737" s="15"/>
    </row>
    <row r="738">
      <c r="D738" s="146"/>
      <c r="K738" s="146"/>
      <c r="O738" s="15"/>
    </row>
    <row r="739">
      <c r="D739" s="146"/>
      <c r="K739" s="146"/>
      <c r="O739" s="15"/>
    </row>
    <row r="740">
      <c r="D740" s="146"/>
      <c r="K740" s="146"/>
      <c r="O740" s="15"/>
    </row>
    <row r="741">
      <c r="D741" s="146"/>
      <c r="K741" s="146"/>
      <c r="O741" s="15"/>
    </row>
    <row r="742">
      <c r="D742" s="146"/>
      <c r="K742" s="146"/>
      <c r="O742" s="15"/>
    </row>
    <row r="743">
      <c r="D743" s="146"/>
      <c r="K743" s="146"/>
      <c r="O743" s="15"/>
    </row>
    <row r="744">
      <c r="D744" s="146"/>
      <c r="K744" s="146"/>
      <c r="O744" s="15"/>
    </row>
    <row r="745">
      <c r="D745" s="146"/>
      <c r="K745" s="146"/>
      <c r="O745" s="15"/>
    </row>
    <row r="746">
      <c r="D746" s="146"/>
      <c r="K746" s="146"/>
      <c r="O746" s="15"/>
    </row>
    <row r="747">
      <c r="D747" s="146"/>
      <c r="K747" s="146"/>
      <c r="O747" s="15"/>
    </row>
    <row r="748">
      <c r="D748" s="146"/>
      <c r="K748" s="146"/>
      <c r="O748" s="15"/>
    </row>
    <row r="749">
      <c r="D749" s="146"/>
      <c r="K749" s="146"/>
      <c r="O749" s="15"/>
    </row>
    <row r="750">
      <c r="D750" s="146"/>
      <c r="K750" s="146"/>
      <c r="O750" s="15"/>
    </row>
    <row r="751">
      <c r="D751" s="146"/>
      <c r="K751" s="146"/>
      <c r="O751" s="15"/>
    </row>
    <row r="752">
      <c r="D752" s="146"/>
      <c r="K752" s="146"/>
      <c r="O752" s="15"/>
    </row>
    <row r="753">
      <c r="D753" s="146"/>
      <c r="K753" s="146"/>
      <c r="O753" s="15"/>
    </row>
    <row r="754">
      <c r="D754" s="146"/>
      <c r="K754" s="146"/>
      <c r="O754" s="15"/>
    </row>
    <row r="755">
      <c r="D755" s="146"/>
      <c r="K755" s="146"/>
      <c r="O755" s="15"/>
    </row>
    <row r="756">
      <c r="D756" s="146"/>
      <c r="K756" s="146"/>
      <c r="O756" s="15"/>
    </row>
    <row r="757">
      <c r="D757" s="146"/>
      <c r="K757" s="146"/>
      <c r="O757" s="15"/>
    </row>
    <row r="758">
      <c r="D758" s="146"/>
      <c r="K758" s="146"/>
      <c r="O758" s="15"/>
    </row>
    <row r="759">
      <c r="D759" s="146"/>
      <c r="K759" s="146"/>
      <c r="O759" s="15"/>
    </row>
    <row r="760">
      <c r="D760" s="146"/>
      <c r="K760" s="146"/>
      <c r="O760" s="15"/>
    </row>
    <row r="761">
      <c r="D761" s="146"/>
      <c r="K761" s="146"/>
      <c r="O761" s="15"/>
    </row>
    <row r="762">
      <c r="D762" s="146"/>
      <c r="K762" s="146"/>
      <c r="O762" s="15"/>
    </row>
    <row r="763">
      <c r="D763" s="146"/>
      <c r="K763" s="146"/>
      <c r="O763" s="15"/>
    </row>
    <row r="764">
      <c r="D764" s="146"/>
      <c r="K764" s="146"/>
      <c r="O764" s="15"/>
    </row>
    <row r="765">
      <c r="D765" s="146"/>
      <c r="K765" s="146"/>
      <c r="O765" s="15"/>
    </row>
    <row r="766">
      <c r="D766" s="146"/>
      <c r="K766" s="146"/>
      <c r="O766" s="15"/>
    </row>
    <row r="767">
      <c r="D767" s="146"/>
      <c r="K767" s="146"/>
      <c r="O767" s="15"/>
    </row>
    <row r="768">
      <c r="D768" s="146"/>
      <c r="K768" s="146"/>
      <c r="O768" s="15"/>
    </row>
    <row r="769">
      <c r="D769" s="146"/>
      <c r="K769" s="146"/>
      <c r="O769" s="15"/>
    </row>
    <row r="770">
      <c r="D770" s="146"/>
      <c r="K770" s="146"/>
      <c r="O770" s="15"/>
    </row>
    <row r="771">
      <c r="D771" s="146"/>
      <c r="K771" s="146"/>
      <c r="O771" s="15"/>
    </row>
    <row r="772">
      <c r="D772" s="146"/>
      <c r="K772" s="146"/>
      <c r="O772" s="15"/>
    </row>
    <row r="773">
      <c r="D773" s="146"/>
      <c r="K773" s="146"/>
      <c r="O773" s="15"/>
    </row>
    <row r="774">
      <c r="D774" s="146"/>
      <c r="K774" s="146"/>
      <c r="O774" s="15"/>
    </row>
    <row r="775">
      <c r="D775" s="146"/>
      <c r="K775" s="146"/>
      <c r="O775" s="15"/>
    </row>
    <row r="776">
      <c r="D776" s="146"/>
      <c r="K776" s="146"/>
      <c r="O776" s="15"/>
    </row>
    <row r="777">
      <c r="D777" s="146"/>
      <c r="K777" s="146"/>
      <c r="O777" s="15"/>
    </row>
    <row r="778">
      <c r="D778" s="146"/>
      <c r="K778" s="146"/>
      <c r="O778" s="15"/>
    </row>
    <row r="779">
      <c r="D779" s="146"/>
      <c r="K779" s="146"/>
      <c r="O779" s="15"/>
    </row>
    <row r="780">
      <c r="D780" s="146"/>
      <c r="K780" s="146"/>
      <c r="O780" s="15"/>
    </row>
    <row r="781">
      <c r="D781" s="146"/>
      <c r="K781" s="146"/>
      <c r="O781" s="15"/>
    </row>
    <row r="782">
      <c r="D782" s="146"/>
      <c r="K782" s="146"/>
      <c r="O782" s="15"/>
    </row>
    <row r="783">
      <c r="D783" s="146"/>
      <c r="K783" s="146"/>
      <c r="O783" s="15"/>
    </row>
    <row r="784">
      <c r="D784" s="146"/>
      <c r="K784" s="146"/>
      <c r="O784" s="15"/>
    </row>
    <row r="785">
      <c r="D785" s="146"/>
      <c r="K785" s="146"/>
      <c r="O785" s="15"/>
    </row>
    <row r="786">
      <c r="D786" s="146"/>
      <c r="K786" s="146"/>
      <c r="O786" s="15"/>
    </row>
    <row r="787">
      <c r="D787" s="146"/>
      <c r="K787" s="146"/>
      <c r="O787" s="15"/>
    </row>
    <row r="788">
      <c r="D788" s="146"/>
      <c r="K788" s="146"/>
      <c r="O788" s="15"/>
    </row>
    <row r="789">
      <c r="D789" s="146"/>
      <c r="K789" s="146"/>
      <c r="O789" s="15"/>
    </row>
    <row r="790">
      <c r="D790" s="146"/>
      <c r="K790" s="146"/>
      <c r="O790" s="15"/>
    </row>
    <row r="791">
      <c r="D791" s="146"/>
      <c r="K791" s="146"/>
      <c r="O791" s="15"/>
    </row>
    <row r="792">
      <c r="D792" s="146"/>
      <c r="K792" s="146"/>
      <c r="O792" s="15"/>
    </row>
    <row r="793">
      <c r="D793" s="146"/>
      <c r="K793" s="146"/>
      <c r="O793" s="15"/>
    </row>
    <row r="794">
      <c r="D794" s="146"/>
      <c r="K794" s="146"/>
      <c r="O794" s="15"/>
    </row>
    <row r="795">
      <c r="D795" s="146"/>
      <c r="K795" s="146"/>
      <c r="O795" s="15"/>
    </row>
    <row r="796">
      <c r="D796" s="146"/>
      <c r="K796" s="146"/>
      <c r="O796" s="15"/>
    </row>
    <row r="797">
      <c r="D797" s="146"/>
      <c r="K797" s="146"/>
      <c r="O797" s="15"/>
    </row>
    <row r="798">
      <c r="D798" s="146"/>
      <c r="K798" s="146"/>
      <c r="O798" s="15"/>
    </row>
    <row r="799">
      <c r="D799" s="146"/>
      <c r="K799" s="146"/>
      <c r="O799" s="15"/>
    </row>
    <row r="800">
      <c r="D800" s="146"/>
      <c r="K800" s="146"/>
      <c r="O800" s="15"/>
    </row>
    <row r="801">
      <c r="D801" s="146"/>
      <c r="K801" s="146"/>
      <c r="O801" s="15"/>
    </row>
    <row r="802">
      <c r="D802" s="146"/>
      <c r="K802" s="146"/>
      <c r="O802" s="15"/>
    </row>
    <row r="803">
      <c r="D803" s="146"/>
      <c r="K803" s="146"/>
      <c r="O803" s="15"/>
    </row>
    <row r="804">
      <c r="D804" s="146"/>
      <c r="K804" s="146"/>
      <c r="O804" s="15"/>
    </row>
    <row r="805">
      <c r="D805" s="146"/>
      <c r="K805" s="146"/>
      <c r="O805" s="15"/>
    </row>
    <row r="806">
      <c r="D806" s="146"/>
      <c r="K806" s="146"/>
      <c r="O806" s="15"/>
    </row>
    <row r="807">
      <c r="D807" s="146"/>
      <c r="K807" s="146"/>
      <c r="O807" s="15"/>
    </row>
    <row r="808">
      <c r="D808" s="146"/>
      <c r="K808" s="146"/>
      <c r="O808" s="15"/>
    </row>
    <row r="809">
      <c r="D809" s="146"/>
      <c r="K809" s="146"/>
      <c r="O809" s="15"/>
    </row>
    <row r="810">
      <c r="D810" s="146"/>
      <c r="K810" s="146"/>
      <c r="O810" s="15"/>
    </row>
    <row r="811">
      <c r="D811" s="146"/>
      <c r="K811" s="146"/>
      <c r="O811" s="15"/>
    </row>
    <row r="812">
      <c r="D812" s="146"/>
      <c r="K812" s="146"/>
      <c r="O812" s="15"/>
    </row>
    <row r="813">
      <c r="D813" s="146"/>
      <c r="K813" s="146"/>
      <c r="O813" s="15"/>
    </row>
    <row r="814">
      <c r="D814" s="146"/>
      <c r="K814" s="146"/>
      <c r="O814" s="15"/>
    </row>
    <row r="815">
      <c r="D815" s="146"/>
      <c r="K815" s="146"/>
      <c r="O815" s="15"/>
    </row>
    <row r="816">
      <c r="D816" s="146"/>
      <c r="K816" s="146"/>
      <c r="O816" s="15"/>
    </row>
    <row r="817">
      <c r="D817" s="146"/>
      <c r="K817" s="146"/>
      <c r="O817" s="15"/>
    </row>
    <row r="818">
      <c r="D818" s="146"/>
      <c r="K818" s="146"/>
      <c r="O818" s="15"/>
    </row>
    <row r="819">
      <c r="D819" s="146"/>
      <c r="K819" s="146"/>
      <c r="O819" s="15"/>
    </row>
    <row r="820">
      <c r="D820" s="146"/>
      <c r="K820" s="146"/>
      <c r="O820" s="15"/>
    </row>
    <row r="821">
      <c r="D821" s="146"/>
      <c r="K821" s="146"/>
      <c r="O821" s="15"/>
    </row>
    <row r="822">
      <c r="D822" s="146"/>
      <c r="K822" s="146"/>
      <c r="O822" s="15"/>
    </row>
    <row r="823">
      <c r="D823" s="146"/>
      <c r="K823" s="146"/>
      <c r="O823" s="15"/>
    </row>
    <row r="824">
      <c r="D824" s="146"/>
      <c r="K824" s="146"/>
      <c r="O824" s="15"/>
    </row>
    <row r="825">
      <c r="D825" s="146"/>
      <c r="K825" s="146"/>
      <c r="O825" s="15"/>
    </row>
    <row r="826">
      <c r="D826" s="146"/>
      <c r="K826" s="146"/>
      <c r="O826" s="15"/>
    </row>
    <row r="827">
      <c r="D827" s="146"/>
      <c r="K827" s="146"/>
      <c r="O827" s="15"/>
    </row>
    <row r="828">
      <c r="D828" s="146"/>
      <c r="K828" s="146"/>
      <c r="O828" s="15"/>
    </row>
    <row r="829">
      <c r="D829" s="146"/>
      <c r="K829" s="146"/>
      <c r="O829" s="15"/>
    </row>
    <row r="830">
      <c r="D830" s="146"/>
      <c r="K830" s="146"/>
      <c r="O830" s="15"/>
    </row>
    <row r="831">
      <c r="D831" s="146"/>
      <c r="K831" s="146"/>
      <c r="O831" s="15"/>
    </row>
    <row r="832">
      <c r="D832" s="146"/>
      <c r="K832" s="146"/>
      <c r="O832" s="15"/>
    </row>
    <row r="833">
      <c r="D833" s="146"/>
      <c r="K833" s="146"/>
      <c r="O833" s="15"/>
    </row>
    <row r="834">
      <c r="D834" s="146"/>
      <c r="K834" s="146"/>
      <c r="O834" s="15"/>
    </row>
    <row r="835">
      <c r="D835" s="146"/>
      <c r="K835" s="146"/>
      <c r="O835" s="15"/>
    </row>
    <row r="836">
      <c r="D836" s="146"/>
      <c r="K836" s="146"/>
      <c r="O836" s="15"/>
    </row>
    <row r="837">
      <c r="D837" s="146"/>
      <c r="K837" s="146"/>
      <c r="O837" s="15"/>
    </row>
    <row r="838">
      <c r="D838" s="146"/>
      <c r="K838" s="146"/>
      <c r="O838" s="15"/>
    </row>
    <row r="839">
      <c r="D839" s="146"/>
      <c r="K839" s="146"/>
      <c r="O839" s="15"/>
    </row>
    <row r="840">
      <c r="D840" s="146"/>
      <c r="K840" s="146"/>
      <c r="O840" s="15"/>
    </row>
    <row r="841">
      <c r="D841" s="146"/>
      <c r="K841" s="146"/>
      <c r="O841" s="15"/>
    </row>
    <row r="842">
      <c r="D842" s="146"/>
      <c r="K842" s="146"/>
      <c r="O842" s="15"/>
    </row>
    <row r="843">
      <c r="D843" s="146"/>
      <c r="K843" s="146"/>
      <c r="O843" s="15"/>
    </row>
    <row r="844">
      <c r="D844" s="146"/>
      <c r="K844" s="146"/>
      <c r="O844" s="15"/>
    </row>
    <row r="845">
      <c r="D845" s="146"/>
      <c r="K845" s="146"/>
      <c r="O845" s="15"/>
    </row>
    <row r="846">
      <c r="D846" s="146"/>
      <c r="K846" s="146"/>
      <c r="O846" s="15"/>
    </row>
    <row r="847">
      <c r="D847" s="146"/>
      <c r="K847" s="146"/>
      <c r="O847" s="15"/>
    </row>
    <row r="848">
      <c r="D848" s="146"/>
      <c r="K848" s="146"/>
      <c r="O848" s="15"/>
    </row>
    <row r="849">
      <c r="D849" s="146"/>
      <c r="K849" s="146"/>
      <c r="O849" s="15"/>
    </row>
    <row r="850">
      <c r="D850" s="146"/>
      <c r="K850" s="146"/>
      <c r="O850" s="15"/>
    </row>
    <row r="851">
      <c r="D851" s="146"/>
      <c r="K851" s="146"/>
      <c r="O851" s="15"/>
    </row>
    <row r="852">
      <c r="D852" s="146"/>
      <c r="K852" s="146"/>
      <c r="O852" s="15"/>
    </row>
    <row r="853">
      <c r="D853" s="146"/>
      <c r="K853" s="146"/>
      <c r="O853" s="15"/>
    </row>
    <row r="854">
      <c r="D854" s="146"/>
      <c r="K854" s="146"/>
      <c r="O854" s="15"/>
    </row>
    <row r="855">
      <c r="D855" s="146"/>
      <c r="K855" s="146"/>
      <c r="O855" s="15"/>
    </row>
    <row r="856">
      <c r="D856" s="146"/>
      <c r="K856" s="146"/>
      <c r="O856" s="15"/>
    </row>
    <row r="857">
      <c r="D857" s="146"/>
      <c r="K857" s="146"/>
      <c r="O857" s="15"/>
    </row>
    <row r="858">
      <c r="D858" s="146"/>
      <c r="K858" s="146"/>
      <c r="O858" s="15"/>
    </row>
    <row r="859">
      <c r="D859" s="146"/>
      <c r="K859" s="146"/>
      <c r="O859" s="15"/>
    </row>
    <row r="860">
      <c r="D860" s="146"/>
      <c r="K860" s="146"/>
      <c r="O860" s="15"/>
    </row>
    <row r="861">
      <c r="D861" s="146"/>
      <c r="K861" s="146"/>
      <c r="O861" s="15"/>
    </row>
    <row r="862">
      <c r="D862" s="146"/>
      <c r="K862" s="146"/>
      <c r="O862" s="15"/>
    </row>
    <row r="863">
      <c r="D863" s="146"/>
      <c r="K863" s="146"/>
      <c r="O863" s="15"/>
    </row>
    <row r="864">
      <c r="D864" s="146"/>
      <c r="K864" s="146"/>
      <c r="O864" s="15"/>
    </row>
    <row r="865">
      <c r="D865" s="146"/>
      <c r="K865" s="146"/>
      <c r="O865" s="15"/>
    </row>
    <row r="866">
      <c r="D866" s="146"/>
      <c r="K866" s="146"/>
      <c r="O866" s="15"/>
    </row>
    <row r="867">
      <c r="D867" s="146"/>
      <c r="K867" s="146"/>
      <c r="O867" s="15"/>
    </row>
    <row r="868">
      <c r="D868" s="146"/>
      <c r="K868" s="146"/>
      <c r="O868" s="15"/>
    </row>
    <row r="869">
      <c r="D869" s="146"/>
      <c r="K869" s="146"/>
      <c r="O869" s="15"/>
    </row>
    <row r="870">
      <c r="D870" s="146"/>
      <c r="K870" s="146"/>
      <c r="O870" s="15"/>
    </row>
    <row r="871">
      <c r="D871" s="146"/>
      <c r="K871" s="146"/>
      <c r="O871" s="15"/>
    </row>
    <row r="872">
      <c r="D872" s="146"/>
      <c r="K872" s="146"/>
      <c r="O872" s="15"/>
    </row>
    <row r="873">
      <c r="D873" s="146"/>
      <c r="K873" s="146"/>
      <c r="O873" s="15"/>
    </row>
    <row r="874">
      <c r="D874" s="146"/>
      <c r="K874" s="146"/>
      <c r="O874" s="15"/>
    </row>
    <row r="875">
      <c r="D875" s="146"/>
      <c r="K875" s="146"/>
      <c r="O875" s="15"/>
    </row>
    <row r="876">
      <c r="D876" s="146"/>
      <c r="K876" s="146"/>
      <c r="O876" s="15"/>
    </row>
    <row r="877">
      <c r="D877" s="146"/>
      <c r="K877" s="146"/>
      <c r="O877" s="15"/>
    </row>
    <row r="878">
      <c r="D878" s="146"/>
      <c r="K878" s="146"/>
      <c r="O878" s="15"/>
    </row>
    <row r="879">
      <c r="D879" s="146"/>
      <c r="K879" s="146"/>
      <c r="O879" s="15"/>
    </row>
    <row r="880">
      <c r="D880" s="146"/>
      <c r="K880" s="146"/>
      <c r="O880" s="15"/>
    </row>
    <row r="881">
      <c r="D881" s="146"/>
      <c r="K881" s="146"/>
      <c r="O881" s="15"/>
    </row>
    <row r="882">
      <c r="D882" s="146"/>
      <c r="K882" s="146"/>
      <c r="O882" s="15"/>
    </row>
    <row r="883">
      <c r="D883" s="146"/>
      <c r="K883" s="146"/>
      <c r="O883" s="15"/>
    </row>
    <row r="884">
      <c r="D884" s="146"/>
      <c r="K884" s="146"/>
      <c r="O884" s="15"/>
    </row>
    <row r="885">
      <c r="D885" s="146"/>
      <c r="K885" s="146"/>
      <c r="O885" s="15"/>
    </row>
    <row r="886">
      <c r="D886" s="146"/>
      <c r="K886" s="146"/>
      <c r="O886" s="15"/>
    </row>
    <row r="887">
      <c r="D887" s="146"/>
      <c r="K887" s="146"/>
      <c r="O887" s="15"/>
    </row>
    <row r="888">
      <c r="D888" s="146"/>
      <c r="K888" s="146"/>
      <c r="O888" s="15"/>
    </row>
    <row r="889">
      <c r="D889" s="146"/>
      <c r="K889" s="146"/>
      <c r="O889" s="15"/>
    </row>
    <row r="890">
      <c r="D890" s="146"/>
      <c r="K890" s="146"/>
      <c r="O890" s="15"/>
    </row>
    <row r="891">
      <c r="D891" s="146"/>
      <c r="K891" s="146"/>
      <c r="O891" s="15"/>
    </row>
    <row r="892">
      <c r="D892" s="146"/>
      <c r="K892" s="146"/>
      <c r="O892" s="15"/>
    </row>
    <row r="893">
      <c r="D893" s="146"/>
      <c r="K893" s="146"/>
      <c r="O893" s="15"/>
    </row>
    <row r="894">
      <c r="D894" s="146"/>
      <c r="K894" s="146"/>
      <c r="O894" s="15"/>
    </row>
    <row r="895">
      <c r="D895" s="146"/>
      <c r="K895" s="146"/>
      <c r="O895" s="15"/>
    </row>
    <row r="896">
      <c r="D896" s="146"/>
      <c r="K896" s="146"/>
      <c r="O896" s="15"/>
    </row>
    <row r="897">
      <c r="D897" s="146"/>
      <c r="K897" s="146"/>
      <c r="O897" s="15"/>
    </row>
    <row r="898">
      <c r="D898" s="146"/>
      <c r="K898" s="146"/>
      <c r="O898" s="15"/>
    </row>
    <row r="899">
      <c r="D899" s="146"/>
      <c r="K899" s="146"/>
      <c r="O899" s="15"/>
    </row>
    <row r="900">
      <c r="D900" s="146"/>
      <c r="K900" s="146"/>
      <c r="O900" s="15"/>
    </row>
    <row r="901">
      <c r="D901" s="146"/>
      <c r="K901" s="146"/>
      <c r="O901" s="15"/>
    </row>
    <row r="902">
      <c r="D902" s="146"/>
      <c r="K902" s="146"/>
      <c r="O902" s="15"/>
    </row>
    <row r="903">
      <c r="D903" s="146"/>
      <c r="K903" s="146"/>
      <c r="O903" s="15"/>
    </row>
    <row r="904">
      <c r="D904" s="146"/>
      <c r="K904" s="146"/>
      <c r="O904" s="15"/>
    </row>
    <row r="905">
      <c r="D905" s="146"/>
      <c r="K905" s="146"/>
      <c r="O905" s="15"/>
    </row>
    <row r="906">
      <c r="D906" s="146"/>
      <c r="K906" s="146"/>
      <c r="O906" s="15"/>
    </row>
    <row r="907">
      <c r="D907" s="146"/>
      <c r="K907" s="146"/>
      <c r="O907" s="15"/>
    </row>
    <row r="908">
      <c r="D908" s="146"/>
      <c r="K908" s="146"/>
      <c r="O908" s="15"/>
    </row>
    <row r="909">
      <c r="D909" s="146"/>
      <c r="K909" s="146"/>
      <c r="O909" s="15"/>
    </row>
    <row r="910">
      <c r="D910" s="146"/>
      <c r="K910" s="146"/>
      <c r="O910" s="15"/>
    </row>
    <row r="911">
      <c r="D911" s="146"/>
      <c r="K911" s="146"/>
      <c r="O911" s="15"/>
    </row>
    <row r="912">
      <c r="D912" s="146"/>
      <c r="K912" s="146"/>
      <c r="O912" s="15"/>
    </row>
    <row r="913">
      <c r="D913" s="146"/>
      <c r="K913" s="146"/>
      <c r="O913" s="15"/>
    </row>
    <row r="914">
      <c r="D914" s="146"/>
      <c r="K914" s="146"/>
      <c r="O914" s="15"/>
    </row>
    <row r="915">
      <c r="D915" s="146"/>
      <c r="K915" s="146"/>
      <c r="O915" s="15"/>
    </row>
    <row r="916">
      <c r="D916" s="146"/>
      <c r="K916" s="146"/>
      <c r="O916" s="15"/>
    </row>
    <row r="917">
      <c r="D917" s="146"/>
      <c r="K917" s="146"/>
      <c r="O917" s="15"/>
    </row>
    <row r="918">
      <c r="D918" s="146"/>
      <c r="K918" s="146"/>
      <c r="O918" s="15"/>
    </row>
    <row r="919">
      <c r="D919" s="146"/>
      <c r="K919" s="146"/>
      <c r="O919" s="15"/>
    </row>
    <row r="920">
      <c r="D920" s="146"/>
      <c r="K920" s="146"/>
      <c r="O920" s="15"/>
    </row>
    <row r="921">
      <c r="D921" s="146"/>
      <c r="K921" s="146"/>
      <c r="O921" s="15"/>
    </row>
    <row r="922">
      <c r="D922" s="146"/>
      <c r="K922" s="146"/>
      <c r="O922" s="15"/>
    </row>
    <row r="923">
      <c r="D923" s="146"/>
      <c r="K923" s="146"/>
      <c r="O923" s="15"/>
    </row>
    <row r="924">
      <c r="D924" s="146"/>
      <c r="K924" s="146"/>
      <c r="O924" s="15"/>
    </row>
    <row r="925">
      <c r="D925" s="146"/>
      <c r="K925" s="146"/>
      <c r="O925" s="15"/>
    </row>
    <row r="926">
      <c r="D926" s="146"/>
      <c r="K926" s="146"/>
      <c r="O926" s="15"/>
    </row>
    <row r="927">
      <c r="D927" s="146"/>
      <c r="K927" s="146"/>
      <c r="O927" s="15"/>
    </row>
    <row r="928">
      <c r="D928" s="146"/>
      <c r="K928" s="146"/>
      <c r="O928" s="15"/>
    </row>
    <row r="929">
      <c r="D929" s="146"/>
      <c r="K929" s="146"/>
      <c r="O929" s="15"/>
    </row>
    <row r="930">
      <c r="D930" s="146"/>
      <c r="K930" s="146"/>
      <c r="O930" s="15"/>
    </row>
    <row r="931">
      <c r="D931" s="146"/>
      <c r="K931" s="146"/>
      <c r="O931" s="15"/>
    </row>
    <row r="932">
      <c r="D932" s="146"/>
      <c r="K932" s="146"/>
      <c r="O932" s="15"/>
    </row>
    <row r="933">
      <c r="D933" s="146"/>
      <c r="K933" s="146"/>
      <c r="O933" s="15"/>
    </row>
    <row r="934">
      <c r="D934" s="146"/>
      <c r="K934" s="146"/>
      <c r="O934" s="15"/>
    </row>
    <row r="935">
      <c r="D935" s="146"/>
      <c r="K935" s="146"/>
      <c r="O935" s="15"/>
    </row>
    <row r="936">
      <c r="D936" s="146"/>
      <c r="K936" s="146"/>
      <c r="O936" s="15"/>
    </row>
    <row r="937">
      <c r="D937" s="146"/>
      <c r="K937" s="146"/>
      <c r="O937" s="15"/>
    </row>
    <row r="938">
      <c r="D938" s="146"/>
      <c r="K938" s="146"/>
      <c r="O938" s="15"/>
    </row>
    <row r="939">
      <c r="D939" s="146"/>
      <c r="K939" s="146"/>
      <c r="O939" s="15"/>
    </row>
    <row r="940">
      <c r="D940" s="146"/>
      <c r="K940" s="146"/>
      <c r="O940" s="15"/>
    </row>
    <row r="941">
      <c r="D941" s="146"/>
      <c r="K941" s="146"/>
      <c r="O941" s="15"/>
    </row>
    <row r="942">
      <c r="D942" s="146"/>
      <c r="K942" s="146"/>
      <c r="O942" s="15"/>
    </row>
    <row r="943">
      <c r="D943" s="146"/>
      <c r="K943" s="146"/>
      <c r="O943" s="15"/>
    </row>
    <row r="944">
      <c r="D944" s="146"/>
      <c r="K944" s="146"/>
      <c r="O944" s="15"/>
    </row>
    <row r="945">
      <c r="D945" s="146"/>
      <c r="K945" s="146"/>
      <c r="O945" s="15"/>
    </row>
    <row r="946">
      <c r="D946" s="146"/>
      <c r="K946" s="146"/>
      <c r="O946" s="15"/>
    </row>
    <row r="947">
      <c r="D947" s="146"/>
      <c r="K947" s="146"/>
      <c r="O947" s="15"/>
    </row>
    <row r="948">
      <c r="D948" s="146"/>
      <c r="K948" s="146"/>
      <c r="O948" s="15"/>
    </row>
    <row r="949">
      <c r="D949" s="146"/>
      <c r="K949" s="146"/>
      <c r="O949" s="15"/>
    </row>
    <row r="950">
      <c r="D950" s="146"/>
      <c r="K950" s="146"/>
      <c r="O950" s="15"/>
    </row>
    <row r="951">
      <c r="D951" s="146"/>
      <c r="K951" s="146"/>
      <c r="O951" s="15"/>
    </row>
    <row r="952">
      <c r="D952" s="146"/>
      <c r="K952" s="146"/>
      <c r="O952" s="15"/>
    </row>
    <row r="953">
      <c r="D953" s="146"/>
      <c r="K953" s="146"/>
      <c r="O953" s="15"/>
    </row>
    <row r="954">
      <c r="D954" s="146"/>
      <c r="K954" s="146"/>
      <c r="O954" s="15"/>
    </row>
    <row r="955">
      <c r="D955" s="146"/>
      <c r="K955" s="146"/>
      <c r="O955" s="15"/>
    </row>
    <row r="956">
      <c r="D956" s="146"/>
      <c r="K956" s="146"/>
      <c r="O956" s="15"/>
    </row>
    <row r="957">
      <c r="D957" s="146"/>
      <c r="K957" s="146"/>
      <c r="O957" s="15"/>
    </row>
    <row r="958">
      <c r="D958" s="146"/>
      <c r="K958" s="146"/>
      <c r="O958" s="15"/>
    </row>
    <row r="959">
      <c r="D959" s="146"/>
      <c r="K959" s="146"/>
      <c r="O959" s="15"/>
    </row>
    <row r="960">
      <c r="D960" s="146"/>
      <c r="K960" s="146"/>
      <c r="O960" s="15"/>
    </row>
    <row r="961">
      <c r="D961" s="146"/>
      <c r="K961" s="146"/>
      <c r="O961" s="15"/>
    </row>
    <row r="962">
      <c r="D962" s="146"/>
      <c r="K962" s="146"/>
      <c r="O962" s="15"/>
    </row>
    <row r="963">
      <c r="D963" s="146"/>
      <c r="K963" s="146"/>
      <c r="O963" s="15"/>
    </row>
    <row r="964">
      <c r="D964" s="146"/>
      <c r="K964" s="146"/>
      <c r="O964" s="15"/>
    </row>
    <row r="965">
      <c r="D965" s="146"/>
      <c r="K965" s="146"/>
      <c r="O965" s="15"/>
    </row>
    <row r="966">
      <c r="D966" s="146"/>
      <c r="K966" s="146"/>
      <c r="O966" s="15"/>
    </row>
    <row r="967">
      <c r="D967" s="146"/>
      <c r="K967" s="146"/>
      <c r="O967" s="15"/>
    </row>
    <row r="968">
      <c r="D968" s="146"/>
      <c r="K968" s="146"/>
      <c r="O968" s="15"/>
    </row>
    <row r="969">
      <c r="D969" s="146"/>
      <c r="K969" s="146"/>
      <c r="O969" s="15"/>
    </row>
    <row r="970">
      <c r="D970" s="146"/>
      <c r="K970" s="146"/>
      <c r="O970" s="15"/>
    </row>
    <row r="971">
      <c r="D971" s="146"/>
      <c r="K971" s="146"/>
      <c r="O971" s="15"/>
    </row>
    <row r="972">
      <c r="D972" s="146"/>
      <c r="K972" s="146"/>
      <c r="O972" s="15"/>
    </row>
    <row r="973">
      <c r="D973" s="146"/>
      <c r="K973" s="146"/>
      <c r="O973" s="15"/>
    </row>
    <row r="974">
      <c r="D974" s="146"/>
      <c r="K974" s="146"/>
      <c r="O974" s="15"/>
    </row>
    <row r="975">
      <c r="D975" s="146"/>
      <c r="K975" s="146"/>
      <c r="O975" s="15"/>
    </row>
    <row r="976">
      <c r="D976" s="146"/>
      <c r="K976" s="146"/>
      <c r="O976" s="15"/>
    </row>
    <row r="977">
      <c r="D977" s="146"/>
      <c r="K977" s="146"/>
      <c r="O977" s="15"/>
    </row>
    <row r="978">
      <c r="D978" s="146"/>
      <c r="K978" s="146"/>
      <c r="O978" s="15"/>
    </row>
    <row r="979">
      <c r="D979" s="146"/>
      <c r="K979" s="146"/>
      <c r="O979" s="15"/>
    </row>
    <row r="980">
      <c r="D980" s="146"/>
      <c r="K980" s="146"/>
      <c r="O980" s="15"/>
    </row>
    <row r="981">
      <c r="D981" s="146"/>
      <c r="K981" s="146"/>
      <c r="O981" s="15"/>
    </row>
    <row r="982">
      <c r="D982" s="146"/>
      <c r="K982" s="146"/>
      <c r="O982" s="15"/>
    </row>
    <row r="983">
      <c r="D983" s="146"/>
      <c r="K983" s="146"/>
      <c r="O983" s="15"/>
    </row>
    <row r="984">
      <c r="D984" s="146"/>
      <c r="K984" s="146"/>
      <c r="O984" s="15"/>
    </row>
    <row r="985">
      <c r="D985" s="146"/>
      <c r="K985" s="146"/>
      <c r="O985" s="15"/>
    </row>
    <row r="986">
      <c r="D986" s="146"/>
      <c r="K986" s="146"/>
      <c r="O986" s="15"/>
    </row>
    <row r="987">
      <c r="D987" s="146"/>
      <c r="K987" s="146"/>
      <c r="O987" s="15"/>
    </row>
    <row r="988">
      <c r="D988" s="146"/>
      <c r="K988" s="146"/>
      <c r="O988" s="15"/>
    </row>
    <row r="989">
      <c r="D989" s="146"/>
      <c r="K989" s="146"/>
      <c r="O989" s="15"/>
    </row>
    <row r="990">
      <c r="D990" s="146"/>
      <c r="K990" s="146"/>
      <c r="O990" s="15"/>
    </row>
    <row r="991">
      <c r="D991" s="146"/>
      <c r="K991" s="146"/>
      <c r="O991" s="15"/>
    </row>
    <row r="992">
      <c r="D992" s="146"/>
      <c r="K992" s="146"/>
      <c r="O992" s="15"/>
    </row>
    <row r="993">
      <c r="D993" s="146"/>
      <c r="K993" s="146"/>
      <c r="O993" s="15"/>
    </row>
    <row r="994">
      <c r="D994" s="146"/>
      <c r="K994" s="146"/>
      <c r="O994" s="15"/>
    </row>
    <row r="995">
      <c r="D995" s="146"/>
      <c r="K995" s="146"/>
      <c r="O995" s="15"/>
    </row>
    <row r="996">
      <c r="D996" s="146"/>
      <c r="K996" s="146"/>
      <c r="O996" s="15"/>
    </row>
    <row r="997">
      <c r="D997" s="146"/>
      <c r="K997" s="146"/>
      <c r="O997" s="15"/>
    </row>
    <row r="998">
      <c r="D998" s="146"/>
      <c r="K998" s="146"/>
      <c r="O998" s="15"/>
    </row>
    <row r="999">
      <c r="D999" s="146"/>
      <c r="K999" s="146"/>
      <c r="O999" s="15"/>
    </row>
    <row r="1000">
      <c r="D1000" s="146"/>
      <c r="K1000" s="146"/>
      <c r="O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2" max="12" width="26.5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4" t="s">
        <v>58</v>
      </c>
      <c r="F1" s="4" t="s">
        <v>59</v>
      </c>
      <c r="G1" s="4" t="s">
        <v>60</v>
      </c>
      <c r="H1" s="4" t="s">
        <v>92</v>
      </c>
      <c r="I1" s="4" t="s">
        <v>92</v>
      </c>
      <c r="J1" s="1" t="s">
        <v>8</v>
      </c>
      <c r="K1" s="147" t="s">
        <v>9</v>
      </c>
      <c r="L1" s="1" t="s">
        <v>10</v>
      </c>
      <c r="M1" s="1" t="s">
        <v>11</v>
      </c>
      <c r="N1" s="4" t="s">
        <v>12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36.0" customHeight="1">
      <c r="A2" s="7" t="str">
        <f t="shared" ref="A2:A134" si="1">if(B2&lt;&gt;"","Rogers Blue Jays Baseball Partnership","")</f>
        <v/>
      </c>
      <c r="B2" s="8" t="str">
        <f>if(and('Actuals - Billing - 2025'!E$240=True,C2&lt;&gt;""),'Actuals - Billing - 2025'!C234,"")</f>
        <v/>
      </c>
      <c r="C2" s="9" t="str">
        <f>IF(and('Actuals - Billing - 2025'!E$240=True,sum('Actuals - Billing - 2025'!AF234:AK234)&gt;0),'Actuals - Billing - 2025'!B234,"")</f>
        <v/>
      </c>
      <c r="D2" s="148" t="str">
        <f>if(and(sum('Actuals - Billing - 2025'!AF234)&gt;0,C2&lt;&gt;""),'Actuals - Billing - 2025'!$AG$2,"")</f>
        <v/>
      </c>
      <c r="E2" s="11" t="str">
        <f t="array" ref="E2">if($D2="","",index('Actuals - Billing - 2025'!$B2:$AZ900,Match($C2,'Actuals - Billing - 2025'!$B2:$B900,0),Match(E$1,'Actuals - Billing - 2025'!$B$2:$AF$2,0)))</f>
        <v/>
      </c>
      <c r="F2" s="11" t="str">
        <f t="array" ref="F2">if($D2="","",index('Actuals - Billing - 2025'!$B2:$AZ900,Match($C2,'Actuals - Billing - 2025'!$B2:$B900,0),Match(F$1,'Actuals - Billing - 2025'!$B$2:$AZ$2,0)))</f>
        <v/>
      </c>
      <c r="G2" s="11" t="str">
        <f t="array" ref="G2">if($D2="","",index('Actuals - Billing - 2025'!$B2:$AZ900,Match($C2,'Actuals - Billing - 2025'!$B2:$B900,0),Match(G$1,'Actuals - Billing - 2025'!$B$2:$AZ$2,0)))</f>
        <v/>
      </c>
      <c r="H2" s="11"/>
      <c r="I2" s="11"/>
      <c r="J2" s="11" t="str">
        <f t="shared" ref="J2:J134" si="2">if(sum(E2:I2)&gt;0,sum(E2:I2),"")</f>
        <v/>
      </c>
      <c r="K2" s="149" t="str">
        <f t="shared" ref="K2:K134" si="3">if(J2&lt;&gt;"",J2*D2,"")</f>
        <v/>
      </c>
      <c r="L2" s="1" t="str">
        <f t="shared" ref="L2:L419" si="4">if(K2&lt;&gt;"", if(E2&gt;0,"Breakfast"&amp;" "&amp;E2,"")&amp;IF(F2&gt;0," "&amp;"Pre-Game"&amp;" "&amp;F2,"")&amp;IF(G2&gt;0," "&amp;"Post-Game"&amp;" "&amp;G2,""),"")</f>
        <v/>
      </c>
      <c r="M2" s="4" t="str">
        <f t="shared" ref="M2:M134" si="5">if(B2&lt;&gt;"","TBJ Single A Jays - Meal Service","")</f>
        <v/>
      </c>
      <c r="N2" s="6"/>
      <c r="O2" s="6"/>
      <c r="P2" s="1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tr">
        <f t="shared" si="1"/>
        <v/>
      </c>
      <c r="B3" s="8" t="str">
        <f>if(and('Actuals - Billing - 2025'!E$240=True,C3&lt;&gt;""),'Actuals - Billing - 2025'!C235,"")</f>
        <v/>
      </c>
      <c r="C3" s="9" t="str">
        <f>IF(and('Actuals - Billing - 2025'!E$240=True,sum('Actuals - Billing - 2025'!AF235:AK235)&gt;0),'Actuals - Billing - 2025'!B235,"")</f>
        <v/>
      </c>
      <c r="D3" s="148" t="str">
        <f>if(and(sum('Actuals - Billing - 2025'!AF235)&gt;0,C3&lt;&gt;""),'Actuals - Billing - 2025'!$AG$2,"")</f>
        <v/>
      </c>
      <c r="E3" s="11" t="str">
        <f t="array" ref="E3">if($D3="","",index('Actuals - Billing - 2025'!$B3:$AZ901,Match($C3,'Actuals - Billing - 2025'!$B3:$B901,0),Match(E$1,'Actuals - Billing - 2025'!$B$2:$AF$2,0)))</f>
        <v/>
      </c>
      <c r="F3" s="11" t="str">
        <f t="array" ref="F3">if($D3="","",index('Actuals - Billing - 2025'!$B3:$AZ901,Match($C3,'Actuals - Billing - 2025'!$B3:$B901,0),Match(F$1,'Actuals - Billing - 2025'!$B$2:$AZ$2,0)))</f>
        <v/>
      </c>
      <c r="G3" s="11" t="str">
        <f t="array" ref="G3">if($D3="","",index('Actuals - Billing - 2025'!$B3:$AZ901,Match($C3,'Actuals - Billing - 2025'!$B3:$B901,0),Match(G$1,'Actuals - Billing - 2025'!$B$2:$AZ$2,0)))</f>
        <v/>
      </c>
      <c r="H3" s="11"/>
      <c r="I3" s="11"/>
      <c r="J3" s="11" t="str">
        <f t="shared" si="2"/>
        <v/>
      </c>
      <c r="K3" s="149" t="str">
        <f t="shared" si="3"/>
        <v/>
      </c>
      <c r="L3" s="1" t="str">
        <f t="shared" si="4"/>
        <v/>
      </c>
      <c r="M3" s="4" t="str">
        <f t="shared" si="5"/>
        <v/>
      </c>
      <c r="N3" s="6"/>
    </row>
    <row r="4">
      <c r="A4" s="7" t="str">
        <f t="shared" si="1"/>
        <v/>
      </c>
      <c r="B4" s="8" t="str">
        <f>if(and('Actuals - Billing - 2025'!E$240=True,C4&lt;&gt;""),'Actuals - Billing - 2025'!C236,"")</f>
        <v/>
      </c>
      <c r="C4" s="9" t="str">
        <f>IF(and('Actuals - Billing - 2025'!E$240=True,sum('Actuals - Billing - 2025'!AF236:AK236)&gt;0),'Actuals - Billing - 2025'!B236,"")</f>
        <v/>
      </c>
      <c r="D4" s="148" t="str">
        <f>if(and(sum('Actuals - Billing - 2025'!AF236)&gt;0,C4&lt;&gt;""),'Actuals - Billing - 2025'!$AG$2,"")</f>
        <v/>
      </c>
      <c r="E4" s="11" t="str">
        <f t="array" ref="E4">if($D4="","",index('Actuals - Billing - 2025'!$B4:$AZ902,Match($C4,'Actuals - Billing - 2025'!$B4:$B902,0),Match(E$1,'Actuals - Billing - 2025'!$B$2:$AF$2,0)))</f>
        <v/>
      </c>
      <c r="F4" s="11" t="str">
        <f t="array" ref="F4">if($D4="","",index('Actuals - Billing - 2025'!$B4:$AZ902,Match($C4,'Actuals - Billing - 2025'!$B4:$B902,0),Match(F$1,'Actuals - Billing - 2025'!$B$2:$AZ$2,0)))</f>
        <v/>
      </c>
      <c r="G4" s="11" t="str">
        <f t="array" ref="G4">if($D4="","",index('Actuals - Billing - 2025'!$B4:$AZ902,Match($C4,'Actuals - Billing - 2025'!$B4:$B902,0),Match(G$1,'Actuals - Billing - 2025'!$B$2:$AZ$2,0)))</f>
        <v/>
      </c>
      <c r="H4" s="11"/>
      <c r="I4" s="11"/>
      <c r="J4" s="11" t="str">
        <f t="shared" si="2"/>
        <v/>
      </c>
      <c r="K4" s="149" t="str">
        <f t="shared" si="3"/>
        <v/>
      </c>
      <c r="L4" s="1" t="str">
        <f t="shared" si="4"/>
        <v/>
      </c>
      <c r="M4" s="4" t="str">
        <f t="shared" si="5"/>
        <v/>
      </c>
      <c r="N4" s="6"/>
    </row>
    <row r="5">
      <c r="A5" s="7" t="str">
        <f t="shared" si="1"/>
        <v/>
      </c>
      <c r="B5" s="8" t="str">
        <f>if(and('Actuals - Billing - 2025'!E$240=True,C5&lt;&gt;""),'Actuals - Billing - 2025'!C237,"")</f>
        <v/>
      </c>
      <c r="C5" s="9" t="str">
        <f>IF(and('Actuals - Billing - 2025'!E$240=True,sum('Actuals - Billing - 2025'!AF237:AK237)&gt;0),'Actuals - Billing - 2025'!B237,"")</f>
        <v/>
      </c>
      <c r="D5" s="148" t="str">
        <f>if(and(sum('Actuals - Billing - 2025'!AF237)&gt;0,C5&lt;&gt;""),'Actuals - Billing - 2025'!$AG$2,"")</f>
        <v/>
      </c>
      <c r="E5" s="11" t="str">
        <f t="array" ref="E5">if($D5="","",index('Actuals - Billing - 2025'!$B5:$AZ903,Match($C5,'Actuals - Billing - 2025'!$B5:$B903,0),Match(E$1,'Actuals - Billing - 2025'!$B$2:$AF$2,0)))</f>
        <v/>
      </c>
      <c r="F5" s="11" t="str">
        <f t="array" ref="F5">if($D5="","",index('Actuals - Billing - 2025'!$B5:$AZ903,Match($C5,'Actuals - Billing - 2025'!$B5:$B903,0),Match(F$1,'Actuals - Billing - 2025'!$B$2:$AZ$2,0)))</f>
        <v/>
      </c>
      <c r="G5" s="11" t="str">
        <f t="array" ref="G5">if($D5="","",index('Actuals - Billing - 2025'!$B5:$AZ903,Match($C5,'Actuals - Billing - 2025'!$B5:$B903,0),Match(G$1,'Actuals - Billing - 2025'!$B$2:$AZ$2,0)))</f>
        <v/>
      </c>
      <c r="H5" s="11"/>
      <c r="I5" s="11"/>
      <c r="J5" s="11" t="str">
        <f t="shared" si="2"/>
        <v/>
      </c>
      <c r="K5" s="149" t="str">
        <f t="shared" si="3"/>
        <v/>
      </c>
      <c r="L5" s="1" t="str">
        <f t="shared" si="4"/>
        <v/>
      </c>
      <c r="M5" s="4" t="str">
        <f t="shared" si="5"/>
        <v/>
      </c>
      <c r="N5" s="6"/>
    </row>
    <row r="6">
      <c r="A6" s="7" t="str">
        <f t="shared" si="1"/>
        <v/>
      </c>
      <c r="B6" s="8" t="str">
        <f>if(and('Actuals - Billing - 2025'!E$240=True,C6&lt;&gt;""),'Actuals - Billing - 2025'!C238,"")</f>
        <v/>
      </c>
      <c r="C6" s="9" t="str">
        <f>IF(and('Actuals - Billing - 2025'!E$240=True,sum('Actuals - Billing - 2025'!AF238:AK238)&gt;0),'Actuals - Billing - 2025'!B238,"")</f>
        <v/>
      </c>
      <c r="D6" s="148" t="str">
        <f>if(and(sum('Actuals - Billing - 2025'!AF238)&gt;0,C6&lt;&gt;""),'Actuals - Billing - 2025'!$AG$2,"")</f>
        <v/>
      </c>
      <c r="E6" s="11" t="str">
        <f t="array" ref="E6">if($D6="","",index('Actuals - Billing - 2025'!$B6:$AZ904,Match($C6,'Actuals - Billing - 2025'!$B6:$B904,0),Match(E$1,'Actuals - Billing - 2025'!$B$2:$AF$2,0)))</f>
        <v/>
      </c>
      <c r="F6" s="11" t="str">
        <f t="array" ref="F6">if($D6="","",index('Actuals - Billing - 2025'!$B6:$AZ904,Match($C6,'Actuals - Billing - 2025'!$B6:$B904,0),Match(F$1,'Actuals - Billing - 2025'!$B$2:$AZ$2,0)))</f>
        <v/>
      </c>
      <c r="G6" s="11" t="str">
        <f t="array" ref="G6">if($D6="","",index('Actuals - Billing - 2025'!$B6:$AZ904,Match($C6,'Actuals - Billing - 2025'!$B6:$B904,0),Match(G$1,'Actuals - Billing - 2025'!$B$2:$AZ$2,0)))</f>
        <v/>
      </c>
      <c r="H6" s="11"/>
      <c r="I6" s="11"/>
      <c r="J6" s="11" t="str">
        <f t="shared" si="2"/>
        <v/>
      </c>
      <c r="K6" s="149" t="str">
        <f t="shared" si="3"/>
        <v/>
      </c>
      <c r="L6" s="1" t="str">
        <f t="shared" si="4"/>
        <v/>
      </c>
      <c r="M6" s="4" t="str">
        <f t="shared" si="5"/>
        <v/>
      </c>
      <c r="N6" s="6"/>
    </row>
    <row r="7">
      <c r="A7" s="7" t="str">
        <f t="shared" si="1"/>
        <v/>
      </c>
      <c r="B7" s="8" t="str">
        <f>if(and('Actuals - Billing - 2025'!E$240=True,C7&lt;&gt;""),'Actuals - Billing - 2025'!C239,"")</f>
        <v/>
      </c>
      <c r="C7" s="9" t="str">
        <f>IF(and('Actuals - Billing - 2025'!E$240=True,sum('Actuals - Billing - 2025'!AF239:AK239)&gt;0),'Actuals - Billing - 2025'!B239,"")</f>
        <v/>
      </c>
      <c r="D7" s="148" t="str">
        <f>if(and(sum('Actuals - Billing - 2025'!AF239)&gt;0,C7&lt;&gt;""),'Actuals - Billing - 2025'!$AG$2,"")</f>
        <v/>
      </c>
      <c r="E7" s="11" t="str">
        <f t="array" ref="E7">if($D7="","",index('Actuals - Billing - 2025'!$B7:$AZ905,Match($C7,'Actuals - Billing - 2025'!$B7:$B905,0),Match(E$1,'Actuals - Billing - 2025'!$B$2:$AF$2,0)))</f>
        <v/>
      </c>
      <c r="F7" s="11" t="str">
        <f t="array" ref="F7">if($D7="","",index('Actuals - Billing - 2025'!$B7:$AZ905,Match($C7,'Actuals - Billing - 2025'!$B7:$B905,0),Match(F$1,'Actuals - Billing - 2025'!$B$2:$AZ$2,0)))</f>
        <v/>
      </c>
      <c r="G7" s="11" t="str">
        <f t="array" ref="G7">if($D7="","",index('Actuals - Billing - 2025'!$B7:$AZ905,Match($C7,'Actuals - Billing - 2025'!$B7:$B905,0),Match(G$1,'Actuals - Billing - 2025'!$B$2:$AZ$2,0)))</f>
        <v/>
      </c>
      <c r="H7" s="11"/>
      <c r="I7" s="11"/>
      <c r="J7" s="11" t="str">
        <f t="shared" si="2"/>
        <v/>
      </c>
      <c r="K7" s="149" t="str">
        <f t="shared" si="3"/>
        <v/>
      </c>
      <c r="L7" s="1" t="str">
        <f t="shared" si="4"/>
        <v/>
      </c>
      <c r="M7" s="4" t="str">
        <f t="shared" si="5"/>
        <v/>
      </c>
      <c r="N7" s="6"/>
    </row>
    <row r="8">
      <c r="A8" s="7" t="str">
        <f t="shared" si="1"/>
        <v/>
      </c>
      <c r="B8" s="8" t="str">
        <f>if(and('Actuals - Billing - 2025'!E$240=True,C8&lt;&gt;""),'Actuals - Billing - 2025'!C240,"")</f>
        <v/>
      </c>
      <c r="C8" s="9" t="str">
        <f>IF(and('Actuals - Billing - 2025'!E$240=True,sum('Actuals - Billing - 2025'!AF240:AK240)&gt;0),'Actuals - Billing - 2025'!B240,"")</f>
        <v/>
      </c>
      <c r="D8" s="148" t="str">
        <f>if(and(sum('Actuals - Billing - 2025'!AF240)&gt;0,C8&lt;&gt;""),'Actuals - Billing - 2025'!$AG$2,"")</f>
        <v/>
      </c>
      <c r="E8" s="11" t="str">
        <f t="array" ref="E8">if($D8="","",index('Actuals - Billing - 2025'!$B8:$AZ906,Match($C8,'Actuals - Billing - 2025'!$B8:$B906,0),Match(E$1,'Actuals - Billing - 2025'!$B$2:$AF$2,0)))</f>
        <v/>
      </c>
      <c r="F8" s="11" t="str">
        <f t="array" ref="F8">if($D8="","",index('Actuals - Billing - 2025'!$B8:$AZ906,Match($C8,'Actuals - Billing - 2025'!$B8:$B906,0),Match(F$1,'Actuals - Billing - 2025'!$B$2:$AZ$2,0)))</f>
        <v/>
      </c>
      <c r="G8" s="11" t="str">
        <f t="array" ref="G8">if($D8="","",index('Actuals - Billing - 2025'!$B8:$AZ906,Match($C8,'Actuals - Billing - 2025'!$B8:$B906,0),Match(G$1,'Actuals - Billing - 2025'!$B$2:$AZ$2,0)))</f>
        <v/>
      </c>
      <c r="H8" s="11"/>
      <c r="I8" s="11"/>
      <c r="J8" s="11" t="str">
        <f t="shared" si="2"/>
        <v/>
      </c>
      <c r="K8" s="149" t="str">
        <f t="shared" si="3"/>
        <v/>
      </c>
      <c r="L8" s="1" t="str">
        <f t="shared" si="4"/>
        <v/>
      </c>
      <c r="M8" s="4" t="str">
        <f t="shared" si="5"/>
        <v/>
      </c>
      <c r="N8" s="6"/>
    </row>
    <row r="9">
      <c r="A9" s="7" t="str">
        <f t="shared" si="1"/>
        <v/>
      </c>
      <c r="B9" s="8" t="str">
        <f>if(and('Actuals - Billing - 2025'!E$247=True,C9&lt;&gt;""),'Actuals - Billing - 2025'!C241,"")</f>
        <v/>
      </c>
      <c r="C9" s="9" t="str">
        <f>IF(and('Actuals - Billing - 2025'!E$240=True,sum('Actuals - Billing - 2025'!AF241:AK241)&gt;0),'Actuals - Billing - 2025'!B241,"")</f>
        <v/>
      </c>
      <c r="D9" s="148" t="str">
        <f>if(and(sum('Actuals - Billing - 2025'!AF241)&gt;0,C9&lt;&gt;""),'Actuals - Billing - 2025'!$AG$2,"")</f>
        <v/>
      </c>
      <c r="E9" s="11" t="str">
        <f t="array" ref="E9">if($D9="","",index('Actuals - Billing - 2025'!$B9:$AZ907,Match($C9,'Actuals - Billing - 2025'!$B9:$B907,0),Match(E$1,'Actuals - Billing - 2025'!$B$2:$AF$2,0)))</f>
        <v/>
      </c>
      <c r="F9" s="11" t="str">
        <f t="array" ref="F9">if($D9="","",index('Actuals - Billing - 2025'!$B9:$AZ907,Match($C9,'Actuals - Billing - 2025'!$B9:$B907,0),Match(F$1,'Actuals - Billing - 2025'!$B$2:$AZ$2,0)))</f>
        <v/>
      </c>
      <c r="G9" s="11" t="str">
        <f t="array" ref="G9">if($D9="","",index('Actuals - Billing - 2025'!$B9:$AZ907,Match($C9,'Actuals - Billing - 2025'!$B9:$B907,0),Match(G$1,'Actuals - Billing - 2025'!$B$2:$AZ$2,0)))</f>
        <v/>
      </c>
      <c r="H9" s="11"/>
      <c r="I9" s="11"/>
      <c r="J9" s="11" t="str">
        <f t="shared" si="2"/>
        <v/>
      </c>
      <c r="K9" s="149" t="str">
        <f t="shared" si="3"/>
        <v/>
      </c>
      <c r="L9" s="1" t="str">
        <f t="shared" si="4"/>
        <v/>
      </c>
      <c r="M9" s="4" t="str">
        <f t="shared" si="5"/>
        <v/>
      </c>
      <c r="N9" s="6"/>
      <c r="P9" s="14"/>
    </row>
    <row r="10">
      <c r="A10" s="7" t="str">
        <f t="shared" si="1"/>
        <v/>
      </c>
      <c r="B10" s="8" t="str">
        <f>if(and('Actuals - Billing - 2025'!E$247=True,C10&lt;&gt;""),'Actuals - Billing - 2025'!C242,"")</f>
        <v/>
      </c>
      <c r="C10" s="9" t="str">
        <f>IF(and('Actuals - Billing - 2025'!E$247=True,sum('Actuals - Billing - 2025'!AF242:AK242)&gt;0),'Actuals - Billing - 2025'!B242,"")</f>
        <v/>
      </c>
      <c r="D10" s="148" t="str">
        <f>if(and(sum('Actuals - Billing - 2025'!AF242)&gt;0,C10&lt;&gt;""),'Actuals - Billing - 2025'!$AG$2,"")</f>
        <v/>
      </c>
      <c r="E10" s="11" t="str">
        <f t="array" ref="E10">if($D10="","",index('Actuals - Billing - 2025'!$B10:$AZ908,Match($C10,'Actuals - Billing - 2025'!$B10:$B908,0),Match(E$1,'Actuals - Billing - 2025'!$B$2:$AF$2,0)))</f>
        <v/>
      </c>
      <c r="F10" s="11" t="str">
        <f t="array" ref="F10">if($D10="","",index('Actuals - Billing - 2025'!$B10:$AZ908,Match($C10,'Actuals - Billing - 2025'!$B10:$B908,0),Match(F$1,'Actuals - Billing - 2025'!$B$2:$AZ$2,0)))</f>
        <v/>
      </c>
      <c r="G10" s="11" t="str">
        <f t="array" ref="G10">if($D10="","",index('Actuals - Billing - 2025'!$B10:$AZ908,Match($C10,'Actuals - Billing - 2025'!$B10:$B908,0),Match(G$1,'Actuals - Billing - 2025'!$B$2:$AZ$2,0)))</f>
        <v/>
      </c>
      <c r="H10" s="11"/>
      <c r="I10" s="11"/>
      <c r="J10" s="11" t="str">
        <f t="shared" si="2"/>
        <v/>
      </c>
      <c r="K10" s="149" t="str">
        <f t="shared" si="3"/>
        <v/>
      </c>
      <c r="L10" s="1" t="str">
        <f t="shared" si="4"/>
        <v/>
      </c>
      <c r="M10" s="4" t="str">
        <f t="shared" si="5"/>
        <v/>
      </c>
      <c r="N10" s="6"/>
    </row>
    <row r="11">
      <c r="A11" s="7" t="str">
        <f t="shared" si="1"/>
        <v/>
      </c>
      <c r="B11" s="8" t="str">
        <f>if(and('Actuals - Billing - 2025'!E$247=True,C11&lt;&gt;""),'Actuals - Billing - 2025'!C243,"")</f>
        <v/>
      </c>
      <c r="C11" s="9" t="str">
        <f>IF(and('Actuals - Billing - 2025'!E$247=True,sum('Actuals - Billing - 2025'!AF243:AK243)&gt;0),'Actuals - Billing - 2025'!B243,"")</f>
        <v/>
      </c>
      <c r="D11" s="148" t="str">
        <f>if(and(sum('Actuals - Billing - 2025'!AF243)&gt;0,C11&lt;&gt;""),'Actuals - Billing - 2025'!$AG$2,"")</f>
        <v/>
      </c>
      <c r="E11" s="11" t="str">
        <f t="array" ref="E11">if($D11="","",index('Actuals - Billing - 2025'!$B11:$AZ909,Match($C11,'Actuals - Billing - 2025'!$B11:$B909,0),Match(E$1,'Actuals - Billing - 2025'!$B$2:$AF$2,0)))</f>
        <v/>
      </c>
      <c r="F11" s="11" t="str">
        <f t="array" ref="F11">if($D11="","",index('Actuals - Billing - 2025'!$B11:$AZ909,Match($C11,'Actuals - Billing - 2025'!$B11:$B909,0),Match(F$1,'Actuals - Billing - 2025'!$B$2:$AZ$2,0)))</f>
        <v/>
      </c>
      <c r="G11" s="11" t="str">
        <f t="array" ref="G11">if($D11="","",index('Actuals - Billing - 2025'!$B11:$AZ909,Match($C11,'Actuals - Billing - 2025'!$B11:$B909,0),Match(G$1,'Actuals - Billing - 2025'!$B$2:$AZ$2,0)))</f>
        <v/>
      </c>
      <c r="H11" s="11"/>
      <c r="I11" s="11"/>
      <c r="J11" s="11" t="str">
        <f t="shared" si="2"/>
        <v/>
      </c>
      <c r="K11" s="149" t="str">
        <f t="shared" si="3"/>
        <v/>
      </c>
      <c r="L11" s="1" t="str">
        <f t="shared" si="4"/>
        <v/>
      </c>
      <c r="M11" s="4" t="str">
        <f t="shared" si="5"/>
        <v/>
      </c>
      <c r="N11" s="6"/>
    </row>
    <row r="12">
      <c r="A12" s="7" t="str">
        <f t="shared" si="1"/>
        <v/>
      </c>
      <c r="B12" s="8" t="str">
        <f>if(and('Actuals - Billing - 2025'!E$247=True,C12&lt;&gt;""),'Actuals - Billing - 2025'!C244,"")</f>
        <v/>
      </c>
      <c r="C12" s="9" t="str">
        <f>IF(and('Actuals - Billing - 2025'!E$247=True,sum('Actuals - Billing - 2025'!AF244:AK244)&gt;0),'Actuals - Billing - 2025'!B244,"")</f>
        <v/>
      </c>
      <c r="D12" s="148" t="str">
        <f>if(and(sum('Actuals - Billing - 2025'!AF244)&gt;0,C12&lt;&gt;""),'Actuals - Billing - 2025'!$AG$2,"")</f>
        <v/>
      </c>
      <c r="E12" s="11" t="str">
        <f t="array" ref="E12">if($D12="","",index('Actuals - Billing - 2025'!$B12:$AZ910,Match($C12,'Actuals - Billing - 2025'!$B12:$B910,0),Match(E$1,'Actuals - Billing - 2025'!$B$2:$AF$2,0)))</f>
        <v/>
      </c>
      <c r="F12" s="11" t="str">
        <f t="array" ref="F12">if($D12="","",index('Actuals - Billing - 2025'!$B12:$AZ910,Match($C12,'Actuals - Billing - 2025'!$B12:$B910,0),Match(F$1,'Actuals - Billing - 2025'!$B$2:$AZ$2,0)))</f>
        <v/>
      </c>
      <c r="G12" s="11" t="str">
        <f t="array" ref="G12">if($D12="","",index('Actuals - Billing - 2025'!$B12:$AZ910,Match($C12,'Actuals - Billing - 2025'!$B12:$B910,0),Match(G$1,'Actuals - Billing - 2025'!$B$2:$AZ$2,0)))</f>
        <v/>
      </c>
      <c r="H12" s="11"/>
      <c r="I12" s="11"/>
      <c r="J12" s="11" t="str">
        <f t="shared" si="2"/>
        <v/>
      </c>
      <c r="K12" s="149" t="str">
        <f t="shared" si="3"/>
        <v/>
      </c>
      <c r="L12" s="1" t="str">
        <f t="shared" si="4"/>
        <v/>
      </c>
      <c r="M12" s="4" t="str">
        <f t="shared" si="5"/>
        <v/>
      </c>
      <c r="N12" s="6"/>
    </row>
    <row r="13">
      <c r="A13" s="7" t="str">
        <f t="shared" si="1"/>
        <v/>
      </c>
      <c r="B13" s="8" t="str">
        <f>if(and('Actuals - Billing - 2025'!E$247=True,C13&lt;&gt;""),'Actuals - Billing - 2025'!C245,"")</f>
        <v/>
      </c>
      <c r="C13" s="9" t="str">
        <f>IF(and('Actuals - Billing - 2025'!E$247=True,sum('Actuals - Billing - 2025'!AF245:AK245)&gt;0),'Actuals - Billing - 2025'!B245,"")</f>
        <v/>
      </c>
      <c r="D13" s="148" t="str">
        <f>if(and(sum('Actuals - Billing - 2025'!AF245)&gt;0,C13&lt;&gt;""),'Actuals - Billing - 2025'!$AG$2,"")</f>
        <v/>
      </c>
      <c r="E13" s="11" t="str">
        <f t="array" ref="E13">if($D13="","",index('Actuals - Billing - 2025'!$B13:$AZ911,Match($C13,'Actuals - Billing - 2025'!$B13:$B911,0),Match(E$1,'Actuals - Billing - 2025'!$B$2:$AF$2,0)))</f>
        <v/>
      </c>
      <c r="F13" s="11" t="str">
        <f t="array" ref="F13">if($D13="","",index('Actuals - Billing - 2025'!$B13:$AZ911,Match($C13,'Actuals - Billing - 2025'!$B13:$B911,0),Match(F$1,'Actuals - Billing - 2025'!$B$2:$AZ$2,0)))</f>
        <v/>
      </c>
      <c r="G13" s="11" t="str">
        <f t="array" ref="G13">if($D13="","",index('Actuals - Billing - 2025'!$B13:$AZ911,Match($C13,'Actuals - Billing - 2025'!$B13:$B911,0),Match(G$1,'Actuals - Billing - 2025'!$B$2:$AZ$2,0)))</f>
        <v/>
      </c>
      <c r="H13" s="11"/>
      <c r="I13" s="11"/>
      <c r="J13" s="11" t="str">
        <f t="shared" si="2"/>
        <v/>
      </c>
      <c r="K13" s="149" t="str">
        <f t="shared" si="3"/>
        <v/>
      </c>
      <c r="L13" s="1" t="str">
        <f t="shared" si="4"/>
        <v/>
      </c>
      <c r="M13" s="4" t="str">
        <f t="shared" si="5"/>
        <v/>
      </c>
      <c r="N13" s="6"/>
    </row>
    <row r="14">
      <c r="A14" s="7" t="str">
        <f t="shared" si="1"/>
        <v/>
      </c>
      <c r="B14" s="8" t="str">
        <f>if(and('Actuals - Billing - 2025'!E$247=True,C14&lt;&gt;""),'Actuals - Billing - 2025'!C246,"")</f>
        <v/>
      </c>
      <c r="C14" s="9" t="str">
        <f>IF(and('Actuals - Billing - 2025'!E$247=True,sum('Actuals - Billing - 2025'!AF246:AK246)&gt;0),'Actuals - Billing - 2025'!B246,"")</f>
        <v/>
      </c>
      <c r="D14" s="148" t="str">
        <f>if(and(sum('Actuals - Billing - 2025'!AF246)&gt;0,C14&lt;&gt;""),'Actuals - Billing - 2025'!$AG$2,"")</f>
        <v/>
      </c>
      <c r="E14" s="11" t="str">
        <f t="array" ref="E14">if($D14="","",index('Actuals - Billing - 2025'!$B14:$AZ912,Match($C14,'Actuals - Billing - 2025'!$B14:$B912,0),Match(E$1,'Actuals - Billing - 2025'!$B$2:$AF$2,0)))</f>
        <v/>
      </c>
      <c r="F14" s="11" t="str">
        <f t="array" ref="F14">if($D14="","",index('Actuals - Billing - 2025'!$B14:$AZ912,Match($C14,'Actuals - Billing - 2025'!$B14:$B912,0),Match(F$1,'Actuals - Billing - 2025'!$B$2:$AZ$2,0)))</f>
        <v/>
      </c>
      <c r="G14" s="11" t="str">
        <f t="array" ref="G14">if($D14="","",index('Actuals - Billing - 2025'!$B14:$AZ912,Match($C14,'Actuals - Billing - 2025'!$B14:$B912,0),Match(G$1,'Actuals - Billing - 2025'!$B$2:$AZ$2,0)))</f>
        <v/>
      </c>
      <c r="H14" s="11"/>
      <c r="I14" s="11"/>
      <c r="J14" s="11" t="str">
        <f t="shared" si="2"/>
        <v/>
      </c>
      <c r="K14" s="149" t="str">
        <f t="shared" si="3"/>
        <v/>
      </c>
      <c r="L14" s="1" t="str">
        <f t="shared" si="4"/>
        <v/>
      </c>
      <c r="M14" s="4" t="str">
        <f t="shared" si="5"/>
        <v/>
      </c>
      <c r="N14" s="6"/>
    </row>
    <row r="15">
      <c r="A15" s="7" t="str">
        <f t="shared" si="1"/>
        <v/>
      </c>
      <c r="B15" s="8" t="str">
        <f>if(and('Actuals - Billing - 2025'!E$247=True,C15&lt;&gt;""),'Actuals - Billing - 2025'!C247,"")</f>
        <v/>
      </c>
      <c r="C15" s="9" t="str">
        <f>IF(and('Actuals - Billing - 2025'!E$247=True,sum('Actuals - Billing - 2025'!AF247:AK247)&gt;0),'Actuals - Billing - 2025'!B247,"")</f>
        <v/>
      </c>
      <c r="D15" s="148" t="str">
        <f>if(and(sum('Actuals - Billing - 2025'!AF247)&gt;0,C15&lt;&gt;""),'Actuals - Billing - 2025'!$AG$2,"")</f>
        <v/>
      </c>
      <c r="E15" s="11" t="str">
        <f t="array" ref="E15">if($D15="","",index('Actuals - Billing - 2025'!$B15:$AZ913,Match($C15,'Actuals - Billing - 2025'!$B15:$B913,0),Match(E$1,'Actuals - Billing - 2025'!$B$2:$AF$2,0)))</f>
        <v/>
      </c>
      <c r="F15" s="11" t="str">
        <f t="array" ref="F15">if($D15="","",index('Actuals - Billing - 2025'!$B15:$AZ913,Match($C15,'Actuals - Billing - 2025'!$B15:$B913,0),Match(F$1,'Actuals - Billing - 2025'!$B$2:$AZ$2,0)))</f>
        <v/>
      </c>
      <c r="G15" s="11" t="str">
        <f t="array" ref="G15">if($D15="","",index('Actuals - Billing - 2025'!$B15:$AZ913,Match($C15,'Actuals - Billing - 2025'!$B15:$B913,0),Match(G$1,'Actuals - Billing - 2025'!$B$2:$AZ$2,0)))</f>
        <v/>
      </c>
      <c r="H15" s="11"/>
      <c r="I15" s="11"/>
      <c r="J15" s="11" t="str">
        <f t="shared" si="2"/>
        <v/>
      </c>
      <c r="K15" s="149" t="str">
        <f t="shared" si="3"/>
        <v/>
      </c>
      <c r="L15" s="1" t="str">
        <f t="shared" si="4"/>
        <v/>
      </c>
      <c r="M15" s="4" t="str">
        <f t="shared" si="5"/>
        <v/>
      </c>
      <c r="N15" s="6"/>
    </row>
    <row r="16">
      <c r="A16" s="7" t="str">
        <f t="shared" si="1"/>
        <v/>
      </c>
      <c r="B16" s="8" t="str">
        <f>if(and('Actuals - Billing - 2025'!E$254=True,C16&lt;&gt;""),'Actuals - Billing - 2025'!C248,"")</f>
        <v/>
      </c>
      <c r="C16" s="9" t="str">
        <f>IF(and('Actuals - Billing - 2025'!E$254=True,sum('Actuals - Billing - 2025'!AF248:AK248)&gt;0),'Actuals - Billing - 2025'!B248,"")</f>
        <v/>
      </c>
      <c r="D16" s="148" t="str">
        <f>if(and(sum('Actuals - Billing - 2025'!AF248)&gt;0,C16&lt;&gt;""),'Actuals - Billing - 2025'!$AG$2,"")</f>
        <v/>
      </c>
      <c r="E16" s="11" t="str">
        <f t="array" ref="E16">if($D16="","",index('Actuals - Billing - 2025'!$B16:$AZ914,Match($C16,'Actuals - Billing - 2025'!$B16:$B914,0),Match(E$1,'Actuals - Billing - 2025'!$B$2:$AF$2,0)))</f>
        <v/>
      </c>
      <c r="F16" s="11" t="str">
        <f t="array" ref="F16">if($D16="","",index('Actuals - Billing - 2025'!$B16:$AZ914,Match($C16,'Actuals - Billing - 2025'!$B16:$B914,0),Match(F$1,'Actuals - Billing - 2025'!$B$2:$AZ$2,0)))</f>
        <v/>
      </c>
      <c r="G16" s="11" t="str">
        <f t="array" ref="G16">if($D16="","",index('Actuals - Billing - 2025'!$B16:$AZ914,Match($C16,'Actuals - Billing - 2025'!$B16:$B914,0),Match(G$1,'Actuals - Billing - 2025'!$B$2:$AZ$2,0)))</f>
        <v/>
      </c>
      <c r="H16" s="11"/>
      <c r="I16" s="11"/>
      <c r="J16" s="11" t="str">
        <f t="shared" si="2"/>
        <v/>
      </c>
      <c r="K16" s="149" t="str">
        <f t="shared" si="3"/>
        <v/>
      </c>
      <c r="L16" s="1" t="str">
        <f t="shared" si="4"/>
        <v/>
      </c>
      <c r="M16" s="4" t="str">
        <f t="shared" si="5"/>
        <v/>
      </c>
      <c r="P16" s="14"/>
    </row>
    <row r="17">
      <c r="A17" s="7" t="str">
        <f t="shared" si="1"/>
        <v/>
      </c>
      <c r="B17" s="8" t="str">
        <f>if(and('Actuals - Billing - 2025'!E$254=True,C17&lt;&gt;""),'Actuals - Billing - 2025'!C249,"")</f>
        <v/>
      </c>
      <c r="C17" s="9" t="str">
        <f>IF(and('Actuals - Billing - 2025'!E$254=True,sum('Actuals - Billing - 2025'!AF249:AK249)&gt;0),'Actuals - Billing - 2025'!B249,"")</f>
        <v/>
      </c>
      <c r="D17" s="148" t="str">
        <f>if(and(sum('Actuals - Billing - 2025'!AF249)&gt;0,C17&lt;&gt;""),'Actuals - Billing - 2025'!$AG$2,"")</f>
        <v/>
      </c>
      <c r="E17" s="11" t="str">
        <f t="array" ref="E17">if($D17="","",index('Actuals - Billing - 2025'!$B17:$AZ915,Match($C17,'Actuals - Billing - 2025'!$B17:$B915,0),Match(E$1,'Actuals - Billing - 2025'!$B$2:$AF$2,0)))</f>
        <v/>
      </c>
      <c r="F17" s="11" t="str">
        <f t="array" ref="F17">if($D17="","",index('Actuals - Billing - 2025'!$B17:$AZ915,Match($C17,'Actuals - Billing - 2025'!$B17:$B915,0),Match(F$1,'Actuals - Billing - 2025'!$B$2:$AZ$2,0)))</f>
        <v/>
      </c>
      <c r="G17" s="11" t="str">
        <f t="array" ref="G17">if($D17="","",index('Actuals - Billing - 2025'!$B17:$AZ915,Match($C17,'Actuals - Billing - 2025'!$B17:$B915,0),Match(G$1,'Actuals - Billing - 2025'!$B$2:$AZ$2,0)))</f>
        <v/>
      </c>
      <c r="H17" s="11"/>
      <c r="I17" s="11"/>
      <c r="J17" s="11" t="str">
        <f t="shared" si="2"/>
        <v/>
      </c>
      <c r="K17" s="149" t="str">
        <f t="shared" si="3"/>
        <v/>
      </c>
      <c r="L17" s="1" t="str">
        <f t="shared" si="4"/>
        <v/>
      </c>
      <c r="M17" s="4" t="str">
        <f t="shared" si="5"/>
        <v/>
      </c>
    </row>
    <row r="18">
      <c r="A18" s="7" t="str">
        <f t="shared" si="1"/>
        <v/>
      </c>
      <c r="B18" s="8" t="str">
        <f>if(and('Actuals - Billing - 2025'!E$254=True,C18&lt;&gt;""),'Actuals - Billing - 2025'!C250,"")</f>
        <v/>
      </c>
      <c r="C18" s="9" t="str">
        <f>IF(and('Actuals - Billing - 2025'!E$254=True,sum('Actuals - Billing - 2025'!AF250:AK250)&gt;0),'Actuals - Billing - 2025'!B250,"")</f>
        <v/>
      </c>
      <c r="D18" s="148" t="str">
        <f>if(and(sum('Actuals - Billing - 2025'!AF250)&gt;0,C18&lt;&gt;""),'Actuals - Billing - 2025'!$AG$2,"")</f>
        <v/>
      </c>
      <c r="E18" s="11" t="str">
        <f t="array" ref="E18">if($D18="","",index('Actuals - Billing - 2025'!$B18:$AZ916,Match($C18,'Actuals - Billing - 2025'!$B18:$B916,0),Match(E$1,'Actuals - Billing - 2025'!$B$2:$AF$2,0)))</f>
        <v/>
      </c>
      <c r="F18" s="11" t="str">
        <f t="array" ref="F18">if($D18="","",index('Actuals - Billing - 2025'!$B18:$AZ916,Match($C18,'Actuals - Billing - 2025'!$B18:$B916,0),Match(F$1,'Actuals - Billing - 2025'!$B$2:$AZ$2,0)))</f>
        <v/>
      </c>
      <c r="G18" s="11" t="str">
        <f t="array" ref="G18">if($D18="","",index('Actuals - Billing - 2025'!$B18:$AZ916,Match($C18,'Actuals - Billing - 2025'!$B18:$B916,0),Match(G$1,'Actuals - Billing - 2025'!$B$2:$AZ$2,0)))</f>
        <v/>
      </c>
      <c r="H18" s="11"/>
      <c r="I18" s="11"/>
      <c r="J18" s="11" t="str">
        <f t="shared" si="2"/>
        <v/>
      </c>
      <c r="K18" s="149" t="str">
        <f t="shared" si="3"/>
        <v/>
      </c>
      <c r="L18" s="1" t="str">
        <f t="shared" si="4"/>
        <v/>
      </c>
      <c r="M18" s="4" t="str">
        <f t="shared" si="5"/>
        <v/>
      </c>
    </row>
    <row r="19">
      <c r="A19" s="7" t="str">
        <f t="shared" si="1"/>
        <v/>
      </c>
      <c r="B19" s="8" t="str">
        <f>if(and('Actuals - Billing - 2025'!E$254=True,C19&lt;&gt;""),'Actuals - Billing - 2025'!C251,"")</f>
        <v/>
      </c>
      <c r="C19" s="9" t="str">
        <f>IF(and('Actuals - Billing - 2025'!E$254=True,sum('Actuals - Billing - 2025'!AF251:AK251)&gt;0),'Actuals - Billing - 2025'!B251,"")</f>
        <v/>
      </c>
      <c r="D19" s="148" t="str">
        <f>if(and(sum('Actuals - Billing - 2025'!AF251)&gt;0,C19&lt;&gt;""),'Actuals - Billing - 2025'!$AG$2,"")</f>
        <v/>
      </c>
      <c r="E19" s="11" t="str">
        <f t="array" ref="E19">if($D19="","",index('Actuals - Billing - 2025'!$B19:$AZ917,Match($C19,'Actuals - Billing - 2025'!$B19:$B917,0),Match(E$1,'Actuals - Billing - 2025'!$B$2:$AF$2,0)))</f>
        <v/>
      </c>
      <c r="F19" s="11" t="str">
        <f t="array" ref="F19">if($D19="","",index('Actuals - Billing - 2025'!$B19:$AZ917,Match($C19,'Actuals - Billing - 2025'!$B19:$B917,0),Match(F$1,'Actuals - Billing - 2025'!$B$2:$AZ$2,0)))</f>
        <v/>
      </c>
      <c r="G19" s="11" t="str">
        <f t="array" ref="G19">if($D19="","",index('Actuals - Billing - 2025'!$B19:$AZ917,Match($C19,'Actuals - Billing - 2025'!$B19:$B917,0),Match(G$1,'Actuals - Billing - 2025'!$B$2:$AZ$2,0)))</f>
        <v/>
      </c>
      <c r="H19" s="11"/>
      <c r="I19" s="11"/>
      <c r="J19" s="11" t="str">
        <f t="shared" si="2"/>
        <v/>
      </c>
      <c r="K19" s="149" t="str">
        <f t="shared" si="3"/>
        <v/>
      </c>
      <c r="L19" s="1" t="str">
        <f t="shared" si="4"/>
        <v/>
      </c>
      <c r="M19" s="4" t="str">
        <f t="shared" si="5"/>
        <v/>
      </c>
    </row>
    <row r="20">
      <c r="A20" s="7" t="str">
        <f t="shared" si="1"/>
        <v/>
      </c>
      <c r="B20" s="8" t="str">
        <f>if(and('Actuals - Billing - 2025'!E$254=True,C20&lt;&gt;""),'Actuals - Billing - 2025'!C252,"")</f>
        <v/>
      </c>
      <c r="C20" s="9" t="str">
        <f>IF(and('Actuals - Billing - 2025'!E$254=True,sum('Actuals - Billing - 2025'!AF252:AK252)&gt;0),'Actuals - Billing - 2025'!B252,"")</f>
        <v/>
      </c>
      <c r="D20" s="148" t="str">
        <f>if(and(sum('Actuals - Billing - 2025'!AF252)&gt;0,C20&lt;&gt;""),'Actuals - Billing - 2025'!$AG$2,"")</f>
        <v/>
      </c>
      <c r="E20" s="11" t="str">
        <f t="array" ref="E20">if($D20="","",index('Actuals - Billing - 2025'!$B20:$AZ918,Match($C20,'Actuals - Billing - 2025'!$B20:$B918,0),Match(E$1,'Actuals - Billing - 2025'!$B$2:$AF$2,0)))</f>
        <v/>
      </c>
      <c r="F20" s="11" t="str">
        <f t="array" ref="F20">if($D20="","",index('Actuals - Billing - 2025'!$B20:$AZ918,Match($C20,'Actuals - Billing - 2025'!$B20:$B918,0),Match(F$1,'Actuals - Billing - 2025'!$B$2:$AZ$2,0)))</f>
        <v/>
      </c>
      <c r="G20" s="11" t="str">
        <f t="array" ref="G20">if($D20="","",index('Actuals - Billing - 2025'!$B20:$AZ918,Match($C20,'Actuals - Billing - 2025'!$B20:$B918,0),Match(G$1,'Actuals - Billing - 2025'!$B$2:$AZ$2,0)))</f>
        <v/>
      </c>
      <c r="H20" s="11"/>
      <c r="I20" s="11"/>
      <c r="J20" s="11" t="str">
        <f t="shared" si="2"/>
        <v/>
      </c>
      <c r="K20" s="149" t="str">
        <f t="shared" si="3"/>
        <v/>
      </c>
      <c r="L20" s="1" t="str">
        <f t="shared" si="4"/>
        <v/>
      </c>
      <c r="M20" s="4" t="str">
        <f t="shared" si="5"/>
        <v/>
      </c>
    </row>
    <row r="21">
      <c r="A21" s="7" t="str">
        <f t="shared" si="1"/>
        <v/>
      </c>
      <c r="B21" s="8" t="str">
        <f>if(and('Actuals - Billing - 2025'!E$254=True,C21&lt;&gt;""),'Actuals - Billing - 2025'!C253,"")</f>
        <v/>
      </c>
      <c r="C21" s="9" t="str">
        <f>IF(and('Actuals - Billing - 2025'!E$254=True,sum('Actuals - Billing - 2025'!AF253:AK253)&gt;0),'Actuals - Billing - 2025'!B253,"")</f>
        <v/>
      </c>
      <c r="D21" s="148" t="str">
        <f>if(and(sum('Actuals - Billing - 2025'!AF253)&gt;0,C21&lt;&gt;""),'Actuals - Billing - 2025'!$AG$2,"")</f>
        <v/>
      </c>
      <c r="E21" s="11" t="str">
        <f t="array" ref="E21">if($D21="","",index('Actuals - Billing - 2025'!$B21:$AZ919,Match($C21,'Actuals - Billing - 2025'!$B21:$B919,0),Match(E$1,'Actuals - Billing - 2025'!$B$2:$AF$2,0)))</f>
        <v/>
      </c>
      <c r="F21" s="11" t="str">
        <f t="array" ref="F21">if($D21="","",index('Actuals - Billing - 2025'!$B21:$AZ919,Match($C21,'Actuals - Billing - 2025'!$B21:$B919,0),Match(F$1,'Actuals - Billing - 2025'!$B$2:$AZ$2,0)))</f>
        <v/>
      </c>
      <c r="G21" s="11" t="str">
        <f t="array" ref="G21">if($D21="","",index('Actuals - Billing - 2025'!$B21:$AZ919,Match($C21,'Actuals - Billing - 2025'!$B21:$B919,0),Match(G$1,'Actuals - Billing - 2025'!$B$2:$AZ$2,0)))</f>
        <v/>
      </c>
      <c r="H21" s="11"/>
      <c r="I21" s="11"/>
      <c r="J21" s="11" t="str">
        <f t="shared" si="2"/>
        <v/>
      </c>
      <c r="K21" s="149" t="str">
        <f t="shared" si="3"/>
        <v/>
      </c>
      <c r="L21" s="1" t="str">
        <f t="shared" si="4"/>
        <v/>
      </c>
      <c r="M21" s="4" t="str">
        <f t="shared" si="5"/>
        <v/>
      </c>
    </row>
    <row r="22">
      <c r="A22" s="7" t="str">
        <f t="shared" si="1"/>
        <v/>
      </c>
      <c r="B22" s="8" t="str">
        <f>if(and('Actuals - Billing - 2025'!E$254=True,C22&lt;&gt;""),'Actuals - Billing - 2025'!C254,"")</f>
        <v/>
      </c>
      <c r="C22" s="9" t="str">
        <f>IF(and('Actuals - Billing - 2025'!E$254=True,sum('Actuals - Billing - 2025'!AF254:AK254)&gt;0),'Actuals - Billing - 2025'!B254,"")</f>
        <v/>
      </c>
      <c r="D22" s="148" t="str">
        <f>if(and(sum('Actuals - Billing - 2025'!AF254)&gt;0,C22&lt;&gt;""),'Actuals - Billing - 2025'!$AG$2,"")</f>
        <v/>
      </c>
      <c r="E22" s="11" t="str">
        <f t="array" ref="E22">if($D22="","",index('Actuals - Billing - 2025'!$B22:$AZ920,Match($C22,'Actuals - Billing - 2025'!$B22:$B920,0),Match(E$1,'Actuals - Billing - 2025'!$B$2:$AF$2,0)))</f>
        <v/>
      </c>
      <c r="F22" s="11" t="str">
        <f t="array" ref="F22">if($D22="","",index('Actuals - Billing - 2025'!$B22:$AZ920,Match($C22,'Actuals - Billing - 2025'!$B22:$B920,0),Match(F$1,'Actuals - Billing - 2025'!$B$2:$AZ$2,0)))</f>
        <v/>
      </c>
      <c r="G22" s="11" t="str">
        <f t="array" ref="G22">if($D22="","",index('Actuals - Billing - 2025'!$B22:$AZ920,Match($C22,'Actuals - Billing - 2025'!$B22:$B920,0),Match(G$1,'Actuals - Billing - 2025'!$B$2:$AZ$2,0)))</f>
        <v/>
      </c>
      <c r="H22" s="11"/>
      <c r="I22" s="11"/>
      <c r="J22" s="11" t="str">
        <f t="shared" si="2"/>
        <v/>
      </c>
      <c r="K22" s="149" t="str">
        <f t="shared" si="3"/>
        <v/>
      </c>
      <c r="L22" s="1" t="str">
        <f t="shared" si="4"/>
        <v/>
      </c>
      <c r="M22" s="4" t="str">
        <f t="shared" si="5"/>
        <v/>
      </c>
      <c r="N22" s="6"/>
    </row>
    <row r="23">
      <c r="A23" s="7" t="str">
        <f t="shared" si="1"/>
        <v/>
      </c>
      <c r="B23" s="8" t="str">
        <f>if(and('Actuals - Billing - 2025'!E$261=True,C23&lt;&gt;""),'Actuals - Billing - 2025'!C255,"")</f>
        <v/>
      </c>
      <c r="C23" s="9" t="str">
        <f>IF(and('Actuals - Billing - 2025'!E$261=True,sum('Actuals - Billing - 2025'!AF255:AK255)&gt;0),'Actuals - Billing - 2025'!B255,"")</f>
        <v/>
      </c>
      <c r="D23" s="148" t="str">
        <f>if(and(sum('Actuals - Billing - 2025'!AF255)&gt;0,C23&lt;&gt;""),'Actuals - Billing - 2025'!$AG$2,"")</f>
        <v/>
      </c>
      <c r="E23" s="11" t="str">
        <f t="array" ref="E23">if($D23="","",index('Actuals - Billing - 2025'!$B23:$AZ921,Match($C23,'Actuals - Billing - 2025'!$B23:$B921,0),Match(E$1,'Actuals - Billing - 2025'!$B$2:$AF$2,0)))</f>
        <v/>
      </c>
      <c r="F23" s="11" t="str">
        <f t="array" ref="F23">if($D23="","",index('Actuals - Billing - 2025'!$B23:$AZ921,Match($C23,'Actuals - Billing - 2025'!$B23:$B921,0),Match(F$1,'Actuals - Billing - 2025'!$B$2:$AZ$2,0)))</f>
        <v/>
      </c>
      <c r="G23" s="11" t="str">
        <f t="array" ref="G23">if($D23="","",index('Actuals - Billing - 2025'!$B23:$AZ921,Match($C23,'Actuals - Billing - 2025'!$B23:$B921,0),Match(G$1,'Actuals - Billing - 2025'!$B$2:$AZ$2,0)))</f>
        <v/>
      </c>
      <c r="H23" s="11"/>
      <c r="I23" s="11"/>
      <c r="J23" s="11" t="str">
        <f t="shared" si="2"/>
        <v/>
      </c>
      <c r="K23" s="149" t="str">
        <f t="shared" si="3"/>
        <v/>
      </c>
      <c r="L23" s="1" t="str">
        <f t="shared" si="4"/>
        <v/>
      </c>
      <c r="M23" s="4" t="str">
        <f t="shared" si="5"/>
        <v/>
      </c>
      <c r="N23" s="16"/>
      <c r="P23" s="14"/>
    </row>
    <row r="24">
      <c r="A24" s="7" t="str">
        <f t="shared" si="1"/>
        <v/>
      </c>
      <c r="B24" s="8" t="str">
        <f>if(and('Actuals - Billing - 2025'!E$261=True,C24&lt;&gt;""),'Actuals - Billing - 2025'!C256,"")</f>
        <v/>
      </c>
      <c r="C24" s="9" t="str">
        <f>IF(and('Actuals - Billing - 2025'!E$261=True,sum('Actuals - Billing - 2025'!AF256:AK256)&gt;0),'Actuals - Billing - 2025'!B256,"")</f>
        <v/>
      </c>
      <c r="D24" s="148" t="str">
        <f>if(and(sum('Actuals - Billing - 2025'!AF256)&gt;0,C24&lt;&gt;""),'Actuals - Billing - 2025'!$AG$2,"")</f>
        <v/>
      </c>
      <c r="E24" s="11" t="str">
        <f t="array" ref="E24">if($D24="","",index('Actuals - Billing - 2025'!$B24:$AZ922,Match($C24,'Actuals - Billing - 2025'!$B24:$B922,0),Match(E$1,'Actuals - Billing - 2025'!$B$2:$AF$2,0)))</f>
        <v/>
      </c>
      <c r="F24" s="11" t="str">
        <f t="array" ref="F24">if($D24="","",index('Actuals - Billing - 2025'!$B24:$AZ922,Match($C24,'Actuals - Billing - 2025'!$B24:$B922,0),Match(F$1,'Actuals - Billing - 2025'!$B$2:$AZ$2,0)))</f>
        <v/>
      </c>
      <c r="G24" s="11" t="str">
        <f t="array" ref="G24">if($D24="","",index('Actuals - Billing - 2025'!$B24:$AZ922,Match($C24,'Actuals - Billing - 2025'!$B24:$B922,0),Match(G$1,'Actuals - Billing - 2025'!$B$2:$AZ$2,0)))</f>
        <v/>
      </c>
      <c r="H24" s="11"/>
      <c r="I24" s="11"/>
      <c r="J24" s="11" t="str">
        <f t="shared" si="2"/>
        <v/>
      </c>
      <c r="K24" s="149" t="str">
        <f t="shared" si="3"/>
        <v/>
      </c>
      <c r="L24" s="1" t="str">
        <f t="shared" si="4"/>
        <v/>
      </c>
      <c r="M24" s="4" t="str">
        <f t="shared" si="5"/>
        <v/>
      </c>
      <c r="N24" s="16"/>
    </row>
    <row r="25">
      <c r="A25" s="7" t="str">
        <f t="shared" si="1"/>
        <v/>
      </c>
      <c r="B25" s="8" t="str">
        <f>if(and('Actuals - Billing - 2025'!E$261=True,C25&lt;&gt;""),'Actuals - Billing - 2025'!C257,"")</f>
        <v/>
      </c>
      <c r="C25" s="9" t="str">
        <f>IF(and('Actuals - Billing - 2025'!E$261=True,sum('Actuals - Billing - 2025'!AF257:AK257)&gt;0),'Actuals - Billing - 2025'!B257,"")</f>
        <v/>
      </c>
      <c r="D25" s="148" t="str">
        <f>if(and(sum('Actuals - Billing - 2025'!AF257)&gt;0,C25&lt;&gt;""),'Actuals - Billing - 2025'!$AG$2,"")</f>
        <v/>
      </c>
      <c r="E25" s="11" t="str">
        <f t="array" ref="E25">if($D25="","",index('Actuals - Billing - 2025'!$B25:$AZ923,Match($C25,'Actuals - Billing - 2025'!$B25:$B923,0),Match(E$1,'Actuals - Billing - 2025'!$B$2:$AF$2,0)))</f>
        <v/>
      </c>
      <c r="F25" s="11" t="str">
        <f t="array" ref="F25">if($D25="","",index('Actuals - Billing - 2025'!$B25:$AZ923,Match($C25,'Actuals - Billing - 2025'!$B25:$B923,0),Match(F$1,'Actuals - Billing - 2025'!$B$2:$AZ$2,0)))</f>
        <v/>
      </c>
      <c r="G25" s="11" t="str">
        <f t="array" ref="G25">if($D25="","",index('Actuals - Billing - 2025'!$B25:$AZ923,Match($C25,'Actuals - Billing - 2025'!$B25:$B923,0),Match(G$1,'Actuals - Billing - 2025'!$B$2:$AZ$2,0)))</f>
        <v/>
      </c>
      <c r="H25" s="11"/>
      <c r="I25" s="11"/>
      <c r="J25" s="11" t="str">
        <f t="shared" si="2"/>
        <v/>
      </c>
      <c r="K25" s="149" t="str">
        <f t="shared" si="3"/>
        <v/>
      </c>
      <c r="L25" s="1" t="str">
        <f t="shared" si="4"/>
        <v/>
      </c>
      <c r="M25" s="4" t="str">
        <f t="shared" si="5"/>
        <v/>
      </c>
      <c r="N25" s="16"/>
    </row>
    <row r="26">
      <c r="A26" s="7" t="str">
        <f t="shared" si="1"/>
        <v/>
      </c>
      <c r="B26" s="8" t="str">
        <f>if(and('Actuals - Billing - 2025'!E$261=True,C26&lt;&gt;""),'Actuals - Billing - 2025'!C258,"")</f>
        <v/>
      </c>
      <c r="C26" s="9" t="str">
        <f>IF(and('Actuals - Billing - 2025'!E$261=True,sum('Actuals - Billing - 2025'!AF258:AK258)&gt;0),'Actuals - Billing - 2025'!B258,"")</f>
        <v/>
      </c>
      <c r="D26" s="148" t="str">
        <f>if(and(sum('Actuals - Billing - 2025'!AF258)&gt;0,C26&lt;&gt;""),'Actuals - Billing - 2025'!$AG$2,"")</f>
        <v/>
      </c>
      <c r="E26" s="11" t="str">
        <f t="array" ref="E26">if($D26="","",index('Actuals - Billing - 2025'!$B26:$AZ924,Match($C26,'Actuals - Billing - 2025'!$B26:$B924,0),Match(E$1,'Actuals - Billing - 2025'!$B$2:$AF$2,0)))</f>
        <v/>
      </c>
      <c r="F26" s="11" t="str">
        <f t="array" ref="F26">if($D26="","",index('Actuals - Billing - 2025'!$B26:$AZ924,Match($C26,'Actuals - Billing - 2025'!$B26:$B924,0),Match(F$1,'Actuals - Billing - 2025'!$B$2:$AZ$2,0)))</f>
        <v/>
      </c>
      <c r="G26" s="11" t="str">
        <f t="array" ref="G26">if($D26="","",index('Actuals - Billing - 2025'!$B26:$AZ924,Match($C26,'Actuals - Billing - 2025'!$B26:$B924,0),Match(G$1,'Actuals - Billing - 2025'!$B$2:$AZ$2,0)))</f>
        <v/>
      </c>
      <c r="H26" s="11"/>
      <c r="I26" s="11"/>
      <c r="J26" s="11" t="str">
        <f t="shared" si="2"/>
        <v/>
      </c>
      <c r="K26" s="149" t="str">
        <f t="shared" si="3"/>
        <v/>
      </c>
      <c r="L26" s="1" t="str">
        <f t="shared" si="4"/>
        <v/>
      </c>
      <c r="M26" s="4" t="str">
        <f t="shared" si="5"/>
        <v/>
      </c>
      <c r="N26" s="16"/>
    </row>
    <row r="27">
      <c r="A27" s="7" t="str">
        <f t="shared" si="1"/>
        <v/>
      </c>
      <c r="B27" s="8" t="str">
        <f>if(and('Actuals - Billing - 2025'!E$261=True,C27&lt;&gt;""),'Actuals - Billing - 2025'!C259,"")</f>
        <v/>
      </c>
      <c r="C27" s="9" t="str">
        <f>IF(and('Actuals - Billing - 2025'!E$261=True,sum('Actuals - Billing - 2025'!AF259:AK259)&gt;0),'Actuals - Billing - 2025'!B259,"")</f>
        <v/>
      </c>
      <c r="D27" s="148" t="str">
        <f>if(and(sum('Actuals - Billing - 2025'!AF259)&gt;0,C27&lt;&gt;""),'Actuals - Billing - 2025'!$AG$2,"")</f>
        <v/>
      </c>
      <c r="E27" s="11" t="str">
        <f t="array" ref="E27">if($D27="","",index('Actuals - Billing - 2025'!$B27:$AZ925,Match($C27,'Actuals - Billing - 2025'!$B27:$B925,0),Match(E$1,'Actuals - Billing - 2025'!$B$2:$AF$2,0)))</f>
        <v/>
      </c>
      <c r="F27" s="11" t="str">
        <f t="array" ref="F27">if($D27="","",index('Actuals - Billing - 2025'!$B27:$AZ925,Match($C27,'Actuals - Billing - 2025'!$B27:$B925,0),Match(F$1,'Actuals - Billing - 2025'!$B$2:$AZ$2,0)))</f>
        <v/>
      </c>
      <c r="G27" s="11" t="str">
        <f t="array" ref="G27">if($D27="","",index('Actuals - Billing - 2025'!$B27:$AZ925,Match($C27,'Actuals - Billing - 2025'!$B27:$B925,0),Match(G$1,'Actuals - Billing - 2025'!$B$2:$AZ$2,0)))</f>
        <v/>
      </c>
      <c r="H27" s="11"/>
      <c r="I27" s="11"/>
      <c r="J27" s="11" t="str">
        <f t="shared" si="2"/>
        <v/>
      </c>
      <c r="K27" s="149" t="str">
        <f t="shared" si="3"/>
        <v/>
      </c>
      <c r="L27" s="1" t="str">
        <f t="shared" si="4"/>
        <v/>
      </c>
      <c r="M27" s="4" t="str">
        <f t="shared" si="5"/>
        <v/>
      </c>
      <c r="N27" s="16"/>
    </row>
    <row r="28">
      <c r="A28" s="7" t="str">
        <f t="shared" si="1"/>
        <v/>
      </c>
      <c r="B28" s="8" t="str">
        <f>if(and('Actuals - Billing - 2025'!E$261=True,C28&lt;&gt;""),'Actuals - Billing - 2025'!C260,"")</f>
        <v/>
      </c>
      <c r="C28" s="9" t="str">
        <f>IF(and('Actuals - Billing - 2025'!E$261=True,sum('Actuals - Billing - 2025'!AF260:AK260)&gt;0),'Actuals - Billing - 2025'!B260,"")</f>
        <v/>
      </c>
      <c r="D28" s="148" t="str">
        <f>if(and(sum('Actuals - Billing - 2025'!AF260)&gt;0,C28&lt;&gt;""),'Actuals - Billing - 2025'!$AG$2,"")</f>
        <v/>
      </c>
      <c r="E28" s="11" t="str">
        <f t="array" ref="E28">if($D28="","",index('Actuals - Billing - 2025'!$B28:$AZ926,Match($C28,'Actuals - Billing - 2025'!$B28:$B926,0),Match(E$1,'Actuals - Billing - 2025'!$B$2:$AF$2,0)))</f>
        <v/>
      </c>
      <c r="F28" s="11" t="str">
        <f t="array" ref="F28">if($D28="","",index('Actuals - Billing - 2025'!$B28:$AZ926,Match($C28,'Actuals - Billing - 2025'!$B28:$B926,0),Match(F$1,'Actuals - Billing - 2025'!$B$2:$AZ$2,0)))</f>
        <v/>
      </c>
      <c r="G28" s="11" t="str">
        <f t="array" ref="G28">if($D28="","",index('Actuals - Billing - 2025'!$B28:$AZ926,Match($C28,'Actuals - Billing - 2025'!$B28:$B926,0),Match(G$1,'Actuals - Billing - 2025'!$B$2:$AZ$2,0)))</f>
        <v/>
      </c>
      <c r="H28" s="11"/>
      <c r="I28" s="11"/>
      <c r="J28" s="11" t="str">
        <f t="shared" si="2"/>
        <v/>
      </c>
      <c r="K28" s="149" t="str">
        <f t="shared" si="3"/>
        <v/>
      </c>
      <c r="L28" s="1" t="str">
        <f t="shared" si="4"/>
        <v/>
      </c>
      <c r="M28" s="4" t="str">
        <f t="shared" si="5"/>
        <v/>
      </c>
      <c r="N28" s="16"/>
    </row>
    <row r="29">
      <c r="A29" s="7" t="str">
        <f t="shared" si="1"/>
        <v/>
      </c>
      <c r="B29" s="8" t="str">
        <f>if(and('Actuals - Billing - 2025'!E$261=True,C29&lt;&gt;""),'Actuals - Billing - 2025'!C261,"")</f>
        <v/>
      </c>
      <c r="C29" s="9" t="str">
        <f>IF(and('Actuals - Billing - 2025'!E$261=True,sum('Actuals - Billing - 2025'!AF261:AK261)&gt;0),'Actuals - Billing - 2025'!B261,"")</f>
        <v/>
      </c>
      <c r="D29" s="148" t="str">
        <f>if(and(sum('Actuals - Billing - 2025'!AF261)&gt;0,C29&lt;&gt;""),'Actuals - Billing - 2025'!$AG$2,"")</f>
        <v/>
      </c>
      <c r="E29" s="11" t="str">
        <f t="array" ref="E29">if($D29="","",index('Actuals - Billing - 2025'!$B29:$AZ927,Match($C29,'Actuals - Billing - 2025'!$B29:$B927,0),Match(E$1,'Actuals - Billing - 2025'!$B$2:$AF$2,0)))</f>
        <v/>
      </c>
      <c r="F29" s="11" t="str">
        <f t="array" ref="F29">if($D29="","",index('Actuals - Billing - 2025'!$B29:$AZ927,Match($C29,'Actuals - Billing - 2025'!$B29:$B927,0),Match(F$1,'Actuals - Billing - 2025'!$B$2:$AZ$2,0)))</f>
        <v/>
      </c>
      <c r="G29" s="11" t="str">
        <f t="array" ref="G29">if($D29="","",index('Actuals - Billing - 2025'!$B29:$AZ927,Match($C29,'Actuals - Billing - 2025'!$B29:$B927,0),Match(G$1,'Actuals - Billing - 2025'!$B$2:$AZ$2,0)))</f>
        <v/>
      </c>
      <c r="H29" s="11"/>
      <c r="I29" s="11"/>
      <c r="J29" s="11" t="str">
        <f t="shared" si="2"/>
        <v/>
      </c>
      <c r="K29" s="149" t="str">
        <f t="shared" si="3"/>
        <v/>
      </c>
      <c r="L29" s="1" t="str">
        <f t="shared" si="4"/>
        <v/>
      </c>
      <c r="M29" s="4" t="str">
        <f t="shared" si="5"/>
        <v/>
      </c>
      <c r="N29" s="6"/>
    </row>
    <row r="30">
      <c r="A30" s="7" t="str">
        <f t="shared" si="1"/>
        <v/>
      </c>
      <c r="B30" s="8" t="str">
        <f>if(and('Actuals - Billing - 2025'!E$268=True,C30&lt;&gt;""),'Actuals - Billing - 2025'!C262,"")</f>
        <v/>
      </c>
      <c r="C30" s="9" t="str">
        <f>IF(and('Actuals - Billing - 2025'!E$268=True,sum('Actuals - Billing - 2025'!AF262:AK262)&gt;0),'Actuals - Billing - 2025'!B262,"")</f>
        <v/>
      </c>
      <c r="D30" s="148" t="str">
        <f>if(and(sum('Actuals - Billing - 2025'!AF262)&gt;0,C30&lt;&gt;""),'Actuals - Billing - 2025'!$AG$2,"")</f>
        <v/>
      </c>
      <c r="E30" s="11" t="str">
        <f t="array" ref="E30">if($D30="","",index('Actuals - Billing - 2025'!$B30:$AZ928,Match($C30,'Actuals - Billing - 2025'!$B30:$B928,0),Match(E$1,'Actuals - Billing - 2025'!$B$2:$AF$2,0)))</f>
        <v/>
      </c>
      <c r="F30" s="11" t="str">
        <f t="array" ref="F30">if($D30="","",index('Actuals - Billing - 2025'!$B30:$AZ928,Match($C30,'Actuals - Billing - 2025'!$B30:$B928,0),Match(F$1,'Actuals - Billing - 2025'!$B$2:$AZ$2,0)))</f>
        <v/>
      </c>
      <c r="G30" s="11" t="str">
        <f t="array" ref="G30">if($D30="","",index('Actuals - Billing - 2025'!$B30:$AZ928,Match($C30,'Actuals - Billing - 2025'!$B30:$B928,0),Match(G$1,'Actuals - Billing - 2025'!$B$2:$AZ$2,0)))</f>
        <v/>
      </c>
      <c r="H30" s="11"/>
      <c r="I30" s="11"/>
      <c r="J30" s="11" t="str">
        <f t="shared" si="2"/>
        <v/>
      </c>
      <c r="K30" s="149" t="str">
        <f t="shared" si="3"/>
        <v/>
      </c>
      <c r="L30" s="1" t="str">
        <f t="shared" si="4"/>
        <v/>
      </c>
      <c r="M30" s="4" t="str">
        <f t="shared" si="5"/>
        <v/>
      </c>
      <c r="N30" s="17" t="str">
        <f>if(M30&lt;&gt;"",'Actuals - Billing - 2025'!BG262,"")</f>
        <v/>
      </c>
      <c r="P30" s="14"/>
    </row>
    <row r="31">
      <c r="A31" s="7" t="str">
        <f t="shared" si="1"/>
        <v/>
      </c>
      <c r="B31" s="8" t="str">
        <f>if(and('Actuals - Billing - 2025'!E$268=True,C31&lt;&gt;""),'Actuals - Billing - 2025'!C263,"")</f>
        <v/>
      </c>
      <c r="C31" s="9" t="str">
        <f>IF(and('Actuals - Billing - 2025'!E$268=True,sum('Actuals - Billing - 2025'!AF263:AK263)&gt;0),'Actuals - Billing - 2025'!B263,"")</f>
        <v/>
      </c>
      <c r="D31" s="148" t="str">
        <f>if(and(sum('Actuals - Billing - 2025'!AF263)&gt;0,C31&lt;&gt;""),'Actuals - Billing - 2025'!$AG$2,"")</f>
        <v/>
      </c>
      <c r="E31" s="11" t="str">
        <f t="array" ref="E31">if($D31="","",index('Actuals - Billing - 2025'!$B31:$AZ929,Match($C31,'Actuals - Billing - 2025'!$B31:$B929,0),Match(E$1,'Actuals - Billing - 2025'!$B$2:$AF$2,0)))</f>
        <v/>
      </c>
      <c r="F31" s="11" t="str">
        <f t="array" ref="F31">if($D31="","",index('Actuals - Billing - 2025'!$B31:$AZ929,Match($C31,'Actuals - Billing - 2025'!$B31:$B929,0),Match(F$1,'Actuals - Billing - 2025'!$B$2:$AZ$2,0)))</f>
        <v/>
      </c>
      <c r="G31" s="11" t="str">
        <f t="array" ref="G31">if($D31="","",index('Actuals - Billing - 2025'!$B31:$AZ929,Match($C31,'Actuals - Billing - 2025'!$B31:$B929,0),Match(G$1,'Actuals - Billing - 2025'!$B$2:$AZ$2,0)))</f>
        <v/>
      </c>
      <c r="H31" s="11"/>
      <c r="I31" s="11"/>
      <c r="J31" s="11" t="str">
        <f t="shared" si="2"/>
        <v/>
      </c>
      <c r="K31" s="149" t="str">
        <f t="shared" si="3"/>
        <v/>
      </c>
      <c r="L31" s="1" t="str">
        <f t="shared" si="4"/>
        <v/>
      </c>
      <c r="M31" s="4" t="str">
        <f t="shared" si="5"/>
        <v/>
      </c>
      <c r="N31" s="17" t="str">
        <f>if(M31&lt;&gt;"",'Actuals - Billing - 2025'!BG263,"")</f>
        <v/>
      </c>
    </row>
    <row r="32">
      <c r="A32" s="7" t="str">
        <f t="shared" si="1"/>
        <v/>
      </c>
      <c r="B32" s="8" t="str">
        <f>if(and('Actuals - Billing - 2025'!E$268=True,C32&lt;&gt;""),'Actuals - Billing - 2025'!C264,"")</f>
        <v/>
      </c>
      <c r="C32" s="9" t="str">
        <f>IF(and('Actuals - Billing - 2025'!E$268=True,sum('Actuals - Billing - 2025'!AF264:AK264)&gt;0),'Actuals - Billing - 2025'!B264,"")</f>
        <v/>
      </c>
      <c r="D32" s="148" t="str">
        <f>if(and(sum('Actuals - Billing - 2025'!AF264)&gt;0,C32&lt;&gt;""),'Actuals - Billing - 2025'!$AG$2,"")</f>
        <v/>
      </c>
      <c r="E32" s="11" t="str">
        <f t="array" ref="E32">if($D32="","",index('Actuals - Billing - 2025'!$B32:$AZ930,Match($C32,'Actuals - Billing - 2025'!$B32:$B930,0),Match(E$1,'Actuals - Billing - 2025'!$B$2:$AF$2,0)))</f>
        <v/>
      </c>
      <c r="F32" s="11" t="str">
        <f t="array" ref="F32">if($D32="","",index('Actuals - Billing - 2025'!$B32:$AZ930,Match($C32,'Actuals - Billing - 2025'!$B32:$B930,0),Match(F$1,'Actuals - Billing - 2025'!$B$2:$AZ$2,0)))</f>
        <v/>
      </c>
      <c r="G32" s="11" t="str">
        <f t="array" ref="G32">if($D32="","",index('Actuals - Billing - 2025'!$B32:$AZ930,Match($C32,'Actuals - Billing - 2025'!$B32:$B930,0),Match(G$1,'Actuals - Billing - 2025'!$B$2:$AZ$2,0)))</f>
        <v/>
      </c>
      <c r="H32" s="11"/>
      <c r="I32" s="11"/>
      <c r="J32" s="11" t="str">
        <f t="shared" si="2"/>
        <v/>
      </c>
      <c r="K32" s="149" t="str">
        <f t="shared" si="3"/>
        <v/>
      </c>
      <c r="L32" s="1" t="str">
        <f t="shared" si="4"/>
        <v/>
      </c>
      <c r="M32" s="4" t="str">
        <f t="shared" si="5"/>
        <v/>
      </c>
      <c r="N32" s="17" t="str">
        <f>if(M32&lt;&gt;"",'Actuals - Billing - 2025'!BG264,"")</f>
        <v/>
      </c>
    </row>
    <row r="33">
      <c r="A33" s="7" t="str">
        <f t="shared" si="1"/>
        <v/>
      </c>
      <c r="B33" s="8" t="str">
        <f>if(and('Actuals - Billing - 2025'!E$268=True,C33&lt;&gt;""),'Actuals - Billing - 2025'!C265,"")</f>
        <v/>
      </c>
      <c r="C33" s="9" t="str">
        <f>IF(and('Actuals - Billing - 2025'!E$268=True,sum('Actuals - Billing - 2025'!AF265:AK265)&gt;0),'Actuals - Billing - 2025'!B265,"")</f>
        <v/>
      </c>
      <c r="D33" s="148" t="str">
        <f>if(and(sum('Actuals - Billing - 2025'!AF265)&gt;0,C33&lt;&gt;""),'Actuals - Billing - 2025'!$AG$2,"")</f>
        <v/>
      </c>
      <c r="E33" s="11" t="str">
        <f t="array" ref="E33">if($D33="","",index('Actuals - Billing - 2025'!$B33:$AZ931,Match($C33,'Actuals - Billing - 2025'!$B33:$B931,0),Match(E$1,'Actuals - Billing - 2025'!$B$2:$AF$2,0)))</f>
        <v/>
      </c>
      <c r="F33" s="11" t="str">
        <f t="array" ref="F33">if($D33="","",index('Actuals - Billing - 2025'!$B33:$AZ931,Match($C33,'Actuals - Billing - 2025'!$B33:$B931,0),Match(F$1,'Actuals - Billing - 2025'!$B$2:$AZ$2,0)))</f>
        <v/>
      </c>
      <c r="G33" s="11" t="str">
        <f t="array" ref="G33">if($D33="","",index('Actuals - Billing - 2025'!$B33:$AZ931,Match($C33,'Actuals - Billing - 2025'!$B33:$B931,0),Match(G$1,'Actuals - Billing - 2025'!$B$2:$AZ$2,0)))</f>
        <v/>
      </c>
      <c r="H33" s="11"/>
      <c r="I33" s="11"/>
      <c r="J33" s="11" t="str">
        <f t="shared" si="2"/>
        <v/>
      </c>
      <c r="K33" s="149" t="str">
        <f t="shared" si="3"/>
        <v/>
      </c>
      <c r="L33" s="1" t="str">
        <f t="shared" si="4"/>
        <v/>
      </c>
      <c r="M33" s="4" t="str">
        <f t="shared" si="5"/>
        <v/>
      </c>
      <c r="N33" s="17" t="str">
        <f>if(M33&lt;&gt;"",'Actuals - Billing - 2025'!BG265,"")</f>
        <v/>
      </c>
    </row>
    <row r="34">
      <c r="A34" s="7" t="str">
        <f t="shared" si="1"/>
        <v/>
      </c>
      <c r="B34" s="8" t="str">
        <f>if(and('Actuals - Billing - 2025'!E$268=True,C34&lt;&gt;""),'Actuals - Billing - 2025'!C266,"")</f>
        <v/>
      </c>
      <c r="C34" s="9" t="str">
        <f>IF(and('Actuals - Billing - 2025'!E$268=True,sum('Actuals - Billing - 2025'!AF266:AK266)&gt;0),'Actuals - Billing - 2025'!B266,"")</f>
        <v/>
      </c>
      <c r="D34" s="148" t="str">
        <f>if(and(sum('Actuals - Billing - 2025'!AF266)&gt;0,C34&lt;&gt;""),'Actuals - Billing - 2025'!$AG$2,"")</f>
        <v/>
      </c>
      <c r="E34" s="11" t="str">
        <f t="array" ref="E34">if($D34="","",index('Actuals - Billing - 2025'!$B34:$AZ932,Match($C34,'Actuals - Billing - 2025'!$B34:$B932,0),Match(E$1,'Actuals - Billing - 2025'!$B$2:$AF$2,0)))</f>
        <v/>
      </c>
      <c r="F34" s="11" t="str">
        <f t="array" ref="F34">if($D34="","",index('Actuals - Billing - 2025'!$B34:$AZ932,Match($C34,'Actuals - Billing - 2025'!$B34:$B932,0),Match(F$1,'Actuals - Billing - 2025'!$B$2:$AZ$2,0)))</f>
        <v/>
      </c>
      <c r="G34" s="11" t="str">
        <f t="array" ref="G34">if($D34="","",index('Actuals - Billing - 2025'!$B34:$AZ932,Match($C34,'Actuals - Billing - 2025'!$B34:$B932,0),Match(G$1,'Actuals - Billing - 2025'!$B$2:$AZ$2,0)))</f>
        <v/>
      </c>
      <c r="H34" s="11"/>
      <c r="I34" s="11"/>
      <c r="J34" s="11" t="str">
        <f t="shared" si="2"/>
        <v/>
      </c>
      <c r="K34" s="149" t="str">
        <f t="shared" si="3"/>
        <v/>
      </c>
      <c r="L34" s="1" t="str">
        <f t="shared" si="4"/>
        <v/>
      </c>
      <c r="M34" s="4" t="str">
        <f t="shared" si="5"/>
        <v/>
      </c>
      <c r="N34" s="17" t="str">
        <f>if(M34&lt;&gt;"",'Actuals - Billing - 2025'!BG266,"")</f>
        <v/>
      </c>
    </row>
    <row r="35">
      <c r="A35" s="7" t="str">
        <f t="shared" si="1"/>
        <v/>
      </c>
      <c r="B35" s="8" t="str">
        <f>if(and('Actuals - Billing - 2025'!E$268=True,C35&lt;&gt;""),'Actuals - Billing - 2025'!C267,"")</f>
        <v/>
      </c>
      <c r="C35" s="9" t="str">
        <f>IF(and('Actuals - Billing - 2025'!E$268=True,sum('Actuals - Billing - 2025'!AF267:AK267)&gt;0),'Actuals - Billing - 2025'!B267,"")</f>
        <v/>
      </c>
      <c r="D35" s="148" t="str">
        <f>if(and(sum('Actuals - Billing - 2025'!AF267)&gt;0,C35&lt;&gt;""),'Actuals - Billing - 2025'!$AG$2,"")</f>
        <v/>
      </c>
      <c r="E35" s="11" t="str">
        <f t="array" ref="E35">if($D35="","",index('Actuals - Billing - 2025'!$B35:$AZ933,Match($C35,'Actuals - Billing - 2025'!$B35:$B933,0),Match(E$1,'Actuals - Billing - 2025'!$B$2:$AF$2,0)))</f>
        <v/>
      </c>
      <c r="F35" s="11" t="str">
        <f t="array" ref="F35">if($D35="","",index('Actuals - Billing - 2025'!$B35:$AZ933,Match($C35,'Actuals - Billing - 2025'!$B35:$B933,0),Match(F$1,'Actuals - Billing - 2025'!$B$2:$AZ$2,0)))</f>
        <v/>
      </c>
      <c r="G35" s="11" t="str">
        <f t="array" ref="G35">if($D35="","",index('Actuals - Billing - 2025'!$B35:$AZ933,Match($C35,'Actuals - Billing - 2025'!$B35:$B933,0),Match(G$1,'Actuals - Billing - 2025'!$B$2:$AZ$2,0)))</f>
        <v/>
      </c>
      <c r="H35" s="11"/>
      <c r="I35" s="11"/>
      <c r="J35" s="11" t="str">
        <f t="shared" si="2"/>
        <v/>
      </c>
      <c r="K35" s="149" t="str">
        <f t="shared" si="3"/>
        <v/>
      </c>
      <c r="L35" s="1" t="str">
        <f t="shared" si="4"/>
        <v/>
      </c>
      <c r="M35" s="4" t="str">
        <f t="shared" si="5"/>
        <v/>
      </c>
      <c r="N35" s="17" t="str">
        <f>if(M35&lt;&gt;"",'Actuals - Billing - 2025'!BG267,"")</f>
        <v/>
      </c>
    </row>
    <row r="36">
      <c r="A36" s="7" t="str">
        <f t="shared" si="1"/>
        <v/>
      </c>
      <c r="B36" s="8" t="str">
        <f>if(and('Actuals - Billing - 2025'!E$268=True,C36&lt;&gt;""),'Actuals - Billing - 2025'!C268,"")</f>
        <v/>
      </c>
      <c r="C36" s="9" t="str">
        <f>IF(and('Actuals - Billing - 2025'!E$268=True,sum('Actuals - Billing - 2025'!AF268:AK268)&gt;0),'Actuals - Billing - 2025'!B268,"")</f>
        <v/>
      </c>
      <c r="D36" s="148" t="str">
        <f>if(and(sum('Actuals - Billing - 2025'!AF268)&gt;0,C36&lt;&gt;""),'Actuals - Billing - 2025'!$AG$2,"")</f>
        <v/>
      </c>
      <c r="E36" s="11" t="str">
        <f t="array" ref="E36">if($D36="","",index('Actuals - Billing - 2025'!$B36:$AZ934,Match($C36,'Actuals - Billing - 2025'!$B36:$B934,0),Match(E$1,'Actuals - Billing - 2025'!$B$2:$AF$2,0)))</f>
        <v/>
      </c>
      <c r="F36" s="11" t="str">
        <f t="array" ref="F36">if($D36="","",index('Actuals - Billing - 2025'!$B36:$AZ934,Match($C36,'Actuals - Billing - 2025'!$B36:$B934,0),Match(F$1,'Actuals - Billing - 2025'!$B$2:$AZ$2,0)))</f>
        <v/>
      </c>
      <c r="G36" s="11" t="str">
        <f t="array" ref="G36">if($D36="","",index('Actuals - Billing - 2025'!$B36:$AZ934,Match($C36,'Actuals - Billing - 2025'!$B36:$B934,0),Match(G$1,'Actuals - Billing - 2025'!$B$2:$AZ$2,0)))</f>
        <v/>
      </c>
      <c r="H36" s="11"/>
      <c r="I36" s="11"/>
      <c r="J36" s="11" t="str">
        <f t="shared" si="2"/>
        <v/>
      </c>
      <c r="K36" s="149" t="str">
        <f t="shared" si="3"/>
        <v/>
      </c>
      <c r="L36" s="1" t="str">
        <f t="shared" si="4"/>
        <v/>
      </c>
      <c r="M36" s="4" t="str">
        <f t="shared" si="5"/>
        <v/>
      </c>
      <c r="N36" s="17" t="str">
        <f>if(M36&lt;&gt;"",'Actuals - Billing - 2025'!BG268,"")</f>
        <v/>
      </c>
    </row>
    <row r="37">
      <c r="A37" s="7" t="str">
        <f t="shared" si="1"/>
        <v/>
      </c>
      <c r="B37" s="8" t="str">
        <f>if(and('Actuals - Billing - 2025'!E$275=True,C37&lt;&gt;""),'Actuals - Billing - 2025'!C269,"")</f>
        <v/>
      </c>
      <c r="C37" s="9" t="str">
        <f>IF(and('Actuals - Billing - 2025'!E$275=True,sum('Actuals - Billing - 2025'!AF269:AK269)&gt;0),'Actuals - Billing - 2025'!B269,"")</f>
        <v/>
      </c>
      <c r="D37" s="148" t="str">
        <f>if(and(sum('Actuals - Billing - 2025'!AF269)&gt;0,C37&lt;&gt;""),'Actuals - Billing - 2025'!$AG$2,"")</f>
        <v/>
      </c>
      <c r="E37" s="11" t="str">
        <f t="array" ref="E37">if($D37="","",index('Actuals - Billing - 2025'!$B37:$AZ935,Match($C37,'Actuals - Billing - 2025'!$B37:$B935,0),Match(E$1,'Actuals - Billing - 2025'!$B$2:$AF$2,0)))</f>
        <v/>
      </c>
      <c r="F37" s="11" t="str">
        <f t="array" ref="F37">if($D37="","",index('Actuals - Billing - 2025'!$B37:$AZ935,Match($C37,'Actuals - Billing - 2025'!$B37:$B935,0),Match(F$1,'Actuals - Billing - 2025'!$B$2:$AZ$2,0)))</f>
        <v/>
      </c>
      <c r="G37" s="11" t="str">
        <f t="array" ref="G37">if($D37="","",index('Actuals - Billing - 2025'!$B37:$AZ935,Match($C37,'Actuals - Billing - 2025'!$B37:$B935,0),Match(G$1,'Actuals - Billing - 2025'!$B$2:$AZ$2,0)))</f>
        <v/>
      </c>
      <c r="H37" s="11"/>
      <c r="I37" s="11"/>
      <c r="J37" s="11" t="str">
        <f t="shared" si="2"/>
        <v/>
      </c>
      <c r="K37" s="149" t="str">
        <f t="shared" si="3"/>
        <v/>
      </c>
      <c r="L37" s="1" t="str">
        <f t="shared" si="4"/>
        <v/>
      </c>
      <c r="M37" s="4" t="str">
        <f t="shared" si="5"/>
        <v/>
      </c>
      <c r="N37" s="17" t="str">
        <f>if(M37&lt;&gt;"",'Actuals - Billing - 2025'!BG269,"")</f>
        <v/>
      </c>
      <c r="P37" s="14"/>
    </row>
    <row r="38">
      <c r="A38" s="7" t="str">
        <f t="shared" si="1"/>
        <v/>
      </c>
      <c r="B38" s="8" t="str">
        <f>if(and('Actuals - Billing - 2025'!E$275=True,C38&lt;&gt;""),'Actuals - Billing - 2025'!C270,"")</f>
        <v/>
      </c>
      <c r="C38" s="9" t="str">
        <f>IF(and('Actuals - Billing - 2025'!E$275=True,sum('Actuals - Billing - 2025'!AF270:AK270)&gt;0),'Actuals - Billing - 2025'!B270,"")</f>
        <v/>
      </c>
      <c r="D38" s="148" t="str">
        <f>if(and(sum('Actuals - Billing - 2025'!AF270)&gt;0,C38&lt;&gt;""),'Actuals - Billing - 2025'!$AG$2,"")</f>
        <v/>
      </c>
      <c r="E38" s="11" t="str">
        <f t="array" ref="E38">if($D38="","",index('Actuals - Billing - 2025'!$B38:$AZ936,Match($C38,'Actuals - Billing - 2025'!$B38:$B936,0),Match(E$1,'Actuals - Billing - 2025'!$B$2:$AF$2,0)))</f>
        <v/>
      </c>
      <c r="F38" s="11" t="str">
        <f t="array" ref="F38">if($D38="","",index('Actuals - Billing - 2025'!$B38:$AZ936,Match($C38,'Actuals - Billing - 2025'!$B38:$B936,0),Match(F$1,'Actuals - Billing - 2025'!$B$2:$AZ$2,0)))</f>
        <v/>
      </c>
      <c r="G38" s="11" t="str">
        <f t="array" ref="G38">if($D38="","",index('Actuals - Billing - 2025'!$B38:$AZ936,Match($C38,'Actuals - Billing - 2025'!$B38:$B936,0),Match(G$1,'Actuals - Billing - 2025'!$B$2:$AZ$2,0)))</f>
        <v/>
      </c>
      <c r="H38" s="11"/>
      <c r="I38" s="11"/>
      <c r="J38" s="11" t="str">
        <f t="shared" si="2"/>
        <v/>
      </c>
      <c r="K38" s="149" t="str">
        <f t="shared" si="3"/>
        <v/>
      </c>
      <c r="L38" s="1" t="str">
        <f t="shared" si="4"/>
        <v/>
      </c>
      <c r="M38" s="4" t="str">
        <f t="shared" si="5"/>
        <v/>
      </c>
      <c r="N38" s="17" t="str">
        <f>if(M38&lt;&gt;"",'Actuals - Billing - 2025'!BG270,"")</f>
        <v/>
      </c>
    </row>
    <row r="39">
      <c r="A39" s="7" t="str">
        <f t="shared" si="1"/>
        <v/>
      </c>
      <c r="B39" s="8" t="str">
        <f>if(and('Actuals - Billing - 2025'!E$275=True,C39&lt;&gt;""),'Actuals - Billing - 2025'!C271,"")</f>
        <v/>
      </c>
      <c r="C39" s="9" t="str">
        <f>IF(and('Actuals - Billing - 2025'!E$275=True,sum('Actuals - Billing - 2025'!AF271:AK271)&gt;0),'Actuals - Billing - 2025'!B271,"")</f>
        <v/>
      </c>
      <c r="D39" s="148" t="str">
        <f>if(and(sum('Actuals - Billing - 2025'!AF271:AK271)&gt;0,C39&lt;&gt;""),'Actuals - Billing - 2025'!$AG$2,"")</f>
        <v/>
      </c>
      <c r="E39" s="11" t="str">
        <f t="array" ref="E39">if($D39="","",index('Actuals - Billing - 2025'!$B39:$AZ937,Match($C39,'Actuals - Billing - 2025'!$B39:$B937,0),Match(E$1,'Actuals - Billing - 2025'!$B$2:$AF$2,0)))</f>
        <v/>
      </c>
      <c r="F39" s="11" t="str">
        <f t="array" ref="F39">if($D39="","",index('Actuals - Billing - 2025'!$B39:$AZ937,Match($C39,'Actuals - Billing - 2025'!$B39:$B937,0),Match(F$1,'Actuals - Billing - 2025'!$B$2:$AZ$2,0)))</f>
        <v/>
      </c>
      <c r="G39" s="11" t="str">
        <f t="array" ref="G39">if($D39="","",index('Actuals - Billing - 2025'!$B39:$AZ937,Match($C39,'Actuals - Billing - 2025'!$B39:$B937,0),Match(G$1,'Actuals - Billing - 2025'!$B$2:$AZ$2,0)))</f>
        <v/>
      </c>
      <c r="H39" s="11"/>
      <c r="I39" s="11"/>
      <c r="J39" s="11" t="str">
        <f t="shared" si="2"/>
        <v/>
      </c>
      <c r="K39" s="149" t="str">
        <f t="shared" si="3"/>
        <v/>
      </c>
      <c r="L39" s="1" t="str">
        <f t="shared" si="4"/>
        <v/>
      </c>
      <c r="M39" s="4" t="str">
        <f t="shared" si="5"/>
        <v/>
      </c>
      <c r="N39" s="17" t="str">
        <f>if(M39&lt;&gt;"",'Actuals - Billing - 2025'!BG271,"")</f>
        <v/>
      </c>
    </row>
    <row r="40">
      <c r="A40" s="7" t="str">
        <f t="shared" si="1"/>
        <v/>
      </c>
      <c r="B40" s="8" t="str">
        <f>if(and('Actuals - Billing - 2025'!E$275=True,C40&lt;&gt;""),'Actuals - Billing - 2025'!C272,"")</f>
        <v/>
      </c>
      <c r="C40" s="9" t="str">
        <f>IF(and('Actuals - Billing - 2025'!E$275=True,sum('Actuals - Billing - 2025'!AF272:AK272)&gt;0),'Actuals - Billing - 2025'!B272,"")</f>
        <v/>
      </c>
      <c r="D40" s="148" t="str">
        <f>if(and(sum('Actuals - Billing - 2025'!AF272:AK272)&gt;0,C40&lt;&gt;""),'Actuals - Billing - 2025'!$AG$2,"")</f>
        <v/>
      </c>
      <c r="E40" s="11" t="str">
        <f t="array" ref="E40">if($D40="","",index('Actuals - Billing - 2025'!$B40:$AZ938,Match($C40,'Actuals - Billing - 2025'!$B40:$B938,0),Match(E$1,'Actuals - Billing - 2025'!$B$2:$AF$2,0)))</f>
        <v/>
      </c>
      <c r="F40" s="11" t="str">
        <f t="array" ref="F40">if($D40="","",index('Actuals - Billing - 2025'!$B40:$AZ938,Match($C40,'Actuals - Billing - 2025'!$B40:$B938,0),Match(F$1,'Actuals - Billing - 2025'!$B$2:$AZ$2,0)))</f>
        <v/>
      </c>
      <c r="G40" s="11" t="str">
        <f t="array" ref="G40">if($D40="","",index('Actuals - Billing - 2025'!$B40:$AZ938,Match($C40,'Actuals - Billing - 2025'!$B40:$B938,0),Match(G$1,'Actuals - Billing - 2025'!$B$2:$AZ$2,0)))</f>
        <v/>
      </c>
      <c r="H40" s="11"/>
      <c r="I40" s="11"/>
      <c r="J40" s="11" t="str">
        <f t="shared" si="2"/>
        <v/>
      </c>
      <c r="K40" s="149" t="str">
        <f t="shared" si="3"/>
        <v/>
      </c>
      <c r="L40" s="1" t="str">
        <f t="shared" si="4"/>
        <v/>
      </c>
      <c r="M40" s="4" t="str">
        <f t="shared" si="5"/>
        <v/>
      </c>
      <c r="N40" s="17" t="str">
        <f>if(M40&lt;&gt;"",'Actuals - Billing - 2025'!BG272,"")</f>
        <v/>
      </c>
    </row>
    <row r="41">
      <c r="A41" s="7" t="str">
        <f t="shared" si="1"/>
        <v/>
      </c>
      <c r="B41" s="8" t="str">
        <f>if(and('Actuals - Billing - 2025'!E$275=True,C41&lt;&gt;""),'Actuals - Billing - 2025'!C273,"")</f>
        <v/>
      </c>
      <c r="C41" s="9" t="str">
        <f>IF(and('Actuals - Billing - 2025'!E$275=True,sum('Actuals - Billing - 2025'!AF273:AK273)&gt;0),'Actuals - Billing - 2025'!B273,"")</f>
        <v/>
      </c>
      <c r="D41" s="148" t="str">
        <f>if(and(sum('Actuals - Billing - 2025'!AF273:AK273)&gt;0,C41&lt;&gt;""),'Actuals - Billing - 2025'!$AG$2,"")</f>
        <v/>
      </c>
      <c r="E41" s="11" t="str">
        <f t="array" ref="E41">if($D41="","",index('Actuals - Billing - 2025'!$B41:$AZ939,Match($C41,'Actuals - Billing - 2025'!$B41:$B939,0),Match(E$1,'Actuals - Billing - 2025'!$B$2:$AF$2,0)))</f>
        <v/>
      </c>
      <c r="F41" s="11" t="str">
        <f t="array" ref="F41">if($D41="","",index('Actuals - Billing - 2025'!$B41:$AZ939,Match($C41,'Actuals - Billing - 2025'!$B41:$B939,0),Match(F$1,'Actuals - Billing - 2025'!$B$2:$AZ$2,0)))</f>
        <v/>
      </c>
      <c r="G41" s="11" t="str">
        <f t="array" ref="G41">if($D41="","",index('Actuals - Billing - 2025'!$B41:$AZ939,Match($C41,'Actuals - Billing - 2025'!$B41:$B939,0),Match(G$1,'Actuals - Billing - 2025'!$B$2:$AZ$2,0)))</f>
        <v/>
      </c>
      <c r="H41" s="11"/>
      <c r="I41" s="11"/>
      <c r="J41" s="11" t="str">
        <f t="shared" si="2"/>
        <v/>
      </c>
      <c r="K41" s="149" t="str">
        <f t="shared" si="3"/>
        <v/>
      </c>
      <c r="L41" s="1" t="str">
        <f t="shared" si="4"/>
        <v/>
      </c>
      <c r="M41" s="4" t="str">
        <f t="shared" si="5"/>
        <v/>
      </c>
      <c r="N41" s="17" t="str">
        <f>if(M41&lt;&gt;"",'Actuals - Billing - 2025'!BG273,"")</f>
        <v/>
      </c>
    </row>
    <row r="42">
      <c r="A42" s="7" t="str">
        <f t="shared" si="1"/>
        <v/>
      </c>
      <c r="B42" s="8" t="str">
        <f>if(and('Actuals - Billing - 2025'!E$275=True,C42&lt;&gt;""),'Actuals - Billing - 2025'!C274,"")</f>
        <v/>
      </c>
      <c r="C42" s="9" t="str">
        <f>IF(and('Actuals - Billing - 2025'!E$275=True,sum('Actuals - Billing - 2025'!AF274:AK274)&gt;0),'Actuals - Billing - 2025'!B274,"")</f>
        <v/>
      </c>
      <c r="D42" s="148" t="str">
        <f>if(and(sum('Actuals - Billing - 2025'!AF274:AK274)&gt;0,C42&lt;&gt;""),'Actuals - Billing - 2025'!$AG$2,"")</f>
        <v/>
      </c>
      <c r="E42" s="11" t="str">
        <f t="array" ref="E42">if($D42="","",index('Actuals - Billing - 2025'!$B42:$AZ940,Match($C42,'Actuals - Billing - 2025'!$B42:$B940,0),Match(E$1,'Actuals - Billing - 2025'!$B$2:$AF$2,0)))</f>
        <v/>
      </c>
      <c r="F42" s="11" t="str">
        <f t="array" ref="F42">if($D42="","",index('Actuals - Billing - 2025'!$B42:$AZ940,Match($C42,'Actuals - Billing - 2025'!$B42:$B940,0),Match(F$1,'Actuals - Billing - 2025'!$B$2:$AZ$2,0)))</f>
        <v/>
      </c>
      <c r="G42" s="11" t="str">
        <f t="array" ref="G42">if($D42="","",index('Actuals - Billing - 2025'!$B42:$AZ940,Match($C42,'Actuals - Billing - 2025'!$B42:$B940,0),Match(G$1,'Actuals - Billing - 2025'!$B$2:$AZ$2,0)))</f>
        <v/>
      </c>
      <c r="H42" s="11"/>
      <c r="I42" s="11"/>
      <c r="J42" s="11" t="str">
        <f t="shared" si="2"/>
        <v/>
      </c>
      <c r="K42" s="149" t="str">
        <f t="shared" si="3"/>
        <v/>
      </c>
      <c r="L42" s="1" t="str">
        <f t="shared" si="4"/>
        <v/>
      </c>
      <c r="M42" s="4" t="str">
        <f t="shared" si="5"/>
        <v/>
      </c>
      <c r="N42" s="17" t="str">
        <f>if(M42&lt;&gt;"",'Actuals - Billing - 2025'!BG274,"")</f>
        <v/>
      </c>
    </row>
    <row r="43">
      <c r="A43" s="7" t="str">
        <f t="shared" si="1"/>
        <v/>
      </c>
      <c r="B43" s="8" t="str">
        <f>if(and('Actuals - Billing - 2025'!E$275=True,C43&lt;&gt;""),'Actuals - Billing - 2025'!C275,"")</f>
        <v/>
      </c>
      <c r="C43" s="9" t="str">
        <f>IF(and('Actuals - Billing - 2025'!E$275=True,sum('Actuals - Billing - 2025'!AF275:AK275)&gt;0),'Actuals - Billing - 2025'!B275,"")</f>
        <v/>
      </c>
      <c r="D43" s="148" t="str">
        <f>if(and(sum('Actuals - Billing - 2025'!AF275:AK275)&gt;0,C43&lt;&gt;""),'Actuals - Billing - 2025'!$AG$2,"")</f>
        <v/>
      </c>
      <c r="E43" s="11" t="str">
        <f t="array" ref="E43">if($D43="","",index('Actuals - Billing - 2025'!$B43:$AZ941,Match($C43,'Actuals - Billing - 2025'!$B43:$B941,0),Match(E$1,'Actuals - Billing - 2025'!$B$2:$AF$2,0)))</f>
        <v/>
      </c>
      <c r="F43" s="11" t="str">
        <f t="array" ref="F43">if($D43="","",index('Actuals - Billing - 2025'!$B43:$AZ941,Match($C43,'Actuals - Billing - 2025'!$B43:$B941,0),Match(F$1,'Actuals - Billing - 2025'!$B$2:$AZ$2,0)))</f>
        <v/>
      </c>
      <c r="G43" s="11" t="str">
        <f t="array" ref="G43">if($D43="","",index('Actuals - Billing - 2025'!$B43:$AZ941,Match($C43,'Actuals - Billing - 2025'!$B43:$B941,0),Match(G$1,'Actuals - Billing - 2025'!$B$2:$AZ$2,0)))</f>
        <v/>
      </c>
      <c r="H43" s="11"/>
      <c r="I43" s="11"/>
      <c r="J43" s="11" t="str">
        <f t="shared" si="2"/>
        <v/>
      </c>
      <c r="K43" s="149" t="str">
        <f t="shared" si="3"/>
        <v/>
      </c>
      <c r="L43" s="1" t="str">
        <f t="shared" si="4"/>
        <v/>
      </c>
      <c r="M43" s="4" t="str">
        <f t="shared" si="5"/>
        <v/>
      </c>
      <c r="N43" s="17" t="str">
        <f>if(M43&lt;&gt;"",'Actuals - Billing - 2025'!BG275,"")</f>
        <v/>
      </c>
    </row>
    <row r="44">
      <c r="A44" s="7" t="str">
        <f t="shared" si="1"/>
        <v/>
      </c>
      <c r="B44" s="8" t="str">
        <f>if(and('Actuals - Billing - 2025'!E$282=True,C44&lt;&gt;""),'Actuals - Billing - 2025'!C276,"")</f>
        <v/>
      </c>
      <c r="C44" s="9" t="str">
        <f>IF(and('Actuals - Billing - 2025'!E$282=True,sum('Actuals - Billing - 2025'!AF276:AK276)&gt;0),'Actuals - Billing - 2025'!B276,"")</f>
        <v/>
      </c>
      <c r="D44" s="148" t="str">
        <f>if(and(sum('Actuals - Billing - 2025'!AF276:AK276)&gt;0,C44&lt;&gt;""),'Actuals - Billing - 2025'!$AG$2,"")</f>
        <v/>
      </c>
      <c r="E44" s="11" t="str">
        <f t="array" ref="E44">if($D44="","",index('Actuals - Billing - 2025'!$B44:$AZ942,Match($C44,'Actuals - Billing - 2025'!$B44:$B942,0),Match(E$1,'Actuals - Billing - 2025'!$B$2:$AF$2,0)))</f>
        <v/>
      </c>
      <c r="F44" s="11" t="str">
        <f t="array" ref="F44">if($D44="","",index('Actuals - Billing - 2025'!$B44:$AZ942,Match($C44,'Actuals - Billing - 2025'!$B44:$B942,0),Match(F$1,'Actuals - Billing - 2025'!$B$2:$AZ$2,0)))</f>
        <v/>
      </c>
      <c r="G44" s="11" t="str">
        <f t="array" ref="G44">if($D44="","",index('Actuals - Billing - 2025'!$B44:$AZ942,Match($C44,'Actuals - Billing - 2025'!$B44:$B942,0),Match(G$1,'Actuals - Billing - 2025'!$B$2:$AZ$2,0)))</f>
        <v/>
      </c>
      <c r="H44" s="11"/>
      <c r="I44" s="11"/>
      <c r="J44" s="11" t="str">
        <f t="shared" si="2"/>
        <v/>
      </c>
      <c r="K44" s="149" t="str">
        <f t="shared" si="3"/>
        <v/>
      </c>
      <c r="L44" s="1" t="str">
        <f t="shared" si="4"/>
        <v/>
      </c>
      <c r="M44" s="4" t="str">
        <f t="shared" si="5"/>
        <v/>
      </c>
      <c r="N44" s="17" t="str">
        <f>if(M44&lt;&gt;"",'Actuals - Billing - 2025'!BG276,"")</f>
        <v/>
      </c>
      <c r="P44" s="14"/>
    </row>
    <row r="45">
      <c r="A45" s="7" t="str">
        <f t="shared" si="1"/>
        <v/>
      </c>
      <c r="B45" s="8" t="str">
        <f>if(and('Actuals - Billing - 2025'!E$282=True,C45&lt;&gt;""),'Actuals - Billing - 2025'!C277,"")</f>
        <v/>
      </c>
      <c r="C45" s="9" t="str">
        <f>IF(and('Actuals - Billing - 2025'!E$282=True,sum('Actuals - Billing - 2025'!AF277:AK277)&gt;0),'Actuals - Billing - 2025'!B277,"")</f>
        <v/>
      </c>
      <c r="D45" s="148" t="str">
        <f>if(and(sum('Actuals - Billing - 2025'!AF277:AK277)&gt;0,C45&lt;&gt;""),'Actuals - Billing - 2025'!$AG$2,"")</f>
        <v/>
      </c>
      <c r="E45" s="11" t="str">
        <f t="array" ref="E45">if($D45="","",index('Actuals - Billing - 2025'!$B45:$AZ943,Match($C45,'Actuals - Billing - 2025'!$B45:$B943,0),Match(E$1,'Actuals - Billing - 2025'!$B$2:$AF$2,0)))</f>
        <v/>
      </c>
      <c r="F45" s="11" t="str">
        <f t="array" ref="F45">if($D45="","",index('Actuals - Billing - 2025'!$B45:$AZ943,Match($C45,'Actuals - Billing - 2025'!$B45:$B943,0),Match(F$1,'Actuals - Billing - 2025'!$B$2:$AZ$2,0)))</f>
        <v/>
      </c>
      <c r="G45" s="11" t="str">
        <f t="array" ref="G45">if($D45="","",index('Actuals - Billing - 2025'!$B45:$AZ943,Match($C45,'Actuals - Billing - 2025'!$B45:$B943,0),Match(G$1,'Actuals - Billing - 2025'!$B$2:$AZ$2,0)))</f>
        <v/>
      </c>
      <c r="H45" s="11"/>
      <c r="I45" s="11"/>
      <c r="J45" s="11" t="str">
        <f t="shared" si="2"/>
        <v/>
      </c>
      <c r="K45" s="149" t="str">
        <f t="shared" si="3"/>
        <v/>
      </c>
      <c r="L45" s="1" t="str">
        <f t="shared" si="4"/>
        <v/>
      </c>
      <c r="M45" s="4" t="str">
        <f t="shared" si="5"/>
        <v/>
      </c>
      <c r="N45" s="17" t="str">
        <f>if(M45&lt;&gt;"",'Actuals - Billing - 2025'!BG277,"")</f>
        <v/>
      </c>
    </row>
    <row r="46">
      <c r="A46" s="7" t="str">
        <f t="shared" si="1"/>
        <v/>
      </c>
      <c r="B46" s="8" t="str">
        <f>if(and('Actuals - Billing - 2025'!E$282=True,C46&lt;&gt;""),'Actuals - Billing - 2025'!C278,"")</f>
        <v/>
      </c>
      <c r="C46" s="9" t="str">
        <f>IF(and('Actuals - Billing - 2025'!E$282=True,sum('Actuals - Billing - 2025'!AF278:AK278)&gt;0),'Actuals - Billing - 2025'!B278,"")</f>
        <v/>
      </c>
      <c r="D46" s="148" t="str">
        <f>if(and(sum('Actuals - Billing - 2025'!AF278:AK278)&gt;0,C46&lt;&gt;""),'Actuals - Billing - 2025'!$AG$2,"")</f>
        <v/>
      </c>
      <c r="E46" s="11" t="str">
        <f t="array" ref="E46">if($D46="","",index('Actuals - Billing - 2025'!$B46:$AZ944,Match($C46,'Actuals - Billing - 2025'!$B46:$B944,0),Match(E$1,'Actuals - Billing - 2025'!$B$2:$AF$2,0)))</f>
        <v/>
      </c>
      <c r="F46" s="11" t="str">
        <f t="array" ref="F46">if($D46="","",index('Actuals - Billing - 2025'!$B46:$AZ944,Match($C46,'Actuals - Billing - 2025'!$B46:$B944,0),Match(F$1,'Actuals - Billing - 2025'!$B$2:$AZ$2,0)))</f>
        <v/>
      </c>
      <c r="G46" s="11" t="str">
        <f t="array" ref="G46">if($D46="","",index('Actuals - Billing - 2025'!$B46:$AZ944,Match($C46,'Actuals - Billing - 2025'!$B46:$B944,0),Match(G$1,'Actuals - Billing - 2025'!$B$2:$AZ$2,0)))</f>
        <v/>
      </c>
      <c r="H46" s="11"/>
      <c r="I46" s="11"/>
      <c r="J46" s="11" t="str">
        <f t="shared" si="2"/>
        <v/>
      </c>
      <c r="K46" s="149" t="str">
        <f t="shared" si="3"/>
        <v/>
      </c>
      <c r="L46" s="1" t="str">
        <f t="shared" si="4"/>
        <v/>
      </c>
      <c r="M46" s="4" t="str">
        <f t="shared" si="5"/>
        <v/>
      </c>
      <c r="N46" s="17" t="str">
        <f>if(M46&lt;&gt;"",'Actuals - Billing - 2025'!BG278,"")</f>
        <v/>
      </c>
    </row>
    <row r="47">
      <c r="A47" s="7" t="str">
        <f t="shared" si="1"/>
        <v/>
      </c>
      <c r="B47" s="8" t="str">
        <f>if(and('Actuals - Billing - 2025'!E$282=True,C47&lt;&gt;""),'Actuals - Billing - 2025'!C279,"")</f>
        <v/>
      </c>
      <c r="C47" s="9" t="str">
        <f>IF(and('Actuals - Billing - 2025'!E$282=True,sum('Actuals - Billing - 2025'!AF279:AK279)&gt;0),'Actuals - Billing - 2025'!B279,"")</f>
        <v/>
      </c>
      <c r="D47" s="148" t="str">
        <f>if(and(sum('Actuals - Billing - 2025'!AF279:AK279)&gt;0,C47&lt;&gt;""),'Actuals - Billing - 2025'!$AG$2,"")</f>
        <v/>
      </c>
      <c r="E47" s="11" t="str">
        <f t="array" ref="E47">if($D47="","",index('Actuals - Billing - 2025'!$B47:$AZ945,Match($C47,'Actuals - Billing - 2025'!$B47:$B945,0),Match(E$1,'Actuals - Billing - 2025'!$B$2:$AF$2,0)))</f>
        <v/>
      </c>
      <c r="F47" s="11" t="str">
        <f t="array" ref="F47">if($D47="","",index('Actuals - Billing - 2025'!$B47:$AZ945,Match($C47,'Actuals - Billing - 2025'!$B47:$B945,0),Match(F$1,'Actuals - Billing - 2025'!$B$2:$AZ$2,0)))</f>
        <v/>
      </c>
      <c r="G47" s="11" t="str">
        <f t="array" ref="G47">if($D47="","",index('Actuals - Billing - 2025'!$B47:$AZ945,Match($C47,'Actuals - Billing - 2025'!$B47:$B945,0),Match(G$1,'Actuals - Billing - 2025'!$B$2:$AZ$2,0)))</f>
        <v/>
      </c>
      <c r="H47" s="11"/>
      <c r="I47" s="11"/>
      <c r="J47" s="11" t="str">
        <f t="shared" si="2"/>
        <v/>
      </c>
      <c r="K47" s="149" t="str">
        <f t="shared" si="3"/>
        <v/>
      </c>
      <c r="L47" s="1" t="str">
        <f t="shared" si="4"/>
        <v/>
      </c>
      <c r="M47" s="4" t="str">
        <f t="shared" si="5"/>
        <v/>
      </c>
      <c r="N47" s="17" t="str">
        <f>if(M47&lt;&gt;"",'Actuals - Billing - 2025'!BG279,"")</f>
        <v/>
      </c>
    </row>
    <row r="48">
      <c r="A48" s="7" t="str">
        <f t="shared" si="1"/>
        <v/>
      </c>
      <c r="B48" s="8" t="str">
        <f>if(and('Actuals - Billing - 2025'!E$282=True,C48&lt;&gt;""),'Actuals - Billing - 2025'!C280,"")</f>
        <v/>
      </c>
      <c r="C48" s="9" t="str">
        <f>IF(and('Actuals - Billing - 2025'!E$282=True,sum('Actuals - Billing - 2025'!AF280:AK280)&gt;0),'Actuals - Billing - 2025'!B280,"")</f>
        <v/>
      </c>
      <c r="D48" s="148" t="str">
        <f>if(and(sum('Actuals - Billing - 2025'!AF280:AK280)&gt;0,C48&lt;&gt;""),'Actuals - Billing - 2025'!$AG$2,"")</f>
        <v/>
      </c>
      <c r="E48" s="11" t="str">
        <f t="array" ref="E48">if($D48="","",index('Actuals - Billing - 2025'!$B48:$AZ946,Match($C48,'Actuals - Billing - 2025'!$B48:$B946,0),Match(E$1,'Actuals - Billing - 2025'!$B$2:$AF$2,0)))</f>
        <v/>
      </c>
      <c r="F48" s="11" t="str">
        <f t="array" ref="F48">if($D48="","",index('Actuals - Billing - 2025'!$B48:$AZ946,Match($C48,'Actuals - Billing - 2025'!$B48:$B946,0),Match(F$1,'Actuals - Billing - 2025'!$B$2:$AZ$2,0)))</f>
        <v/>
      </c>
      <c r="G48" s="11" t="str">
        <f t="array" ref="G48">if($D48="","",index('Actuals - Billing - 2025'!$B48:$AZ946,Match($C48,'Actuals - Billing - 2025'!$B48:$B946,0),Match(G$1,'Actuals - Billing - 2025'!$B$2:$AZ$2,0)))</f>
        <v/>
      </c>
      <c r="H48" s="11"/>
      <c r="I48" s="11"/>
      <c r="J48" s="11" t="str">
        <f t="shared" si="2"/>
        <v/>
      </c>
      <c r="K48" s="149" t="str">
        <f t="shared" si="3"/>
        <v/>
      </c>
      <c r="L48" s="1" t="str">
        <f t="shared" si="4"/>
        <v/>
      </c>
      <c r="M48" s="4" t="str">
        <f t="shared" si="5"/>
        <v/>
      </c>
      <c r="N48" s="17" t="str">
        <f>if(M48&lt;&gt;"",'Actuals - Billing - 2025'!BG280,"")</f>
        <v/>
      </c>
    </row>
    <row r="49">
      <c r="A49" s="7" t="str">
        <f t="shared" si="1"/>
        <v/>
      </c>
      <c r="B49" s="8" t="str">
        <f>if(and('Actuals - Billing - 2025'!E$282=True,C49&lt;&gt;""),'Actuals - Billing - 2025'!C281,"")</f>
        <v/>
      </c>
      <c r="C49" s="9" t="str">
        <f>IF(and('Actuals - Billing - 2025'!E$282=True,sum('Actuals - Billing - 2025'!AF281:AK281)&gt;0),'Actuals - Billing - 2025'!B281,"")</f>
        <v/>
      </c>
      <c r="D49" s="148" t="str">
        <f>if(and(sum('Actuals - Billing - 2025'!AF281:AK281)&gt;0,C49&lt;&gt;""),'Actuals - Billing - 2025'!$AG$2,"")</f>
        <v/>
      </c>
      <c r="E49" s="11" t="str">
        <f t="array" ref="E49">if($D49="","",index('Actuals - Billing - 2025'!$B49:$AZ947,Match($C49,'Actuals - Billing - 2025'!$B49:$B947,0),Match(E$1,'Actuals - Billing - 2025'!$B$2:$AF$2,0)))</f>
        <v/>
      </c>
      <c r="F49" s="11" t="str">
        <f t="array" ref="F49">if($D49="","",index('Actuals - Billing - 2025'!$B49:$AZ947,Match($C49,'Actuals - Billing - 2025'!$B49:$B947,0),Match(F$1,'Actuals - Billing - 2025'!$B$2:$AZ$2,0)))</f>
        <v/>
      </c>
      <c r="G49" s="11" t="str">
        <f t="array" ref="G49">if($D49="","",index('Actuals - Billing - 2025'!$B49:$AZ947,Match($C49,'Actuals - Billing - 2025'!$B49:$B947,0),Match(G$1,'Actuals - Billing - 2025'!$B$2:$AZ$2,0)))</f>
        <v/>
      </c>
      <c r="H49" s="11"/>
      <c r="I49" s="11"/>
      <c r="J49" s="11" t="str">
        <f t="shared" si="2"/>
        <v/>
      </c>
      <c r="K49" s="149" t="str">
        <f t="shared" si="3"/>
        <v/>
      </c>
      <c r="L49" s="1" t="str">
        <f t="shared" si="4"/>
        <v/>
      </c>
      <c r="M49" s="4" t="str">
        <f t="shared" si="5"/>
        <v/>
      </c>
      <c r="N49" s="17" t="str">
        <f>if(M49&lt;&gt;"",'Actuals - Billing - 2025'!BG281,"")</f>
        <v/>
      </c>
    </row>
    <row r="50">
      <c r="A50" s="7" t="str">
        <f t="shared" si="1"/>
        <v/>
      </c>
      <c r="B50" s="8" t="str">
        <f>if(and('Actuals - Billing - 2025'!E$282=True,C50&lt;&gt;""),'Actuals - Billing - 2025'!C282,"")</f>
        <v/>
      </c>
      <c r="C50" s="9" t="str">
        <f>IF(and('Actuals - Billing - 2025'!E$282=True,sum('Actuals - Billing - 2025'!AF282:AK282)&gt;0),'Actuals - Billing - 2025'!B282,"")</f>
        <v/>
      </c>
      <c r="D50" s="148" t="str">
        <f>if(and(sum('Actuals - Billing - 2025'!AF282:AK282)&gt;0,C50&lt;&gt;""),'Actuals - Billing - 2025'!$AG$2,"")</f>
        <v/>
      </c>
      <c r="E50" s="11" t="str">
        <f t="array" ref="E50">if($D50="","",index('Actuals - Billing - 2025'!$B50:$AZ948,Match($C50,'Actuals - Billing - 2025'!$B50:$B948,0),Match(E$1,'Actuals - Billing - 2025'!$B$2:$AF$2,0)))</f>
        <v/>
      </c>
      <c r="F50" s="11" t="str">
        <f t="array" ref="F50">if($D50="","",index('Actuals - Billing - 2025'!$B50:$AZ948,Match($C50,'Actuals - Billing - 2025'!$B50:$B948,0),Match(F$1,'Actuals - Billing - 2025'!$B$2:$AZ$2,0)))</f>
        <v/>
      </c>
      <c r="G50" s="11" t="str">
        <f t="array" ref="G50">if($D50="","",index('Actuals - Billing - 2025'!$B50:$AZ948,Match($C50,'Actuals - Billing - 2025'!$B50:$B948,0),Match(G$1,'Actuals - Billing - 2025'!$B$2:$AZ$2,0)))</f>
        <v/>
      </c>
      <c r="H50" s="11"/>
      <c r="I50" s="11"/>
      <c r="J50" s="11" t="str">
        <f t="shared" si="2"/>
        <v/>
      </c>
      <c r="K50" s="149" t="str">
        <f t="shared" si="3"/>
        <v/>
      </c>
      <c r="L50" s="1" t="str">
        <f t="shared" si="4"/>
        <v/>
      </c>
      <c r="M50" s="4" t="str">
        <f t="shared" si="5"/>
        <v/>
      </c>
      <c r="N50" s="17" t="str">
        <f>if(M50&lt;&gt;"",'Actuals - Billing - 2025'!BG282,"")</f>
        <v/>
      </c>
    </row>
    <row r="51">
      <c r="A51" s="7" t="str">
        <f t="shared" si="1"/>
        <v/>
      </c>
      <c r="B51" s="8" t="str">
        <f>if(and('Actuals - Billing - 2025'!E$289=True,C51&lt;&gt;""),'Actuals - Billing - 2025'!C283,"")</f>
        <v/>
      </c>
      <c r="C51" s="9" t="str">
        <f>IF(and('Actuals - Billing - 2025'!E$289=True,sum('Actuals - Billing - 2025'!AF283:AK283)&gt;0),'Actuals - Billing - 2025'!B283,"")</f>
        <v/>
      </c>
      <c r="D51" s="148" t="str">
        <f>if(and(sum('Actuals - Billing - 2025'!AF283:AK283)&gt;0,C51&lt;&gt;""),'Actuals - Billing - 2025'!$AG$2,"")</f>
        <v/>
      </c>
      <c r="E51" s="11" t="str">
        <f t="array" ref="E51">if($D51="","",index('Actuals - Billing - 2025'!$B51:$AZ949,Match($C51,'Actuals - Billing - 2025'!$B51:$B949,0),Match(E$1,'Actuals - Billing - 2025'!$B$2:$AF$2,0)))</f>
        <v/>
      </c>
      <c r="F51" s="11" t="str">
        <f t="array" ref="F51">if($D51="","",index('Actuals - Billing - 2025'!$B51:$AZ949,Match($C51,'Actuals - Billing - 2025'!$B51:$B949,0),Match(F$1,'Actuals - Billing - 2025'!$B$2:$AZ$2,0)))</f>
        <v/>
      </c>
      <c r="G51" s="11" t="str">
        <f t="array" ref="G51">if($D51="","",index('Actuals - Billing - 2025'!$B51:$AZ949,Match($C51,'Actuals - Billing - 2025'!$B51:$B949,0),Match(G$1,'Actuals - Billing - 2025'!$B$2:$AZ$2,0)))</f>
        <v/>
      </c>
      <c r="H51" s="11"/>
      <c r="I51" s="11"/>
      <c r="J51" s="11" t="str">
        <f t="shared" si="2"/>
        <v/>
      </c>
      <c r="K51" s="149" t="str">
        <f t="shared" si="3"/>
        <v/>
      </c>
      <c r="L51" s="1" t="str">
        <f t="shared" si="4"/>
        <v/>
      </c>
      <c r="M51" s="4" t="str">
        <f t="shared" si="5"/>
        <v/>
      </c>
      <c r="N51" s="17" t="str">
        <f>if(M51&lt;&gt;"",'Actuals - Billing - 2025'!BG283,"")</f>
        <v/>
      </c>
      <c r="P51" s="14"/>
    </row>
    <row r="52">
      <c r="A52" s="7" t="str">
        <f t="shared" si="1"/>
        <v/>
      </c>
      <c r="B52" s="8" t="str">
        <f>if(and('Actuals - Billing - 2025'!E$289=True,C52&lt;&gt;""),'Actuals - Billing - 2025'!C284,"")</f>
        <v/>
      </c>
      <c r="C52" s="9" t="str">
        <f>IF(and('Actuals - Billing - 2025'!E$289=True,sum('Actuals - Billing - 2025'!AF284:AK284)&gt;0),'Actuals - Billing - 2025'!B284,"")</f>
        <v/>
      </c>
      <c r="D52" s="148" t="str">
        <f>if(and(sum('Actuals - Billing - 2025'!AF284:AK284)&gt;0,C52&lt;&gt;""),'Actuals - Billing - 2025'!$AG$2,"")</f>
        <v/>
      </c>
      <c r="E52" s="11" t="str">
        <f t="array" ref="E52">if($D52="","",index('Actuals - Billing - 2025'!$B52:$AZ950,Match($C52,'Actuals - Billing - 2025'!$B52:$B950,0),Match(E$1,'Actuals - Billing - 2025'!$B$2:$AF$2,0)))</f>
        <v/>
      </c>
      <c r="F52" s="11" t="str">
        <f t="array" ref="F52">if($D52="","",index('Actuals - Billing - 2025'!$B52:$AZ950,Match($C52,'Actuals - Billing - 2025'!$B52:$B950,0),Match(F$1,'Actuals - Billing - 2025'!$B$2:$AZ$2,0)))</f>
        <v/>
      </c>
      <c r="G52" s="11" t="str">
        <f t="array" ref="G52">if($D52="","",index('Actuals - Billing - 2025'!$B52:$AZ950,Match($C52,'Actuals - Billing - 2025'!$B52:$B950,0),Match(G$1,'Actuals - Billing - 2025'!$B$2:$AZ$2,0)))</f>
        <v/>
      </c>
      <c r="H52" s="11"/>
      <c r="I52" s="11"/>
      <c r="J52" s="11" t="str">
        <f t="shared" si="2"/>
        <v/>
      </c>
      <c r="K52" s="149" t="str">
        <f t="shared" si="3"/>
        <v/>
      </c>
      <c r="L52" s="1" t="str">
        <f t="shared" si="4"/>
        <v/>
      </c>
      <c r="M52" s="4" t="str">
        <f t="shared" si="5"/>
        <v/>
      </c>
      <c r="N52" s="17" t="str">
        <f>if(M52&lt;&gt;"",'Actuals - Billing - 2025'!BG284,"")</f>
        <v/>
      </c>
    </row>
    <row r="53">
      <c r="A53" s="7" t="str">
        <f t="shared" si="1"/>
        <v/>
      </c>
      <c r="B53" s="8" t="str">
        <f>if(and('Actuals - Billing - 2025'!E$289=True,C53&lt;&gt;""),'Actuals - Billing - 2025'!C285,"")</f>
        <v/>
      </c>
      <c r="C53" s="9" t="str">
        <f>IF(and('Actuals - Billing - 2025'!E$289=True,sum('Actuals - Billing - 2025'!AF285:AK285)&gt;0),'Actuals - Billing - 2025'!B285,"")</f>
        <v/>
      </c>
      <c r="D53" s="148" t="str">
        <f>if(and(sum('Actuals - Billing - 2025'!AF285:AK285)&gt;0,C53&lt;&gt;""),'Actuals - Billing - 2025'!$AG$2,"")</f>
        <v/>
      </c>
      <c r="E53" s="11" t="str">
        <f t="array" ref="E53">if($D53="","",index('Actuals - Billing - 2025'!$B53:$AZ951,Match($C53,'Actuals - Billing - 2025'!$B53:$B951,0),Match(E$1,'Actuals - Billing - 2025'!$B$2:$AF$2,0)))</f>
        <v/>
      </c>
      <c r="F53" s="11" t="str">
        <f t="array" ref="F53">if($D53="","",index('Actuals - Billing - 2025'!$B53:$AZ951,Match($C53,'Actuals - Billing - 2025'!$B53:$B951,0),Match(F$1,'Actuals - Billing - 2025'!$B$2:$AZ$2,0)))</f>
        <v/>
      </c>
      <c r="G53" s="11" t="str">
        <f t="array" ref="G53">if($D53="","",index('Actuals - Billing - 2025'!$B53:$AZ951,Match($C53,'Actuals - Billing - 2025'!$B53:$B951,0),Match(G$1,'Actuals - Billing - 2025'!$B$2:$AZ$2,0)))</f>
        <v/>
      </c>
      <c r="H53" s="11"/>
      <c r="I53" s="11"/>
      <c r="J53" s="11" t="str">
        <f t="shared" si="2"/>
        <v/>
      </c>
      <c r="K53" s="149" t="str">
        <f t="shared" si="3"/>
        <v/>
      </c>
      <c r="L53" s="1" t="str">
        <f t="shared" si="4"/>
        <v/>
      </c>
      <c r="M53" s="4" t="str">
        <f t="shared" si="5"/>
        <v/>
      </c>
      <c r="N53" s="17" t="str">
        <f>if(M53&lt;&gt;"",'Actuals - Billing - 2025'!BG285,"")</f>
        <v/>
      </c>
    </row>
    <row r="54">
      <c r="A54" s="7" t="str">
        <f t="shared" si="1"/>
        <v/>
      </c>
      <c r="B54" s="8" t="str">
        <f>if(and('Actuals - Billing - 2025'!E$289=True,C54&lt;&gt;""),'Actuals - Billing - 2025'!C286,"")</f>
        <v/>
      </c>
      <c r="C54" s="9" t="str">
        <f>IF(and('Actuals - Billing - 2025'!E$289=True,sum('Actuals - Billing - 2025'!AF286:AK286)&gt;0),'Actuals - Billing - 2025'!B286,"")</f>
        <v/>
      </c>
      <c r="D54" s="148" t="str">
        <f>if(and(sum('Actuals - Billing - 2025'!AF286:AK286)&gt;0,C54&lt;&gt;""),'Actuals - Billing - 2025'!$AG$2,"")</f>
        <v/>
      </c>
      <c r="E54" s="11" t="str">
        <f t="array" ref="E54">if($D54="","",index('Actuals - Billing - 2025'!$B54:$AZ952,Match($C54,'Actuals - Billing - 2025'!$B54:$B952,0),Match(E$1,'Actuals - Billing - 2025'!$B$2:$AF$2,0)))</f>
        <v/>
      </c>
      <c r="F54" s="11" t="str">
        <f t="array" ref="F54">if($D54="","",index('Actuals - Billing - 2025'!$B54:$AZ952,Match($C54,'Actuals - Billing - 2025'!$B54:$B952,0),Match(F$1,'Actuals - Billing - 2025'!$B$2:$AZ$2,0)))</f>
        <v/>
      </c>
      <c r="G54" s="11" t="str">
        <f t="array" ref="G54">if($D54="","",index('Actuals - Billing - 2025'!$B54:$AZ952,Match($C54,'Actuals - Billing - 2025'!$B54:$B952,0),Match(G$1,'Actuals - Billing - 2025'!$B$2:$AZ$2,0)))</f>
        <v/>
      </c>
      <c r="H54" s="11"/>
      <c r="I54" s="11"/>
      <c r="J54" s="11" t="str">
        <f t="shared" si="2"/>
        <v/>
      </c>
      <c r="K54" s="149" t="str">
        <f t="shared" si="3"/>
        <v/>
      </c>
      <c r="L54" s="1" t="str">
        <f t="shared" si="4"/>
        <v/>
      </c>
      <c r="M54" s="4" t="str">
        <f t="shared" si="5"/>
        <v/>
      </c>
      <c r="N54" s="17" t="str">
        <f>if(M54&lt;&gt;"",'Actuals - Billing - 2025'!BG286,"")</f>
        <v/>
      </c>
    </row>
    <row r="55">
      <c r="A55" s="7" t="str">
        <f t="shared" si="1"/>
        <v/>
      </c>
      <c r="B55" s="8" t="str">
        <f>if(and('Actuals - Billing - 2025'!E$289=True,C55&lt;&gt;""),'Actuals - Billing - 2025'!C287,"")</f>
        <v/>
      </c>
      <c r="C55" s="9" t="str">
        <f>IF(and('Actuals - Billing - 2025'!E$289=True,sum('Actuals - Billing - 2025'!AF287:AK287)&gt;0),'Actuals - Billing - 2025'!B287,"")</f>
        <v/>
      </c>
      <c r="D55" s="148" t="str">
        <f>if(and(sum('Actuals - Billing - 2025'!AF287:AK287)&gt;0,C55&lt;&gt;""),'Actuals - Billing - 2025'!$AG$2,"")</f>
        <v/>
      </c>
      <c r="E55" s="11" t="str">
        <f t="array" ref="E55">if($D55="","",index('Actuals - Billing - 2025'!$B55:$AZ953,Match($C55,'Actuals - Billing - 2025'!$B55:$B953,0),Match(E$1,'Actuals - Billing - 2025'!$B$2:$AF$2,0)))</f>
        <v/>
      </c>
      <c r="F55" s="11" t="str">
        <f t="array" ref="F55">if($D55="","",index('Actuals - Billing - 2025'!$B55:$AZ953,Match($C55,'Actuals - Billing - 2025'!$B55:$B953,0),Match(F$1,'Actuals - Billing - 2025'!$B$2:$AZ$2,0)))</f>
        <v/>
      </c>
      <c r="G55" s="11" t="str">
        <f t="array" ref="G55">if($D55="","",index('Actuals - Billing - 2025'!$B55:$AZ953,Match($C55,'Actuals - Billing - 2025'!$B55:$B953,0),Match(G$1,'Actuals - Billing - 2025'!$B$2:$AZ$2,0)))</f>
        <v/>
      </c>
      <c r="H55" s="11"/>
      <c r="I55" s="11"/>
      <c r="J55" s="11" t="str">
        <f t="shared" si="2"/>
        <v/>
      </c>
      <c r="K55" s="149" t="str">
        <f t="shared" si="3"/>
        <v/>
      </c>
      <c r="L55" s="1" t="str">
        <f t="shared" si="4"/>
        <v/>
      </c>
      <c r="M55" s="4" t="str">
        <f t="shared" si="5"/>
        <v/>
      </c>
      <c r="N55" s="17" t="str">
        <f>if(M55&lt;&gt;"",'Actuals - Billing - 2025'!BG287,"")</f>
        <v/>
      </c>
    </row>
    <row r="56">
      <c r="A56" s="7" t="str">
        <f t="shared" si="1"/>
        <v/>
      </c>
      <c r="B56" s="8" t="str">
        <f>if(and('Actuals - Billing - 2025'!E$289=True,C56&lt;&gt;""),'Actuals - Billing - 2025'!C288,"")</f>
        <v/>
      </c>
      <c r="C56" s="9" t="str">
        <f>IF(and('Actuals - Billing - 2025'!E$289=True,sum('Actuals - Billing - 2025'!AF288:AK288)&gt;0),'Actuals - Billing - 2025'!B288,"")</f>
        <v/>
      </c>
      <c r="D56" s="148" t="str">
        <f>if(and(sum('Actuals - Billing - 2025'!AF288:AK288)&gt;0,C56&lt;&gt;""),'Actuals - Billing - 2025'!$AG$2,"")</f>
        <v/>
      </c>
      <c r="E56" s="11" t="str">
        <f t="array" ref="E56">if($D56="","",index('Actuals - Billing - 2025'!$B56:$AZ954,Match($C56,'Actuals - Billing - 2025'!$B56:$B954,0),Match(E$1,'Actuals - Billing - 2025'!$B$2:$AF$2,0)))</f>
        <v/>
      </c>
      <c r="F56" s="11" t="str">
        <f t="array" ref="F56">if($D56="","",index('Actuals - Billing - 2025'!$B56:$AZ954,Match($C56,'Actuals - Billing - 2025'!$B56:$B954,0),Match(F$1,'Actuals - Billing - 2025'!$B$2:$AZ$2,0)))</f>
        <v/>
      </c>
      <c r="G56" s="11" t="str">
        <f t="array" ref="G56">if($D56="","",index('Actuals - Billing - 2025'!$B56:$AZ954,Match($C56,'Actuals - Billing - 2025'!$B56:$B954,0),Match(G$1,'Actuals - Billing - 2025'!$B$2:$AZ$2,0)))</f>
        <v/>
      </c>
      <c r="H56" s="11"/>
      <c r="I56" s="11"/>
      <c r="J56" s="11" t="str">
        <f t="shared" si="2"/>
        <v/>
      </c>
      <c r="K56" s="149" t="str">
        <f t="shared" si="3"/>
        <v/>
      </c>
      <c r="L56" s="1" t="str">
        <f t="shared" si="4"/>
        <v/>
      </c>
      <c r="M56" s="4" t="str">
        <f t="shared" si="5"/>
        <v/>
      </c>
      <c r="N56" s="17" t="str">
        <f>if(M56&lt;&gt;"",'Actuals - Billing - 2025'!BG288,"")</f>
        <v/>
      </c>
    </row>
    <row r="57">
      <c r="A57" s="7" t="str">
        <f t="shared" si="1"/>
        <v/>
      </c>
      <c r="B57" s="8" t="str">
        <f>if(and('Actuals - Billing - 2025'!E$289=True,C57&lt;&gt;""),'Actuals - Billing - 2025'!C289,"")</f>
        <v/>
      </c>
      <c r="C57" s="9" t="str">
        <f>IF(and('Actuals - Billing - 2025'!E$289=True,sum('Actuals - Billing - 2025'!AF289:AK289)&gt;0),'Actuals - Billing - 2025'!B289,"")</f>
        <v/>
      </c>
      <c r="D57" s="148" t="str">
        <f>if(and(sum('Actuals - Billing - 2025'!AF289:AK289)&gt;0,C57&lt;&gt;""),'Actuals - Billing - 2025'!$AG$2,"")</f>
        <v/>
      </c>
      <c r="E57" s="11" t="str">
        <f t="array" ref="E57">if($D57="","",index('Actuals - Billing - 2025'!$B57:$AZ955,Match($C57,'Actuals - Billing - 2025'!$B57:$B955,0),Match(E$1,'Actuals - Billing - 2025'!$B$2:$AF$2,0)))</f>
        <v/>
      </c>
      <c r="F57" s="11" t="str">
        <f t="array" ref="F57">if($D57="","",index('Actuals - Billing - 2025'!$B57:$AZ955,Match($C57,'Actuals - Billing - 2025'!$B57:$B955,0),Match(F$1,'Actuals - Billing - 2025'!$B$2:$AZ$2,0)))</f>
        <v/>
      </c>
      <c r="G57" s="11" t="str">
        <f t="array" ref="G57">if($D57="","",index('Actuals - Billing - 2025'!$B57:$AZ955,Match($C57,'Actuals - Billing - 2025'!$B57:$B955,0),Match(G$1,'Actuals - Billing - 2025'!$B$2:$AZ$2,0)))</f>
        <v/>
      </c>
      <c r="H57" s="11"/>
      <c r="I57" s="11"/>
      <c r="J57" s="11" t="str">
        <f t="shared" si="2"/>
        <v/>
      </c>
      <c r="K57" s="149" t="str">
        <f t="shared" si="3"/>
        <v/>
      </c>
      <c r="L57" s="1" t="str">
        <f t="shared" si="4"/>
        <v/>
      </c>
      <c r="M57" s="4" t="str">
        <f t="shared" si="5"/>
        <v/>
      </c>
      <c r="N57" s="17" t="str">
        <f>if(M57&lt;&gt;"",'Actuals - Billing - 2025'!BG289,"")</f>
        <v/>
      </c>
    </row>
    <row r="58">
      <c r="A58" s="7" t="str">
        <f t="shared" si="1"/>
        <v/>
      </c>
      <c r="B58" s="8" t="str">
        <f>if(and('Actuals - Billing - 2025'!E$296=True,C58&lt;&gt;""),'Actuals - Billing - 2025'!C290,"")</f>
        <v/>
      </c>
      <c r="C58" s="9" t="str">
        <f>IF(and('Actuals - Billing - 2025'!E$296=True,sum('Actuals - Billing - 2025'!AF290:AK290)&gt;0),'Actuals - Billing - 2025'!B290,"")</f>
        <v/>
      </c>
      <c r="D58" s="148" t="str">
        <f>if(and(sum('Actuals - Billing - 2025'!AF290:AK290)&gt;0,C58&lt;&gt;""),'Actuals - Billing - 2025'!$AG$2,"")</f>
        <v/>
      </c>
      <c r="E58" s="11" t="str">
        <f t="array" ref="E58">if($D58="","",index('Actuals - Billing - 2025'!$B58:$AZ956,Match($C58,'Actuals - Billing - 2025'!$B58:$B956,0),Match(E$1,'Actuals - Billing - 2025'!$B$2:$AF$2,0)))</f>
        <v/>
      </c>
      <c r="F58" s="11" t="str">
        <f t="array" ref="F58">if($D58="","",index('Actuals - Billing - 2025'!$B58:$AZ956,Match($C58,'Actuals - Billing - 2025'!$B58:$B956,0),Match(F$1,'Actuals - Billing - 2025'!$B$2:$AZ$2,0)))</f>
        <v/>
      </c>
      <c r="G58" s="11" t="str">
        <f t="array" ref="G58">if($D58="","",index('Actuals - Billing - 2025'!$B58:$AZ956,Match($C58,'Actuals - Billing - 2025'!$B58:$B956,0),Match(G$1,'Actuals - Billing - 2025'!$B$2:$AZ$2,0)))</f>
        <v/>
      </c>
      <c r="H58" s="11"/>
      <c r="I58" s="11"/>
      <c r="J58" s="11" t="str">
        <f t="shared" si="2"/>
        <v/>
      </c>
      <c r="K58" s="149" t="str">
        <f t="shared" si="3"/>
        <v/>
      </c>
      <c r="L58" s="1" t="str">
        <f t="shared" si="4"/>
        <v/>
      </c>
      <c r="M58" s="4" t="str">
        <f t="shared" si="5"/>
        <v/>
      </c>
      <c r="N58" s="17" t="str">
        <f>if(M58&lt;&gt;"",'Actuals - Billing - 2025'!BG290,"")</f>
        <v/>
      </c>
      <c r="P58" s="14"/>
    </row>
    <row r="59">
      <c r="A59" s="7" t="str">
        <f t="shared" si="1"/>
        <v/>
      </c>
      <c r="B59" s="8" t="str">
        <f>if(and('Actuals - Billing - 2025'!E$296=True,C59&lt;&gt;""),'Actuals - Billing - 2025'!C291,"")</f>
        <v/>
      </c>
      <c r="C59" s="9" t="str">
        <f>IF(and('Actuals - Billing - 2025'!E$296=True,sum('Actuals - Billing - 2025'!AF291:AK291)&gt;0),'Actuals - Billing - 2025'!B291,"")</f>
        <v/>
      </c>
      <c r="D59" s="148" t="str">
        <f>if(and(sum('Actuals - Billing - 2025'!AF291:AK291)&gt;0,C59&lt;&gt;""),'Actuals - Billing - 2025'!$AG$2,"")</f>
        <v/>
      </c>
      <c r="E59" s="11" t="str">
        <f t="array" ref="E59">if($D59="","",index('Actuals - Billing - 2025'!$B59:$AZ957,Match($C59,'Actuals - Billing - 2025'!$B59:$B957,0),Match(E$1,'Actuals - Billing - 2025'!$B$2:$AF$2,0)))</f>
        <v/>
      </c>
      <c r="F59" s="11" t="str">
        <f t="array" ref="F59">if($D59="","",index('Actuals - Billing - 2025'!$B59:$AZ957,Match($C59,'Actuals - Billing - 2025'!$B59:$B957,0),Match(F$1,'Actuals - Billing - 2025'!$B$2:$AZ$2,0)))</f>
        <v/>
      </c>
      <c r="G59" s="11" t="str">
        <f t="array" ref="G59">if($D59="","",index('Actuals - Billing - 2025'!$B59:$AZ957,Match($C59,'Actuals - Billing - 2025'!$B59:$B957,0),Match(G$1,'Actuals - Billing - 2025'!$B$2:$AZ$2,0)))</f>
        <v/>
      </c>
      <c r="H59" s="11"/>
      <c r="I59" s="11"/>
      <c r="J59" s="11" t="str">
        <f t="shared" si="2"/>
        <v/>
      </c>
      <c r="K59" s="149" t="str">
        <f t="shared" si="3"/>
        <v/>
      </c>
      <c r="L59" s="1" t="str">
        <f t="shared" si="4"/>
        <v/>
      </c>
      <c r="M59" s="4" t="str">
        <f t="shared" si="5"/>
        <v/>
      </c>
      <c r="N59" s="17" t="str">
        <f>if(M59&lt;&gt;"",'Actuals - Billing - 2025'!BG291,"")</f>
        <v/>
      </c>
    </row>
    <row r="60">
      <c r="A60" s="7" t="str">
        <f t="shared" si="1"/>
        <v/>
      </c>
      <c r="B60" s="8" t="str">
        <f>if(and('Actuals - Billing - 2025'!E$296=True,C60&lt;&gt;""),'Actuals - Billing - 2025'!C292,"")</f>
        <v/>
      </c>
      <c r="C60" s="9" t="str">
        <f>IF(and('Actuals - Billing - 2025'!E$296=True,sum('Actuals - Billing - 2025'!AF292:AK292)&gt;0),'Actuals - Billing - 2025'!B292,"")</f>
        <v/>
      </c>
      <c r="D60" s="148" t="str">
        <f>if(and(sum('Actuals - Billing - 2025'!AF292:AK292)&gt;0,C60&lt;&gt;""),'Actuals - Billing - 2025'!$AG$2,"")</f>
        <v/>
      </c>
      <c r="E60" s="11" t="str">
        <f t="array" ref="E60">if($D60="","",index('Actuals - Billing - 2025'!$B60:$AZ958,Match($C60,'Actuals - Billing - 2025'!$B60:$B958,0),Match(E$1,'Actuals - Billing - 2025'!$B$2:$AF$2,0)))</f>
        <v/>
      </c>
      <c r="F60" s="11" t="str">
        <f t="array" ref="F60">if($D60="","",index('Actuals - Billing - 2025'!$B60:$AZ958,Match($C60,'Actuals - Billing - 2025'!$B60:$B958,0),Match(F$1,'Actuals - Billing - 2025'!$B$2:$AZ$2,0)))</f>
        <v/>
      </c>
      <c r="G60" s="11" t="str">
        <f t="array" ref="G60">if($D60="","",index('Actuals - Billing - 2025'!$B60:$AZ958,Match($C60,'Actuals - Billing - 2025'!$B60:$B958,0),Match(G$1,'Actuals - Billing - 2025'!$B$2:$AZ$2,0)))</f>
        <v/>
      </c>
      <c r="H60" s="11"/>
      <c r="I60" s="11"/>
      <c r="J60" s="11" t="str">
        <f t="shared" si="2"/>
        <v/>
      </c>
      <c r="K60" s="149" t="str">
        <f t="shared" si="3"/>
        <v/>
      </c>
      <c r="L60" s="1" t="str">
        <f t="shared" si="4"/>
        <v/>
      </c>
      <c r="M60" s="4" t="str">
        <f t="shared" si="5"/>
        <v/>
      </c>
      <c r="N60" s="17" t="str">
        <f>if(M60&lt;&gt;"",'Actuals - Billing - 2025'!BG292,"")</f>
        <v/>
      </c>
    </row>
    <row r="61">
      <c r="A61" s="7" t="str">
        <f t="shared" si="1"/>
        <v/>
      </c>
      <c r="B61" s="8" t="str">
        <f>if(and('Actuals - Billing - 2025'!E$296=True,C61&lt;&gt;""),'Actuals - Billing - 2025'!C293,"")</f>
        <v/>
      </c>
      <c r="C61" s="9" t="str">
        <f>IF(and('Actuals - Billing - 2025'!E$296=True,sum('Actuals - Billing - 2025'!AF293:AK293)&gt;0),'Actuals - Billing - 2025'!B293,"")</f>
        <v/>
      </c>
      <c r="D61" s="148" t="str">
        <f>if(and(sum('Actuals - Billing - 2025'!AF293:AK293)&gt;0,C61&lt;&gt;""),'Actuals - Billing - 2025'!$AG$2,"")</f>
        <v/>
      </c>
      <c r="E61" s="11" t="str">
        <f t="array" ref="E61">if($D61="","",index('Actuals - Billing - 2025'!$B61:$AZ959,Match($C61,'Actuals - Billing - 2025'!$B61:$B959,0),Match(E$1,'Actuals - Billing - 2025'!$B$2:$AF$2,0)))</f>
        <v/>
      </c>
      <c r="F61" s="11" t="str">
        <f t="array" ref="F61">if($D61="","",index('Actuals - Billing - 2025'!$B61:$AZ959,Match($C61,'Actuals - Billing - 2025'!$B61:$B959,0),Match(F$1,'Actuals - Billing - 2025'!$B$2:$AZ$2,0)))</f>
        <v/>
      </c>
      <c r="G61" s="11" t="str">
        <f t="array" ref="G61">if($D61="","",index('Actuals - Billing - 2025'!$B61:$AZ959,Match($C61,'Actuals - Billing - 2025'!$B61:$B959,0),Match(G$1,'Actuals - Billing - 2025'!$B$2:$AZ$2,0)))</f>
        <v/>
      </c>
      <c r="H61" s="11"/>
      <c r="I61" s="11"/>
      <c r="J61" s="11" t="str">
        <f t="shared" si="2"/>
        <v/>
      </c>
      <c r="K61" s="149" t="str">
        <f t="shared" si="3"/>
        <v/>
      </c>
      <c r="L61" s="1" t="str">
        <f t="shared" si="4"/>
        <v/>
      </c>
      <c r="M61" s="4" t="str">
        <f t="shared" si="5"/>
        <v/>
      </c>
      <c r="N61" s="17" t="str">
        <f>if(M61&lt;&gt;"",'Actuals - Billing - 2025'!BG293,"")</f>
        <v/>
      </c>
    </row>
    <row r="62">
      <c r="A62" s="7" t="str">
        <f t="shared" si="1"/>
        <v/>
      </c>
      <c r="B62" s="8" t="str">
        <f>if(and('Actuals - Billing - 2025'!E$296=True,C62&lt;&gt;""),'Actuals - Billing - 2025'!C294,"")</f>
        <v/>
      </c>
      <c r="C62" s="9" t="str">
        <f>IF(and('Actuals - Billing - 2025'!E$296=True,sum('Actuals - Billing - 2025'!AF294:AK294)&gt;0),'Actuals - Billing - 2025'!B294,"")</f>
        <v/>
      </c>
      <c r="D62" s="148" t="str">
        <f>if(and(sum('Actuals - Billing - 2025'!AF294:AK294)&gt;0,C62&lt;&gt;""),'Actuals - Billing - 2025'!$AG$2,"")</f>
        <v/>
      </c>
      <c r="E62" s="11" t="str">
        <f t="array" ref="E62">if($D62="","",index('Actuals - Billing - 2025'!$B62:$AZ960,Match($C62,'Actuals - Billing - 2025'!$B62:$B960,0),Match(E$1,'Actuals - Billing - 2025'!$B$2:$AF$2,0)))</f>
        <v/>
      </c>
      <c r="F62" s="11" t="str">
        <f t="array" ref="F62">if($D62="","",index('Actuals - Billing - 2025'!$B62:$AZ960,Match($C62,'Actuals - Billing - 2025'!$B62:$B960,0),Match(F$1,'Actuals - Billing - 2025'!$B$2:$AZ$2,0)))</f>
        <v/>
      </c>
      <c r="G62" s="11" t="str">
        <f t="array" ref="G62">if($D62="","",index('Actuals - Billing - 2025'!$B62:$AZ960,Match($C62,'Actuals - Billing - 2025'!$B62:$B960,0),Match(G$1,'Actuals - Billing - 2025'!$B$2:$AZ$2,0)))</f>
        <v/>
      </c>
      <c r="H62" s="11"/>
      <c r="I62" s="11"/>
      <c r="J62" s="11" t="str">
        <f t="shared" si="2"/>
        <v/>
      </c>
      <c r="K62" s="149" t="str">
        <f t="shared" si="3"/>
        <v/>
      </c>
      <c r="L62" s="1" t="str">
        <f t="shared" si="4"/>
        <v/>
      </c>
      <c r="M62" s="4" t="str">
        <f t="shared" si="5"/>
        <v/>
      </c>
      <c r="N62" s="17" t="str">
        <f>if(M62&lt;&gt;"",'Actuals - Billing - 2025'!BG294,"")</f>
        <v/>
      </c>
    </row>
    <row r="63">
      <c r="A63" s="7" t="str">
        <f t="shared" si="1"/>
        <v/>
      </c>
      <c r="B63" s="8" t="str">
        <f>if(and('Actuals - Billing - 2025'!E$296=True,C63&lt;&gt;""),'Actuals - Billing - 2025'!C295,"")</f>
        <v/>
      </c>
      <c r="C63" s="9" t="str">
        <f>IF(and('Actuals - Billing - 2025'!E$296=True,sum('Actuals - Billing - 2025'!AF295:AK295)&gt;0),'Actuals - Billing - 2025'!B295,"")</f>
        <v/>
      </c>
      <c r="D63" s="148" t="str">
        <f>if(and(sum('Actuals - Billing - 2025'!AF295:AK295)&gt;0,C63&lt;&gt;""),'Actuals - Billing - 2025'!$AG$2,"")</f>
        <v/>
      </c>
      <c r="E63" s="11" t="str">
        <f t="array" ref="E63">if($D63="","",index('Actuals - Billing - 2025'!$B63:$AZ961,Match($C63,'Actuals - Billing - 2025'!$B63:$B961,0),Match(E$1,'Actuals - Billing - 2025'!$B$2:$AF$2,0)))</f>
        <v/>
      </c>
      <c r="F63" s="11" t="str">
        <f t="array" ref="F63">if($D63="","",index('Actuals - Billing - 2025'!$B63:$AZ961,Match($C63,'Actuals - Billing - 2025'!$B63:$B961,0),Match(F$1,'Actuals - Billing - 2025'!$B$2:$AZ$2,0)))</f>
        <v/>
      </c>
      <c r="G63" s="11" t="str">
        <f t="array" ref="G63">if($D63="","",index('Actuals - Billing - 2025'!$B63:$AZ961,Match($C63,'Actuals - Billing - 2025'!$B63:$B961,0),Match(G$1,'Actuals - Billing - 2025'!$B$2:$AZ$2,0)))</f>
        <v/>
      </c>
      <c r="H63" s="11"/>
      <c r="I63" s="11"/>
      <c r="J63" s="11" t="str">
        <f t="shared" si="2"/>
        <v/>
      </c>
      <c r="K63" s="149" t="str">
        <f t="shared" si="3"/>
        <v/>
      </c>
      <c r="L63" s="1" t="str">
        <f t="shared" si="4"/>
        <v/>
      </c>
      <c r="M63" s="4" t="str">
        <f t="shared" si="5"/>
        <v/>
      </c>
      <c r="N63" s="17" t="str">
        <f>if(M63&lt;&gt;"",'Actuals - Billing - 2025'!BG295,"")</f>
        <v/>
      </c>
    </row>
    <row r="64">
      <c r="A64" s="7" t="str">
        <f t="shared" si="1"/>
        <v/>
      </c>
      <c r="B64" s="8" t="str">
        <f>if(and('Actuals - Billing - 2025'!E$296=True,C64&lt;&gt;""),'Actuals - Billing - 2025'!C296,"")</f>
        <v/>
      </c>
      <c r="C64" s="9" t="str">
        <f>IF(and('Actuals - Billing - 2025'!E$296=True,sum('Actuals - Billing - 2025'!AF296:AK296)&gt;0),'Actuals - Billing - 2025'!B296,"")</f>
        <v/>
      </c>
      <c r="D64" s="148" t="str">
        <f>if(and(sum('Actuals - Billing - 2025'!AF296:AK296)&gt;0,C64&lt;&gt;""),'Actuals - Billing - 2025'!$AG$2,"")</f>
        <v/>
      </c>
      <c r="E64" s="11" t="str">
        <f t="array" ref="E64">if($D64="","",index('Actuals - Billing - 2025'!$B64:$AZ962,Match($C64,'Actuals - Billing - 2025'!$B64:$B962,0),Match(E$1,'Actuals - Billing - 2025'!$B$2:$AF$2,0)))</f>
        <v/>
      </c>
      <c r="F64" s="11" t="str">
        <f t="array" ref="F64">if($D64="","",index('Actuals - Billing - 2025'!$B64:$AZ962,Match($C64,'Actuals - Billing - 2025'!$B64:$B962,0),Match(F$1,'Actuals - Billing - 2025'!$B$2:$AZ$2,0)))</f>
        <v/>
      </c>
      <c r="G64" s="11" t="str">
        <f t="array" ref="G64">if($D64="","",index('Actuals - Billing - 2025'!$B64:$AZ962,Match($C64,'Actuals - Billing - 2025'!$B64:$B962,0),Match(G$1,'Actuals - Billing - 2025'!$B$2:$AZ$2,0)))</f>
        <v/>
      </c>
      <c r="H64" s="11"/>
      <c r="I64" s="11"/>
      <c r="J64" s="11" t="str">
        <f t="shared" si="2"/>
        <v/>
      </c>
      <c r="K64" s="149" t="str">
        <f t="shared" si="3"/>
        <v/>
      </c>
      <c r="L64" s="1" t="str">
        <f t="shared" si="4"/>
        <v/>
      </c>
      <c r="M64" s="4" t="str">
        <f t="shared" si="5"/>
        <v/>
      </c>
      <c r="N64" s="17" t="str">
        <f>if(M64&lt;&gt;"",'Actuals - Billing - 2025'!BG296,"")</f>
        <v/>
      </c>
    </row>
    <row r="65">
      <c r="A65" s="7" t="str">
        <f t="shared" si="1"/>
        <v/>
      </c>
      <c r="B65" s="8" t="str">
        <f>if(and('Actuals - Billing - 2025'!E$303=True,C65&lt;&gt;""),'Actuals - Billing - 2025'!C297,"")</f>
        <v/>
      </c>
      <c r="C65" s="9" t="str">
        <f>IF(and('Actuals - Billing - 2025'!E$303=True,sum('Actuals - Billing - 2025'!AF297:AK297)&gt;0),'Actuals - Billing - 2025'!B297,"")</f>
        <v/>
      </c>
      <c r="D65" s="148" t="str">
        <f>if(and(sum('Actuals - Billing - 2025'!AF297:AK297)&gt;0,C65&lt;&gt;""),'Actuals - Billing - 2025'!$AG$2,"")</f>
        <v/>
      </c>
      <c r="E65" s="11" t="str">
        <f t="array" ref="E65">if($D65="","",index('Actuals - Billing - 2025'!$B65:$AZ963,Match($C65,'Actuals - Billing - 2025'!$B65:$B963,0),Match(E$1,'Actuals - Billing - 2025'!$B$2:$AF$2,0)))</f>
        <v/>
      </c>
      <c r="F65" s="11" t="str">
        <f t="array" ref="F65">if($D65="","",index('Actuals - Billing - 2025'!$B65:$AZ963,Match($C65,'Actuals - Billing - 2025'!$B65:$B963,0),Match(F$1,'Actuals - Billing - 2025'!$B$2:$AZ$2,0)))</f>
        <v/>
      </c>
      <c r="G65" s="11" t="str">
        <f t="array" ref="G65">if($D65="","",index('Actuals - Billing - 2025'!$B65:$AZ963,Match($C65,'Actuals - Billing - 2025'!$B65:$B963,0),Match(G$1,'Actuals - Billing - 2025'!$B$2:$AZ$2,0)))</f>
        <v/>
      </c>
      <c r="H65" s="11"/>
      <c r="I65" s="11"/>
      <c r="J65" s="11" t="str">
        <f t="shared" si="2"/>
        <v/>
      </c>
      <c r="K65" s="149" t="str">
        <f t="shared" si="3"/>
        <v/>
      </c>
      <c r="L65" s="1" t="str">
        <f t="shared" si="4"/>
        <v/>
      </c>
      <c r="M65" s="4" t="str">
        <f t="shared" si="5"/>
        <v/>
      </c>
      <c r="N65" s="17" t="str">
        <f>if(M65&lt;&gt;"",'Actuals - Billing - 2025'!BG297,"")</f>
        <v/>
      </c>
      <c r="P65" s="14"/>
    </row>
    <row r="66">
      <c r="A66" s="7" t="str">
        <f t="shared" si="1"/>
        <v/>
      </c>
      <c r="B66" s="8" t="str">
        <f>if(and('Actuals - Billing - 2025'!E$303=True,C66&lt;&gt;""),'Actuals - Billing - 2025'!C298,"")</f>
        <v/>
      </c>
      <c r="C66" s="9" t="str">
        <f>IF(and('Actuals - Billing - 2025'!E$303=True,sum('Actuals - Billing - 2025'!AF298:AK298)&gt;0),'Actuals - Billing - 2025'!B298,"")</f>
        <v/>
      </c>
      <c r="D66" s="148" t="str">
        <f>if(and(sum('Actuals - Billing - 2025'!AF298:AK298)&gt;0,C66&lt;&gt;""),'Actuals - Billing - 2025'!$AG$2,"")</f>
        <v/>
      </c>
      <c r="E66" s="11" t="str">
        <f t="array" ref="E66">if($D66="","",index('Actuals - Billing - 2025'!$B66:$AZ964,Match($C66,'Actuals - Billing - 2025'!$B66:$B964,0),Match(E$1,'Actuals - Billing - 2025'!$B$2:$AF$2,0)))</f>
        <v/>
      </c>
      <c r="F66" s="11" t="str">
        <f t="array" ref="F66">if($D66="","",index('Actuals - Billing - 2025'!$B66:$AZ964,Match($C66,'Actuals - Billing - 2025'!$B66:$B964,0),Match(F$1,'Actuals - Billing - 2025'!$B$2:$AZ$2,0)))</f>
        <v/>
      </c>
      <c r="G66" s="11" t="str">
        <f t="array" ref="G66">if($D66="","",index('Actuals - Billing - 2025'!$B66:$AZ964,Match($C66,'Actuals - Billing - 2025'!$B66:$B964,0),Match(G$1,'Actuals - Billing - 2025'!$B$2:$AZ$2,0)))</f>
        <v/>
      </c>
      <c r="H66" s="11"/>
      <c r="I66" s="11"/>
      <c r="J66" s="11" t="str">
        <f t="shared" si="2"/>
        <v/>
      </c>
      <c r="K66" s="149" t="str">
        <f t="shared" si="3"/>
        <v/>
      </c>
      <c r="L66" s="1" t="str">
        <f t="shared" si="4"/>
        <v/>
      </c>
      <c r="M66" s="4" t="str">
        <f t="shared" si="5"/>
        <v/>
      </c>
      <c r="N66" s="17" t="str">
        <f>if(M66&lt;&gt;"",'Actuals - Billing - 2025'!BG298,"")</f>
        <v/>
      </c>
    </row>
    <row r="67">
      <c r="A67" s="7" t="str">
        <f t="shared" si="1"/>
        <v/>
      </c>
      <c r="B67" s="8" t="str">
        <f>if(and('Actuals - Billing - 2025'!E$303=True,C67&lt;&gt;""),'Actuals - Billing - 2025'!C299,"")</f>
        <v/>
      </c>
      <c r="C67" s="9" t="str">
        <f>IF(and('Actuals - Billing - 2025'!E$303=True,sum('Actuals - Billing - 2025'!AF299:AK299)&gt;0),'Actuals - Billing - 2025'!B299,"")</f>
        <v/>
      </c>
      <c r="D67" s="148" t="str">
        <f>if(and(sum('Actuals - Billing - 2025'!AF299:AK299)&gt;0,C67&lt;&gt;""),'Actuals - Billing - 2025'!$AG$2,"")</f>
        <v/>
      </c>
      <c r="E67" s="11" t="str">
        <f t="array" ref="E67">if($D67="","",index('Actuals - Billing - 2025'!$B67:$AZ965,Match($C67,'Actuals - Billing - 2025'!$B67:$B965,0),Match(E$1,'Actuals - Billing - 2025'!$B$2:$AF$2,0)))</f>
        <v/>
      </c>
      <c r="F67" s="11" t="str">
        <f t="array" ref="F67">if($D67="","",index('Actuals - Billing - 2025'!$B67:$AZ965,Match($C67,'Actuals - Billing - 2025'!$B67:$B965,0),Match(F$1,'Actuals - Billing - 2025'!$B$2:$AZ$2,0)))</f>
        <v/>
      </c>
      <c r="G67" s="11" t="str">
        <f t="array" ref="G67">if($D67="","",index('Actuals - Billing - 2025'!$B67:$AZ965,Match($C67,'Actuals - Billing - 2025'!$B67:$B965,0),Match(G$1,'Actuals - Billing - 2025'!$B$2:$AZ$2,0)))</f>
        <v/>
      </c>
      <c r="H67" s="11"/>
      <c r="I67" s="11"/>
      <c r="J67" s="11" t="str">
        <f t="shared" si="2"/>
        <v/>
      </c>
      <c r="K67" s="149" t="str">
        <f t="shared" si="3"/>
        <v/>
      </c>
      <c r="L67" s="1" t="str">
        <f t="shared" si="4"/>
        <v/>
      </c>
      <c r="M67" s="4" t="str">
        <f t="shared" si="5"/>
        <v/>
      </c>
      <c r="N67" s="17" t="str">
        <f>if(M67&lt;&gt;"",'Actuals - Billing - 2025'!BG299,"")</f>
        <v/>
      </c>
    </row>
    <row r="68">
      <c r="A68" s="7" t="str">
        <f t="shared" si="1"/>
        <v/>
      </c>
      <c r="B68" s="8" t="str">
        <f>if(and('Actuals - Billing - 2025'!E$303=True,C68&lt;&gt;""),'Actuals - Billing - 2025'!C300,"")</f>
        <v/>
      </c>
      <c r="C68" s="9" t="str">
        <f>IF(and('Actuals - Billing - 2025'!E$303=True,sum('Actuals - Billing - 2025'!AF300:AK300)&gt;0),'Actuals - Billing - 2025'!B300,"")</f>
        <v/>
      </c>
      <c r="D68" s="148" t="str">
        <f>if(and(sum('Actuals - Billing - 2025'!AF300:AK300)&gt;0,C68&lt;&gt;""),'Actuals - Billing - 2025'!$AG$2,"")</f>
        <v/>
      </c>
      <c r="E68" s="11" t="str">
        <f t="array" ref="E68">if($D68="","",index('Actuals - Billing - 2025'!$B68:$AZ966,Match($C68,'Actuals - Billing - 2025'!$B68:$B966,0),Match(E$1,'Actuals - Billing - 2025'!$B$2:$AF$2,0)))</f>
        <v/>
      </c>
      <c r="F68" s="11" t="str">
        <f t="array" ref="F68">if($D68="","",index('Actuals - Billing - 2025'!$B68:$AZ966,Match($C68,'Actuals - Billing - 2025'!$B68:$B966,0),Match(F$1,'Actuals - Billing - 2025'!$B$2:$AZ$2,0)))</f>
        <v/>
      </c>
      <c r="G68" s="11" t="str">
        <f t="array" ref="G68">if($D68="","",index('Actuals - Billing - 2025'!$B68:$AZ966,Match($C68,'Actuals - Billing - 2025'!$B68:$B966,0),Match(G$1,'Actuals - Billing - 2025'!$B$2:$AZ$2,0)))</f>
        <v/>
      </c>
      <c r="H68" s="11"/>
      <c r="I68" s="11"/>
      <c r="J68" s="11" t="str">
        <f t="shared" si="2"/>
        <v/>
      </c>
      <c r="K68" s="149" t="str">
        <f t="shared" si="3"/>
        <v/>
      </c>
      <c r="L68" s="1" t="str">
        <f t="shared" si="4"/>
        <v/>
      </c>
      <c r="M68" s="4" t="str">
        <f t="shared" si="5"/>
        <v/>
      </c>
      <c r="N68" s="17" t="str">
        <f>if(M68&lt;&gt;"",'Actuals - Billing - 2025'!BG300,"")</f>
        <v/>
      </c>
    </row>
    <row r="69">
      <c r="A69" s="7" t="str">
        <f t="shared" si="1"/>
        <v/>
      </c>
      <c r="B69" s="8" t="str">
        <f>if(and('Actuals - Billing - 2025'!E$303=True,C69&lt;&gt;""),'Actuals - Billing - 2025'!C301,"")</f>
        <v/>
      </c>
      <c r="C69" s="9" t="str">
        <f>IF(and('Actuals - Billing - 2025'!E$303=True,sum('Actuals - Billing - 2025'!AF301:AK301)&gt;0),'Actuals - Billing - 2025'!B301,"")</f>
        <v/>
      </c>
      <c r="D69" s="148" t="str">
        <f>if(and(sum('Actuals - Billing - 2025'!AF301:AK301)&gt;0,C69&lt;&gt;""),'Actuals - Billing - 2025'!$AG$2,"")</f>
        <v/>
      </c>
      <c r="E69" s="11" t="str">
        <f t="array" ref="E69">if($D69="","",index('Actuals - Billing - 2025'!$B69:$AZ967,Match($C69,'Actuals - Billing - 2025'!$B69:$B967,0),Match(E$1,'Actuals - Billing - 2025'!$B$2:$AF$2,0)))</f>
        <v/>
      </c>
      <c r="F69" s="11" t="str">
        <f t="array" ref="F69">if($D69="","",index('Actuals - Billing - 2025'!$B69:$AZ967,Match($C69,'Actuals - Billing - 2025'!$B69:$B967,0),Match(F$1,'Actuals - Billing - 2025'!$B$2:$AZ$2,0)))</f>
        <v/>
      </c>
      <c r="G69" s="11" t="str">
        <f t="array" ref="G69">if($D69="","",index('Actuals - Billing - 2025'!$B69:$AZ967,Match($C69,'Actuals - Billing - 2025'!$B69:$B967,0),Match(G$1,'Actuals - Billing - 2025'!$B$2:$AZ$2,0)))</f>
        <v/>
      </c>
      <c r="H69" s="11"/>
      <c r="I69" s="11"/>
      <c r="J69" s="11" t="str">
        <f t="shared" si="2"/>
        <v/>
      </c>
      <c r="K69" s="149" t="str">
        <f t="shared" si="3"/>
        <v/>
      </c>
      <c r="L69" s="1" t="str">
        <f t="shared" si="4"/>
        <v/>
      </c>
      <c r="M69" s="4" t="str">
        <f t="shared" si="5"/>
        <v/>
      </c>
      <c r="N69" s="17" t="str">
        <f>if(M69&lt;&gt;"",'Actuals - Billing - 2025'!BG301,"")</f>
        <v/>
      </c>
    </row>
    <row r="70">
      <c r="A70" s="7" t="str">
        <f t="shared" si="1"/>
        <v/>
      </c>
      <c r="B70" s="8" t="str">
        <f>if(and('Actuals - Billing - 2025'!E$303=True,C70&lt;&gt;""),'Actuals - Billing - 2025'!C302,"")</f>
        <v/>
      </c>
      <c r="C70" s="9" t="str">
        <f>IF(and('Actuals - Billing - 2025'!E$303=True,sum('Actuals - Billing - 2025'!AF302:AK302)&gt;0),'Actuals - Billing - 2025'!B302,"")</f>
        <v/>
      </c>
      <c r="D70" s="148" t="str">
        <f>if(and(sum('Actuals - Billing - 2025'!AF302:AK302)&gt;0,C70&lt;&gt;""),'Actuals - Billing - 2025'!$AG$2,"")</f>
        <v/>
      </c>
      <c r="E70" s="11" t="str">
        <f t="array" ref="E70">if($D70="","",index('Actuals - Billing - 2025'!$B70:$AZ968,Match($C70,'Actuals - Billing - 2025'!$B70:$B968,0),Match(E$1,'Actuals - Billing - 2025'!$B$2:$AF$2,0)))</f>
        <v/>
      </c>
      <c r="F70" s="11" t="str">
        <f t="array" ref="F70">if($D70="","",index('Actuals - Billing - 2025'!$B70:$AZ968,Match($C70,'Actuals - Billing - 2025'!$B70:$B968,0),Match(F$1,'Actuals - Billing - 2025'!$B$2:$AZ$2,0)))</f>
        <v/>
      </c>
      <c r="G70" s="11" t="str">
        <f t="array" ref="G70">if($D70="","",index('Actuals - Billing - 2025'!$B70:$AZ968,Match($C70,'Actuals - Billing - 2025'!$B70:$B968,0),Match(G$1,'Actuals - Billing - 2025'!$B$2:$AZ$2,0)))</f>
        <v/>
      </c>
      <c r="H70" s="11"/>
      <c r="I70" s="11"/>
      <c r="J70" s="11" t="str">
        <f t="shared" si="2"/>
        <v/>
      </c>
      <c r="K70" s="149" t="str">
        <f t="shared" si="3"/>
        <v/>
      </c>
      <c r="L70" s="1" t="str">
        <f t="shared" si="4"/>
        <v/>
      </c>
      <c r="M70" s="4" t="str">
        <f t="shared" si="5"/>
        <v/>
      </c>
      <c r="N70" s="17" t="str">
        <f>if(M70&lt;&gt;"",'Actuals - Billing - 2025'!BG302,"")</f>
        <v/>
      </c>
    </row>
    <row r="71">
      <c r="A71" s="7" t="str">
        <f t="shared" si="1"/>
        <v/>
      </c>
      <c r="B71" s="8" t="str">
        <f>if(and('Actuals - Billing - 2025'!E$303=True,C71&lt;&gt;""),'Actuals - Billing - 2025'!C303,"")</f>
        <v/>
      </c>
      <c r="C71" s="9" t="str">
        <f>IF(and('Actuals - Billing - 2025'!E$303=True,sum('Actuals - Billing - 2025'!AF303:AK303)&gt;0),'Actuals - Billing - 2025'!B303,"")</f>
        <v/>
      </c>
      <c r="D71" s="148" t="str">
        <f>if(and(sum('Actuals - Billing - 2025'!AF303:AK303)&gt;0,C71&lt;&gt;""),'Actuals - Billing - 2025'!$AG$2,"")</f>
        <v/>
      </c>
      <c r="E71" s="11" t="str">
        <f t="array" ref="E71">if($D71="","",index('Actuals - Billing - 2025'!$B71:$AZ969,Match($C71,'Actuals - Billing - 2025'!$B71:$B969,0),Match(E$1,'Actuals - Billing - 2025'!$B$2:$AF$2,0)))</f>
        <v/>
      </c>
      <c r="F71" s="11" t="str">
        <f t="array" ref="F71">if($D71="","",index('Actuals - Billing - 2025'!$B71:$AZ969,Match($C71,'Actuals - Billing - 2025'!$B71:$B969,0),Match(F$1,'Actuals - Billing - 2025'!$B$2:$AZ$2,0)))</f>
        <v/>
      </c>
      <c r="G71" s="11" t="str">
        <f t="array" ref="G71">if($D71="","",index('Actuals - Billing - 2025'!$B71:$AZ969,Match($C71,'Actuals - Billing - 2025'!$B71:$B969,0),Match(G$1,'Actuals - Billing - 2025'!$B$2:$AZ$2,0)))</f>
        <v/>
      </c>
      <c r="H71" s="11"/>
      <c r="I71" s="11"/>
      <c r="J71" s="11" t="str">
        <f t="shared" si="2"/>
        <v/>
      </c>
      <c r="K71" s="149" t="str">
        <f t="shared" si="3"/>
        <v/>
      </c>
      <c r="L71" s="1" t="str">
        <f t="shared" si="4"/>
        <v/>
      </c>
      <c r="M71" s="4" t="str">
        <f t="shared" si="5"/>
        <v/>
      </c>
      <c r="N71" s="17" t="str">
        <f>if(M71&lt;&gt;"",'Actuals - Billing - 2025'!BG303,"")</f>
        <v/>
      </c>
    </row>
    <row r="72">
      <c r="A72" s="7" t="str">
        <f t="shared" si="1"/>
        <v/>
      </c>
      <c r="B72" s="8" t="str">
        <f>if(and('Actuals - Billing - 2025'!E$310=True,C72&lt;&gt;""),'Actuals - Billing - 2025'!C304,"")</f>
        <v/>
      </c>
      <c r="C72" s="9" t="str">
        <f>IF(and('Actuals - Billing - 2025'!E$310=True,sum('Actuals - Billing - 2025'!AF304:AK304)&gt;0),'Actuals - Billing - 2025'!B304,"")</f>
        <v/>
      </c>
      <c r="D72" s="148" t="str">
        <f>if(and(sum('Actuals - Billing - 2025'!AF304:AK304)&gt;0,C72&lt;&gt;""),'Actuals - Billing - 2025'!$AG$2,"")</f>
        <v/>
      </c>
      <c r="E72" s="11" t="str">
        <f t="array" ref="E72">if($D72="","",index('Actuals - Billing - 2025'!$B72:$AZ970,Match($C72,'Actuals - Billing - 2025'!$B72:$B970,0),Match(E$1,'Actuals - Billing - 2025'!$B$2:$AF$2,0)))</f>
        <v/>
      </c>
      <c r="F72" s="11" t="str">
        <f t="array" ref="F72">if($D72="","",index('Actuals - Billing - 2025'!$B72:$AZ970,Match($C72,'Actuals - Billing - 2025'!$B72:$B970,0),Match(F$1,'Actuals - Billing - 2025'!$B$2:$AZ$2,0)))</f>
        <v/>
      </c>
      <c r="G72" s="11" t="str">
        <f t="array" ref="G72">if($D72="","",index('Actuals - Billing - 2025'!$B72:$AZ970,Match($C72,'Actuals - Billing - 2025'!$B72:$B970,0),Match(G$1,'Actuals - Billing - 2025'!$B$2:$AZ$2,0)))</f>
        <v/>
      </c>
      <c r="H72" s="11"/>
      <c r="I72" s="11"/>
      <c r="J72" s="11" t="str">
        <f t="shared" si="2"/>
        <v/>
      </c>
      <c r="K72" s="149" t="str">
        <f t="shared" si="3"/>
        <v/>
      </c>
      <c r="L72" s="1" t="str">
        <f t="shared" si="4"/>
        <v/>
      </c>
      <c r="M72" s="4" t="str">
        <f t="shared" si="5"/>
        <v/>
      </c>
      <c r="N72" s="17" t="str">
        <f>if(M72&lt;&gt;"",'Actuals - Billing - 2025'!BG304,"")</f>
        <v/>
      </c>
      <c r="P72" s="14"/>
    </row>
    <row r="73">
      <c r="A73" s="7" t="str">
        <f t="shared" si="1"/>
        <v/>
      </c>
      <c r="B73" s="8" t="str">
        <f>if(and('Actuals - Billing - 2025'!E$310=True,C73&lt;&gt;""),'Actuals - Billing - 2025'!C305,"")</f>
        <v/>
      </c>
      <c r="C73" s="9" t="str">
        <f>IF(and('Actuals - Billing - 2025'!E$310=True,sum('Actuals - Billing - 2025'!AF305:AK305)&gt;0),'Actuals - Billing - 2025'!B305,"")</f>
        <v/>
      </c>
      <c r="D73" s="148" t="str">
        <f>if(and(sum('Actuals - Billing - 2025'!AF305:AK305)&gt;0,C73&lt;&gt;""),'Actuals - Billing - 2025'!$AG$2,"")</f>
        <v/>
      </c>
      <c r="E73" s="11" t="str">
        <f t="array" ref="E73">if($D73="","",index('Actuals - Billing - 2025'!$B73:$AZ971,Match($C73,'Actuals - Billing - 2025'!$B73:$B971,0),Match(E$1,'Actuals - Billing - 2025'!$B$2:$AF$2,0)))</f>
        <v/>
      </c>
      <c r="F73" s="11" t="str">
        <f t="array" ref="F73">if($D73="","",index('Actuals - Billing - 2025'!$B73:$AZ971,Match($C73,'Actuals - Billing - 2025'!$B73:$B971,0),Match(F$1,'Actuals - Billing - 2025'!$B$2:$AZ$2,0)))</f>
        <v/>
      </c>
      <c r="G73" s="11" t="str">
        <f t="array" ref="G73">if($D73="","",index('Actuals - Billing - 2025'!$B73:$AZ971,Match($C73,'Actuals - Billing - 2025'!$B73:$B971,0),Match(G$1,'Actuals - Billing - 2025'!$B$2:$AZ$2,0)))</f>
        <v/>
      </c>
      <c r="H73" s="11"/>
      <c r="I73" s="11"/>
      <c r="J73" s="11" t="str">
        <f t="shared" si="2"/>
        <v/>
      </c>
      <c r="K73" s="149" t="str">
        <f t="shared" si="3"/>
        <v/>
      </c>
      <c r="L73" s="1" t="str">
        <f t="shared" si="4"/>
        <v/>
      </c>
      <c r="M73" s="4" t="str">
        <f t="shared" si="5"/>
        <v/>
      </c>
      <c r="N73" s="17" t="str">
        <f>if(M73&lt;&gt;"",'Actuals - Billing - 2025'!BG305,"")</f>
        <v/>
      </c>
    </row>
    <row r="74">
      <c r="A74" s="7" t="str">
        <f t="shared" si="1"/>
        <v/>
      </c>
      <c r="B74" s="8" t="str">
        <f>if(and('Actuals - Billing - 2025'!E$310=True,C74&lt;&gt;""),'Actuals - Billing - 2025'!C306,"")</f>
        <v/>
      </c>
      <c r="C74" s="9" t="str">
        <f>IF(and('Actuals - Billing - 2025'!E$310=True,sum('Actuals - Billing - 2025'!AF306:AK306)&gt;0),'Actuals - Billing - 2025'!B306,"")</f>
        <v/>
      </c>
      <c r="D74" s="148" t="str">
        <f>if(and(sum('Actuals - Billing - 2025'!AF306:AK306)&gt;0,C74&lt;&gt;""),'Actuals - Billing - 2025'!$AG$2,"")</f>
        <v/>
      </c>
      <c r="E74" s="11" t="str">
        <f t="array" ref="E74">if($D74="","",index('Actuals - Billing - 2025'!$B74:$AZ972,Match($C74,'Actuals - Billing - 2025'!$B74:$B972,0),Match(E$1,'Actuals - Billing - 2025'!$B$2:$AF$2,0)))</f>
        <v/>
      </c>
      <c r="F74" s="11" t="str">
        <f t="array" ref="F74">if($D74="","",index('Actuals - Billing - 2025'!$B74:$AZ972,Match($C74,'Actuals - Billing - 2025'!$B74:$B972,0),Match(F$1,'Actuals - Billing - 2025'!$B$2:$AZ$2,0)))</f>
        <v/>
      </c>
      <c r="G74" s="11" t="str">
        <f t="array" ref="G74">if($D74="","",index('Actuals - Billing - 2025'!$B74:$AZ972,Match($C74,'Actuals - Billing - 2025'!$B74:$B972,0),Match(G$1,'Actuals - Billing - 2025'!$B$2:$AZ$2,0)))</f>
        <v/>
      </c>
      <c r="H74" s="11"/>
      <c r="I74" s="11"/>
      <c r="J74" s="11" t="str">
        <f t="shared" si="2"/>
        <v/>
      </c>
      <c r="K74" s="149" t="str">
        <f t="shared" si="3"/>
        <v/>
      </c>
      <c r="L74" s="1" t="str">
        <f t="shared" si="4"/>
        <v/>
      </c>
      <c r="M74" s="4" t="str">
        <f t="shared" si="5"/>
        <v/>
      </c>
      <c r="N74" s="17" t="str">
        <f>if(M74&lt;&gt;"",'Actuals - Billing - 2025'!BG306,"")</f>
        <v/>
      </c>
    </row>
    <row r="75">
      <c r="A75" s="7" t="str">
        <f t="shared" si="1"/>
        <v/>
      </c>
      <c r="B75" s="8" t="str">
        <f>if(and('Actuals - Billing - 2025'!E$310=True,C75&lt;&gt;""),'Actuals - Billing - 2025'!C307,"")</f>
        <v/>
      </c>
      <c r="C75" s="9" t="str">
        <f>IF(and('Actuals - Billing - 2025'!E$310=True,sum('Actuals - Billing - 2025'!AF307:AK307)&gt;0),'Actuals - Billing - 2025'!B307,"")</f>
        <v/>
      </c>
      <c r="D75" s="148" t="str">
        <f>if(and(sum('Actuals - Billing - 2025'!AF307:AK307)&gt;0,C75&lt;&gt;""),'Actuals - Billing - 2025'!$AG$2,"")</f>
        <v/>
      </c>
      <c r="E75" s="11" t="str">
        <f t="array" ref="E75">if($D75="","",index('Actuals - Billing - 2025'!$B75:$AZ973,Match($C75,'Actuals - Billing - 2025'!$B75:$B973,0),Match(E$1,'Actuals - Billing - 2025'!$B$2:$AF$2,0)))</f>
        <v/>
      </c>
      <c r="F75" s="11" t="str">
        <f t="array" ref="F75">if($D75="","",index('Actuals - Billing - 2025'!$B75:$AZ973,Match($C75,'Actuals - Billing - 2025'!$B75:$B973,0),Match(F$1,'Actuals - Billing - 2025'!$B$2:$AZ$2,0)))</f>
        <v/>
      </c>
      <c r="G75" s="11" t="str">
        <f t="array" ref="G75">if($D75="","",index('Actuals - Billing - 2025'!$B75:$AZ973,Match($C75,'Actuals - Billing - 2025'!$B75:$B973,0),Match(G$1,'Actuals - Billing - 2025'!$B$2:$AZ$2,0)))</f>
        <v/>
      </c>
      <c r="H75" s="11"/>
      <c r="I75" s="11"/>
      <c r="J75" s="11" t="str">
        <f t="shared" si="2"/>
        <v/>
      </c>
      <c r="K75" s="149" t="str">
        <f t="shared" si="3"/>
        <v/>
      </c>
      <c r="L75" s="1" t="str">
        <f t="shared" si="4"/>
        <v/>
      </c>
      <c r="M75" s="4" t="str">
        <f t="shared" si="5"/>
        <v/>
      </c>
      <c r="N75" s="17" t="str">
        <f>if(M75&lt;&gt;"",'Actuals - Billing - 2025'!BG307,"")</f>
        <v/>
      </c>
    </row>
    <row r="76">
      <c r="A76" s="7" t="str">
        <f t="shared" si="1"/>
        <v/>
      </c>
      <c r="B76" s="8" t="str">
        <f>if(and('Actuals - Billing - 2025'!E$310=True,C76&lt;&gt;""),'Actuals - Billing - 2025'!C308,"")</f>
        <v/>
      </c>
      <c r="C76" s="9" t="str">
        <f>IF(and('Actuals - Billing - 2025'!E$310=True,sum('Actuals - Billing - 2025'!AF308:AK308)&gt;0),'Actuals - Billing - 2025'!B308,"")</f>
        <v/>
      </c>
      <c r="D76" s="148" t="str">
        <f>if(and(sum('Actuals - Billing - 2025'!AF308:AK308)&gt;0,C76&lt;&gt;""),'Actuals - Billing - 2025'!$AG$2,"")</f>
        <v/>
      </c>
      <c r="E76" s="11" t="str">
        <f t="array" ref="E76">if($D76="","",index('Actuals - Billing - 2025'!$B76:$AZ974,Match($C76,'Actuals - Billing - 2025'!$B76:$B974,0),Match(E$1,'Actuals - Billing - 2025'!$B$2:$AF$2,0)))</f>
        <v/>
      </c>
      <c r="F76" s="11" t="str">
        <f t="array" ref="F76">if($D76="","",index('Actuals - Billing - 2025'!$B76:$AZ974,Match($C76,'Actuals - Billing - 2025'!$B76:$B974,0),Match(F$1,'Actuals - Billing - 2025'!$B$2:$AZ$2,0)))</f>
        <v/>
      </c>
      <c r="G76" s="11" t="str">
        <f t="array" ref="G76">if($D76="","",index('Actuals - Billing - 2025'!$B76:$AZ974,Match($C76,'Actuals - Billing - 2025'!$B76:$B974,0),Match(G$1,'Actuals - Billing - 2025'!$B$2:$AZ$2,0)))</f>
        <v/>
      </c>
      <c r="H76" s="11"/>
      <c r="I76" s="11"/>
      <c r="J76" s="11" t="str">
        <f t="shared" si="2"/>
        <v/>
      </c>
      <c r="K76" s="149" t="str">
        <f t="shared" si="3"/>
        <v/>
      </c>
      <c r="L76" s="1" t="str">
        <f t="shared" si="4"/>
        <v/>
      </c>
      <c r="M76" s="4" t="str">
        <f t="shared" si="5"/>
        <v/>
      </c>
      <c r="N76" s="17" t="str">
        <f>if(M76&lt;&gt;"",'Actuals - Billing - 2025'!BG308,"")</f>
        <v/>
      </c>
    </row>
    <row r="77">
      <c r="A77" s="7" t="str">
        <f t="shared" si="1"/>
        <v/>
      </c>
      <c r="B77" s="8" t="str">
        <f>if(and('Actuals - Billing - 2025'!E$310=True,C77&lt;&gt;""),'Actuals - Billing - 2025'!C309,"")</f>
        <v/>
      </c>
      <c r="C77" s="9" t="str">
        <f>IF(and('Actuals - Billing - 2025'!E$310=True,sum('Actuals - Billing - 2025'!AF309:AK309)&gt;0),'Actuals - Billing - 2025'!B309,"")</f>
        <v/>
      </c>
      <c r="D77" s="148" t="str">
        <f>if(and(sum('Actuals - Billing - 2025'!AF309:AK309)&gt;0,C77&lt;&gt;""),'Actuals - Billing - 2025'!$AG$2,"")</f>
        <v/>
      </c>
      <c r="E77" s="11" t="str">
        <f t="array" ref="E77">if($D77="","",index('Actuals - Billing - 2025'!$B77:$AZ975,Match($C77,'Actuals - Billing - 2025'!$B77:$B975,0),Match(E$1,'Actuals - Billing - 2025'!$B$2:$AF$2,0)))</f>
        <v/>
      </c>
      <c r="F77" s="11" t="str">
        <f t="array" ref="F77">if($D77="","",index('Actuals - Billing - 2025'!$B77:$AZ975,Match($C77,'Actuals - Billing - 2025'!$B77:$B975,0),Match(F$1,'Actuals - Billing - 2025'!$B$2:$AZ$2,0)))</f>
        <v/>
      </c>
      <c r="G77" s="11" t="str">
        <f t="array" ref="G77">if($D77="","",index('Actuals - Billing - 2025'!$B77:$AZ975,Match($C77,'Actuals - Billing - 2025'!$B77:$B975,0),Match(G$1,'Actuals - Billing - 2025'!$B$2:$AZ$2,0)))</f>
        <v/>
      </c>
      <c r="H77" s="11"/>
      <c r="I77" s="11"/>
      <c r="J77" s="11" t="str">
        <f t="shared" si="2"/>
        <v/>
      </c>
      <c r="K77" s="149" t="str">
        <f t="shared" si="3"/>
        <v/>
      </c>
      <c r="L77" s="1" t="str">
        <f t="shared" si="4"/>
        <v/>
      </c>
      <c r="M77" s="4" t="str">
        <f t="shared" si="5"/>
        <v/>
      </c>
      <c r="N77" s="17" t="str">
        <f>if(M77&lt;&gt;"",'Actuals - Billing - 2025'!BG309,"")</f>
        <v/>
      </c>
    </row>
    <row r="78">
      <c r="A78" s="7" t="str">
        <f t="shared" si="1"/>
        <v/>
      </c>
      <c r="B78" s="8" t="str">
        <f>if(and('Actuals - Billing - 2025'!E$310=True,C78&lt;&gt;""),'Actuals - Billing - 2025'!C310,"")</f>
        <v/>
      </c>
      <c r="C78" s="9" t="str">
        <f>IF(and('Actuals - Billing - 2025'!E$310=True,sum('Actuals - Billing - 2025'!AF310:AK310)&gt;0),'Actuals - Billing - 2025'!B310,"")</f>
        <v/>
      </c>
      <c r="D78" s="148" t="str">
        <f>if(and(sum('Actuals - Billing - 2025'!AF310:AK310)&gt;0,C78&lt;&gt;""),'Actuals - Billing - 2025'!$AG$2,"")</f>
        <v/>
      </c>
      <c r="E78" s="11" t="str">
        <f t="array" ref="E78">if($D78="","",index('Actuals - Billing - 2025'!$B78:$AZ976,Match($C78,'Actuals - Billing - 2025'!$B78:$B976,0),Match(E$1,'Actuals - Billing - 2025'!$B$2:$AF$2,0)))</f>
        <v/>
      </c>
      <c r="F78" s="11" t="str">
        <f t="array" ref="F78">if($D78="","",index('Actuals - Billing - 2025'!$B78:$AZ976,Match($C78,'Actuals - Billing - 2025'!$B78:$B976,0),Match(F$1,'Actuals - Billing - 2025'!$B$2:$AZ$2,0)))</f>
        <v/>
      </c>
      <c r="G78" s="11" t="str">
        <f t="array" ref="G78">if($D78="","",index('Actuals - Billing - 2025'!$B78:$AZ976,Match($C78,'Actuals - Billing - 2025'!$B78:$B976,0),Match(G$1,'Actuals - Billing - 2025'!$B$2:$AZ$2,0)))</f>
        <v/>
      </c>
      <c r="H78" s="11"/>
      <c r="I78" s="11"/>
      <c r="J78" s="11" t="str">
        <f t="shared" si="2"/>
        <v/>
      </c>
      <c r="K78" s="149" t="str">
        <f t="shared" si="3"/>
        <v/>
      </c>
      <c r="L78" s="1" t="str">
        <f t="shared" si="4"/>
        <v/>
      </c>
      <c r="M78" s="4" t="str">
        <f t="shared" si="5"/>
        <v/>
      </c>
      <c r="N78" s="17" t="str">
        <f>if(M78&lt;&gt;"",'Actuals - Billing - 2025'!BG310,"")</f>
        <v/>
      </c>
    </row>
    <row r="79">
      <c r="A79" s="7" t="str">
        <f t="shared" si="1"/>
        <v/>
      </c>
      <c r="B79" s="8" t="str">
        <f>if(and('Actuals - Billing - 2025'!E$317=True,C79&lt;&gt;""),'Actuals - Billing - 2025'!C311,"")</f>
        <v/>
      </c>
      <c r="C79" s="9" t="str">
        <f>IF(and('Actuals - Billing - 2025'!E$317=True,sum('Actuals - Billing - 2025'!AF311:AK311)&gt;0),'Actuals - Billing - 2025'!B311,"")</f>
        <v/>
      </c>
      <c r="D79" s="148" t="str">
        <f>if(and(sum('Actuals - Billing - 2025'!AF311:AK311)&gt;0,C79&lt;&gt;""),'Actuals - Billing - 2025'!$AG$2,"")</f>
        <v/>
      </c>
      <c r="E79" s="11" t="str">
        <f t="array" ref="E79">if($D79="","",index('Actuals - Billing - 2025'!$B79:$AZ977,Match($C79,'Actuals - Billing - 2025'!$B79:$B977,0),Match(E$1,'Actuals - Billing - 2025'!$B$2:$AF$2,0)))</f>
        <v/>
      </c>
      <c r="F79" s="11" t="str">
        <f t="array" ref="F79">if($D79="","",index('Actuals - Billing - 2025'!$B79:$AZ977,Match($C79,'Actuals - Billing - 2025'!$B79:$B977,0),Match(F$1,'Actuals - Billing - 2025'!$B$2:$AZ$2,0)))</f>
        <v/>
      </c>
      <c r="G79" s="11" t="str">
        <f t="array" ref="G79">if($D79="","",index('Actuals - Billing - 2025'!$B79:$AZ977,Match($C79,'Actuals - Billing - 2025'!$B79:$B977,0),Match(G$1,'Actuals - Billing - 2025'!$B$2:$AZ$2,0)))</f>
        <v/>
      </c>
      <c r="H79" s="11"/>
      <c r="I79" s="11"/>
      <c r="J79" s="11" t="str">
        <f t="shared" si="2"/>
        <v/>
      </c>
      <c r="K79" s="149" t="str">
        <f t="shared" si="3"/>
        <v/>
      </c>
      <c r="L79" s="1" t="str">
        <f t="shared" si="4"/>
        <v/>
      </c>
      <c r="M79" s="4" t="str">
        <f t="shared" si="5"/>
        <v/>
      </c>
      <c r="N79" s="17" t="str">
        <f>if(M79&lt;&gt;"",'Actuals - Billing - 2025'!BG311,"")</f>
        <v/>
      </c>
    </row>
    <row r="80">
      <c r="A80" s="7" t="str">
        <f t="shared" si="1"/>
        <v/>
      </c>
      <c r="B80" s="8" t="str">
        <f>if(and('Actuals - Billing - 2025'!E$317=True,C80&lt;&gt;""),'Actuals - Billing - 2025'!C312,"")</f>
        <v/>
      </c>
      <c r="C80" s="9" t="str">
        <f>IF(and('Actuals - Billing - 2025'!E$317=True,sum('Actuals - Billing - 2025'!AF312:AK312)&gt;0),'Actuals - Billing - 2025'!B312,"")</f>
        <v/>
      </c>
      <c r="D80" s="148" t="str">
        <f>if(and(sum('Actuals - Billing - 2025'!AF312:AK312)&gt;0,C80&lt;&gt;""),'Actuals - Billing - 2025'!$AG$2,"")</f>
        <v/>
      </c>
      <c r="E80" s="11" t="str">
        <f t="array" ref="E80">if($D80="","",index('Actuals - Billing - 2025'!$B80:$AZ978,Match($C80,'Actuals - Billing - 2025'!$B80:$B978,0),Match(E$1,'Actuals - Billing - 2025'!$B$2:$AF$2,0)))</f>
        <v/>
      </c>
      <c r="F80" s="11" t="str">
        <f t="array" ref="F80">if($D80="","",index('Actuals - Billing - 2025'!$B80:$AZ978,Match($C80,'Actuals - Billing - 2025'!$B80:$B978,0),Match(F$1,'Actuals - Billing - 2025'!$B$2:$AZ$2,0)))</f>
        <v/>
      </c>
      <c r="G80" s="11" t="str">
        <f t="array" ref="G80">if($D80="","",index('Actuals - Billing - 2025'!$B80:$AZ978,Match($C80,'Actuals - Billing - 2025'!$B80:$B978,0),Match(G$1,'Actuals - Billing - 2025'!$B$2:$AZ$2,0)))</f>
        <v/>
      </c>
      <c r="H80" s="11"/>
      <c r="I80" s="11"/>
      <c r="J80" s="11" t="str">
        <f t="shared" si="2"/>
        <v/>
      </c>
      <c r="K80" s="149" t="str">
        <f t="shared" si="3"/>
        <v/>
      </c>
      <c r="L80" s="1" t="str">
        <f t="shared" si="4"/>
        <v/>
      </c>
      <c r="M80" s="4" t="str">
        <f t="shared" si="5"/>
        <v/>
      </c>
      <c r="N80" s="17" t="str">
        <f>if(M80&lt;&gt;"",'Actuals - Billing - 2025'!BG312,"")</f>
        <v/>
      </c>
    </row>
    <row r="81">
      <c r="A81" s="7" t="str">
        <f t="shared" si="1"/>
        <v/>
      </c>
      <c r="B81" s="8" t="str">
        <f>if(and('Actuals - Billing - 2025'!E$317=True,C81&lt;&gt;""),'Actuals - Billing - 2025'!C313,"")</f>
        <v/>
      </c>
      <c r="C81" s="9" t="str">
        <f>IF(and('Actuals - Billing - 2025'!E$317=True,sum('Actuals - Billing - 2025'!AF313:AK313)&gt;0),'Actuals - Billing - 2025'!B313,"")</f>
        <v/>
      </c>
      <c r="D81" s="148" t="str">
        <f>if(and(sum('Actuals - Billing - 2025'!AF313:AK313)&gt;0,C81&lt;&gt;""),'Actuals - Billing - 2025'!$AG$2,"")</f>
        <v/>
      </c>
      <c r="E81" s="11" t="str">
        <f t="array" ref="E81">if($D81="","",index('Actuals - Billing - 2025'!$B81:$AZ979,Match($C81,'Actuals - Billing - 2025'!$B81:$B979,0),Match(E$1,'Actuals - Billing - 2025'!$B$2:$AF$2,0)))</f>
        <v/>
      </c>
      <c r="F81" s="11" t="str">
        <f t="array" ref="F81">if($D81="","",index('Actuals - Billing - 2025'!$B81:$AZ979,Match($C81,'Actuals - Billing - 2025'!$B81:$B979,0),Match(F$1,'Actuals - Billing - 2025'!$B$2:$AZ$2,0)))</f>
        <v/>
      </c>
      <c r="G81" s="11" t="str">
        <f t="array" ref="G81">if($D81="","",index('Actuals - Billing - 2025'!$B81:$AZ979,Match($C81,'Actuals - Billing - 2025'!$B81:$B979,0),Match(G$1,'Actuals - Billing - 2025'!$B$2:$AZ$2,0)))</f>
        <v/>
      </c>
      <c r="H81" s="11"/>
      <c r="I81" s="11"/>
      <c r="J81" s="11" t="str">
        <f t="shared" si="2"/>
        <v/>
      </c>
      <c r="K81" s="149" t="str">
        <f t="shared" si="3"/>
        <v/>
      </c>
      <c r="L81" s="1" t="str">
        <f t="shared" si="4"/>
        <v/>
      </c>
      <c r="M81" s="4" t="str">
        <f t="shared" si="5"/>
        <v/>
      </c>
      <c r="N81" s="17" t="str">
        <f>if(M81&lt;&gt;"",'Actuals - Billing - 2025'!BG313,"")</f>
        <v/>
      </c>
    </row>
    <row r="82">
      <c r="A82" s="7" t="str">
        <f t="shared" si="1"/>
        <v/>
      </c>
      <c r="B82" s="8" t="str">
        <f>if(and('Actuals - Billing - 2025'!E$317=True,C82&lt;&gt;""),'Actuals - Billing - 2025'!C314,"")</f>
        <v/>
      </c>
      <c r="C82" s="9" t="str">
        <f>IF(and('Actuals - Billing - 2025'!E$317=True,sum('Actuals - Billing - 2025'!AF314:AK314)&gt;0),'Actuals - Billing - 2025'!B314,"")</f>
        <v/>
      </c>
      <c r="D82" s="148" t="str">
        <f>if(and(sum('Actuals - Billing - 2025'!AF314:AK314)&gt;0,C82&lt;&gt;""),'Actuals - Billing - 2025'!$AG$2,"")</f>
        <v/>
      </c>
      <c r="E82" s="11" t="str">
        <f t="array" ref="E82">if($D82="","",index('Actuals - Billing - 2025'!$B82:$AZ980,Match($C82,'Actuals - Billing - 2025'!$B82:$B980,0),Match(E$1,'Actuals - Billing - 2025'!$B$2:$AF$2,0)))</f>
        <v/>
      </c>
      <c r="F82" s="11" t="str">
        <f t="array" ref="F82">if($D82="","",index('Actuals - Billing - 2025'!$B82:$AZ980,Match($C82,'Actuals - Billing - 2025'!$B82:$B980,0),Match(F$1,'Actuals - Billing - 2025'!$B$2:$AZ$2,0)))</f>
        <v/>
      </c>
      <c r="G82" s="11" t="str">
        <f t="array" ref="G82">if($D82="","",index('Actuals - Billing - 2025'!$B82:$AZ980,Match($C82,'Actuals - Billing - 2025'!$B82:$B980,0),Match(G$1,'Actuals - Billing - 2025'!$B$2:$AZ$2,0)))</f>
        <v/>
      </c>
      <c r="H82" s="11"/>
      <c r="I82" s="11"/>
      <c r="J82" s="11" t="str">
        <f t="shared" si="2"/>
        <v/>
      </c>
      <c r="K82" s="149" t="str">
        <f t="shared" si="3"/>
        <v/>
      </c>
      <c r="L82" s="1" t="str">
        <f t="shared" si="4"/>
        <v/>
      </c>
      <c r="M82" s="4" t="str">
        <f t="shared" si="5"/>
        <v/>
      </c>
      <c r="N82" s="17" t="str">
        <f>if(M82&lt;&gt;"",'Actuals - Billing - 2025'!BG314,"")</f>
        <v/>
      </c>
    </row>
    <row r="83">
      <c r="A83" s="7" t="str">
        <f t="shared" si="1"/>
        <v/>
      </c>
      <c r="B83" s="8" t="str">
        <f>if(and('Actuals - Billing - 2025'!E$317=True,C83&lt;&gt;""),'Actuals - Billing - 2025'!C315,"")</f>
        <v/>
      </c>
      <c r="C83" s="9" t="str">
        <f>IF(and('Actuals - Billing - 2025'!E$317=True,sum('Actuals - Billing - 2025'!AF315:AK315)&gt;0),'Actuals - Billing - 2025'!B315,"")</f>
        <v/>
      </c>
      <c r="D83" s="148" t="str">
        <f>if(and(sum('Actuals - Billing - 2025'!AF315:AK315)&gt;0,C83&lt;&gt;""),'Actuals - Billing - 2025'!$AG$2,"")</f>
        <v/>
      </c>
      <c r="E83" s="11" t="str">
        <f t="array" ref="E83">if($D83="","",index('Actuals - Billing - 2025'!$B83:$AZ981,Match($C83,'Actuals - Billing - 2025'!$B83:$B981,0),Match(E$1,'Actuals - Billing - 2025'!$B$2:$AF$2,0)))</f>
        <v/>
      </c>
      <c r="F83" s="11" t="str">
        <f t="array" ref="F83">if($D83="","",index('Actuals - Billing - 2025'!$B83:$AZ981,Match($C83,'Actuals - Billing - 2025'!$B83:$B981,0),Match(F$1,'Actuals - Billing - 2025'!$B$2:$AZ$2,0)))</f>
        <v/>
      </c>
      <c r="G83" s="11" t="str">
        <f t="array" ref="G83">if($D83="","",index('Actuals - Billing - 2025'!$B83:$AZ981,Match($C83,'Actuals - Billing - 2025'!$B83:$B981,0),Match(G$1,'Actuals - Billing - 2025'!$B$2:$AZ$2,0)))</f>
        <v/>
      </c>
      <c r="H83" s="11"/>
      <c r="I83" s="11"/>
      <c r="J83" s="11" t="str">
        <f t="shared" si="2"/>
        <v/>
      </c>
      <c r="K83" s="149" t="str">
        <f t="shared" si="3"/>
        <v/>
      </c>
      <c r="L83" s="1" t="str">
        <f t="shared" si="4"/>
        <v/>
      </c>
      <c r="M83" s="4" t="str">
        <f t="shared" si="5"/>
        <v/>
      </c>
      <c r="N83" s="17" t="str">
        <f>if(M83&lt;&gt;"",'Actuals - Billing - 2025'!BG315,"")</f>
        <v/>
      </c>
    </row>
    <row r="84">
      <c r="A84" s="7" t="str">
        <f t="shared" si="1"/>
        <v/>
      </c>
      <c r="B84" s="8" t="str">
        <f>if(and('Actuals - Billing - 2025'!E$317=True,C84&lt;&gt;""),'Actuals - Billing - 2025'!C316,"")</f>
        <v/>
      </c>
      <c r="C84" s="9" t="str">
        <f>IF(and('Actuals - Billing - 2025'!E$317=True,sum('Actuals - Billing - 2025'!AF316:AK316)&gt;0),'Actuals - Billing - 2025'!B316,"")</f>
        <v/>
      </c>
      <c r="D84" s="148" t="str">
        <f>if(and(sum('Actuals - Billing - 2025'!AF316:AK316)&gt;0,C84&lt;&gt;""),'Actuals - Billing - 2025'!$AG$2,"")</f>
        <v/>
      </c>
      <c r="E84" s="11" t="str">
        <f t="array" ref="E84">if($D84="","",index('Actuals - Billing - 2025'!$B84:$AZ982,Match($C84,'Actuals - Billing - 2025'!$B84:$B982,0),Match(E$1,'Actuals - Billing - 2025'!$B$2:$AF$2,0)))</f>
        <v/>
      </c>
      <c r="F84" s="11" t="str">
        <f t="array" ref="F84">if($D84="","",index('Actuals - Billing - 2025'!$B84:$AZ982,Match($C84,'Actuals - Billing - 2025'!$B84:$B982,0),Match(F$1,'Actuals - Billing - 2025'!$B$2:$AZ$2,0)))</f>
        <v/>
      </c>
      <c r="G84" s="11" t="str">
        <f t="array" ref="G84">if($D84="","",index('Actuals - Billing - 2025'!$B84:$AZ982,Match($C84,'Actuals - Billing - 2025'!$B84:$B982,0),Match(G$1,'Actuals - Billing - 2025'!$B$2:$AZ$2,0)))</f>
        <v/>
      </c>
      <c r="H84" s="11"/>
      <c r="I84" s="11"/>
      <c r="J84" s="11" t="str">
        <f t="shared" si="2"/>
        <v/>
      </c>
      <c r="K84" s="149" t="str">
        <f t="shared" si="3"/>
        <v/>
      </c>
      <c r="L84" s="1" t="str">
        <f t="shared" si="4"/>
        <v/>
      </c>
      <c r="M84" s="4" t="str">
        <f t="shared" si="5"/>
        <v/>
      </c>
      <c r="N84" s="17" t="str">
        <f>if(M84&lt;&gt;"",'Actuals - Billing - 2025'!BG316,"")</f>
        <v/>
      </c>
    </row>
    <row r="85">
      <c r="A85" s="7" t="str">
        <f t="shared" si="1"/>
        <v/>
      </c>
      <c r="B85" s="8" t="str">
        <f>if(and('Actuals - Billing - 2025'!E$317=True,C85&lt;&gt;""),'Actuals - Billing - 2025'!C317,"")</f>
        <v/>
      </c>
      <c r="C85" s="9" t="str">
        <f>IF(and('Actuals - Billing - 2025'!E$317=True,sum('Actuals - Billing - 2025'!AF317:AK317)&gt;0),'Actuals - Billing - 2025'!B317,"")</f>
        <v/>
      </c>
      <c r="D85" s="148" t="str">
        <f>if(and(sum('Actuals - Billing - 2025'!AF317:AK317)&gt;0,C85&lt;&gt;""),'Actuals - Billing - 2025'!$AG$2,"")</f>
        <v/>
      </c>
      <c r="E85" s="11" t="str">
        <f t="array" ref="E85">if($D85="","",index('Actuals - Billing - 2025'!$B85:$AZ983,Match($C85,'Actuals - Billing - 2025'!$B85:$B983,0),Match(E$1,'Actuals - Billing - 2025'!$B$2:$AF$2,0)))</f>
        <v/>
      </c>
      <c r="F85" s="11" t="str">
        <f t="array" ref="F85">if($D85="","",index('Actuals - Billing - 2025'!$B85:$AZ983,Match($C85,'Actuals - Billing - 2025'!$B85:$B983,0),Match(F$1,'Actuals - Billing - 2025'!$B$2:$AZ$2,0)))</f>
        <v/>
      </c>
      <c r="G85" s="11" t="str">
        <f t="array" ref="G85">if($D85="","",index('Actuals - Billing - 2025'!$B85:$AZ983,Match($C85,'Actuals - Billing - 2025'!$B85:$B983,0),Match(G$1,'Actuals - Billing - 2025'!$B$2:$AZ$2,0)))</f>
        <v/>
      </c>
      <c r="H85" s="11"/>
      <c r="I85" s="11"/>
      <c r="J85" s="11" t="str">
        <f t="shared" si="2"/>
        <v/>
      </c>
      <c r="K85" s="149" t="str">
        <f t="shared" si="3"/>
        <v/>
      </c>
      <c r="L85" s="1" t="str">
        <f t="shared" si="4"/>
        <v/>
      </c>
      <c r="M85" s="4" t="str">
        <f t="shared" si="5"/>
        <v/>
      </c>
      <c r="N85" s="17" t="str">
        <f>if(M85&lt;&gt;"",'Actuals - Billing - 2025'!BG317,"")</f>
        <v/>
      </c>
    </row>
    <row r="86">
      <c r="A86" s="7" t="str">
        <f t="shared" si="1"/>
        <v/>
      </c>
      <c r="B86" s="8" t="str">
        <f>if(and('Actuals - Billing - 2025'!E$324=True,C86&lt;&gt;""),'Actuals - Billing - 2025'!C318,"")</f>
        <v/>
      </c>
      <c r="C86" s="9" t="str">
        <f>IF(and('Actuals - Billing - 2025'!E$324=True,sum('Actuals - Billing - 2025'!AF318:AK318)&gt;0),'Actuals - Billing - 2025'!B318,"")</f>
        <v/>
      </c>
      <c r="D86" s="148" t="str">
        <f>if(and(sum('Actuals - Billing - 2025'!AF318:AK318)&gt;0,C86&lt;&gt;""),'Actuals - Billing - 2025'!$AG$2,"")</f>
        <v/>
      </c>
      <c r="E86" s="11" t="str">
        <f t="array" ref="E86">if($D86="","",index('Actuals - Billing - 2025'!$B86:$AZ984,Match($C86,'Actuals - Billing - 2025'!$B86:$B984,0),Match(E$1,'Actuals - Billing - 2025'!$B$2:$AF$2,0)))</f>
        <v/>
      </c>
      <c r="F86" s="11" t="str">
        <f t="array" ref="F86">if($D86="","",index('Actuals - Billing - 2025'!$B86:$AZ984,Match($C86,'Actuals - Billing - 2025'!$B86:$B984,0),Match(F$1,'Actuals - Billing - 2025'!$B$2:$AZ$2,0)))</f>
        <v/>
      </c>
      <c r="G86" s="11" t="str">
        <f t="array" ref="G86">if($D86="","",index('Actuals - Billing - 2025'!$B86:$AZ984,Match($C86,'Actuals - Billing - 2025'!$B86:$B984,0),Match(G$1,'Actuals - Billing - 2025'!$B$2:$AZ$2,0)))</f>
        <v/>
      </c>
      <c r="H86" s="11"/>
      <c r="I86" s="11"/>
      <c r="J86" s="11" t="str">
        <f t="shared" si="2"/>
        <v/>
      </c>
      <c r="K86" s="149" t="str">
        <f t="shared" si="3"/>
        <v/>
      </c>
      <c r="L86" s="1" t="str">
        <f t="shared" si="4"/>
        <v/>
      </c>
      <c r="M86" s="4" t="str">
        <f t="shared" si="5"/>
        <v/>
      </c>
      <c r="N86" s="17" t="str">
        <f>if(M86&lt;&gt;"",'Actuals - Billing - 2025'!BG318,"")</f>
        <v/>
      </c>
    </row>
    <row r="87">
      <c r="A87" s="7" t="str">
        <f t="shared" si="1"/>
        <v/>
      </c>
      <c r="B87" s="8" t="str">
        <f>if(and('Actuals - Billing - 2025'!E$324=True,C87&lt;&gt;""),'Actuals - Billing - 2025'!C319,"")</f>
        <v/>
      </c>
      <c r="C87" s="9" t="str">
        <f>IF(and('Actuals - Billing - 2025'!E$324=True,sum('Actuals - Billing - 2025'!AF319:AK319)&gt;0),'Actuals - Billing - 2025'!B319,"")</f>
        <v/>
      </c>
      <c r="D87" s="148" t="str">
        <f>if(and(sum('Actuals - Billing - 2025'!AF319:AK319)&gt;0,C87&lt;&gt;""),'Actuals - Billing - 2025'!$AG$2,"")</f>
        <v/>
      </c>
      <c r="E87" s="11" t="str">
        <f t="array" ref="E87">if($D87="","",index('Actuals - Billing - 2025'!$B87:$AZ985,Match($C87,'Actuals - Billing - 2025'!$B87:$B985,0),Match(E$1,'Actuals - Billing - 2025'!$B$2:$AF$2,0)))</f>
        <v/>
      </c>
      <c r="F87" s="11" t="str">
        <f t="array" ref="F87">if($D87="","",index('Actuals - Billing - 2025'!$B87:$AZ985,Match($C87,'Actuals - Billing - 2025'!$B87:$B985,0),Match(F$1,'Actuals - Billing - 2025'!$B$2:$AZ$2,0)))</f>
        <v/>
      </c>
      <c r="G87" s="11" t="str">
        <f t="array" ref="G87">if($D87="","",index('Actuals - Billing - 2025'!$B87:$AZ985,Match($C87,'Actuals - Billing - 2025'!$B87:$B985,0),Match(G$1,'Actuals - Billing - 2025'!$B$2:$AZ$2,0)))</f>
        <v/>
      </c>
      <c r="H87" s="11"/>
      <c r="I87" s="11"/>
      <c r="J87" s="11" t="str">
        <f t="shared" si="2"/>
        <v/>
      </c>
      <c r="K87" s="149" t="str">
        <f t="shared" si="3"/>
        <v/>
      </c>
      <c r="L87" s="1" t="str">
        <f t="shared" si="4"/>
        <v/>
      </c>
      <c r="M87" s="4" t="str">
        <f t="shared" si="5"/>
        <v/>
      </c>
      <c r="N87" s="17" t="str">
        <f>if(M87&lt;&gt;"",'Actuals - Billing - 2025'!BG319,"")</f>
        <v/>
      </c>
    </row>
    <row r="88">
      <c r="A88" s="7" t="str">
        <f t="shared" si="1"/>
        <v/>
      </c>
      <c r="B88" s="8" t="str">
        <f>if(and('Actuals - Billing - 2025'!E$324=True,C88&lt;&gt;""),'Actuals - Billing - 2025'!C320,"")</f>
        <v/>
      </c>
      <c r="C88" s="9" t="str">
        <f>IF(and('Actuals - Billing - 2025'!E$324=True,sum('Actuals - Billing - 2025'!AF320:AK320)&gt;0),'Actuals - Billing - 2025'!B320,"")</f>
        <v/>
      </c>
      <c r="D88" s="148" t="str">
        <f>if(and(sum('Actuals - Billing - 2025'!AF320:AK320)&gt;0,C88&lt;&gt;""),'Actuals - Billing - 2025'!$AG$2,"")</f>
        <v/>
      </c>
      <c r="E88" s="11" t="str">
        <f t="array" ref="E88">if($D88="","",index('Actuals - Billing - 2025'!$B88:$AZ986,Match($C88,'Actuals - Billing - 2025'!$B88:$B986,0),Match(E$1,'Actuals - Billing - 2025'!$B$2:$AF$2,0)))</f>
        <v/>
      </c>
      <c r="F88" s="11" t="str">
        <f t="array" ref="F88">if($D88="","",index('Actuals - Billing - 2025'!$B88:$AZ986,Match($C88,'Actuals - Billing - 2025'!$B88:$B986,0),Match(F$1,'Actuals - Billing - 2025'!$B$2:$AZ$2,0)))</f>
        <v/>
      </c>
      <c r="G88" s="11" t="str">
        <f t="array" ref="G88">if($D88="","",index('Actuals - Billing - 2025'!$B88:$AZ986,Match($C88,'Actuals - Billing - 2025'!$B88:$B986,0),Match(G$1,'Actuals - Billing - 2025'!$B$2:$AZ$2,0)))</f>
        <v/>
      </c>
      <c r="H88" s="11"/>
      <c r="I88" s="11"/>
      <c r="J88" s="11" t="str">
        <f t="shared" si="2"/>
        <v/>
      </c>
      <c r="K88" s="149" t="str">
        <f t="shared" si="3"/>
        <v/>
      </c>
      <c r="L88" s="1" t="str">
        <f t="shared" si="4"/>
        <v/>
      </c>
      <c r="M88" s="4" t="str">
        <f t="shared" si="5"/>
        <v/>
      </c>
      <c r="N88" s="17" t="str">
        <f>if(M88&lt;&gt;"",'Actuals - Billing - 2025'!BG320,"")</f>
        <v/>
      </c>
    </row>
    <row r="89">
      <c r="A89" s="7" t="str">
        <f t="shared" si="1"/>
        <v/>
      </c>
      <c r="B89" s="8" t="str">
        <f>if(and('Actuals - Billing - 2025'!E$324=True,C89&lt;&gt;""),'Actuals - Billing - 2025'!C321,"")</f>
        <v/>
      </c>
      <c r="C89" s="9" t="str">
        <f>IF(and('Actuals - Billing - 2025'!E$324=True,sum('Actuals - Billing - 2025'!AF321:AK321)&gt;0),'Actuals - Billing - 2025'!B321,"")</f>
        <v/>
      </c>
      <c r="D89" s="148" t="str">
        <f>if(and(sum('Actuals - Billing - 2025'!AF321:AK321)&gt;0,C89&lt;&gt;""),'Actuals - Billing - 2025'!$AG$2,"")</f>
        <v/>
      </c>
      <c r="E89" s="11" t="str">
        <f t="array" ref="E89">if($D89="","",index('Actuals - Billing - 2025'!$B89:$AZ987,Match($C89,'Actuals - Billing - 2025'!$B89:$B987,0),Match(E$1,'Actuals - Billing - 2025'!$B$2:$AF$2,0)))</f>
        <v/>
      </c>
      <c r="F89" s="11" t="str">
        <f t="array" ref="F89">if($D89="","",index('Actuals - Billing - 2025'!$B89:$AZ987,Match($C89,'Actuals - Billing - 2025'!$B89:$B987,0),Match(F$1,'Actuals - Billing - 2025'!$B$2:$AZ$2,0)))</f>
        <v/>
      </c>
      <c r="G89" s="11" t="str">
        <f t="array" ref="G89">if($D89="","",index('Actuals - Billing - 2025'!$B89:$AZ987,Match($C89,'Actuals - Billing - 2025'!$B89:$B987,0),Match(G$1,'Actuals - Billing - 2025'!$B$2:$AZ$2,0)))</f>
        <v/>
      </c>
      <c r="H89" s="11"/>
      <c r="I89" s="11"/>
      <c r="J89" s="11" t="str">
        <f t="shared" si="2"/>
        <v/>
      </c>
      <c r="K89" s="149" t="str">
        <f t="shared" si="3"/>
        <v/>
      </c>
      <c r="L89" s="1" t="str">
        <f t="shared" si="4"/>
        <v/>
      </c>
      <c r="M89" s="4" t="str">
        <f t="shared" si="5"/>
        <v/>
      </c>
      <c r="N89" s="17" t="str">
        <f>if(M89&lt;&gt;"",'Actuals - Billing - 2025'!BG321,"")</f>
        <v/>
      </c>
    </row>
    <row r="90">
      <c r="A90" s="7" t="str">
        <f t="shared" si="1"/>
        <v/>
      </c>
      <c r="B90" s="8" t="str">
        <f>if(and('Actuals - Billing - 2025'!E$324=True,C90&lt;&gt;""),'Actuals - Billing - 2025'!C322,"")</f>
        <v/>
      </c>
      <c r="C90" s="9" t="str">
        <f>IF(and('Actuals - Billing - 2025'!E$324=True,sum('Actuals - Billing - 2025'!AF322:AK322)&gt;0),'Actuals - Billing - 2025'!B322,"")</f>
        <v/>
      </c>
      <c r="D90" s="148" t="str">
        <f>if(and(sum('Actuals - Billing - 2025'!AF322:AK322)&gt;0,C90&lt;&gt;""),'Actuals - Billing - 2025'!$AG$2,"")</f>
        <v/>
      </c>
      <c r="E90" s="11" t="str">
        <f t="array" ref="E90">if($D90="","",index('Actuals - Billing - 2025'!$B90:$AZ988,Match($C90,'Actuals - Billing - 2025'!$B90:$B988,0),Match(E$1,'Actuals - Billing - 2025'!$B$2:$AF$2,0)))</f>
        <v/>
      </c>
      <c r="F90" s="11" t="str">
        <f t="array" ref="F90">if($D90="","",index('Actuals - Billing - 2025'!$B90:$AZ988,Match($C90,'Actuals - Billing - 2025'!$B90:$B988,0),Match(F$1,'Actuals - Billing - 2025'!$B$2:$AZ$2,0)))</f>
        <v/>
      </c>
      <c r="G90" s="11" t="str">
        <f t="array" ref="G90">if($D90="","",index('Actuals - Billing - 2025'!$B90:$AZ988,Match($C90,'Actuals - Billing - 2025'!$B90:$B988,0),Match(G$1,'Actuals - Billing - 2025'!$B$2:$AZ$2,0)))</f>
        <v/>
      </c>
      <c r="H90" s="11"/>
      <c r="I90" s="11"/>
      <c r="J90" s="11" t="str">
        <f t="shared" si="2"/>
        <v/>
      </c>
      <c r="K90" s="149" t="str">
        <f t="shared" si="3"/>
        <v/>
      </c>
      <c r="L90" s="1" t="str">
        <f t="shared" si="4"/>
        <v/>
      </c>
      <c r="M90" s="4" t="str">
        <f t="shared" si="5"/>
        <v/>
      </c>
      <c r="N90" s="17" t="str">
        <f>if(M90&lt;&gt;"",'Actuals - Billing - 2025'!BG322,"")</f>
        <v/>
      </c>
    </row>
    <row r="91">
      <c r="A91" s="7" t="str">
        <f t="shared" si="1"/>
        <v/>
      </c>
      <c r="B91" s="8" t="str">
        <f>if(and('Actuals - Billing - 2025'!E$324=True,C91&lt;&gt;""),'Actuals - Billing - 2025'!C323,"")</f>
        <v/>
      </c>
      <c r="C91" s="9" t="str">
        <f>IF(and('Actuals - Billing - 2025'!E$324=True,sum('Actuals - Billing - 2025'!AF323:AK323)&gt;0),'Actuals - Billing - 2025'!B323,"")</f>
        <v/>
      </c>
      <c r="D91" s="148" t="str">
        <f>if(and(sum('Actuals - Billing - 2025'!AF323:AK323)&gt;0,C91&lt;&gt;""),'Actuals - Billing - 2025'!$AG$2,"")</f>
        <v/>
      </c>
      <c r="E91" s="11" t="str">
        <f t="array" ref="E91">if($D91="","",index('Actuals - Billing - 2025'!$B91:$AZ989,Match($C91,'Actuals - Billing - 2025'!$B91:$B989,0),Match(E$1,'Actuals - Billing - 2025'!$B$2:$AF$2,0)))</f>
        <v/>
      </c>
      <c r="F91" s="11" t="str">
        <f t="array" ref="F91">if($D91="","",index('Actuals - Billing - 2025'!$B91:$AZ989,Match($C91,'Actuals - Billing - 2025'!$B91:$B989,0),Match(F$1,'Actuals - Billing - 2025'!$B$2:$AZ$2,0)))</f>
        <v/>
      </c>
      <c r="G91" s="11" t="str">
        <f t="array" ref="G91">if($D91="","",index('Actuals - Billing - 2025'!$B91:$AZ989,Match($C91,'Actuals - Billing - 2025'!$B91:$B989,0),Match(G$1,'Actuals - Billing - 2025'!$B$2:$AZ$2,0)))</f>
        <v/>
      </c>
      <c r="H91" s="11"/>
      <c r="I91" s="11"/>
      <c r="J91" s="11" t="str">
        <f t="shared" si="2"/>
        <v/>
      </c>
      <c r="K91" s="149" t="str">
        <f t="shared" si="3"/>
        <v/>
      </c>
      <c r="L91" s="1" t="str">
        <f t="shared" si="4"/>
        <v/>
      </c>
      <c r="M91" s="4" t="str">
        <f t="shared" si="5"/>
        <v/>
      </c>
      <c r="N91" s="17" t="str">
        <f>if(M91&lt;&gt;"",'Actuals - Billing - 2025'!BG323,"")</f>
        <v/>
      </c>
    </row>
    <row r="92">
      <c r="A92" s="7" t="str">
        <f t="shared" si="1"/>
        <v/>
      </c>
      <c r="B92" s="8" t="str">
        <f>if(and('Actuals - Billing - 2025'!E$324=True,C92&lt;&gt;""),'Actuals - Billing - 2025'!C324,"")</f>
        <v/>
      </c>
      <c r="C92" s="9" t="str">
        <f>IF(and('Actuals - Billing - 2025'!E$324=True,sum('Actuals - Billing - 2025'!AF324:AK324)&gt;0),'Actuals - Billing - 2025'!B324,"")</f>
        <v/>
      </c>
      <c r="D92" s="148" t="str">
        <f>if(and(sum('Actuals - Billing - 2025'!AF324:AK324)&gt;0,C92&lt;&gt;""),'Actuals - Billing - 2025'!$AG$2,"")</f>
        <v/>
      </c>
      <c r="E92" s="11" t="str">
        <f t="array" ref="E92">if($D92="","",index('Actuals - Billing - 2025'!$B92:$AZ990,Match($C92,'Actuals - Billing - 2025'!$B92:$B990,0),Match(E$1,'Actuals - Billing - 2025'!$B$2:$AF$2,0)))</f>
        <v/>
      </c>
      <c r="F92" s="11" t="str">
        <f t="array" ref="F92">if($D92="","",index('Actuals - Billing - 2025'!$B92:$AZ990,Match($C92,'Actuals - Billing - 2025'!$B92:$B990,0),Match(F$1,'Actuals - Billing - 2025'!$B$2:$AZ$2,0)))</f>
        <v/>
      </c>
      <c r="G92" s="11" t="str">
        <f t="array" ref="G92">if($D92="","",index('Actuals - Billing - 2025'!$B92:$AZ990,Match($C92,'Actuals - Billing - 2025'!$B92:$B990,0),Match(G$1,'Actuals - Billing - 2025'!$B$2:$AZ$2,0)))</f>
        <v/>
      </c>
      <c r="H92" s="11"/>
      <c r="I92" s="11"/>
      <c r="J92" s="11" t="str">
        <f t="shared" si="2"/>
        <v/>
      </c>
      <c r="K92" s="149" t="str">
        <f t="shared" si="3"/>
        <v/>
      </c>
      <c r="L92" s="1" t="str">
        <f t="shared" si="4"/>
        <v/>
      </c>
      <c r="M92" s="4" t="str">
        <f t="shared" si="5"/>
        <v/>
      </c>
      <c r="N92" s="17" t="str">
        <f>if(M92&lt;&gt;"",'Actuals - Billing - 2025'!BG324,"")</f>
        <v/>
      </c>
    </row>
    <row r="93">
      <c r="A93" s="7" t="str">
        <f t="shared" si="1"/>
        <v/>
      </c>
      <c r="B93" s="8" t="str">
        <f>if(and('Actuals - Billing - 2025'!E$331=True,C93&lt;&gt;""),'Actuals - Billing - 2025'!C325,"")</f>
        <v/>
      </c>
      <c r="C93" s="9" t="str">
        <f>IF(and('Actuals - Billing - 2025'!E$331=True,sum('Actuals - Billing - 2025'!AF325:AK325)&gt;0),'Actuals - Billing - 2025'!B325,"")</f>
        <v/>
      </c>
      <c r="D93" s="148" t="str">
        <f>if(and(sum('Actuals - Billing - 2025'!AF325:AK325)&gt;0,C93&lt;&gt;""),'Actuals - Billing - 2025'!$AG$2,"")</f>
        <v/>
      </c>
      <c r="E93" s="11" t="str">
        <f t="array" ref="E93">if($D93="","",index('Actuals - Billing - 2025'!$B93:$AZ991,Match($C93,'Actuals - Billing - 2025'!$B93:$B991,0),Match(E$1,'Actuals - Billing - 2025'!$B$2:$AF$2,0)))</f>
        <v/>
      </c>
      <c r="F93" s="11" t="str">
        <f t="array" ref="F93">if($D93="","",index('Actuals - Billing - 2025'!$B93:$AZ991,Match($C93,'Actuals - Billing - 2025'!$B93:$B991,0),Match(F$1,'Actuals - Billing - 2025'!$B$2:$AZ$2,0)))</f>
        <v/>
      </c>
      <c r="G93" s="11" t="str">
        <f t="array" ref="G93">if($D93="","",index('Actuals - Billing - 2025'!$B93:$AZ991,Match($C93,'Actuals - Billing - 2025'!$B93:$B991,0),Match(G$1,'Actuals - Billing - 2025'!$B$2:$AZ$2,0)))</f>
        <v/>
      </c>
      <c r="H93" s="11"/>
      <c r="I93" s="11"/>
      <c r="J93" s="11" t="str">
        <f t="shared" si="2"/>
        <v/>
      </c>
      <c r="K93" s="149" t="str">
        <f t="shared" si="3"/>
        <v/>
      </c>
      <c r="L93" s="1" t="str">
        <f t="shared" si="4"/>
        <v/>
      </c>
      <c r="M93" s="4" t="str">
        <f t="shared" si="5"/>
        <v/>
      </c>
      <c r="N93" s="17" t="str">
        <f>if(M93&lt;&gt;"",'Actuals - Billing - 2025'!BG325,"")</f>
        <v/>
      </c>
    </row>
    <row r="94">
      <c r="A94" s="7" t="str">
        <f t="shared" si="1"/>
        <v/>
      </c>
      <c r="B94" s="8" t="str">
        <f>if(and('Actuals - Billing - 2025'!E$331=True,C94&lt;&gt;""),'Actuals - Billing - 2025'!C326,"")</f>
        <v/>
      </c>
      <c r="C94" s="9" t="str">
        <f>IF(and('Actuals - Billing - 2025'!E$331=True,sum('Actuals - Billing - 2025'!AF326:AK326)&gt;0),'Actuals - Billing - 2025'!B326,"")</f>
        <v/>
      </c>
      <c r="D94" s="148" t="str">
        <f>if(and(sum('Actuals - Billing - 2025'!AF326:AK326)&gt;0,C94&lt;&gt;""),'Actuals - Billing - 2025'!$AG$2,"")</f>
        <v/>
      </c>
      <c r="E94" s="11" t="str">
        <f t="array" ref="E94">if($D94="","",index('Actuals - Billing - 2025'!$B94:$AZ992,Match($C94,'Actuals - Billing - 2025'!$B94:$B992,0),Match(E$1,'Actuals - Billing - 2025'!$B$2:$AF$2,0)))</f>
        <v/>
      </c>
      <c r="F94" s="11" t="str">
        <f t="array" ref="F94">if($D94="","",index('Actuals - Billing - 2025'!$B94:$AZ992,Match($C94,'Actuals - Billing - 2025'!$B94:$B992,0),Match(F$1,'Actuals - Billing - 2025'!$B$2:$AZ$2,0)))</f>
        <v/>
      </c>
      <c r="G94" s="11" t="str">
        <f t="array" ref="G94">if($D94="","",index('Actuals - Billing - 2025'!$B94:$AZ992,Match($C94,'Actuals - Billing - 2025'!$B94:$B992,0),Match(G$1,'Actuals - Billing - 2025'!$B$2:$AZ$2,0)))</f>
        <v/>
      </c>
      <c r="H94" s="11"/>
      <c r="I94" s="11"/>
      <c r="J94" s="11" t="str">
        <f t="shared" si="2"/>
        <v/>
      </c>
      <c r="K94" s="149" t="str">
        <f t="shared" si="3"/>
        <v/>
      </c>
      <c r="L94" s="1" t="str">
        <f t="shared" si="4"/>
        <v/>
      </c>
      <c r="M94" s="4" t="str">
        <f t="shared" si="5"/>
        <v/>
      </c>
      <c r="N94" s="17" t="str">
        <f>if(M94&lt;&gt;"",'Actuals - Billing - 2025'!BG326,"")</f>
        <v/>
      </c>
    </row>
    <row r="95">
      <c r="A95" s="7" t="str">
        <f t="shared" si="1"/>
        <v/>
      </c>
      <c r="B95" s="8" t="str">
        <f>if(and('Actuals - Billing - 2025'!E$331=True,C95&lt;&gt;""),'Actuals - Billing - 2025'!C327,"")</f>
        <v/>
      </c>
      <c r="C95" s="9" t="str">
        <f>IF(and('Actuals - Billing - 2025'!E$331=True,sum('Actuals - Billing - 2025'!AF327:AK327)&gt;0),'Actuals - Billing - 2025'!B327,"")</f>
        <v/>
      </c>
      <c r="D95" s="148" t="str">
        <f>if(and(sum('Actuals - Billing - 2025'!AF327:AK327)&gt;0,C95&lt;&gt;""),'Actuals - Billing - 2025'!$AG$2,"")</f>
        <v/>
      </c>
      <c r="E95" s="11" t="str">
        <f t="array" ref="E95">if($D95="","",index('Actuals - Billing - 2025'!$B95:$AZ993,Match($C95,'Actuals - Billing - 2025'!$B95:$B993,0),Match(E$1,'Actuals - Billing - 2025'!$B$2:$AF$2,0)))</f>
        <v/>
      </c>
      <c r="F95" s="11" t="str">
        <f t="array" ref="F95">if($D95="","",index('Actuals - Billing - 2025'!$B95:$AZ993,Match($C95,'Actuals - Billing - 2025'!$B95:$B993,0),Match(F$1,'Actuals - Billing - 2025'!$B$2:$AZ$2,0)))</f>
        <v/>
      </c>
      <c r="G95" s="11" t="str">
        <f t="array" ref="G95">if($D95="","",index('Actuals - Billing - 2025'!$B95:$AZ993,Match($C95,'Actuals - Billing - 2025'!$B95:$B993,0),Match(G$1,'Actuals - Billing - 2025'!$B$2:$AZ$2,0)))</f>
        <v/>
      </c>
      <c r="H95" s="11"/>
      <c r="I95" s="11"/>
      <c r="J95" s="11" t="str">
        <f t="shared" si="2"/>
        <v/>
      </c>
      <c r="K95" s="149" t="str">
        <f t="shared" si="3"/>
        <v/>
      </c>
      <c r="L95" s="1" t="str">
        <f t="shared" si="4"/>
        <v/>
      </c>
      <c r="M95" s="4" t="str">
        <f t="shared" si="5"/>
        <v/>
      </c>
      <c r="N95" s="17" t="str">
        <f>if(M95&lt;&gt;"",'Actuals - Billing - 2025'!BG327,"")</f>
        <v/>
      </c>
    </row>
    <row r="96">
      <c r="A96" s="7" t="str">
        <f t="shared" si="1"/>
        <v/>
      </c>
      <c r="B96" s="8" t="str">
        <f>if(and('Actuals - Billing - 2025'!E$331=True,C96&lt;&gt;""),'Actuals - Billing - 2025'!C328,"")</f>
        <v/>
      </c>
      <c r="C96" s="9" t="str">
        <f>IF(and('Actuals - Billing - 2025'!E$331=True,sum('Actuals - Billing - 2025'!AF328:AK328)&gt;0),'Actuals - Billing - 2025'!B328,"")</f>
        <v/>
      </c>
      <c r="D96" s="148" t="str">
        <f>if(and(sum('Actuals - Billing - 2025'!AF328:AK328)&gt;0,C96&lt;&gt;""),'Actuals - Billing - 2025'!$AG$2,"")</f>
        <v/>
      </c>
      <c r="E96" s="11" t="str">
        <f t="array" ref="E96">if($D96="","",index('Actuals - Billing - 2025'!$B96:$AZ994,Match($C96,'Actuals - Billing - 2025'!$B96:$B994,0),Match(E$1,'Actuals - Billing - 2025'!$B$2:$AF$2,0)))</f>
        <v/>
      </c>
      <c r="F96" s="11" t="str">
        <f t="array" ref="F96">if($D96="","",index('Actuals - Billing - 2025'!$B96:$AZ994,Match($C96,'Actuals - Billing - 2025'!$B96:$B994,0),Match(F$1,'Actuals - Billing - 2025'!$B$2:$AZ$2,0)))</f>
        <v/>
      </c>
      <c r="G96" s="11" t="str">
        <f t="array" ref="G96">if($D96="","",index('Actuals - Billing - 2025'!$B96:$AZ994,Match($C96,'Actuals - Billing - 2025'!$B96:$B994,0),Match(G$1,'Actuals - Billing - 2025'!$B$2:$AZ$2,0)))</f>
        <v/>
      </c>
      <c r="H96" s="11"/>
      <c r="I96" s="11"/>
      <c r="J96" s="11" t="str">
        <f t="shared" si="2"/>
        <v/>
      </c>
      <c r="K96" s="149" t="str">
        <f t="shared" si="3"/>
        <v/>
      </c>
      <c r="L96" s="1" t="str">
        <f t="shared" si="4"/>
        <v/>
      </c>
      <c r="M96" s="4" t="str">
        <f t="shared" si="5"/>
        <v/>
      </c>
      <c r="N96" s="17" t="str">
        <f>if(M96&lt;&gt;"",'Actuals - Billing - 2025'!BG328,"")</f>
        <v/>
      </c>
    </row>
    <row r="97">
      <c r="A97" s="7" t="str">
        <f t="shared" si="1"/>
        <v/>
      </c>
      <c r="B97" s="8" t="str">
        <f>if(and('Actuals - Billing - 2025'!E$331=True,C97&lt;&gt;""),'Actuals - Billing - 2025'!C329,"")</f>
        <v/>
      </c>
      <c r="C97" s="9" t="str">
        <f>IF(and('Actuals - Billing - 2025'!E$331=True,sum('Actuals - Billing - 2025'!AF329:AK329)&gt;0),'Actuals - Billing - 2025'!B329,"")</f>
        <v/>
      </c>
      <c r="D97" s="148" t="str">
        <f>if(and(sum('Actuals - Billing - 2025'!AF329:AK329)&gt;0,C97&lt;&gt;""),'Actuals - Billing - 2025'!$AG$2,"")</f>
        <v/>
      </c>
      <c r="E97" s="11" t="str">
        <f t="array" ref="E97">if($D97="","",index('Actuals - Billing - 2025'!$B97:$AZ995,Match($C97,'Actuals - Billing - 2025'!$B97:$B995,0),Match(E$1,'Actuals - Billing - 2025'!$B$2:$AF$2,0)))</f>
        <v/>
      </c>
      <c r="F97" s="11" t="str">
        <f t="array" ref="F97">if($D97="","",index('Actuals - Billing - 2025'!$B97:$AZ995,Match($C97,'Actuals - Billing - 2025'!$B97:$B995,0),Match(F$1,'Actuals - Billing - 2025'!$B$2:$AZ$2,0)))</f>
        <v/>
      </c>
      <c r="G97" s="11" t="str">
        <f t="array" ref="G97">if($D97="","",index('Actuals - Billing - 2025'!$B97:$AZ995,Match($C97,'Actuals - Billing - 2025'!$B97:$B995,0),Match(G$1,'Actuals - Billing - 2025'!$B$2:$AZ$2,0)))</f>
        <v/>
      </c>
      <c r="H97" s="11"/>
      <c r="I97" s="11"/>
      <c r="J97" s="11" t="str">
        <f t="shared" si="2"/>
        <v/>
      </c>
      <c r="K97" s="149" t="str">
        <f t="shared" si="3"/>
        <v/>
      </c>
      <c r="L97" s="1" t="str">
        <f t="shared" si="4"/>
        <v/>
      </c>
      <c r="M97" s="4" t="str">
        <f t="shared" si="5"/>
        <v/>
      </c>
      <c r="N97" s="17" t="str">
        <f>if(M97&lt;&gt;"",'Actuals - Billing - 2025'!BG329,"")</f>
        <v/>
      </c>
    </row>
    <row r="98">
      <c r="A98" s="7" t="str">
        <f t="shared" si="1"/>
        <v/>
      </c>
      <c r="B98" s="8" t="str">
        <f>if(and('Actuals - Billing - 2025'!E$331=True,C98&lt;&gt;""),'Actuals - Billing - 2025'!C330,"")</f>
        <v/>
      </c>
      <c r="C98" s="9" t="str">
        <f>IF(and('Actuals - Billing - 2025'!E$331=True,sum('Actuals - Billing - 2025'!AF330:AK330)&gt;0),'Actuals - Billing - 2025'!B330,"")</f>
        <v/>
      </c>
      <c r="D98" s="148" t="str">
        <f>if(and(sum('Actuals - Billing - 2025'!AF330:AK330)&gt;0,C98&lt;&gt;""),'Actuals - Billing - 2025'!$AG$2,"")</f>
        <v/>
      </c>
      <c r="E98" s="11" t="str">
        <f t="array" ref="E98">if($D98="","",index('Actuals - Billing - 2025'!$B98:$AZ996,Match($C98,'Actuals - Billing - 2025'!$B98:$B996,0),Match(E$1,'Actuals - Billing - 2025'!$B$2:$AF$2,0)))</f>
        <v/>
      </c>
      <c r="F98" s="11" t="str">
        <f t="array" ref="F98">if($D98="","",index('Actuals - Billing - 2025'!$B98:$AZ996,Match($C98,'Actuals - Billing - 2025'!$B98:$B996,0),Match(F$1,'Actuals - Billing - 2025'!$B$2:$AZ$2,0)))</f>
        <v/>
      </c>
      <c r="G98" s="11" t="str">
        <f t="array" ref="G98">if($D98="","",index('Actuals - Billing - 2025'!$B98:$AZ996,Match($C98,'Actuals - Billing - 2025'!$B98:$B996,0),Match(G$1,'Actuals - Billing - 2025'!$B$2:$AZ$2,0)))</f>
        <v/>
      </c>
      <c r="H98" s="11"/>
      <c r="I98" s="11"/>
      <c r="J98" s="11" t="str">
        <f t="shared" si="2"/>
        <v/>
      </c>
      <c r="K98" s="149" t="str">
        <f t="shared" si="3"/>
        <v/>
      </c>
      <c r="L98" s="1" t="str">
        <f t="shared" si="4"/>
        <v/>
      </c>
      <c r="M98" s="4" t="str">
        <f t="shared" si="5"/>
        <v/>
      </c>
      <c r="N98" s="17" t="str">
        <f>if(M98&lt;&gt;"",'Actuals - Billing - 2025'!BG330,"")</f>
        <v/>
      </c>
    </row>
    <row r="99">
      <c r="A99" s="7" t="str">
        <f t="shared" si="1"/>
        <v/>
      </c>
      <c r="B99" s="8" t="str">
        <f>if(and('Actuals - Billing - 2025'!E$331=True,C99&lt;&gt;""),'Actuals - Billing - 2025'!C331,"")</f>
        <v/>
      </c>
      <c r="C99" s="9" t="str">
        <f>IF(and('Actuals - Billing - 2025'!E$331=True,sum('Actuals - Billing - 2025'!AF331:AK331)&gt;0),'Actuals - Billing - 2025'!B331,"")</f>
        <v/>
      </c>
      <c r="D99" s="148" t="str">
        <f>if(and(sum('Actuals - Billing - 2025'!AF331:AK331)&gt;0,C99&lt;&gt;""),'Actuals - Billing - 2025'!$AG$2,"")</f>
        <v/>
      </c>
      <c r="E99" s="11" t="str">
        <f t="array" ref="E99">if($D99="","",index('Actuals - Billing - 2025'!$B99:$AZ997,Match($C99,'Actuals - Billing - 2025'!$B99:$B997,0),Match(E$1,'Actuals - Billing - 2025'!$B$2:$AF$2,0)))</f>
        <v/>
      </c>
      <c r="F99" s="11" t="str">
        <f t="array" ref="F99">if($D99="","",index('Actuals - Billing - 2025'!$B99:$AZ997,Match($C99,'Actuals - Billing - 2025'!$B99:$B997,0),Match(F$1,'Actuals - Billing - 2025'!$B$2:$AZ$2,0)))</f>
        <v/>
      </c>
      <c r="G99" s="11" t="str">
        <f t="array" ref="G99">if($D99="","",index('Actuals - Billing - 2025'!$B99:$AZ997,Match($C99,'Actuals - Billing - 2025'!$B99:$B997,0),Match(G$1,'Actuals - Billing - 2025'!$B$2:$AZ$2,0)))</f>
        <v/>
      </c>
      <c r="H99" s="11"/>
      <c r="I99" s="11"/>
      <c r="J99" s="11" t="str">
        <f t="shared" si="2"/>
        <v/>
      </c>
      <c r="K99" s="149" t="str">
        <f t="shared" si="3"/>
        <v/>
      </c>
      <c r="L99" s="1" t="str">
        <f t="shared" si="4"/>
        <v/>
      </c>
      <c r="M99" s="4" t="str">
        <f t="shared" si="5"/>
        <v/>
      </c>
      <c r="N99" s="17" t="str">
        <f>if(M99&lt;&gt;"",'Actuals - Billing - 2025'!BG331,"")</f>
        <v/>
      </c>
    </row>
    <row r="100">
      <c r="A100" s="7" t="str">
        <f t="shared" si="1"/>
        <v/>
      </c>
      <c r="B100" s="8" t="str">
        <f>if(and('Actuals - Billing - 2025'!E$338=True,C100&lt;&gt;""),'Actuals - Billing - 2025'!C332,"")</f>
        <v/>
      </c>
      <c r="C100" s="9" t="str">
        <f>IF(and('Actuals - Billing - 2025'!E$338=True,sum('Actuals - Billing - 2025'!AF332:AK332)&gt;0),'Actuals - Billing - 2025'!B332,"")</f>
        <v/>
      </c>
      <c r="D100" s="148" t="str">
        <f>if(and(sum('Actuals - Billing - 2025'!AF332:AK332)&gt;0,C100&lt;&gt;""),'Actuals - Billing - 2025'!$AG$2,"")</f>
        <v/>
      </c>
      <c r="E100" s="11" t="str">
        <f t="array" ref="E100">if($D100="","",index('Actuals - Billing - 2025'!$B100:$AZ998,Match($C100,'Actuals - Billing - 2025'!$B100:$B998,0),Match(E$1,'Actuals - Billing - 2025'!$B$2:$AF$2,0)))</f>
        <v/>
      </c>
      <c r="F100" s="11" t="str">
        <f t="array" ref="F100">if($D100="","",index('Actuals - Billing - 2025'!$B100:$AZ998,Match($C100,'Actuals - Billing - 2025'!$B100:$B998,0),Match(F$1,'Actuals - Billing - 2025'!$B$2:$AZ$2,0)))</f>
        <v/>
      </c>
      <c r="G100" s="11" t="str">
        <f t="array" ref="G100">if($D100="","",index('Actuals - Billing - 2025'!$B100:$AZ998,Match($C100,'Actuals - Billing - 2025'!$B100:$B998,0),Match(G$1,'Actuals - Billing - 2025'!$B$2:$AZ$2,0)))</f>
        <v/>
      </c>
      <c r="H100" s="11"/>
      <c r="I100" s="11"/>
      <c r="J100" s="11" t="str">
        <f t="shared" si="2"/>
        <v/>
      </c>
      <c r="K100" s="149" t="str">
        <f t="shared" si="3"/>
        <v/>
      </c>
      <c r="L100" s="1" t="str">
        <f t="shared" si="4"/>
        <v/>
      </c>
      <c r="M100" s="4" t="str">
        <f t="shared" si="5"/>
        <v/>
      </c>
      <c r="N100" s="17" t="str">
        <f>if(M100&lt;&gt;"",'Actuals - Billing - 2025'!BG332,"")</f>
        <v/>
      </c>
    </row>
    <row r="101">
      <c r="A101" s="7" t="str">
        <f t="shared" si="1"/>
        <v/>
      </c>
      <c r="B101" s="8" t="str">
        <f>if(and('Actuals - Billing - 2025'!E$338=True,C101&lt;&gt;""),'Actuals - Billing - 2025'!C333,"")</f>
        <v/>
      </c>
      <c r="C101" s="9" t="str">
        <f>IF(and('Actuals - Billing - 2025'!E$338=True,sum('Actuals - Billing - 2025'!AF333:AK333)&gt;0),'Actuals - Billing - 2025'!B333,"")</f>
        <v/>
      </c>
      <c r="D101" s="148" t="str">
        <f>if(and(sum('Actuals - Billing - 2025'!AF333:AK333)&gt;0,C101&lt;&gt;""),'Actuals - Billing - 2025'!$AG$2,"")</f>
        <v/>
      </c>
      <c r="E101" s="11" t="str">
        <f t="array" ref="E101">if($D101="","",index('Actuals - Billing - 2025'!$B101:$AZ999,Match($C101,'Actuals - Billing - 2025'!$B101:$B999,0),Match(E$1,'Actuals - Billing - 2025'!$B$2:$AF$2,0)))</f>
        <v/>
      </c>
      <c r="F101" s="11" t="str">
        <f t="array" ref="F101">if($D101="","",index('Actuals - Billing - 2025'!$B101:$AZ999,Match($C101,'Actuals - Billing - 2025'!$B101:$B999,0),Match(F$1,'Actuals - Billing - 2025'!$B$2:$AZ$2,0)))</f>
        <v/>
      </c>
      <c r="G101" s="11" t="str">
        <f t="array" ref="G101">if($D101="","",index('Actuals - Billing - 2025'!$B101:$AZ999,Match($C101,'Actuals - Billing - 2025'!$B101:$B999,0),Match(G$1,'Actuals - Billing - 2025'!$B$2:$AZ$2,0)))</f>
        <v/>
      </c>
      <c r="H101" s="11"/>
      <c r="I101" s="11"/>
      <c r="J101" s="11" t="str">
        <f t="shared" si="2"/>
        <v/>
      </c>
      <c r="K101" s="149" t="str">
        <f t="shared" si="3"/>
        <v/>
      </c>
      <c r="L101" s="1" t="str">
        <f t="shared" si="4"/>
        <v/>
      </c>
      <c r="M101" s="4" t="str">
        <f t="shared" si="5"/>
        <v/>
      </c>
      <c r="N101" s="17" t="str">
        <f>if(M101&lt;&gt;"",'Actuals - Billing - 2025'!BG333,"")</f>
        <v/>
      </c>
    </row>
    <row r="102">
      <c r="A102" s="7" t="str">
        <f t="shared" si="1"/>
        <v/>
      </c>
      <c r="B102" s="8" t="str">
        <f>if(and('Actuals - Billing - 2025'!E$338=True,C102&lt;&gt;""),'Actuals - Billing - 2025'!C334,"")</f>
        <v/>
      </c>
      <c r="C102" s="9" t="str">
        <f>IF(and('Actuals - Billing - 2025'!E$338=True,sum('Actuals - Billing - 2025'!AF334:AK334)&gt;0),'Actuals - Billing - 2025'!B334,"")</f>
        <v/>
      </c>
      <c r="D102" s="148" t="str">
        <f>if(and(sum('Actuals - Billing - 2025'!AF334:AK334)&gt;0,C102&lt;&gt;""),'Actuals - Billing - 2025'!$AG$2,"")</f>
        <v/>
      </c>
      <c r="E102" s="11" t="str">
        <f t="array" ref="E102">if($D102="","",index('Actuals - Billing - 2025'!$B102:$AZ1000,Match($C102,'Actuals - Billing - 2025'!$B102:$B1000,0),Match(E$1,'Actuals - Billing - 2025'!$B$2:$AF$2,0)))</f>
        <v/>
      </c>
      <c r="F102" s="11" t="str">
        <f t="array" ref="F102">if($D102="","",index('Actuals - Billing - 2025'!$B102:$AZ1000,Match($C102,'Actuals - Billing - 2025'!$B102:$B1000,0),Match(F$1,'Actuals - Billing - 2025'!$B$2:$AZ$2,0)))</f>
        <v/>
      </c>
      <c r="G102" s="11" t="str">
        <f t="array" ref="G102">if($D102="","",index('Actuals - Billing - 2025'!$B102:$AZ1000,Match($C102,'Actuals - Billing - 2025'!$B102:$B1000,0),Match(G$1,'Actuals - Billing - 2025'!$B$2:$AZ$2,0)))</f>
        <v/>
      </c>
      <c r="H102" s="11"/>
      <c r="I102" s="11"/>
      <c r="J102" s="11" t="str">
        <f t="shared" si="2"/>
        <v/>
      </c>
      <c r="K102" s="149" t="str">
        <f t="shared" si="3"/>
        <v/>
      </c>
      <c r="L102" s="1" t="str">
        <f t="shared" si="4"/>
        <v/>
      </c>
      <c r="M102" s="4" t="str">
        <f t="shared" si="5"/>
        <v/>
      </c>
      <c r="N102" s="17" t="str">
        <f>if(M102&lt;&gt;"",'Actuals - Billing - 2025'!BG334,"")</f>
        <v/>
      </c>
    </row>
    <row r="103">
      <c r="A103" s="7" t="str">
        <f t="shared" si="1"/>
        <v/>
      </c>
      <c r="B103" s="8" t="str">
        <f>if(and('Actuals - Billing - 2025'!E$338=True,C103&lt;&gt;""),'Actuals - Billing - 2025'!C335,"")</f>
        <v/>
      </c>
      <c r="C103" s="9" t="str">
        <f>IF(and('Actuals - Billing - 2025'!E$338=True,sum('Actuals - Billing - 2025'!AF335:AK335)&gt;0),'Actuals - Billing - 2025'!B335,"")</f>
        <v/>
      </c>
      <c r="D103" s="148" t="str">
        <f>if(and(sum('Actuals - Billing - 2025'!AF335:AK335)&gt;0,C103&lt;&gt;""),'Actuals - Billing - 2025'!$AG$2,"")</f>
        <v/>
      </c>
      <c r="E103" s="11" t="str">
        <f t="array" ref="E103">if($D103="","",index('Actuals - Billing - 2025'!$B103:$AZ1001,Match($C103,'Actuals - Billing - 2025'!$B103:$B1001,0),Match(E$1,'Actuals - Billing - 2025'!$B$2:$AF$2,0)))</f>
        <v/>
      </c>
      <c r="F103" s="11" t="str">
        <f t="array" ref="F103">if($D103="","",index('Actuals - Billing - 2025'!$B103:$AZ1001,Match($C103,'Actuals - Billing - 2025'!$B103:$B1001,0),Match(F$1,'Actuals - Billing - 2025'!$B$2:$AZ$2,0)))</f>
        <v/>
      </c>
      <c r="G103" s="11" t="str">
        <f t="array" ref="G103">if($D103="","",index('Actuals - Billing - 2025'!$B103:$AZ1001,Match($C103,'Actuals - Billing - 2025'!$B103:$B1001,0),Match(G$1,'Actuals - Billing - 2025'!$B$2:$AZ$2,0)))</f>
        <v/>
      </c>
      <c r="H103" s="11"/>
      <c r="I103" s="11"/>
      <c r="J103" s="11" t="str">
        <f t="shared" si="2"/>
        <v/>
      </c>
      <c r="K103" s="149" t="str">
        <f t="shared" si="3"/>
        <v/>
      </c>
      <c r="L103" s="1" t="str">
        <f t="shared" si="4"/>
        <v/>
      </c>
      <c r="M103" s="4" t="str">
        <f t="shared" si="5"/>
        <v/>
      </c>
      <c r="N103" s="17" t="str">
        <f>if(M103&lt;&gt;"",'Actuals - Billing - 2025'!BG335,"")</f>
        <v/>
      </c>
    </row>
    <row r="104">
      <c r="A104" s="7" t="str">
        <f t="shared" si="1"/>
        <v/>
      </c>
      <c r="B104" s="8" t="str">
        <f>if(and('Actuals - Billing - 2025'!E$338=True,C104&lt;&gt;""),'Actuals - Billing - 2025'!C336,"")</f>
        <v/>
      </c>
      <c r="C104" s="9" t="str">
        <f>IF(and('Actuals - Billing - 2025'!E$338=True,sum('Actuals - Billing - 2025'!AF336:AK336)&gt;0),'Actuals - Billing - 2025'!B336,"")</f>
        <v/>
      </c>
      <c r="D104" s="148" t="str">
        <f>if(and(sum('Actuals - Billing - 2025'!AF336:AK336)&gt;0,C104&lt;&gt;""),'Actuals - Billing - 2025'!$AG$2,"")</f>
        <v/>
      </c>
      <c r="E104" s="11" t="str">
        <f t="array" ref="E104">if($D104="","",index('Actuals - Billing - 2025'!$B104:$AZ1002,Match($C104,'Actuals - Billing - 2025'!$B104:$B1002,0),Match(E$1,'Actuals - Billing - 2025'!$B$2:$AF$2,0)))</f>
        <v/>
      </c>
      <c r="F104" s="11" t="str">
        <f t="array" ref="F104">if($D104="","",index('Actuals - Billing - 2025'!$B104:$AZ1002,Match($C104,'Actuals - Billing - 2025'!$B104:$B1002,0),Match(F$1,'Actuals - Billing - 2025'!$B$2:$AZ$2,0)))</f>
        <v/>
      </c>
      <c r="G104" s="11" t="str">
        <f t="array" ref="G104">if($D104="","",index('Actuals - Billing - 2025'!$B104:$AZ1002,Match($C104,'Actuals - Billing - 2025'!$B104:$B1002,0),Match(G$1,'Actuals - Billing - 2025'!$B$2:$AZ$2,0)))</f>
        <v/>
      </c>
      <c r="H104" s="11"/>
      <c r="I104" s="11"/>
      <c r="J104" s="11" t="str">
        <f t="shared" si="2"/>
        <v/>
      </c>
      <c r="K104" s="149" t="str">
        <f t="shared" si="3"/>
        <v/>
      </c>
      <c r="L104" s="1" t="str">
        <f t="shared" si="4"/>
        <v/>
      </c>
      <c r="M104" s="4" t="str">
        <f t="shared" si="5"/>
        <v/>
      </c>
      <c r="N104" s="17" t="str">
        <f>if(M104&lt;&gt;"",'Actuals - Billing - 2025'!BG336,"")</f>
        <v/>
      </c>
    </row>
    <row r="105">
      <c r="A105" s="7" t="str">
        <f t="shared" si="1"/>
        <v/>
      </c>
      <c r="B105" s="8" t="str">
        <f>if(and('Actuals - Billing - 2025'!E$338=True,C105&lt;&gt;""),'Actuals - Billing - 2025'!C337,"")</f>
        <v/>
      </c>
      <c r="C105" s="9" t="str">
        <f>IF(and('Actuals - Billing - 2025'!E$338=True,sum('Actuals - Billing - 2025'!AF337:AK337)&gt;0),'Actuals - Billing - 2025'!B337,"")</f>
        <v/>
      </c>
      <c r="D105" s="148" t="str">
        <f>if(and(sum('Actuals - Billing - 2025'!AF337:AK337)&gt;0,C105&lt;&gt;""),'Actuals - Billing - 2025'!$AG$2,"")</f>
        <v/>
      </c>
      <c r="E105" s="11" t="str">
        <f t="array" ref="E105">if($D105="","",index('Actuals - Billing - 2025'!$B105:$AZ1003,Match($C105,'Actuals - Billing - 2025'!$B105:$B1003,0),Match(E$1,'Actuals - Billing - 2025'!$B$2:$AF$2,0)))</f>
        <v/>
      </c>
      <c r="F105" s="11" t="str">
        <f t="array" ref="F105">if($D105="","",index('Actuals - Billing - 2025'!$B105:$AZ1003,Match($C105,'Actuals - Billing - 2025'!$B105:$B1003,0),Match(F$1,'Actuals - Billing - 2025'!$B$2:$AZ$2,0)))</f>
        <v/>
      </c>
      <c r="G105" s="11" t="str">
        <f t="array" ref="G105">if($D105="","",index('Actuals - Billing - 2025'!$B105:$AZ1003,Match($C105,'Actuals - Billing - 2025'!$B105:$B1003,0),Match(G$1,'Actuals - Billing - 2025'!$B$2:$AZ$2,0)))</f>
        <v/>
      </c>
      <c r="H105" s="11"/>
      <c r="I105" s="11"/>
      <c r="J105" s="11" t="str">
        <f t="shared" si="2"/>
        <v/>
      </c>
      <c r="K105" s="149" t="str">
        <f t="shared" si="3"/>
        <v/>
      </c>
      <c r="L105" s="1" t="str">
        <f t="shared" si="4"/>
        <v/>
      </c>
      <c r="M105" s="4" t="str">
        <f t="shared" si="5"/>
        <v/>
      </c>
      <c r="N105" s="17" t="str">
        <f>if(M105&lt;&gt;"",'Actuals - Billing - 2025'!BG337,"")</f>
        <v/>
      </c>
    </row>
    <row r="106">
      <c r="A106" s="7" t="str">
        <f t="shared" si="1"/>
        <v/>
      </c>
      <c r="B106" s="8" t="str">
        <f>if(and('Actuals - Billing - 2025'!E$338=True,C106&lt;&gt;""),'Actuals - Billing - 2025'!C338,"")</f>
        <v/>
      </c>
      <c r="C106" s="9" t="str">
        <f>IF(and('Actuals - Billing - 2025'!E$338=True,sum('Actuals - Billing - 2025'!AF338:AK338)&gt;0),'Actuals - Billing - 2025'!B338,"")</f>
        <v/>
      </c>
      <c r="D106" s="148" t="str">
        <f>if(and(sum('Actuals - Billing - 2025'!AF338:AK338)&gt;0,C106&lt;&gt;""),'Actuals - Billing - 2025'!$AG$2,"")</f>
        <v/>
      </c>
      <c r="E106" s="11" t="str">
        <f t="array" ref="E106">if($D106="","",index('Actuals - Billing - 2025'!$B106:$AZ1004,Match($C106,'Actuals - Billing - 2025'!$B106:$B1004,0),Match(E$1,'Actuals - Billing - 2025'!$B$2:$AF$2,0)))</f>
        <v/>
      </c>
      <c r="F106" s="11" t="str">
        <f t="array" ref="F106">if($D106="","",index('Actuals - Billing - 2025'!$B106:$AZ1004,Match($C106,'Actuals - Billing - 2025'!$B106:$B1004,0),Match(F$1,'Actuals - Billing - 2025'!$B$2:$AZ$2,0)))</f>
        <v/>
      </c>
      <c r="G106" s="11" t="str">
        <f t="array" ref="G106">if($D106="","",index('Actuals - Billing - 2025'!$B106:$AZ1004,Match($C106,'Actuals - Billing - 2025'!$B106:$B1004,0),Match(G$1,'Actuals - Billing - 2025'!$B$2:$AZ$2,0)))</f>
        <v/>
      </c>
      <c r="H106" s="11"/>
      <c r="I106" s="11"/>
      <c r="J106" s="11" t="str">
        <f t="shared" si="2"/>
        <v/>
      </c>
      <c r="K106" s="149" t="str">
        <f t="shared" si="3"/>
        <v/>
      </c>
      <c r="L106" s="1" t="str">
        <f t="shared" si="4"/>
        <v/>
      </c>
      <c r="M106" s="4" t="str">
        <f t="shared" si="5"/>
        <v/>
      </c>
      <c r="N106" s="17" t="str">
        <f>if(M106&lt;&gt;"",'Actuals - Billing - 2025'!BG338,"")</f>
        <v/>
      </c>
    </row>
    <row r="107">
      <c r="A107" s="7" t="str">
        <f t="shared" si="1"/>
        <v/>
      </c>
      <c r="B107" s="8" t="str">
        <f>if(and('Actuals - Billing - 2025'!E$345=True,C107&lt;&gt;""),'Actuals - Billing - 2025'!C339,"")</f>
        <v/>
      </c>
      <c r="C107" s="9" t="str">
        <f>IF(and('Actuals - Billing - 2025'!E$345=True,sum('Actuals - Billing - 2025'!AF339:AK339)&gt;0),'Actuals - Billing - 2025'!B339,"")</f>
        <v/>
      </c>
      <c r="D107" s="148" t="str">
        <f>if(and(sum('Actuals - Billing - 2025'!AF339:AK339)&gt;0,C107&lt;&gt;""),'Actuals - Billing - 2025'!$AG$2,"")</f>
        <v/>
      </c>
      <c r="E107" s="11" t="str">
        <f t="array" ref="E107">if($D107="","",index('Actuals - Billing - 2025'!$B107:$AZ1005,Match($C107,'Actuals - Billing - 2025'!$B107:$B1005,0),Match(E$1,'Actuals - Billing - 2025'!$B$2:$AF$2,0)))</f>
        <v/>
      </c>
      <c r="F107" s="11" t="str">
        <f t="array" ref="F107">if($D107="","",index('Actuals - Billing - 2025'!$B107:$AZ1005,Match($C107,'Actuals - Billing - 2025'!$B107:$B1005,0),Match(F$1,'Actuals - Billing - 2025'!$B$2:$AZ$2,0)))</f>
        <v/>
      </c>
      <c r="G107" s="11" t="str">
        <f t="array" ref="G107">if($D107="","",index('Actuals - Billing - 2025'!$B107:$AZ1005,Match($C107,'Actuals - Billing - 2025'!$B107:$B1005,0),Match(G$1,'Actuals - Billing - 2025'!$B$2:$AZ$2,0)))</f>
        <v/>
      </c>
      <c r="H107" s="11"/>
      <c r="I107" s="11"/>
      <c r="J107" s="11" t="str">
        <f t="shared" si="2"/>
        <v/>
      </c>
      <c r="K107" s="149" t="str">
        <f t="shared" si="3"/>
        <v/>
      </c>
      <c r="L107" s="1" t="str">
        <f t="shared" si="4"/>
        <v/>
      </c>
      <c r="M107" s="4" t="str">
        <f t="shared" si="5"/>
        <v/>
      </c>
      <c r="N107" s="17" t="str">
        <f>if(M107&lt;&gt;"",'Actuals - Billing - 2025'!BG339,"")</f>
        <v/>
      </c>
    </row>
    <row r="108">
      <c r="A108" s="7" t="str">
        <f t="shared" si="1"/>
        <v/>
      </c>
      <c r="B108" s="8" t="str">
        <f>if(and('Actuals - Billing - 2025'!E$345=True,C108&lt;&gt;""),'Actuals - Billing - 2025'!C340,"")</f>
        <v/>
      </c>
      <c r="C108" s="9" t="str">
        <f>IF(and('Actuals - Billing - 2025'!E$345=True,sum('Actuals - Billing - 2025'!AF340:AK340)&gt;0),'Actuals - Billing - 2025'!B340,"")</f>
        <v/>
      </c>
      <c r="D108" s="148" t="str">
        <f>if(and(sum('Actuals - Billing - 2025'!AF340:AK340)&gt;0,C108&lt;&gt;""),'Actuals - Billing - 2025'!$AG$2,"")</f>
        <v/>
      </c>
      <c r="E108" s="11" t="str">
        <f t="array" ref="E108">if($D108="","",index('Actuals - Billing - 2025'!$B108:$AZ1006,Match($C108,'Actuals - Billing - 2025'!$B108:$B1006,0),Match(E$1,'Actuals - Billing - 2025'!$B$2:$AF$2,0)))</f>
        <v/>
      </c>
      <c r="F108" s="11" t="str">
        <f t="array" ref="F108">if($D108="","",index('Actuals - Billing - 2025'!$B108:$AZ1006,Match($C108,'Actuals - Billing - 2025'!$B108:$B1006,0),Match(F$1,'Actuals - Billing - 2025'!$B$2:$AZ$2,0)))</f>
        <v/>
      </c>
      <c r="G108" s="11" t="str">
        <f t="array" ref="G108">if($D108="","",index('Actuals - Billing - 2025'!$B108:$AZ1006,Match($C108,'Actuals - Billing - 2025'!$B108:$B1006,0),Match(G$1,'Actuals - Billing - 2025'!$B$2:$AZ$2,0)))</f>
        <v/>
      </c>
      <c r="H108" s="11"/>
      <c r="I108" s="11"/>
      <c r="J108" s="11" t="str">
        <f t="shared" si="2"/>
        <v/>
      </c>
      <c r="K108" s="149" t="str">
        <f t="shared" si="3"/>
        <v/>
      </c>
      <c r="L108" s="1" t="str">
        <f t="shared" si="4"/>
        <v/>
      </c>
      <c r="M108" s="4" t="str">
        <f t="shared" si="5"/>
        <v/>
      </c>
      <c r="N108" s="17" t="str">
        <f>if(M108&lt;&gt;"",'Actuals - Billing - 2025'!BG340,"")</f>
        <v/>
      </c>
    </row>
    <row r="109">
      <c r="A109" s="7" t="str">
        <f t="shared" si="1"/>
        <v/>
      </c>
      <c r="B109" s="8" t="str">
        <f>if(and('Actuals - Billing - 2025'!E$345=True,C109&lt;&gt;""),'Actuals - Billing - 2025'!C341,"")</f>
        <v/>
      </c>
      <c r="C109" s="9" t="str">
        <f>IF(and('Actuals - Billing - 2025'!E$345=True,sum('Actuals - Billing - 2025'!AF341:AK341)&gt;0),'Actuals - Billing - 2025'!B341,"")</f>
        <v/>
      </c>
      <c r="D109" s="148" t="str">
        <f>if(and(sum('Actuals - Billing - 2025'!AF341:AK341)&gt;0,C109&lt;&gt;""),'Actuals - Billing - 2025'!$AG$2,"")</f>
        <v/>
      </c>
      <c r="E109" s="11" t="str">
        <f t="array" ref="E109">if($D109="","",index('Actuals - Billing - 2025'!$B109:$AZ1007,Match($C109,'Actuals - Billing - 2025'!$B109:$B1007,0),Match(E$1,'Actuals - Billing - 2025'!$B$2:$AF$2,0)))</f>
        <v/>
      </c>
      <c r="F109" s="11" t="str">
        <f t="array" ref="F109">if($D109="","",index('Actuals - Billing - 2025'!$B109:$AZ1007,Match($C109,'Actuals - Billing - 2025'!$B109:$B1007,0),Match(F$1,'Actuals - Billing - 2025'!$B$2:$AZ$2,0)))</f>
        <v/>
      </c>
      <c r="G109" s="11" t="str">
        <f t="array" ref="G109">if($D109="","",index('Actuals - Billing - 2025'!$B109:$AZ1007,Match($C109,'Actuals - Billing - 2025'!$B109:$B1007,0),Match(G$1,'Actuals - Billing - 2025'!$B$2:$AZ$2,0)))</f>
        <v/>
      </c>
      <c r="H109" s="11"/>
      <c r="I109" s="11"/>
      <c r="J109" s="11" t="str">
        <f t="shared" si="2"/>
        <v/>
      </c>
      <c r="K109" s="149" t="str">
        <f t="shared" si="3"/>
        <v/>
      </c>
      <c r="L109" s="1" t="str">
        <f t="shared" si="4"/>
        <v/>
      </c>
      <c r="M109" s="4" t="str">
        <f t="shared" si="5"/>
        <v/>
      </c>
      <c r="N109" s="17" t="str">
        <f>if(M109&lt;&gt;"",'Actuals - Billing - 2025'!BG341,"")</f>
        <v/>
      </c>
    </row>
    <row r="110">
      <c r="A110" s="7" t="str">
        <f t="shared" si="1"/>
        <v/>
      </c>
      <c r="B110" s="8" t="str">
        <f>if(and('Actuals - Billing - 2025'!E$345=True,C110&lt;&gt;""),'Actuals - Billing - 2025'!C342,"")</f>
        <v/>
      </c>
      <c r="C110" s="9" t="str">
        <f>IF(and('Actuals - Billing - 2025'!E$345=True,sum('Actuals - Billing - 2025'!AF342:AK342)&gt;0),'Actuals - Billing - 2025'!B342,"")</f>
        <v/>
      </c>
      <c r="D110" s="148" t="str">
        <f>if(and(sum('Actuals - Billing - 2025'!AF342:AK342)&gt;0,C110&lt;&gt;""),'Actuals - Billing - 2025'!$AG$2,"")</f>
        <v/>
      </c>
      <c r="E110" s="11" t="str">
        <f t="array" ref="E110">if($D110="","",index('Actuals - Billing - 2025'!$B110:$AZ1008,Match($C110,'Actuals - Billing - 2025'!$B110:$B1008,0),Match(E$1,'Actuals - Billing - 2025'!$B$2:$AF$2,0)))</f>
        <v/>
      </c>
      <c r="F110" s="11" t="str">
        <f t="array" ref="F110">if($D110="","",index('Actuals - Billing - 2025'!$B110:$AZ1008,Match($C110,'Actuals - Billing - 2025'!$B110:$B1008,0),Match(F$1,'Actuals - Billing - 2025'!$B$2:$AZ$2,0)))</f>
        <v/>
      </c>
      <c r="G110" s="11" t="str">
        <f t="array" ref="G110">if($D110="","",index('Actuals - Billing - 2025'!$B110:$AZ1008,Match($C110,'Actuals - Billing - 2025'!$B110:$B1008,0),Match(G$1,'Actuals - Billing - 2025'!$B$2:$AZ$2,0)))</f>
        <v/>
      </c>
      <c r="H110" s="11"/>
      <c r="I110" s="11"/>
      <c r="J110" s="11" t="str">
        <f t="shared" si="2"/>
        <v/>
      </c>
      <c r="K110" s="149" t="str">
        <f t="shared" si="3"/>
        <v/>
      </c>
      <c r="L110" s="1" t="str">
        <f t="shared" si="4"/>
        <v/>
      </c>
      <c r="M110" s="4" t="str">
        <f t="shared" si="5"/>
        <v/>
      </c>
      <c r="N110" s="17" t="str">
        <f>if(M110&lt;&gt;"",'Actuals - Billing - 2025'!BG342,"")</f>
        <v/>
      </c>
    </row>
    <row r="111">
      <c r="A111" s="7" t="str">
        <f t="shared" si="1"/>
        <v/>
      </c>
      <c r="B111" s="8" t="str">
        <f>if(and('Actuals - Billing - 2025'!E$345=True,C111&lt;&gt;""),'Actuals - Billing - 2025'!C343,"")</f>
        <v/>
      </c>
      <c r="C111" s="9" t="str">
        <f>IF(and('Actuals - Billing - 2025'!E$345=True,sum('Actuals - Billing - 2025'!AF343:AK343)&gt;0),'Actuals - Billing - 2025'!B343,"")</f>
        <v/>
      </c>
      <c r="D111" s="148" t="str">
        <f>if(and(sum('Actuals - Billing - 2025'!AF343:AK343)&gt;0,C111&lt;&gt;""),'Actuals - Billing - 2025'!$AG$2,"")</f>
        <v/>
      </c>
      <c r="E111" s="11" t="str">
        <f t="array" ref="E111">if($D111="","",index('Actuals - Billing - 2025'!$B111:$AZ1009,Match($C111,'Actuals - Billing - 2025'!$B111:$B1009,0),Match(E$1,'Actuals - Billing - 2025'!$B$2:$AF$2,0)))</f>
        <v/>
      </c>
      <c r="F111" s="11" t="str">
        <f t="array" ref="F111">if($D111="","",index('Actuals - Billing - 2025'!$B111:$AZ1009,Match($C111,'Actuals - Billing - 2025'!$B111:$B1009,0),Match(F$1,'Actuals - Billing - 2025'!$B$2:$AZ$2,0)))</f>
        <v/>
      </c>
      <c r="G111" s="11" t="str">
        <f t="array" ref="G111">if($D111="","",index('Actuals - Billing - 2025'!$B111:$AZ1009,Match($C111,'Actuals - Billing - 2025'!$B111:$B1009,0),Match(G$1,'Actuals - Billing - 2025'!$B$2:$AZ$2,0)))</f>
        <v/>
      </c>
      <c r="H111" s="11"/>
      <c r="I111" s="11"/>
      <c r="J111" s="11" t="str">
        <f t="shared" si="2"/>
        <v/>
      </c>
      <c r="K111" s="149" t="str">
        <f t="shared" si="3"/>
        <v/>
      </c>
      <c r="L111" s="1" t="str">
        <f t="shared" si="4"/>
        <v/>
      </c>
      <c r="M111" s="4" t="str">
        <f t="shared" si="5"/>
        <v/>
      </c>
      <c r="N111" s="17" t="str">
        <f>if(M111&lt;&gt;"",'Actuals - Billing - 2025'!BG343,"")</f>
        <v/>
      </c>
    </row>
    <row r="112">
      <c r="A112" s="7" t="str">
        <f t="shared" si="1"/>
        <v/>
      </c>
      <c r="B112" s="8" t="str">
        <f>if(and('Actuals - Billing - 2025'!E$345=True,C112&lt;&gt;""),'Actuals - Billing - 2025'!C344,"")</f>
        <v/>
      </c>
      <c r="C112" s="9" t="str">
        <f>IF(and('Actuals - Billing - 2025'!E$345=True,sum('Actuals - Billing - 2025'!AF344:AK344)&gt;0),'Actuals - Billing - 2025'!B344,"")</f>
        <v/>
      </c>
      <c r="D112" s="148" t="str">
        <f>if(and(sum('Actuals - Billing - 2025'!AF344:AK344)&gt;0,C112&lt;&gt;""),'Actuals - Billing - 2025'!$AG$2,"")</f>
        <v/>
      </c>
      <c r="E112" s="11" t="str">
        <f t="array" ref="E112">if($D112="","",index('Actuals - Billing - 2025'!$B112:$AZ1010,Match($C112,'Actuals - Billing - 2025'!$B112:$B1010,0),Match(E$1,'Actuals - Billing - 2025'!$B$2:$AF$2,0)))</f>
        <v/>
      </c>
      <c r="F112" s="11" t="str">
        <f t="array" ref="F112">if($D112="","",index('Actuals - Billing - 2025'!$B112:$AZ1010,Match($C112,'Actuals - Billing - 2025'!$B112:$B1010,0),Match(F$1,'Actuals - Billing - 2025'!$B$2:$AZ$2,0)))</f>
        <v/>
      </c>
      <c r="G112" s="11" t="str">
        <f t="array" ref="G112">if($D112="","",index('Actuals - Billing - 2025'!$B112:$AZ1010,Match($C112,'Actuals - Billing - 2025'!$B112:$B1010,0),Match(G$1,'Actuals - Billing - 2025'!$B$2:$AZ$2,0)))</f>
        <v/>
      </c>
      <c r="H112" s="11"/>
      <c r="I112" s="11"/>
      <c r="J112" s="11" t="str">
        <f t="shared" si="2"/>
        <v/>
      </c>
      <c r="K112" s="149" t="str">
        <f t="shared" si="3"/>
        <v/>
      </c>
      <c r="L112" s="1" t="str">
        <f t="shared" si="4"/>
        <v/>
      </c>
      <c r="M112" s="4" t="str">
        <f t="shared" si="5"/>
        <v/>
      </c>
      <c r="N112" s="17" t="str">
        <f>if(M112&lt;&gt;"",'Actuals - Billing - 2025'!BG344,"")</f>
        <v/>
      </c>
    </row>
    <row r="113">
      <c r="A113" s="7" t="str">
        <f t="shared" si="1"/>
        <v/>
      </c>
      <c r="B113" s="8" t="str">
        <f>if(and('Actuals - Billing - 2025'!E$345=True,C113&lt;&gt;""),'Actuals - Billing - 2025'!C345,"")</f>
        <v/>
      </c>
      <c r="C113" s="9" t="str">
        <f>IF(and('Actuals - Billing - 2025'!E$345=True,sum('Actuals - Billing - 2025'!AF345:AK345)&gt;0),'Actuals - Billing - 2025'!B345,"")</f>
        <v/>
      </c>
      <c r="D113" s="148" t="str">
        <f>if(and(sum('Actuals - Billing - 2025'!AF345:AK345)&gt;0,C113&lt;&gt;""),'Actuals - Billing - 2025'!$AG$2,"")</f>
        <v/>
      </c>
      <c r="E113" s="11" t="str">
        <f t="array" ref="E113">if($D113="","",index('Actuals - Billing - 2025'!$B113:$AZ1011,Match($C113,'Actuals - Billing - 2025'!$B113:$B1011,0),Match(E$1,'Actuals - Billing - 2025'!$B$2:$AF$2,0)))</f>
        <v/>
      </c>
      <c r="F113" s="11" t="str">
        <f t="array" ref="F113">if($D113="","",index('Actuals - Billing - 2025'!$B113:$AZ1011,Match($C113,'Actuals - Billing - 2025'!$B113:$B1011,0),Match(F$1,'Actuals - Billing - 2025'!$B$2:$AZ$2,0)))</f>
        <v/>
      </c>
      <c r="G113" s="11" t="str">
        <f t="array" ref="G113">if($D113="","",index('Actuals - Billing - 2025'!$B113:$AZ1011,Match($C113,'Actuals - Billing - 2025'!$B113:$B1011,0),Match(G$1,'Actuals - Billing - 2025'!$B$2:$AZ$2,0)))</f>
        <v/>
      </c>
      <c r="H113" s="11"/>
      <c r="I113" s="11"/>
      <c r="J113" s="11" t="str">
        <f t="shared" si="2"/>
        <v/>
      </c>
      <c r="K113" s="149" t="str">
        <f t="shared" si="3"/>
        <v/>
      </c>
      <c r="L113" s="1" t="str">
        <f t="shared" si="4"/>
        <v/>
      </c>
      <c r="M113" s="4" t="str">
        <f t="shared" si="5"/>
        <v/>
      </c>
      <c r="N113" s="17" t="str">
        <f>if(M113&lt;&gt;"",'Actuals - Billing - 2025'!BG345,"")</f>
        <v/>
      </c>
    </row>
    <row r="114">
      <c r="A114" s="7" t="str">
        <f t="shared" si="1"/>
        <v/>
      </c>
      <c r="B114" s="8" t="str">
        <f>if(and('Actuals - Billing - 2025'!E$352=True,C114&lt;&gt;""),'Actuals - Billing - 2025'!C346,"")</f>
        <v/>
      </c>
      <c r="C114" s="9" t="str">
        <f>IF(and('Actuals - Billing - 2025'!E$352=True,sum('Actuals - Billing - 2025'!AF346:AK346)&gt;0),'Actuals - Billing - 2025'!B346,"")</f>
        <v/>
      </c>
      <c r="D114" s="148" t="str">
        <f>if(and(sum('Actuals - Billing - 2025'!AF346:AK346)&gt;0,C114&lt;&gt;""),'Actuals - Billing - 2025'!$AG$2,"")</f>
        <v/>
      </c>
      <c r="E114" s="11" t="str">
        <f t="array" ref="E114">if($D114="","",index('Actuals - Billing - 2025'!$B114:$AZ1012,Match($C114,'Actuals - Billing - 2025'!$B114:$B1012,0),Match(E$1,'Actuals - Billing - 2025'!$B$2:$AF$2,0)))</f>
        <v/>
      </c>
      <c r="F114" s="11" t="str">
        <f t="array" ref="F114">if($D114="","",index('Actuals - Billing - 2025'!$B114:$AZ1012,Match($C114,'Actuals - Billing - 2025'!$B114:$B1012,0),Match(F$1,'Actuals - Billing - 2025'!$B$2:$AZ$2,0)))</f>
        <v/>
      </c>
      <c r="G114" s="11" t="str">
        <f t="array" ref="G114">if($D114="","",index('Actuals - Billing - 2025'!$B114:$AZ1012,Match($C114,'Actuals - Billing - 2025'!$B114:$B1012,0),Match(G$1,'Actuals - Billing - 2025'!$B$2:$AZ$2,0)))</f>
        <v/>
      </c>
      <c r="H114" s="11"/>
      <c r="I114" s="11"/>
      <c r="J114" s="11" t="str">
        <f t="shared" si="2"/>
        <v/>
      </c>
      <c r="K114" s="149" t="str">
        <f t="shared" si="3"/>
        <v/>
      </c>
      <c r="L114" s="1" t="str">
        <f t="shared" si="4"/>
        <v/>
      </c>
      <c r="M114" s="4" t="str">
        <f t="shared" si="5"/>
        <v/>
      </c>
      <c r="N114" s="17" t="str">
        <f>if(M114&lt;&gt;"",'Actuals - Billing - 2025'!BG346,"")</f>
        <v/>
      </c>
    </row>
    <row r="115">
      <c r="A115" s="7" t="str">
        <f t="shared" si="1"/>
        <v/>
      </c>
      <c r="B115" s="8" t="str">
        <f>if(and('Actuals - Billing - 2025'!E$352=True,C115&lt;&gt;""),'Actuals - Billing - 2025'!C347,"")</f>
        <v/>
      </c>
      <c r="C115" s="9" t="str">
        <f>IF(and('Actuals - Billing - 2025'!E$352=True,sum('Actuals - Billing - 2025'!AF347:AK347)&gt;0),'Actuals - Billing - 2025'!B347,"")</f>
        <v/>
      </c>
      <c r="D115" s="148" t="str">
        <f>if(and(sum('Actuals - Billing - 2025'!AF347:AK347)&gt;0,C115&lt;&gt;""),'Actuals - Billing - 2025'!$AG$2,"")</f>
        <v/>
      </c>
      <c r="E115" s="11" t="str">
        <f t="array" ref="E115">if($D115="","",index('Actuals - Billing - 2025'!$B115:$AZ1013,Match($C115,'Actuals - Billing - 2025'!$B115:$B1013,0),Match(E$1,'Actuals - Billing - 2025'!$B$2:$AF$2,0)))</f>
        <v/>
      </c>
      <c r="F115" s="11" t="str">
        <f t="array" ref="F115">if($D115="","",index('Actuals - Billing - 2025'!$B115:$AZ1013,Match($C115,'Actuals - Billing - 2025'!$B115:$B1013,0),Match(F$1,'Actuals - Billing - 2025'!$B$2:$AZ$2,0)))</f>
        <v/>
      </c>
      <c r="G115" s="11" t="str">
        <f t="array" ref="G115">if($D115="","",index('Actuals - Billing - 2025'!$B115:$AZ1013,Match($C115,'Actuals - Billing - 2025'!$B115:$B1013,0),Match(G$1,'Actuals - Billing - 2025'!$B$2:$AZ$2,0)))</f>
        <v/>
      </c>
      <c r="H115" s="11"/>
      <c r="I115" s="11"/>
      <c r="J115" s="11" t="str">
        <f t="shared" si="2"/>
        <v/>
      </c>
      <c r="K115" s="149" t="str">
        <f t="shared" si="3"/>
        <v/>
      </c>
      <c r="L115" s="1" t="str">
        <f t="shared" si="4"/>
        <v/>
      </c>
      <c r="M115" s="4" t="str">
        <f t="shared" si="5"/>
        <v/>
      </c>
      <c r="N115" s="17" t="str">
        <f>if(M115&lt;&gt;"",'Actuals - Billing - 2025'!BG347,"")</f>
        <v/>
      </c>
    </row>
    <row r="116">
      <c r="A116" s="7" t="str">
        <f t="shared" si="1"/>
        <v/>
      </c>
      <c r="B116" s="8" t="str">
        <f>if(and('Actuals - Billing - 2025'!E$352=True,C116&lt;&gt;""),'Actuals - Billing - 2025'!C348,"")</f>
        <v/>
      </c>
      <c r="C116" s="9" t="str">
        <f>IF(and('Actuals - Billing - 2025'!E$352=True,sum('Actuals - Billing - 2025'!AF348:AK348)&gt;0),'Actuals - Billing - 2025'!B348,"")</f>
        <v/>
      </c>
      <c r="D116" s="148" t="str">
        <f>if(and(sum('Actuals - Billing - 2025'!AF348:AK348)&gt;0,C116&lt;&gt;""),'Actuals - Billing - 2025'!$AG$2,"")</f>
        <v/>
      </c>
      <c r="E116" s="11" t="str">
        <f t="array" ref="E116">if($D116="","",index('Actuals - Billing - 2025'!$B116:$AZ1014,Match($C116,'Actuals - Billing - 2025'!$B116:$B1014,0),Match(E$1,'Actuals - Billing - 2025'!$B$2:$AF$2,0)))</f>
        <v/>
      </c>
      <c r="F116" s="11" t="str">
        <f t="array" ref="F116">if($D116="","",index('Actuals - Billing - 2025'!$B116:$AZ1014,Match($C116,'Actuals - Billing - 2025'!$B116:$B1014,0),Match(F$1,'Actuals - Billing - 2025'!$B$2:$AZ$2,0)))</f>
        <v/>
      </c>
      <c r="G116" s="11" t="str">
        <f t="array" ref="G116">if($D116="","",index('Actuals - Billing - 2025'!$B116:$AZ1014,Match($C116,'Actuals - Billing - 2025'!$B116:$B1014,0),Match(G$1,'Actuals - Billing - 2025'!$B$2:$AZ$2,0)))</f>
        <v/>
      </c>
      <c r="H116" s="11"/>
      <c r="I116" s="11"/>
      <c r="J116" s="11" t="str">
        <f t="shared" si="2"/>
        <v/>
      </c>
      <c r="K116" s="149" t="str">
        <f t="shared" si="3"/>
        <v/>
      </c>
      <c r="L116" s="1" t="str">
        <f t="shared" si="4"/>
        <v/>
      </c>
      <c r="M116" s="4" t="str">
        <f t="shared" si="5"/>
        <v/>
      </c>
      <c r="N116" s="17" t="str">
        <f>if(M116&lt;&gt;"",'Actuals - Billing - 2025'!BG348,"")</f>
        <v/>
      </c>
    </row>
    <row r="117">
      <c r="A117" s="7" t="str">
        <f t="shared" si="1"/>
        <v/>
      </c>
      <c r="B117" s="8" t="str">
        <f>if(and('Actuals - Billing - 2025'!E$352=True,C117&lt;&gt;""),'Actuals - Billing - 2025'!C349,"")</f>
        <v/>
      </c>
      <c r="C117" s="9" t="str">
        <f>IF(and('Actuals - Billing - 2025'!E$352=True,sum('Actuals - Billing - 2025'!AF349:AK349)&gt;0),'Actuals - Billing - 2025'!B349,"")</f>
        <v/>
      </c>
      <c r="D117" s="148" t="str">
        <f>if(and(sum('Actuals - Billing - 2025'!AF349:AK349)&gt;0,C117&lt;&gt;""),'Actuals - Billing - 2025'!$AG$2,"")</f>
        <v/>
      </c>
      <c r="E117" s="11" t="str">
        <f t="array" ref="E117">if($D117="","",index('Actuals - Billing - 2025'!$B117:$AZ1015,Match($C117,'Actuals - Billing - 2025'!$B117:$B1015,0),Match(E$1,'Actuals - Billing - 2025'!$B$2:$AF$2,0)))</f>
        <v/>
      </c>
      <c r="F117" s="11" t="str">
        <f t="array" ref="F117">if($D117="","",index('Actuals - Billing - 2025'!$B117:$AZ1015,Match($C117,'Actuals - Billing - 2025'!$B117:$B1015,0),Match(F$1,'Actuals - Billing - 2025'!$B$2:$AZ$2,0)))</f>
        <v/>
      </c>
      <c r="G117" s="11" t="str">
        <f t="array" ref="G117">if($D117="","",index('Actuals - Billing - 2025'!$B117:$AZ1015,Match($C117,'Actuals - Billing - 2025'!$B117:$B1015,0),Match(G$1,'Actuals - Billing - 2025'!$B$2:$AZ$2,0)))</f>
        <v/>
      </c>
      <c r="H117" s="11"/>
      <c r="I117" s="11"/>
      <c r="J117" s="11" t="str">
        <f t="shared" si="2"/>
        <v/>
      </c>
      <c r="K117" s="149" t="str">
        <f t="shared" si="3"/>
        <v/>
      </c>
      <c r="L117" s="1" t="str">
        <f t="shared" si="4"/>
        <v/>
      </c>
      <c r="M117" s="4" t="str">
        <f t="shared" si="5"/>
        <v/>
      </c>
      <c r="N117" s="17" t="str">
        <f>if(M117&lt;&gt;"",'Actuals - Billing - 2025'!BG349,"")</f>
        <v/>
      </c>
    </row>
    <row r="118">
      <c r="A118" s="7" t="str">
        <f t="shared" si="1"/>
        <v/>
      </c>
      <c r="B118" s="8" t="str">
        <f>if(and('Actuals - Billing - 2025'!E$352=True,C118&lt;&gt;""),'Actuals - Billing - 2025'!C350,"")</f>
        <v/>
      </c>
      <c r="C118" s="9" t="str">
        <f>IF(and('Actuals - Billing - 2025'!E$352=True,sum('Actuals - Billing - 2025'!AF350:AK350)&gt;0),'Actuals - Billing - 2025'!B350,"")</f>
        <v/>
      </c>
      <c r="D118" s="148" t="str">
        <f>if(and(sum('Actuals - Billing - 2025'!AF350:AK350)&gt;0,C118&lt;&gt;""),'Actuals - Billing - 2025'!$AG$2,"")</f>
        <v/>
      </c>
      <c r="E118" s="11" t="str">
        <f t="array" ref="E118">if($D118="","",index('Actuals - Billing - 2025'!$B118:$AZ1016,Match($C118,'Actuals - Billing - 2025'!$B118:$B1016,0),Match(E$1,'Actuals - Billing - 2025'!$B$2:$AF$2,0)))</f>
        <v/>
      </c>
      <c r="F118" s="11" t="str">
        <f t="array" ref="F118">if($D118="","",index('Actuals - Billing - 2025'!$B118:$AZ1016,Match($C118,'Actuals - Billing - 2025'!$B118:$B1016,0),Match(F$1,'Actuals - Billing - 2025'!$B$2:$AZ$2,0)))</f>
        <v/>
      </c>
      <c r="G118" s="11" t="str">
        <f t="array" ref="G118">if($D118="","",index('Actuals - Billing - 2025'!$B118:$AZ1016,Match($C118,'Actuals - Billing - 2025'!$B118:$B1016,0),Match(G$1,'Actuals - Billing - 2025'!$B$2:$AZ$2,0)))</f>
        <v/>
      </c>
      <c r="H118" s="11"/>
      <c r="I118" s="11"/>
      <c r="J118" s="11" t="str">
        <f t="shared" si="2"/>
        <v/>
      </c>
      <c r="K118" s="149" t="str">
        <f t="shared" si="3"/>
        <v/>
      </c>
      <c r="L118" s="1" t="str">
        <f t="shared" si="4"/>
        <v/>
      </c>
      <c r="M118" s="4" t="str">
        <f t="shared" si="5"/>
        <v/>
      </c>
      <c r="N118" s="17" t="str">
        <f>if(M118&lt;&gt;"",'Actuals - Billing - 2025'!BG350,"")</f>
        <v/>
      </c>
    </row>
    <row r="119">
      <c r="A119" s="7" t="str">
        <f t="shared" si="1"/>
        <v/>
      </c>
      <c r="B119" s="8" t="str">
        <f>if(and('Actuals - Billing - 2025'!E$352=True,C119&lt;&gt;""),'Actuals - Billing - 2025'!C351,"")</f>
        <v/>
      </c>
      <c r="C119" s="9" t="str">
        <f>IF(and('Actuals - Billing - 2025'!E$352=True,sum('Actuals - Billing - 2025'!AF351:AK351)&gt;0),'Actuals - Billing - 2025'!B351,"")</f>
        <v/>
      </c>
      <c r="D119" s="148" t="str">
        <f>if(and(sum('Actuals - Billing - 2025'!AF351:AK351)&gt;0,C119&lt;&gt;""),'Actuals - Billing - 2025'!$AG$2,"")</f>
        <v/>
      </c>
      <c r="E119" s="11" t="str">
        <f t="array" ref="E119">if($D119="","",index('Actuals - Billing - 2025'!$B119:$AZ1017,Match($C119,'Actuals - Billing - 2025'!$B119:$B1017,0),Match(E$1,'Actuals - Billing - 2025'!$B$2:$AF$2,0)))</f>
        <v/>
      </c>
      <c r="F119" s="11" t="str">
        <f t="array" ref="F119">if($D119="","",index('Actuals - Billing - 2025'!$B119:$AZ1017,Match($C119,'Actuals - Billing - 2025'!$B119:$B1017,0),Match(F$1,'Actuals - Billing - 2025'!$B$2:$AZ$2,0)))</f>
        <v/>
      </c>
      <c r="G119" s="11" t="str">
        <f t="array" ref="G119">if($D119="","",index('Actuals - Billing - 2025'!$B119:$AZ1017,Match($C119,'Actuals - Billing - 2025'!$B119:$B1017,0),Match(G$1,'Actuals - Billing - 2025'!$B$2:$AZ$2,0)))</f>
        <v/>
      </c>
      <c r="H119" s="11"/>
      <c r="I119" s="11"/>
      <c r="J119" s="11" t="str">
        <f t="shared" si="2"/>
        <v/>
      </c>
      <c r="K119" s="149" t="str">
        <f t="shared" si="3"/>
        <v/>
      </c>
      <c r="L119" s="1" t="str">
        <f t="shared" si="4"/>
        <v/>
      </c>
      <c r="M119" s="4" t="str">
        <f t="shared" si="5"/>
        <v/>
      </c>
      <c r="N119" s="17" t="str">
        <f>if(M119&lt;&gt;"",'Actuals - Billing - 2025'!BG351,"")</f>
        <v/>
      </c>
    </row>
    <row r="120">
      <c r="A120" s="7" t="str">
        <f t="shared" si="1"/>
        <v/>
      </c>
      <c r="B120" s="8" t="str">
        <f>if(and('Actuals - Billing - 2025'!E$352=True,C120&lt;&gt;""),'Actuals - Billing - 2025'!C352,"")</f>
        <v/>
      </c>
      <c r="C120" s="9" t="str">
        <f>IF(and('Actuals - Billing - 2025'!E$352=True,sum('Actuals - Billing - 2025'!AF352:AK352)&gt;0),'Actuals - Billing - 2025'!B352,"")</f>
        <v/>
      </c>
      <c r="D120" s="148" t="str">
        <f>if(and(sum('Actuals - Billing - 2025'!AF352:AK352)&gt;0,C120&lt;&gt;""),'Actuals - Billing - 2025'!$AG$2,"")</f>
        <v/>
      </c>
      <c r="E120" s="11" t="str">
        <f t="array" ref="E120">if($D120="","",index('Actuals - Billing - 2025'!$B120:$AZ1018,Match($C120,'Actuals - Billing - 2025'!$B120:$B1018,0),Match(E$1,'Actuals - Billing - 2025'!$B$2:$AF$2,0)))</f>
        <v/>
      </c>
      <c r="F120" s="11" t="str">
        <f t="array" ref="F120">if($D120="","",index('Actuals - Billing - 2025'!$B120:$AZ1018,Match($C120,'Actuals - Billing - 2025'!$B120:$B1018,0),Match(F$1,'Actuals - Billing - 2025'!$B$2:$AZ$2,0)))</f>
        <v/>
      </c>
      <c r="G120" s="11" t="str">
        <f t="array" ref="G120">if($D120="","",index('Actuals - Billing - 2025'!$B120:$AZ1018,Match($C120,'Actuals - Billing - 2025'!$B120:$B1018,0),Match(G$1,'Actuals - Billing - 2025'!$B$2:$AZ$2,0)))</f>
        <v/>
      </c>
      <c r="H120" s="11"/>
      <c r="I120" s="11"/>
      <c r="J120" s="11" t="str">
        <f t="shared" si="2"/>
        <v/>
      </c>
      <c r="K120" s="149" t="str">
        <f t="shared" si="3"/>
        <v/>
      </c>
      <c r="L120" s="1" t="str">
        <f t="shared" si="4"/>
        <v/>
      </c>
      <c r="M120" s="4" t="str">
        <f t="shared" si="5"/>
        <v/>
      </c>
      <c r="N120" s="17" t="str">
        <f>if(M120&lt;&gt;"",'Actuals - Billing - 2025'!BG352,"")</f>
        <v/>
      </c>
    </row>
    <row r="121">
      <c r="A121" s="7" t="str">
        <f t="shared" si="1"/>
        <v/>
      </c>
      <c r="B121" s="8" t="str">
        <f>if(and('Actuals - Billing - 2025'!E$359=True,C121&lt;&gt;""),'Actuals - Billing - 2025'!C353,"")</f>
        <v/>
      </c>
      <c r="C121" s="9" t="str">
        <f>IF(and('Actuals - Billing - 2025'!E$359=True,sum('Actuals - Billing - 2025'!AF353:AK353)&gt;0),'Actuals - Billing - 2025'!B353,"")</f>
        <v/>
      </c>
      <c r="D121" s="148" t="str">
        <f>if(and(sum('Actuals - Billing - 2025'!AF353:AK353)&gt;0,C121&lt;&gt;""),'Actuals - Billing - 2025'!$AG$2,"")</f>
        <v/>
      </c>
      <c r="E121" s="11" t="str">
        <f t="array" ref="E121">if($D121="","",index('Actuals - Billing - 2025'!$B121:$AZ1019,Match($C121,'Actuals - Billing - 2025'!$B121:$B1019,0),Match(E$1,'Actuals - Billing - 2025'!$B$2:$AF$2,0)))</f>
        <v/>
      </c>
      <c r="F121" s="11" t="str">
        <f t="array" ref="F121">if($D121="","",index('Actuals - Billing - 2025'!$B121:$AZ1019,Match($C121,'Actuals - Billing - 2025'!$B121:$B1019,0),Match(F$1,'Actuals - Billing - 2025'!$B$2:$AZ$2,0)))</f>
        <v/>
      </c>
      <c r="G121" s="11" t="str">
        <f t="array" ref="G121">if($D121="","",index('Actuals - Billing - 2025'!$B121:$AZ1019,Match($C121,'Actuals - Billing - 2025'!$B121:$B1019,0),Match(G$1,'Actuals - Billing - 2025'!$B$2:$AZ$2,0)))</f>
        <v/>
      </c>
      <c r="H121" s="11"/>
      <c r="I121" s="11"/>
      <c r="J121" s="11" t="str">
        <f t="shared" si="2"/>
        <v/>
      </c>
      <c r="K121" s="149" t="str">
        <f t="shared" si="3"/>
        <v/>
      </c>
      <c r="L121" s="1" t="str">
        <f t="shared" si="4"/>
        <v/>
      </c>
      <c r="M121" s="4" t="str">
        <f t="shared" si="5"/>
        <v/>
      </c>
      <c r="N121" s="17" t="str">
        <f>if(M121&lt;&gt;"",'Actuals - Billing - 2025'!BG353,"")</f>
        <v/>
      </c>
    </row>
    <row r="122">
      <c r="A122" s="7" t="str">
        <f t="shared" si="1"/>
        <v/>
      </c>
      <c r="B122" s="8" t="str">
        <f>if(and('Actuals - Billing - 2025'!E$359=True,C122&lt;&gt;""),'Actuals - Billing - 2025'!C354,"")</f>
        <v/>
      </c>
      <c r="C122" s="9" t="str">
        <f>IF(and('Actuals - Billing - 2025'!E$359=True,sum('Actuals - Billing - 2025'!AF354:AK354)&gt;0),'Actuals - Billing - 2025'!B354,"")</f>
        <v/>
      </c>
      <c r="D122" s="148" t="str">
        <f>if(and(sum('Actuals - Billing - 2025'!AF354:AK354)&gt;0,C122&lt;&gt;""),'Actuals - Billing - 2025'!$AG$2,"")</f>
        <v/>
      </c>
      <c r="E122" s="11" t="str">
        <f t="array" ref="E122">if($D122="","",index('Actuals - Billing - 2025'!$B122:$AZ1020,Match($C122,'Actuals - Billing - 2025'!$B122:$B1020,0),Match(E$1,'Actuals - Billing - 2025'!$B$2:$AF$2,0)))</f>
        <v/>
      </c>
      <c r="F122" s="11" t="str">
        <f t="array" ref="F122">if($D122="","",index('Actuals - Billing - 2025'!$B122:$AZ1020,Match($C122,'Actuals - Billing - 2025'!$B122:$B1020,0),Match(F$1,'Actuals - Billing - 2025'!$B$2:$AZ$2,0)))</f>
        <v/>
      </c>
      <c r="G122" s="11" t="str">
        <f t="array" ref="G122">if($D122="","",index('Actuals - Billing - 2025'!$B122:$AZ1020,Match($C122,'Actuals - Billing - 2025'!$B122:$B1020,0),Match(G$1,'Actuals - Billing - 2025'!$B$2:$AZ$2,0)))</f>
        <v/>
      </c>
      <c r="H122" s="11"/>
      <c r="I122" s="11"/>
      <c r="J122" s="11" t="str">
        <f t="shared" si="2"/>
        <v/>
      </c>
      <c r="K122" s="149" t="str">
        <f t="shared" si="3"/>
        <v/>
      </c>
      <c r="L122" s="1" t="str">
        <f t="shared" si="4"/>
        <v/>
      </c>
      <c r="M122" s="4" t="str">
        <f t="shared" si="5"/>
        <v/>
      </c>
      <c r="N122" s="17" t="str">
        <f>if(M122&lt;&gt;"",'Actuals - Billing - 2025'!BG354,"")</f>
        <v/>
      </c>
    </row>
    <row r="123">
      <c r="A123" s="7" t="str">
        <f t="shared" si="1"/>
        <v/>
      </c>
      <c r="B123" s="8" t="str">
        <f>if(and('Actuals - Billing - 2025'!E$359=True,C123&lt;&gt;""),'Actuals - Billing - 2025'!C355,"")</f>
        <v/>
      </c>
      <c r="C123" s="9" t="str">
        <f>IF(and('Actuals - Billing - 2025'!E$359=True,sum('Actuals - Billing - 2025'!AF355:AK355)&gt;0),'Actuals - Billing - 2025'!B355,"")</f>
        <v/>
      </c>
      <c r="D123" s="148" t="str">
        <f>if(and(sum('Actuals - Billing - 2025'!AF355:AK355)&gt;0,C123&lt;&gt;""),'Actuals - Billing - 2025'!$AG$2,"")</f>
        <v/>
      </c>
      <c r="E123" s="11" t="str">
        <f t="array" ref="E123">if($D123="","",index('Actuals - Billing - 2025'!$B123:$AZ1021,Match($C123,'Actuals - Billing - 2025'!$B123:$B1021,0),Match(E$1,'Actuals - Billing - 2025'!$B$2:$AF$2,0)))</f>
        <v/>
      </c>
      <c r="F123" s="11" t="str">
        <f t="array" ref="F123">if($D123="","",index('Actuals - Billing - 2025'!$B123:$AZ1021,Match($C123,'Actuals - Billing - 2025'!$B123:$B1021,0),Match(F$1,'Actuals - Billing - 2025'!$B$2:$AZ$2,0)))</f>
        <v/>
      </c>
      <c r="G123" s="11" t="str">
        <f t="array" ref="G123">if($D123="","",index('Actuals - Billing - 2025'!$B123:$AZ1021,Match($C123,'Actuals - Billing - 2025'!$B123:$B1021,0),Match(G$1,'Actuals - Billing - 2025'!$B$2:$AZ$2,0)))</f>
        <v/>
      </c>
      <c r="H123" s="11"/>
      <c r="I123" s="11"/>
      <c r="J123" s="11" t="str">
        <f t="shared" si="2"/>
        <v/>
      </c>
      <c r="K123" s="149" t="str">
        <f t="shared" si="3"/>
        <v/>
      </c>
      <c r="L123" s="1" t="str">
        <f t="shared" si="4"/>
        <v/>
      </c>
      <c r="M123" s="4" t="str">
        <f t="shared" si="5"/>
        <v/>
      </c>
      <c r="N123" s="17" t="str">
        <f>if(M123&lt;&gt;"",'Actuals - Billing - 2025'!BG355,"")</f>
        <v/>
      </c>
    </row>
    <row r="124">
      <c r="A124" s="7" t="str">
        <f t="shared" si="1"/>
        <v/>
      </c>
      <c r="B124" s="8" t="str">
        <f>if(and('Actuals - Billing - 2025'!E$359=True,C124&lt;&gt;""),'Actuals - Billing - 2025'!C356,"")</f>
        <v/>
      </c>
      <c r="C124" s="9" t="str">
        <f>IF(and('Actuals - Billing - 2025'!E$359=True,sum('Actuals - Billing - 2025'!AF356:AK356)&gt;0),'Actuals - Billing - 2025'!B356,"")</f>
        <v/>
      </c>
      <c r="D124" s="148" t="str">
        <f>if(and(sum('Actuals - Billing - 2025'!AF356:AK356)&gt;0,C124&lt;&gt;""),'Actuals - Billing - 2025'!$AG$2,"")</f>
        <v/>
      </c>
      <c r="E124" s="11" t="str">
        <f t="array" ref="E124">if($D124="","",index('Actuals - Billing - 2025'!$B124:$AZ1022,Match($C124,'Actuals - Billing - 2025'!$B124:$B1022,0),Match(E$1,'Actuals - Billing - 2025'!$B$2:$AF$2,0)))</f>
        <v/>
      </c>
      <c r="F124" s="11" t="str">
        <f t="array" ref="F124">if($D124="","",index('Actuals - Billing - 2025'!$B124:$AZ1022,Match($C124,'Actuals - Billing - 2025'!$B124:$B1022,0),Match(F$1,'Actuals - Billing - 2025'!$B$2:$AZ$2,0)))</f>
        <v/>
      </c>
      <c r="G124" s="11" t="str">
        <f t="array" ref="G124">if($D124="","",index('Actuals - Billing - 2025'!$B124:$AZ1022,Match($C124,'Actuals - Billing - 2025'!$B124:$B1022,0),Match(G$1,'Actuals - Billing - 2025'!$B$2:$AZ$2,0)))</f>
        <v/>
      </c>
      <c r="H124" s="11"/>
      <c r="I124" s="11"/>
      <c r="J124" s="11" t="str">
        <f t="shared" si="2"/>
        <v/>
      </c>
      <c r="K124" s="149" t="str">
        <f t="shared" si="3"/>
        <v/>
      </c>
      <c r="L124" s="1" t="str">
        <f t="shared" si="4"/>
        <v/>
      </c>
      <c r="M124" s="4" t="str">
        <f t="shared" si="5"/>
        <v/>
      </c>
      <c r="N124" s="17" t="str">
        <f>if(M124&lt;&gt;"",'Actuals - Billing - 2025'!BG356,"")</f>
        <v/>
      </c>
    </row>
    <row r="125">
      <c r="A125" s="7" t="str">
        <f t="shared" si="1"/>
        <v/>
      </c>
      <c r="B125" s="8" t="str">
        <f>if(and('Actuals - Billing - 2025'!E$359=True,C125&lt;&gt;""),'Actuals - Billing - 2025'!C357,"")</f>
        <v/>
      </c>
      <c r="C125" s="9" t="str">
        <f>IF(and('Actuals - Billing - 2025'!E$359=True,sum('Actuals - Billing - 2025'!AF357:AK357)&gt;0),'Actuals - Billing - 2025'!B357,"")</f>
        <v/>
      </c>
      <c r="D125" s="148" t="str">
        <f>if(and(sum('Actuals - Billing - 2025'!AF357:AK357)&gt;0,C125&lt;&gt;""),'Actuals - Billing - 2025'!$AG$2,"")</f>
        <v/>
      </c>
      <c r="E125" s="11" t="str">
        <f t="array" ref="E125">if($D125="","",index('Actuals - Billing - 2025'!$B125:$AZ1023,Match($C125,'Actuals - Billing - 2025'!$B125:$B1023,0),Match(E$1,'Actuals - Billing - 2025'!$B$2:$AF$2,0)))</f>
        <v/>
      </c>
      <c r="F125" s="11" t="str">
        <f t="array" ref="F125">if($D125="","",index('Actuals - Billing - 2025'!$B125:$AZ1023,Match($C125,'Actuals - Billing - 2025'!$B125:$B1023,0),Match(F$1,'Actuals - Billing - 2025'!$B$2:$AZ$2,0)))</f>
        <v/>
      </c>
      <c r="G125" s="11" t="str">
        <f t="array" ref="G125">if($D125="","",index('Actuals - Billing - 2025'!$B125:$AZ1023,Match($C125,'Actuals - Billing - 2025'!$B125:$B1023,0),Match(G$1,'Actuals - Billing - 2025'!$B$2:$AZ$2,0)))</f>
        <v/>
      </c>
      <c r="H125" s="11"/>
      <c r="I125" s="11"/>
      <c r="J125" s="11" t="str">
        <f t="shared" si="2"/>
        <v/>
      </c>
      <c r="K125" s="149" t="str">
        <f t="shared" si="3"/>
        <v/>
      </c>
      <c r="L125" s="1" t="str">
        <f t="shared" si="4"/>
        <v/>
      </c>
      <c r="M125" s="4" t="str">
        <f t="shared" si="5"/>
        <v/>
      </c>
      <c r="N125" s="17" t="str">
        <f>if(M125&lt;&gt;"",'Actuals - Billing - 2025'!BG357,"")</f>
        <v/>
      </c>
    </row>
    <row r="126">
      <c r="A126" s="7" t="str">
        <f t="shared" si="1"/>
        <v/>
      </c>
      <c r="B126" s="8" t="str">
        <f>if(and('Actuals - Billing - 2025'!E$359=True,C126&lt;&gt;""),'Actuals - Billing - 2025'!C358,"")</f>
        <v/>
      </c>
      <c r="C126" s="9" t="str">
        <f>IF(and('Actuals - Billing - 2025'!E$359=True,sum('Actuals - Billing - 2025'!AF358:AK358)&gt;0),'Actuals - Billing - 2025'!B358,"")</f>
        <v/>
      </c>
      <c r="D126" s="148" t="str">
        <f>if(and(sum('Actuals - Billing - 2025'!AF358:AK358)&gt;0,C126&lt;&gt;""),'Actuals - Billing - 2025'!$AG$2,"")</f>
        <v/>
      </c>
      <c r="E126" s="11" t="str">
        <f t="array" ref="E126">if($D126="","",index('Actuals - Billing - 2025'!$B126:$AZ1024,Match($C126,'Actuals - Billing - 2025'!$B126:$B1024,0),Match(E$1,'Actuals - Billing - 2025'!$B$2:$AF$2,0)))</f>
        <v/>
      </c>
      <c r="F126" s="11" t="str">
        <f t="array" ref="F126">if($D126="","",index('Actuals - Billing - 2025'!$B126:$AZ1024,Match($C126,'Actuals - Billing - 2025'!$B126:$B1024,0),Match(F$1,'Actuals - Billing - 2025'!$B$2:$AZ$2,0)))</f>
        <v/>
      </c>
      <c r="G126" s="11" t="str">
        <f t="array" ref="G126">if($D126="","",index('Actuals - Billing - 2025'!$B126:$AZ1024,Match($C126,'Actuals - Billing - 2025'!$B126:$B1024,0),Match(G$1,'Actuals - Billing - 2025'!$B$2:$AZ$2,0)))</f>
        <v/>
      </c>
      <c r="H126" s="11"/>
      <c r="I126" s="11"/>
      <c r="J126" s="11" t="str">
        <f t="shared" si="2"/>
        <v/>
      </c>
      <c r="K126" s="149" t="str">
        <f t="shared" si="3"/>
        <v/>
      </c>
      <c r="L126" s="1" t="str">
        <f t="shared" si="4"/>
        <v/>
      </c>
      <c r="M126" s="4" t="str">
        <f t="shared" si="5"/>
        <v/>
      </c>
      <c r="N126" s="17" t="str">
        <f>if(M126&lt;&gt;"",'Actuals - Billing - 2025'!BG358,"")</f>
        <v/>
      </c>
    </row>
    <row r="127">
      <c r="A127" s="7" t="str">
        <f t="shared" si="1"/>
        <v/>
      </c>
      <c r="B127" s="8" t="str">
        <f>if(and('Actuals - Billing - 2025'!E$359=True,C127&lt;&gt;""),'Actuals - Billing - 2025'!C359,"")</f>
        <v/>
      </c>
      <c r="C127" s="9" t="str">
        <f>IF(and('Actuals - Billing - 2025'!E$359=True,sum('Actuals - Billing - 2025'!AF359:AK359)&gt;0),'Actuals - Billing - 2025'!B359,"")</f>
        <v/>
      </c>
      <c r="D127" s="148" t="str">
        <f>if(and(sum('Actuals - Billing - 2025'!AF359:AK359)&gt;0,C127&lt;&gt;""),'Actuals - Billing - 2025'!$AG$2,"")</f>
        <v/>
      </c>
      <c r="E127" s="11" t="str">
        <f t="array" ref="E127">if($D127="","",index('Actuals - Billing - 2025'!$B127:$AZ1025,Match($C127,'Actuals - Billing - 2025'!$B127:$B1025,0),Match(E$1,'Actuals - Billing - 2025'!$B$2:$AF$2,0)))</f>
        <v/>
      </c>
      <c r="F127" s="11" t="str">
        <f t="array" ref="F127">if($D127="","",index('Actuals - Billing - 2025'!$B127:$AZ1025,Match($C127,'Actuals - Billing - 2025'!$B127:$B1025,0),Match(F$1,'Actuals - Billing - 2025'!$B$2:$AZ$2,0)))</f>
        <v/>
      </c>
      <c r="G127" s="11" t="str">
        <f t="array" ref="G127">if($D127="","",index('Actuals - Billing - 2025'!$B127:$AZ1025,Match($C127,'Actuals - Billing - 2025'!$B127:$B1025,0),Match(G$1,'Actuals - Billing - 2025'!$B$2:$AZ$2,0)))</f>
        <v/>
      </c>
      <c r="H127" s="11"/>
      <c r="I127" s="11"/>
      <c r="J127" s="11" t="str">
        <f t="shared" si="2"/>
        <v/>
      </c>
      <c r="K127" s="149" t="str">
        <f t="shared" si="3"/>
        <v/>
      </c>
      <c r="L127" s="1" t="str">
        <f t="shared" si="4"/>
        <v/>
      </c>
      <c r="M127" s="4" t="str">
        <f t="shared" si="5"/>
        <v/>
      </c>
      <c r="N127" s="17" t="str">
        <f>if(M127&lt;&gt;"",'Actuals - Billing - 2025'!BG359,"")</f>
        <v/>
      </c>
    </row>
    <row r="128">
      <c r="A128" s="7" t="str">
        <f t="shared" si="1"/>
        <v/>
      </c>
      <c r="B128" s="8" t="str">
        <f>if(and('Actuals - Billing - 2025'!E$366=True,C128&lt;&gt;""),'Actuals - Billing - 2025'!C360,"")</f>
        <v/>
      </c>
      <c r="C128" s="9" t="str">
        <f>IF(and('Actuals - Billing - 2025'!E$366=True,sum('Actuals - Billing - 2025'!AF360:AK360)&gt;0),'Actuals - Billing - 2025'!B360,"")</f>
        <v/>
      </c>
      <c r="D128" s="148" t="str">
        <f>if(and(sum('Actuals - Billing - 2025'!AF360:AK360)&gt;0,C128&lt;&gt;""),'Actuals - Billing - 2025'!$AG$2,"")</f>
        <v/>
      </c>
      <c r="E128" s="11" t="str">
        <f t="array" ref="E128">if($D128="","",index('Actuals - Billing - 2025'!$B128:$AZ1026,Match($C128,'Actuals - Billing - 2025'!$B128:$B1026,0),Match(E$1,'Actuals - Billing - 2025'!$B$2:$AF$2,0)))</f>
        <v/>
      </c>
      <c r="F128" s="11" t="str">
        <f t="array" ref="F128">if($D128="","",index('Actuals - Billing - 2025'!$B128:$AZ1026,Match($C128,'Actuals - Billing - 2025'!$B128:$B1026,0),Match(F$1,'Actuals - Billing - 2025'!$B$2:$AZ$2,0)))</f>
        <v/>
      </c>
      <c r="G128" s="11" t="str">
        <f t="array" ref="G128">if($D128="","",index('Actuals - Billing - 2025'!$B128:$AZ1026,Match($C128,'Actuals - Billing - 2025'!$B128:$B1026,0),Match(G$1,'Actuals - Billing - 2025'!$B$2:$AZ$2,0)))</f>
        <v/>
      </c>
      <c r="H128" s="11"/>
      <c r="I128" s="11"/>
      <c r="J128" s="11" t="str">
        <f t="shared" si="2"/>
        <v/>
      </c>
      <c r="K128" s="149" t="str">
        <f t="shared" si="3"/>
        <v/>
      </c>
      <c r="L128" s="1" t="str">
        <f t="shared" si="4"/>
        <v/>
      </c>
      <c r="M128" s="4" t="str">
        <f t="shared" si="5"/>
        <v/>
      </c>
      <c r="N128" s="17" t="str">
        <f>if(M128&lt;&gt;"",'Actuals - Billing - 2025'!BG360,"")</f>
        <v/>
      </c>
    </row>
    <row r="129">
      <c r="A129" s="7" t="str">
        <f t="shared" si="1"/>
        <v/>
      </c>
      <c r="B129" s="8" t="str">
        <f>if(and('Actuals - Billing - 2025'!E$366=True,C129&lt;&gt;""),'Actuals - Billing - 2025'!C361,"")</f>
        <v/>
      </c>
      <c r="C129" s="9" t="str">
        <f>IF(and('Actuals - Billing - 2025'!E$366=True,sum('Actuals - Billing - 2025'!AF361:AK361)&gt;0),'Actuals - Billing - 2025'!B361,"")</f>
        <v/>
      </c>
      <c r="D129" s="148" t="str">
        <f>if(and(sum('Actuals - Billing - 2025'!AF361:AK361)&gt;0,C129&lt;&gt;""),'Actuals - Billing - 2025'!$AG$2,"")</f>
        <v/>
      </c>
      <c r="E129" s="11" t="str">
        <f t="array" ref="E129">if($D129="","",index('Actuals - Billing - 2025'!$B129:$AZ1027,Match($C129,'Actuals - Billing - 2025'!$B129:$B1027,0),Match(E$1,'Actuals - Billing - 2025'!$B$2:$AF$2,0)))</f>
        <v/>
      </c>
      <c r="F129" s="11" t="str">
        <f t="array" ref="F129">if($D129="","",index('Actuals - Billing - 2025'!$B129:$AZ1027,Match($C129,'Actuals - Billing - 2025'!$B129:$B1027,0),Match(F$1,'Actuals - Billing - 2025'!$B$2:$AZ$2,0)))</f>
        <v/>
      </c>
      <c r="G129" s="11" t="str">
        <f t="array" ref="G129">if($D129="","",index('Actuals - Billing - 2025'!$B129:$AZ1027,Match($C129,'Actuals - Billing - 2025'!$B129:$B1027,0),Match(G$1,'Actuals - Billing - 2025'!$B$2:$AZ$2,0)))</f>
        <v/>
      </c>
      <c r="H129" s="11"/>
      <c r="I129" s="11"/>
      <c r="J129" s="11" t="str">
        <f t="shared" si="2"/>
        <v/>
      </c>
      <c r="K129" s="149" t="str">
        <f t="shared" si="3"/>
        <v/>
      </c>
      <c r="L129" s="1" t="str">
        <f t="shared" si="4"/>
        <v/>
      </c>
      <c r="M129" s="4" t="str">
        <f t="shared" si="5"/>
        <v/>
      </c>
      <c r="N129" s="17" t="str">
        <f>if(M129&lt;&gt;"",'Actuals - Billing - 2025'!BG361,"")</f>
        <v/>
      </c>
    </row>
    <row r="130">
      <c r="A130" s="7" t="str">
        <f t="shared" si="1"/>
        <v/>
      </c>
      <c r="B130" s="8" t="str">
        <f>if(and('Actuals - Billing - 2025'!E$366=True,C130&lt;&gt;""),'Actuals - Billing - 2025'!C362,"")</f>
        <v/>
      </c>
      <c r="C130" s="9" t="str">
        <f>IF(and('Actuals - Billing - 2025'!E$366=True,sum('Actuals - Billing - 2025'!AF362:AK362)&gt;0),'Actuals - Billing - 2025'!B362,"")</f>
        <v/>
      </c>
      <c r="D130" s="148" t="str">
        <f>if(and(sum('Actuals - Billing - 2025'!AF362:AK362)&gt;0,C130&lt;&gt;""),'Actuals - Billing - 2025'!$AG$2,"")</f>
        <v/>
      </c>
      <c r="E130" s="11" t="str">
        <f t="array" ref="E130">if($D130="","",index('Actuals - Billing - 2025'!$B130:$AZ1028,Match($C130,'Actuals - Billing - 2025'!$B130:$B1028,0),Match(E$1,'Actuals - Billing - 2025'!$B$2:$AF$2,0)))</f>
        <v/>
      </c>
      <c r="F130" s="11" t="str">
        <f t="array" ref="F130">if($D130="","",index('Actuals - Billing - 2025'!$B130:$AZ1028,Match($C130,'Actuals - Billing - 2025'!$B130:$B1028,0),Match(F$1,'Actuals - Billing - 2025'!$B$2:$AZ$2,0)))</f>
        <v/>
      </c>
      <c r="G130" s="11" t="str">
        <f t="array" ref="G130">if($D130="","",index('Actuals - Billing - 2025'!$B130:$AZ1028,Match($C130,'Actuals - Billing - 2025'!$B130:$B1028,0),Match(G$1,'Actuals - Billing - 2025'!$B$2:$AZ$2,0)))</f>
        <v/>
      </c>
      <c r="H130" s="11"/>
      <c r="I130" s="11"/>
      <c r="J130" s="11" t="str">
        <f t="shared" si="2"/>
        <v/>
      </c>
      <c r="K130" s="149" t="str">
        <f t="shared" si="3"/>
        <v/>
      </c>
      <c r="L130" s="1" t="str">
        <f t="shared" si="4"/>
        <v/>
      </c>
      <c r="M130" s="4" t="str">
        <f t="shared" si="5"/>
        <v/>
      </c>
      <c r="N130" s="17" t="str">
        <f>if(M130&lt;&gt;"",'Actuals - Billing - 2025'!BG362,"")</f>
        <v/>
      </c>
    </row>
    <row r="131">
      <c r="A131" s="7" t="str">
        <f t="shared" si="1"/>
        <v/>
      </c>
      <c r="B131" s="8" t="str">
        <f>if(and('Actuals - Billing - 2025'!E$366=True,C131&lt;&gt;""),'Actuals - Billing - 2025'!C363,"")</f>
        <v/>
      </c>
      <c r="C131" s="9" t="str">
        <f>IF(and('Actuals - Billing - 2025'!E$366=True,sum('Actuals - Billing - 2025'!AF363:AK363)&gt;0),'Actuals - Billing - 2025'!B363,"")</f>
        <v/>
      </c>
      <c r="D131" s="148" t="str">
        <f>if(and(sum('Actuals - Billing - 2025'!AF363:AK363)&gt;0,C131&lt;&gt;""),'Actuals - Billing - 2025'!$AG$2,"")</f>
        <v/>
      </c>
      <c r="E131" s="11" t="str">
        <f t="array" ref="E131">if($D131="","",index('Actuals - Billing - 2025'!$B131:$AZ1029,Match($C131,'Actuals - Billing - 2025'!$B131:$B1029,0),Match(E$1,'Actuals - Billing - 2025'!$B$2:$AF$2,0)))</f>
        <v/>
      </c>
      <c r="F131" s="11" t="str">
        <f t="array" ref="F131">if($D131="","",index('Actuals - Billing - 2025'!$B131:$AZ1029,Match($C131,'Actuals - Billing - 2025'!$B131:$B1029,0),Match(F$1,'Actuals - Billing - 2025'!$B$2:$AZ$2,0)))</f>
        <v/>
      </c>
      <c r="G131" s="11" t="str">
        <f t="array" ref="G131">if($D131="","",index('Actuals - Billing - 2025'!$B131:$AZ1029,Match($C131,'Actuals - Billing - 2025'!$B131:$B1029,0),Match(G$1,'Actuals - Billing - 2025'!$B$2:$AZ$2,0)))</f>
        <v/>
      </c>
      <c r="H131" s="11"/>
      <c r="I131" s="11"/>
      <c r="J131" s="11" t="str">
        <f t="shared" si="2"/>
        <v/>
      </c>
      <c r="K131" s="149" t="str">
        <f t="shared" si="3"/>
        <v/>
      </c>
      <c r="L131" s="1" t="str">
        <f t="shared" si="4"/>
        <v/>
      </c>
      <c r="M131" s="4" t="str">
        <f t="shared" si="5"/>
        <v/>
      </c>
      <c r="N131" s="17" t="str">
        <f>if(M131&lt;&gt;"",'Actuals - Billing - 2025'!BG363,"")</f>
        <v/>
      </c>
    </row>
    <row r="132">
      <c r="A132" s="7" t="str">
        <f t="shared" si="1"/>
        <v/>
      </c>
      <c r="B132" s="8" t="str">
        <f>if(and('Actuals - Billing - 2025'!E$366=True,C132&lt;&gt;""),'Actuals - Billing - 2025'!C364,"")</f>
        <v/>
      </c>
      <c r="C132" s="9" t="str">
        <f>IF(and('Actuals - Billing - 2025'!E$366=True,sum('Actuals - Billing - 2025'!AF364:AK364)&gt;0),'Actuals - Billing - 2025'!B364,"")</f>
        <v/>
      </c>
      <c r="D132" s="148" t="str">
        <f>if(and(sum('Actuals - Billing - 2025'!AF364:AK364)&gt;0,C132&lt;&gt;""),'Actuals - Billing - 2025'!$AG$2,"")</f>
        <v/>
      </c>
      <c r="E132" s="11" t="str">
        <f t="array" ref="E132">if($D132="","",index('Actuals - Billing - 2025'!$B132:$AZ1030,Match($C132,'Actuals - Billing - 2025'!$B132:$B1030,0),Match(E$1,'Actuals - Billing - 2025'!$B$2:$AF$2,0)))</f>
        <v/>
      </c>
      <c r="F132" s="11" t="str">
        <f t="array" ref="F132">if($D132="","",index('Actuals - Billing - 2025'!$B132:$AZ1030,Match($C132,'Actuals - Billing - 2025'!$B132:$B1030,0),Match(F$1,'Actuals - Billing - 2025'!$B$2:$AZ$2,0)))</f>
        <v/>
      </c>
      <c r="G132" s="11" t="str">
        <f t="array" ref="G132">if($D132="","",index('Actuals - Billing - 2025'!$B132:$AZ1030,Match($C132,'Actuals - Billing - 2025'!$B132:$B1030,0),Match(G$1,'Actuals - Billing - 2025'!$B$2:$AZ$2,0)))</f>
        <v/>
      </c>
      <c r="H132" s="11"/>
      <c r="I132" s="11"/>
      <c r="J132" s="11" t="str">
        <f t="shared" si="2"/>
        <v/>
      </c>
      <c r="K132" s="149" t="str">
        <f t="shared" si="3"/>
        <v/>
      </c>
      <c r="L132" s="1" t="str">
        <f t="shared" si="4"/>
        <v/>
      </c>
      <c r="M132" s="4" t="str">
        <f t="shared" si="5"/>
        <v/>
      </c>
      <c r="N132" s="17" t="str">
        <f>if(M132&lt;&gt;"",'Actuals - Billing - 2025'!BG364,"")</f>
        <v/>
      </c>
    </row>
    <row r="133">
      <c r="A133" s="7" t="str">
        <f t="shared" si="1"/>
        <v/>
      </c>
      <c r="B133" s="8" t="str">
        <f>if(and('Actuals - Billing - 2025'!E$366=True,C133&lt;&gt;""),'Actuals - Billing - 2025'!C365,"")</f>
        <v/>
      </c>
      <c r="C133" s="9" t="str">
        <f>IF(and('Actuals - Billing - 2025'!E$366=True,sum('Actuals - Billing - 2025'!AF365:AK365)&gt;0),'Actuals - Billing - 2025'!B365,"")</f>
        <v/>
      </c>
      <c r="D133" s="148" t="str">
        <f>if(and(sum('Actuals - Billing - 2025'!AF365:AK365)&gt;0,C133&lt;&gt;""),'Actuals - Billing - 2025'!$AG$2,"")</f>
        <v/>
      </c>
      <c r="E133" s="11" t="str">
        <f t="array" ref="E133">if($D133="","",index('Actuals - Billing - 2025'!$B133:$AZ1031,Match($C133,'Actuals - Billing - 2025'!$B133:$B1031,0),Match(E$1,'Actuals - Billing - 2025'!$B$2:$AF$2,0)))</f>
        <v/>
      </c>
      <c r="F133" s="11" t="str">
        <f t="array" ref="F133">if($D133="","",index('Actuals - Billing - 2025'!$B133:$AZ1031,Match($C133,'Actuals - Billing - 2025'!$B133:$B1031,0),Match(F$1,'Actuals - Billing - 2025'!$B$2:$AZ$2,0)))</f>
        <v/>
      </c>
      <c r="G133" s="11" t="str">
        <f t="array" ref="G133">if($D133="","",index('Actuals - Billing - 2025'!$B133:$AZ1031,Match($C133,'Actuals - Billing - 2025'!$B133:$B1031,0),Match(G$1,'Actuals - Billing - 2025'!$B$2:$AZ$2,0)))</f>
        <v/>
      </c>
      <c r="H133" s="11"/>
      <c r="I133" s="11"/>
      <c r="J133" s="11" t="str">
        <f t="shared" si="2"/>
        <v/>
      </c>
      <c r="K133" s="149" t="str">
        <f t="shared" si="3"/>
        <v/>
      </c>
      <c r="L133" s="1" t="str">
        <f t="shared" si="4"/>
        <v/>
      </c>
      <c r="M133" s="4" t="str">
        <f t="shared" si="5"/>
        <v/>
      </c>
      <c r="N133" s="17" t="str">
        <f>if(M133&lt;&gt;"",'Actuals - Billing - 2025'!BG365,"")</f>
        <v/>
      </c>
    </row>
    <row r="134">
      <c r="A134" s="7" t="str">
        <f t="shared" si="1"/>
        <v/>
      </c>
      <c r="B134" s="8" t="str">
        <f>if(and('Actuals - Billing - 2025'!E$366=True,C134&lt;&gt;""),'Actuals - Billing - 2025'!C366,"")</f>
        <v/>
      </c>
      <c r="C134" s="9" t="str">
        <f>IF(and('Actuals - Billing - 2025'!E$366=True,sum('Actuals - Billing - 2025'!AF366:AK366)&gt;0),'Actuals - Billing - 2025'!B366,"")</f>
        <v/>
      </c>
      <c r="D134" s="148" t="str">
        <f>if(and(sum('Actuals - Billing - 2025'!AF366:AK366)&gt;0,C134&lt;&gt;""),'Actuals - Billing - 2025'!$AG$2,"")</f>
        <v/>
      </c>
      <c r="E134" s="11" t="str">
        <f t="array" ref="E134">if($D134="","",index('Actuals - Billing - 2025'!$B134:$AZ1032,Match($C134,'Actuals - Billing - 2025'!$B134:$B1032,0),Match(E$1,'Actuals - Billing - 2025'!$B$2:$AF$2,0)))</f>
        <v/>
      </c>
      <c r="F134" s="11" t="str">
        <f t="array" ref="F134">if($D134="","",index('Actuals - Billing - 2025'!$B134:$AZ1032,Match($C134,'Actuals - Billing - 2025'!$B134:$B1032,0),Match(F$1,'Actuals - Billing - 2025'!$B$2:$AZ$2,0)))</f>
        <v/>
      </c>
      <c r="G134" s="11" t="str">
        <f t="array" ref="G134">if($D134="","",index('Actuals - Billing - 2025'!$B134:$AZ1032,Match($C134,'Actuals - Billing - 2025'!$B134:$B1032,0),Match(G$1,'Actuals - Billing - 2025'!$B$2:$AZ$2,0)))</f>
        <v/>
      </c>
      <c r="H134" s="11"/>
      <c r="I134" s="11"/>
      <c r="J134" s="11" t="str">
        <f t="shared" si="2"/>
        <v/>
      </c>
      <c r="K134" s="149" t="str">
        <f t="shared" si="3"/>
        <v/>
      </c>
      <c r="L134" s="1" t="str">
        <f t="shared" si="4"/>
        <v/>
      </c>
      <c r="M134" s="4" t="str">
        <f t="shared" si="5"/>
        <v/>
      </c>
      <c r="N134" s="17" t="str">
        <f>if(M134&lt;&gt;"",'Actuals - Billing - 2025'!BG366,"")</f>
        <v/>
      </c>
    </row>
    <row r="135">
      <c r="A135" s="7"/>
      <c r="B135" s="8"/>
      <c r="C135" s="9"/>
      <c r="D135" s="148" t="str">
        <f>if(and(sum('Actuals - Billing - 2025'!AF367:AK367)&gt;0,C135&lt;&gt;""),'Actuals - Billing - 2025'!$AG$2,"")</f>
        <v/>
      </c>
      <c r="E135" s="11"/>
      <c r="F135" s="11"/>
      <c r="G135" s="11"/>
      <c r="H135" s="11"/>
      <c r="I135" s="11"/>
      <c r="J135" s="11"/>
      <c r="K135" s="149"/>
      <c r="L135" s="1" t="str">
        <f t="shared" si="4"/>
        <v/>
      </c>
      <c r="M135" s="4"/>
      <c r="N135" s="17" t="str">
        <f>if(M135&lt;&gt;"",'Actuals - Billing - 2025'!BG367,"")</f>
        <v/>
      </c>
    </row>
    <row r="136">
      <c r="A136" s="7"/>
      <c r="B136" s="8"/>
      <c r="C136" s="9"/>
      <c r="D136" s="148" t="str">
        <f>if(and(sum('Actuals - Billing - 2025'!AF368:AK368)&gt;0,C136&lt;&gt;""),'Actuals - Billing - 2025'!$AG$2,"")</f>
        <v/>
      </c>
      <c r="E136" s="11"/>
      <c r="F136" s="11"/>
      <c r="G136" s="11"/>
      <c r="H136" s="11"/>
      <c r="I136" s="11"/>
      <c r="J136" s="11"/>
      <c r="K136" s="149"/>
      <c r="L136" s="1" t="str">
        <f t="shared" si="4"/>
        <v/>
      </c>
      <c r="M136" s="4"/>
      <c r="N136" s="17" t="str">
        <f>if(M136&lt;&gt;"",'Actuals - Billing - 2025'!BG368,"")</f>
        <v/>
      </c>
    </row>
    <row r="137">
      <c r="A137" s="7"/>
      <c r="B137" s="8"/>
      <c r="C137" s="9"/>
      <c r="D137" s="148" t="str">
        <f>if(and(sum('Actuals - Billing - 2025'!AF369:AK369)&gt;0,C137&lt;&gt;""),'Actuals - Billing - 2025'!$AG$2,"")</f>
        <v/>
      </c>
      <c r="E137" s="11"/>
      <c r="F137" s="11"/>
      <c r="G137" s="11"/>
      <c r="H137" s="11"/>
      <c r="I137" s="11"/>
      <c r="J137" s="11"/>
      <c r="K137" s="149"/>
      <c r="L137" s="1" t="str">
        <f t="shared" si="4"/>
        <v/>
      </c>
      <c r="M137" s="4"/>
      <c r="N137" s="17" t="str">
        <f>if(M137&lt;&gt;"",'Actuals - Billing - 2025'!BG369,"")</f>
        <v/>
      </c>
    </row>
    <row r="138">
      <c r="A138" s="7"/>
      <c r="B138" s="8"/>
      <c r="C138" s="9"/>
      <c r="D138" s="148" t="str">
        <f>if(and(sum('Actuals - Billing - 2025'!AF370:AK370)&gt;0,C138&lt;&gt;""),'Actuals - Billing - 2025'!$AG$2,"")</f>
        <v/>
      </c>
      <c r="E138" s="11"/>
      <c r="F138" s="11"/>
      <c r="G138" s="11"/>
      <c r="H138" s="11"/>
      <c r="I138" s="11"/>
      <c r="J138" s="11"/>
      <c r="K138" s="149"/>
      <c r="L138" s="1" t="str">
        <f t="shared" si="4"/>
        <v/>
      </c>
      <c r="M138" s="4"/>
      <c r="N138" s="17" t="str">
        <f>if(M138&lt;&gt;"",'Actuals - Billing - 2025'!BG370,"")</f>
        <v/>
      </c>
    </row>
    <row r="139">
      <c r="A139" s="7"/>
      <c r="B139" s="8"/>
      <c r="C139" s="9"/>
      <c r="D139" s="148" t="str">
        <f>if(and(sum('Actuals - Billing - 2025'!AF371:AK371)&gt;0,C139&lt;&gt;""),'Actuals - Billing - 2025'!$AG$2,"")</f>
        <v/>
      </c>
      <c r="E139" s="11"/>
      <c r="F139" s="11"/>
      <c r="G139" s="11"/>
      <c r="H139" s="11"/>
      <c r="I139" s="11"/>
      <c r="J139" s="11"/>
      <c r="K139" s="149"/>
      <c r="L139" s="1" t="str">
        <f t="shared" si="4"/>
        <v/>
      </c>
      <c r="M139" s="4"/>
      <c r="N139" s="17" t="str">
        <f>if(M139&lt;&gt;"",'Actuals - Billing - 2025'!BG371,"")</f>
        <v/>
      </c>
    </row>
    <row r="140">
      <c r="A140" s="7"/>
      <c r="B140" s="8"/>
      <c r="C140" s="9"/>
      <c r="D140" s="148" t="str">
        <f>if(and(sum('Actuals - Billing - 2025'!AF372:AK372)&gt;0,C140&lt;&gt;""),'Actuals - Billing - 2025'!$AG$2,"")</f>
        <v/>
      </c>
      <c r="E140" s="11"/>
      <c r="F140" s="11"/>
      <c r="G140" s="11"/>
      <c r="H140" s="11"/>
      <c r="I140" s="11"/>
      <c r="J140" s="11"/>
      <c r="K140" s="149"/>
      <c r="L140" s="1" t="str">
        <f t="shared" si="4"/>
        <v/>
      </c>
      <c r="M140" s="4"/>
      <c r="N140" s="17" t="str">
        <f>if(M140&lt;&gt;"",'Actuals - Billing - 2025'!BG372,"")</f>
        <v/>
      </c>
    </row>
    <row r="141">
      <c r="A141" s="7"/>
      <c r="B141" s="8"/>
      <c r="C141" s="9"/>
      <c r="D141" s="148" t="str">
        <f>if(and(sum('Actuals - Billing - 2025'!AF373:AK373)&gt;0,C141&lt;&gt;""),'Actuals - Billing - 2025'!$AG$2,"")</f>
        <v/>
      </c>
      <c r="E141" s="11"/>
      <c r="F141" s="11"/>
      <c r="G141" s="11"/>
      <c r="H141" s="11"/>
      <c r="I141" s="11"/>
      <c r="J141" s="11"/>
      <c r="K141" s="149"/>
      <c r="L141" s="1" t="str">
        <f t="shared" si="4"/>
        <v/>
      </c>
      <c r="M141" s="4"/>
      <c r="N141" s="17" t="str">
        <f>if(M141&lt;&gt;"",'Actuals - Billing - 2025'!BG373,"")</f>
        <v/>
      </c>
    </row>
    <row r="142">
      <c r="A142" s="7"/>
      <c r="B142" s="8"/>
      <c r="C142" s="9"/>
      <c r="D142" s="148" t="str">
        <f>if(and(sum('Actuals - Billing - 2025'!AF374:AK374)&gt;0,C142&lt;&gt;""),'Actuals - Billing - 2025'!$AG$2,"")</f>
        <v/>
      </c>
      <c r="E142" s="11"/>
      <c r="F142" s="11"/>
      <c r="G142" s="11"/>
      <c r="H142" s="11"/>
      <c r="I142" s="11"/>
      <c r="J142" s="11"/>
      <c r="K142" s="149"/>
      <c r="L142" s="1" t="str">
        <f t="shared" si="4"/>
        <v/>
      </c>
      <c r="M142" s="4"/>
      <c r="N142" s="17" t="str">
        <f>if(M142&lt;&gt;"",'Actuals - Billing - 2025'!BG374,"")</f>
        <v/>
      </c>
    </row>
    <row r="143">
      <c r="A143" s="7"/>
      <c r="B143" s="8"/>
      <c r="C143" s="9"/>
      <c r="D143" s="148" t="str">
        <f>if(and(sum('Actuals - Billing - 2025'!AF375:AK375)&gt;0,C143&lt;&gt;""),'Actuals - Billing - 2025'!$AG$2,"")</f>
        <v/>
      </c>
      <c r="E143" s="11"/>
      <c r="F143" s="11"/>
      <c r="G143" s="11"/>
      <c r="H143" s="11"/>
      <c r="I143" s="11"/>
      <c r="J143" s="11"/>
      <c r="K143" s="149"/>
      <c r="L143" s="1" t="str">
        <f t="shared" si="4"/>
        <v/>
      </c>
      <c r="M143" s="4"/>
      <c r="N143" s="17" t="str">
        <f>if(M143&lt;&gt;"",'Actuals - Billing - 2025'!BG375,"")</f>
        <v/>
      </c>
    </row>
    <row r="144">
      <c r="A144" s="7"/>
      <c r="B144" s="8"/>
      <c r="C144" s="9"/>
      <c r="D144" s="148" t="str">
        <f>if(and(sum('Actuals - Billing - 2025'!AF376:AK376)&gt;0,C144&lt;&gt;""),'Actuals - Billing - 2025'!$AG$2,"")</f>
        <v/>
      </c>
      <c r="E144" s="11"/>
      <c r="F144" s="11"/>
      <c r="G144" s="11"/>
      <c r="H144" s="11"/>
      <c r="I144" s="11"/>
      <c r="J144" s="11"/>
      <c r="K144" s="149"/>
      <c r="L144" s="1" t="str">
        <f t="shared" si="4"/>
        <v/>
      </c>
      <c r="M144" s="4"/>
      <c r="N144" s="17" t="str">
        <f>if(M144&lt;&gt;"",'Actuals - Billing - 2025'!BG376,"")</f>
        <v/>
      </c>
    </row>
    <row r="145">
      <c r="A145" s="7"/>
      <c r="B145" s="8"/>
      <c r="C145" s="9"/>
      <c r="D145" s="148" t="str">
        <f>if(and(sum('Actuals - Billing - 2025'!AF377:AK377)&gt;0,C145&lt;&gt;""),'Actuals - Billing - 2025'!$AG$2,"")</f>
        <v/>
      </c>
      <c r="E145" s="11"/>
      <c r="F145" s="11"/>
      <c r="G145" s="11"/>
      <c r="H145" s="11"/>
      <c r="I145" s="11"/>
      <c r="J145" s="11"/>
      <c r="K145" s="149"/>
      <c r="L145" s="1" t="str">
        <f t="shared" si="4"/>
        <v/>
      </c>
      <c r="M145" s="4"/>
      <c r="N145" s="17" t="str">
        <f>if(M145&lt;&gt;"",'Actuals - Billing - 2025'!BG377,"")</f>
        <v/>
      </c>
    </row>
    <row r="146">
      <c r="A146" s="7"/>
      <c r="B146" s="8"/>
      <c r="C146" s="9"/>
      <c r="D146" s="148" t="str">
        <f>if(and(sum('Actuals - Billing - 2025'!AF378:AK378)&gt;0,C146&lt;&gt;""),'Actuals - Billing - 2025'!$AG$2,"")</f>
        <v/>
      </c>
      <c r="E146" s="11"/>
      <c r="F146" s="11"/>
      <c r="G146" s="11"/>
      <c r="H146" s="11"/>
      <c r="I146" s="11"/>
      <c r="J146" s="11"/>
      <c r="K146" s="149"/>
      <c r="L146" s="1" t="str">
        <f t="shared" si="4"/>
        <v/>
      </c>
      <c r="M146" s="4"/>
      <c r="N146" s="17" t="str">
        <f>if(M146&lt;&gt;"",'Actuals - Billing - 2025'!BG378,"")</f>
        <v/>
      </c>
    </row>
    <row r="147">
      <c r="A147" s="7"/>
      <c r="B147" s="8"/>
      <c r="C147" s="9"/>
      <c r="D147" s="148" t="str">
        <f>if(and(sum('Actuals - Billing - 2025'!AF379:AK379)&gt;0,C147&lt;&gt;""),'Actuals - Billing - 2025'!$AG$2,"")</f>
        <v/>
      </c>
      <c r="E147" s="11"/>
      <c r="F147" s="11"/>
      <c r="G147" s="11"/>
      <c r="H147" s="11"/>
      <c r="I147" s="11"/>
      <c r="J147" s="11"/>
      <c r="K147" s="149"/>
      <c r="L147" s="1" t="str">
        <f t="shared" si="4"/>
        <v/>
      </c>
      <c r="M147" s="4"/>
      <c r="N147" s="17" t="str">
        <f>if(M147&lt;&gt;"",'Actuals - Billing - 2025'!BG379,"")</f>
        <v/>
      </c>
    </row>
    <row r="148">
      <c r="A148" s="7"/>
      <c r="B148" s="8"/>
      <c r="C148" s="9"/>
      <c r="D148" s="148" t="str">
        <f>if(and(sum('Actuals - Billing - 2025'!AF380:AK380)&gt;0,C148&lt;&gt;""),'Actuals - Billing - 2025'!$AG$2,"")</f>
        <v/>
      </c>
      <c r="E148" s="11"/>
      <c r="F148" s="11"/>
      <c r="G148" s="11"/>
      <c r="H148" s="11"/>
      <c r="I148" s="11"/>
      <c r="J148" s="11"/>
      <c r="K148" s="149"/>
      <c r="L148" s="1" t="str">
        <f t="shared" si="4"/>
        <v/>
      </c>
      <c r="M148" s="4"/>
      <c r="N148" s="17" t="str">
        <f>if(M148&lt;&gt;"",'Actuals - Billing - 2025'!BG380,"")</f>
        <v/>
      </c>
    </row>
    <row r="149">
      <c r="A149" s="7"/>
      <c r="B149" s="8"/>
      <c r="C149" s="9"/>
      <c r="D149" s="148" t="str">
        <f>if(and(sum('Actuals - Billing - 2025'!AF381:AK381)&gt;0,C149&lt;&gt;""),'Actuals - Billing - 2025'!$AG$2,"")</f>
        <v/>
      </c>
      <c r="E149" s="11"/>
      <c r="F149" s="11"/>
      <c r="G149" s="11"/>
      <c r="H149" s="11"/>
      <c r="I149" s="11"/>
      <c r="J149" s="11"/>
      <c r="K149" s="149"/>
      <c r="L149" s="1" t="str">
        <f t="shared" si="4"/>
        <v/>
      </c>
      <c r="M149" s="4"/>
      <c r="N149" s="17" t="str">
        <f>if(M149&lt;&gt;"",'Actuals - Billing - 2025'!BG381,"")</f>
        <v/>
      </c>
    </row>
    <row r="150">
      <c r="A150" s="7"/>
      <c r="B150" s="8"/>
      <c r="C150" s="9"/>
      <c r="D150" s="148" t="str">
        <f>if(and(sum('Actuals - Billing - 2025'!AF382:AK382)&gt;0,C150&lt;&gt;""),'Actuals - Billing - 2025'!$AG$2,"")</f>
        <v/>
      </c>
      <c r="E150" s="11"/>
      <c r="F150" s="11"/>
      <c r="G150" s="11"/>
      <c r="H150" s="11"/>
      <c r="I150" s="11"/>
      <c r="J150" s="11"/>
      <c r="K150" s="149"/>
      <c r="L150" s="1" t="str">
        <f t="shared" si="4"/>
        <v/>
      </c>
      <c r="M150" s="4"/>
      <c r="N150" s="17" t="str">
        <f>if(M150&lt;&gt;"",'Actuals - Billing - 2025'!BG382,"")</f>
        <v/>
      </c>
    </row>
    <row r="151">
      <c r="A151" s="7"/>
      <c r="B151" s="8"/>
      <c r="C151" s="9"/>
      <c r="D151" s="148" t="str">
        <f>if(and(sum('Actuals - Billing - 2025'!AF383:AK383)&gt;0,C151&lt;&gt;""),'Actuals - Billing - 2025'!$AG$2,"")</f>
        <v/>
      </c>
      <c r="E151" s="11"/>
      <c r="F151" s="11"/>
      <c r="G151" s="11"/>
      <c r="H151" s="11"/>
      <c r="I151" s="11"/>
      <c r="J151" s="11"/>
      <c r="K151" s="149"/>
      <c r="L151" s="1" t="str">
        <f t="shared" si="4"/>
        <v/>
      </c>
      <c r="M151" s="4"/>
      <c r="N151" s="17" t="str">
        <f>if(M151&lt;&gt;"",'Actuals - Billing - 2025'!BG383,"")</f>
        <v/>
      </c>
    </row>
    <row r="152">
      <c r="A152" s="7"/>
      <c r="B152" s="8"/>
      <c r="C152" s="9"/>
      <c r="D152" s="148" t="str">
        <f>if(and(sum('Actuals - Billing - 2025'!AF384:AK384)&gt;0,C152&lt;&gt;""),'Actuals - Billing - 2025'!$AG$2,"")</f>
        <v/>
      </c>
      <c r="E152" s="11"/>
      <c r="F152" s="11"/>
      <c r="G152" s="11"/>
      <c r="H152" s="11"/>
      <c r="I152" s="11"/>
      <c r="J152" s="11"/>
      <c r="K152" s="149"/>
      <c r="L152" s="1" t="str">
        <f t="shared" si="4"/>
        <v/>
      </c>
      <c r="M152" s="4"/>
      <c r="N152" s="17" t="str">
        <f>if(M152&lt;&gt;"",'Actuals - Billing - 2025'!BG384,"")</f>
        <v/>
      </c>
    </row>
    <row r="153">
      <c r="A153" s="7"/>
      <c r="B153" s="8"/>
      <c r="C153" s="9"/>
      <c r="D153" s="148" t="str">
        <f>if(and(sum('Actuals - Billing - 2025'!AF385:AK385)&gt;0,C153&lt;&gt;""),'Actuals - Billing - 2025'!$AG$2,"")</f>
        <v/>
      </c>
      <c r="E153" s="11"/>
      <c r="F153" s="11"/>
      <c r="G153" s="11"/>
      <c r="H153" s="11"/>
      <c r="I153" s="11"/>
      <c r="J153" s="11"/>
      <c r="K153" s="149"/>
      <c r="L153" s="1" t="str">
        <f t="shared" si="4"/>
        <v/>
      </c>
      <c r="M153" s="4"/>
      <c r="N153" s="17" t="str">
        <f>if(M153&lt;&gt;"",'Actuals - Billing - 2025'!BG385,"")</f>
        <v/>
      </c>
    </row>
    <row r="154">
      <c r="A154" s="7"/>
      <c r="B154" s="8"/>
      <c r="C154" s="9"/>
      <c r="D154" s="148" t="str">
        <f>if(and(sum('Actuals - Billing - 2025'!AF386:AK386)&gt;0,C154&lt;&gt;""),'Actuals - Billing - 2025'!$AG$2,"")</f>
        <v/>
      </c>
      <c r="E154" s="11"/>
      <c r="F154" s="11"/>
      <c r="G154" s="11"/>
      <c r="H154" s="11"/>
      <c r="I154" s="11"/>
      <c r="J154" s="11"/>
      <c r="K154" s="149"/>
      <c r="L154" s="1" t="str">
        <f t="shared" si="4"/>
        <v/>
      </c>
      <c r="M154" s="4"/>
      <c r="N154" s="17" t="str">
        <f>if(M154&lt;&gt;"",'Actuals - Billing - 2025'!BG386,"")</f>
        <v/>
      </c>
    </row>
    <row r="155">
      <c r="A155" s="7"/>
      <c r="B155" s="8"/>
      <c r="C155" s="9"/>
      <c r="D155" s="148" t="str">
        <f>if(and(sum('Actuals - Billing - 2025'!AF387:AK387)&gt;0,C155&lt;&gt;""),'Actuals - Billing - 2025'!$AG$2,"")</f>
        <v/>
      </c>
      <c r="E155" s="11"/>
      <c r="F155" s="11"/>
      <c r="G155" s="11"/>
      <c r="H155" s="11"/>
      <c r="I155" s="11"/>
      <c r="J155" s="11"/>
      <c r="K155" s="149"/>
      <c r="L155" s="1" t="str">
        <f t="shared" si="4"/>
        <v/>
      </c>
      <c r="M155" s="4"/>
      <c r="N155" s="17" t="str">
        <f>if(M155&lt;&gt;"",'Actuals - Billing - 2025'!BG387,"")</f>
        <v/>
      </c>
    </row>
    <row r="156">
      <c r="A156" s="7"/>
      <c r="B156" s="8"/>
      <c r="C156" s="9"/>
      <c r="D156" s="148" t="str">
        <f>if(and(sum('Actuals - Billing - 2025'!AF388:AK388)&gt;0,C156&lt;&gt;""),'Actuals - Billing - 2025'!$AG$2,"")</f>
        <v/>
      </c>
      <c r="E156" s="11"/>
      <c r="F156" s="11"/>
      <c r="G156" s="11"/>
      <c r="H156" s="11"/>
      <c r="I156" s="11"/>
      <c r="J156" s="11"/>
      <c r="K156" s="149"/>
      <c r="L156" s="1" t="str">
        <f t="shared" si="4"/>
        <v/>
      </c>
      <c r="M156" s="4"/>
      <c r="N156" s="17" t="str">
        <f>if(M156&lt;&gt;"",'Actuals - Billing - 2025'!BG388,"")</f>
        <v/>
      </c>
    </row>
    <row r="157">
      <c r="A157" s="7"/>
      <c r="B157" s="8"/>
      <c r="C157" s="9"/>
      <c r="D157" s="148" t="str">
        <f>if(and(sum('Actuals - Billing - 2025'!AF389:AK389)&gt;0,C157&lt;&gt;""),'Actuals - Billing - 2025'!$AG$2,"")</f>
        <v/>
      </c>
      <c r="E157" s="11"/>
      <c r="F157" s="11"/>
      <c r="G157" s="11"/>
      <c r="H157" s="11"/>
      <c r="I157" s="11"/>
      <c r="J157" s="11"/>
      <c r="K157" s="149"/>
      <c r="L157" s="1" t="str">
        <f t="shared" si="4"/>
        <v/>
      </c>
      <c r="M157" s="4"/>
      <c r="N157" s="17" t="str">
        <f>if(M157&lt;&gt;"",'Actuals - Billing - 2025'!BG389,"")</f>
        <v/>
      </c>
    </row>
    <row r="158">
      <c r="A158" s="7"/>
      <c r="B158" s="8"/>
      <c r="C158" s="9"/>
      <c r="D158" s="148" t="str">
        <f>if(and(sum('Actuals - Billing - 2025'!AF390:AK390)&gt;0,C158&lt;&gt;""),'Actuals - Billing - 2025'!$AG$2,"")</f>
        <v/>
      </c>
      <c r="E158" s="11"/>
      <c r="F158" s="11"/>
      <c r="G158" s="11"/>
      <c r="H158" s="11"/>
      <c r="I158" s="11"/>
      <c r="J158" s="11"/>
      <c r="K158" s="149"/>
      <c r="L158" s="1" t="str">
        <f t="shared" si="4"/>
        <v/>
      </c>
      <c r="M158" s="4"/>
      <c r="N158" s="17" t="str">
        <f>if(M158&lt;&gt;"",'Actuals - Billing - 2025'!BG390,"")</f>
        <v/>
      </c>
    </row>
    <row r="159">
      <c r="A159" s="7"/>
      <c r="B159" s="8"/>
      <c r="C159" s="9"/>
      <c r="D159" s="148" t="str">
        <f>if(and(sum('Actuals - Billing - 2025'!AF391:AK391)&gt;0,C159&lt;&gt;""),'Actuals - Billing - 2025'!$AG$2,"")</f>
        <v/>
      </c>
      <c r="E159" s="11"/>
      <c r="F159" s="11"/>
      <c r="G159" s="11"/>
      <c r="H159" s="11"/>
      <c r="I159" s="11"/>
      <c r="J159" s="11"/>
      <c r="K159" s="149"/>
      <c r="L159" s="1" t="str">
        <f t="shared" si="4"/>
        <v/>
      </c>
      <c r="M159" s="4"/>
      <c r="N159" s="17" t="str">
        <f>if(M159&lt;&gt;"",'Actuals - Billing - 2025'!BG391,"")</f>
        <v/>
      </c>
    </row>
    <row r="160">
      <c r="A160" s="7"/>
      <c r="B160" s="8"/>
      <c r="C160" s="9"/>
      <c r="D160" s="148" t="str">
        <f>if(and(sum('Actuals - Billing - 2025'!AF392:AK392)&gt;0,C160&lt;&gt;""),'Actuals - Billing - 2025'!$AG$2,"")</f>
        <v/>
      </c>
      <c r="E160" s="11"/>
      <c r="F160" s="11"/>
      <c r="G160" s="11"/>
      <c r="H160" s="11"/>
      <c r="I160" s="11"/>
      <c r="J160" s="11"/>
      <c r="K160" s="149"/>
      <c r="L160" s="1" t="str">
        <f t="shared" si="4"/>
        <v/>
      </c>
      <c r="M160" s="4"/>
      <c r="N160" s="17" t="str">
        <f>if(M160&lt;&gt;"",'Actuals - Billing - 2025'!BG392,"")</f>
        <v/>
      </c>
    </row>
    <row r="161">
      <c r="A161" s="7"/>
      <c r="B161" s="8"/>
      <c r="C161" s="9"/>
      <c r="D161" s="148" t="str">
        <f>if(and(sum('Actuals - Billing - 2025'!AF393:AK393)&gt;0,C161&lt;&gt;""),'Actuals - Billing - 2025'!$AG$2,"")</f>
        <v/>
      </c>
      <c r="E161" s="11"/>
      <c r="F161" s="11"/>
      <c r="G161" s="11"/>
      <c r="H161" s="11"/>
      <c r="I161" s="11"/>
      <c r="J161" s="11"/>
      <c r="K161" s="149"/>
      <c r="L161" s="1" t="str">
        <f t="shared" si="4"/>
        <v/>
      </c>
      <c r="M161" s="4"/>
      <c r="N161" s="17" t="str">
        <f>if(M161&lt;&gt;"",'Actuals - Billing - 2025'!BG393,"")</f>
        <v/>
      </c>
    </row>
    <row r="162">
      <c r="A162" s="7"/>
      <c r="B162" s="8"/>
      <c r="C162" s="9"/>
      <c r="D162" s="148" t="str">
        <f>if(and(sum('Actuals - Billing - 2025'!AF394:AK394)&gt;0,C162&lt;&gt;""),'Actuals - Billing - 2025'!$AG$2,"")</f>
        <v/>
      </c>
      <c r="E162" s="11"/>
      <c r="F162" s="11"/>
      <c r="G162" s="11"/>
      <c r="H162" s="11"/>
      <c r="I162" s="11"/>
      <c r="J162" s="11"/>
      <c r="K162" s="149"/>
      <c r="L162" s="1" t="str">
        <f t="shared" si="4"/>
        <v/>
      </c>
      <c r="M162" s="4"/>
      <c r="N162" s="17" t="str">
        <f>if(M162&lt;&gt;"",'Actuals - Billing - 2025'!BG394,"")</f>
        <v/>
      </c>
    </row>
    <row r="163">
      <c r="A163" s="7"/>
      <c r="B163" s="8"/>
      <c r="C163" s="9"/>
      <c r="D163" s="148" t="str">
        <f>if(and(sum('Actuals - Billing - 2025'!AF395:AK395)&gt;0,C163&lt;&gt;""),'Actuals - Billing - 2025'!$AG$2,"")</f>
        <v/>
      </c>
      <c r="E163" s="11"/>
      <c r="F163" s="11"/>
      <c r="G163" s="11"/>
      <c r="H163" s="11"/>
      <c r="I163" s="11"/>
      <c r="J163" s="11"/>
      <c r="K163" s="149"/>
      <c r="L163" s="1" t="str">
        <f t="shared" si="4"/>
        <v/>
      </c>
      <c r="M163" s="4"/>
      <c r="N163" s="17" t="str">
        <f>if(M163&lt;&gt;"",'Actuals - Billing - 2025'!BG395,"")</f>
        <v/>
      </c>
    </row>
    <row r="164">
      <c r="A164" s="7"/>
      <c r="B164" s="8"/>
      <c r="C164" s="9"/>
      <c r="D164" s="148" t="str">
        <f>if(and(sum('Actuals - Billing - 2025'!AF396:AK396)&gt;0,C164&lt;&gt;""),'Actuals - Billing - 2025'!$AG$2,"")</f>
        <v/>
      </c>
      <c r="E164" s="11"/>
      <c r="F164" s="11"/>
      <c r="G164" s="11"/>
      <c r="H164" s="11"/>
      <c r="I164" s="11"/>
      <c r="J164" s="11"/>
      <c r="K164" s="149"/>
      <c r="L164" s="1" t="str">
        <f t="shared" si="4"/>
        <v/>
      </c>
      <c r="M164" s="4"/>
      <c r="N164" s="17" t="str">
        <f>if(M164&lt;&gt;"",'Actuals - Billing - 2025'!BG396,"")</f>
        <v/>
      </c>
    </row>
    <row r="165">
      <c r="A165" s="7"/>
      <c r="B165" s="8"/>
      <c r="C165" s="9"/>
      <c r="D165" s="148" t="str">
        <f>if(and(sum('Actuals - Billing - 2025'!AF397:AK397)&gt;0,C165&lt;&gt;""),'Actuals - Billing - 2025'!$AG$2,"")</f>
        <v/>
      </c>
      <c r="E165" s="11"/>
      <c r="F165" s="11"/>
      <c r="G165" s="11"/>
      <c r="H165" s="11"/>
      <c r="I165" s="11"/>
      <c r="J165" s="11"/>
      <c r="K165" s="149"/>
      <c r="L165" s="1" t="str">
        <f t="shared" si="4"/>
        <v/>
      </c>
      <c r="M165" s="4"/>
      <c r="N165" s="17" t="str">
        <f>if(M165&lt;&gt;"",'Actuals - Billing - 2025'!BG397,"")</f>
        <v/>
      </c>
    </row>
    <row r="166">
      <c r="A166" s="7"/>
      <c r="B166" s="8"/>
      <c r="C166" s="9"/>
      <c r="D166" s="148" t="str">
        <f>if(and(sum('Actuals - Billing - 2025'!AF398:AK398)&gt;0,C166&lt;&gt;""),'Actuals - Billing - 2025'!$AG$2,"")</f>
        <v/>
      </c>
      <c r="E166" s="11"/>
      <c r="F166" s="11"/>
      <c r="G166" s="11"/>
      <c r="H166" s="11"/>
      <c r="I166" s="11"/>
      <c r="J166" s="11"/>
      <c r="K166" s="149"/>
      <c r="L166" s="1" t="str">
        <f t="shared" si="4"/>
        <v/>
      </c>
      <c r="M166" s="4"/>
      <c r="N166" s="17" t="str">
        <f>if(M166&lt;&gt;"",'Actuals - Billing - 2025'!BG398,"")</f>
        <v/>
      </c>
    </row>
    <row r="167">
      <c r="A167" s="7"/>
      <c r="B167" s="8"/>
      <c r="C167" s="9"/>
      <c r="D167" s="148" t="str">
        <f>if(and(sum('Actuals - Billing - 2025'!AF399:AK399)&gt;0,C167&lt;&gt;""),'Actuals - Billing - 2025'!$AG$2,"")</f>
        <v/>
      </c>
      <c r="E167" s="11"/>
      <c r="F167" s="11"/>
      <c r="G167" s="11"/>
      <c r="H167" s="11"/>
      <c r="I167" s="11"/>
      <c r="J167" s="11"/>
      <c r="K167" s="149"/>
      <c r="L167" s="1" t="str">
        <f t="shared" si="4"/>
        <v/>
      </c>
      <c r="M167" s="4"/>
      <c r="N167" s="17" t="str">
        <f>if(M167&lt;&gt;"",'Actuals - Billing - 2025'!BG399,"")</f>
        <v/>
      </c>
    </row>
    <row r="168">
      <c r="A168" s="7"/>
      <c r="B168" s="8"/>
      <c r="C168" s="9"/>
      <c r="D168" s="148" t="str">
        <f>if(and(sum('Actuals - Billing - 2025'!AF400:AK400)&gt;0,C168&lt;&gt;""),'Actuals - Billing - 2025'!$AG$2,"")</f>
        <v/>
      </c>
      <c r="E168" s="11"/>
      <c r="F168" s="11"/>
      <c r="G168" s="11"/>
      <c r="H168" s="11"/>
      <c r="I168" s="11"/>
      <c r="J168" s="11"/>
      <c r="K168" s="149"/>
      <c r="L168" s="1" t="str">
        <f t="shared" si="4"/>
        <v/>
      </c>
      <c r="M168" s="4"/>
      <c r="N168" s="17" t="str">
        <f>if(M168&lt;&gt;"",'Actuals - Billing - 2025'!BG400,"")</f>
        <v/>
      </c>
    </row>
    <row r="169">
      <c r="A169" s="7"/>
      <c r="B169" s="8"/>
      <c r="C169" s="9"/>
      <c r="D169" s="148" t="str">
        <f>if(and(sum('Actuals - Billing - 2025'!AF401:AK401)&gt;0,C169&lt;&gt;""),'Actuals - Billing - 2025'!$AG$2,"")</f>
        <v/>
      </c>
      <c r="E169" s="11"/>
      <c r="F169" s="11"/>
      <c r="G169" s="11"/>
      <c r="H169" s="11"/>
      <c r="I169" s="11"/>
      <c r="J169" s="11"/>
      <c r="K169" s="149"/>
      <c r="L169" s="1" t="str">
        <f t="shared" si="4"/>
        <v/>
      </c>
      <c r="M169" s="4"/>
      <c r="N169" s="17" t="str">
        <f>if(M169&lt;&gt;"",'Actuals - Billing - 2025'!BG401,"")</f>
        <v/>
      </c>
    </row>
    <row r="170">
      <c r="A170" s="7"/>
      <c r="B170" s="8"/>
      <c r="C170" s="9"/>
      <c r="D170" s="148" t="str">
        <f>if(and(sum('Actuals - Billing - 2025'!AF402:AK402)&gt;0,C170&lt;&gt;""),'Actuals - Billing - 2025'!$AG$2,"")</f>
        <v/>
      </c>
      <c r="E170" s="11"/>
      <c r="F170" s="11"/>
      <c r="G170" s="11"/>
      <c r="H170" s="11"/>
      <c r="I170" s="11"/>
      <c r="J170" s="11"/>
      <c r="K170" s="149"/>
      <c r="L170" s="1" t="str">
        <f t="shared" si="4"/>
        <v/>
      </c>
      <c r="M170" s="4"/>
      <c r="N170" s="17" t="str">
        <f>if(M170&lt;&gt;"",'Actuals - Billing - 2025'!BG402,"")</f>
        <v/>
      </c>
    </row>
    <row r="171">
      <c r="A171" s="7"/>
      <c r="B171" s="8"/>
      <c r="C171" s="9"/>
      <c r="D171" s="148" t="str">
        <f>if(and(sum('Actuals - Billing - 2025'!AF403:AK403)&gt;0,C171&lt;&gt;""),'Actuals - Billing - 2025'!$AG$2,"")</f>
        <v/>
      </c>
      <c r="E171" s="11"/>
      <c r="F171" s="11"/>
      <c r="G171" s="11"/>
      <c r="H171" s="11"/>
      <c r="I171" s="11"/>
      <c r="J171" s="11"/>
      <c r="K171" s="149"/>
      <c r="L171" s="1" t="str">
        <f t="shared" si="4"/>
        <v/>
      </c>
      <c r="M171" s="4"/>
      <c r="N171" s="17" t="str">
        <f>if(M171&lt;&gt;"",'Actuals - Billing - 2025'!BG403,"")</f>
        <v/>
      </c>
    </row>
    <row r="172">
      <c r="A172" s="7"/>
      <c r="B172" s="8"/>
      <c r="C172" s="9"/>
      <c r="D172" s="148" t="str">
        <f>if(and(sum('Actuals - Billing - 2025'!AF404:AK404)&gt;0,C172&lt;&gt;""),'Actuals - Billing - 2025'!$AG$2,"")</f>
        <v/>
      </c>
      <c r="E172" s="11"/>
      <c r="F172" s="11"/>
      <c r="G172" s="11"/>
      <c r="H172" s="11"/>
      <c r="I172" s="11"/>
      <c r="J172" s="11"/>
      <c r="K172" s="149"/>
      <c r="L172" s="1" t="str">
        <f t="shared" si="4"/>
        <v/>
      </c>
      <c r="M172" s="4"/>
      <c r="N172" s="17" t="str">
        <f>if(M172&lt;&gt;"",'Actuals - Billing - 2025'!BG404,"")</f>
        <v/>
      </c>
    </row>
    <row r="173">
      <c r="A173" s="7"/>
      <c r="B173" s="8"/>
      <c r="C173" s="9"/>
      <c r="D173" s="148" t="str">
        <f>if(and(sum('Actuals - Billing - 2025'!AF405:AK405)&gt;0,C173&lt;&gt;""),'Actuals - Billing - 2025'!$AG$2,"")</f>
        <v/>
      </c>
      <c r="E173" s="11"/>
      <c r="F173" s="11"/>
      <c r="G173" s="11"/>
      <c r="H173" s="11"/>
      <c r="I173" s="11"/>
      <c r="J173" s="11"/>
      <c r="K173" s="149"/>
      <c r="L173" s="1" t="str">
        <f t="shared" si="4"/>
        <v/>
      </c>
      <c r="M173" s="4"/>
      <c r="N173" s="17" t="str">
        <f>if(M173&lt;&gt;"",'Actuals - Billing - 2025'!BG405,"")</f>
        <v/>
      </c>
    </row>
    <row r="174">
      <c r="A174" s="7"/>
      <c r="B174" s="8"/>
      <c r="C174" s="9"/>
      <c r="D174" s="148" t="str">
        <f>if(and(sum('Actuals - Billing - 2025'!AF406:AK406)&gt;0,C174&lt;&gt;""),'Actuals - Billing - 2025'!$AG$2,"")</f>
        <v/>
      </c>
      <c r="E174" s="11"/>
      <c r="F174" s="11"/>
      <c r="G174" s="11"/>
      <c r="H174" s="11"/>
      <c r="I174" s="11"/>
      <c r="J174" s="11"/>
      <c r="K174" s="149"/>
      <c r="L174" s="1" t="str">
        <f t="shared" si="4"/>
        <v/>
      </c>
      <c r="M174" s="4"/>
      <c r="N174" s="17" t="str">
        <f>if(M174&lt;&gt;"",'Actuals - Billing - 2025'!BG406,"")</f>
        <v/>
      </c>
    </row>
    <row r="175">
      <c r="A175" s="7"/>
      <c r="B175" s="8"/>
      <c r="C175" s="9"/>
      <c r="D175" s="148" t="str">
        <f>if(and(sum('Actuals - Billing - 2025'!AF407:AK407)&gt;0,C175&lt;&gt;""),'Actuals - Billing - 2025'!$AG$2,"")</f>
        <v/>
      </c>
      <c r="E175" s="11"/>
      <c r="F175" s="11"/>
      <c r="G175" s="11"/>
      <c r="H175" s="11"/>
      <c r="I175" s="11"/>
      <c r="J175" s="11"/>
      <c r="K175" s="149"/>
      <c r="L175" s="1" t="str">
        <f t="shared" si="4"/>
        <v/>
      </c>
      <c r="M175" s="4"/>
      <c r="N175" s="17" t="str">
        <f>if(M175&lt;&gt;"",'Actuals - Billing - 2025'!BG407,"")</f>
        <v/>
      </c>
    </row>
    <row r="176">
      <c r="A176" s="7"/>
      <c r="B176" s="8"/>
      <c r="C176" s="9"/>
      <c r="D176" s="148" t="str">
        <f>if(and(sum('Actuals - Billing - 2025'!AF408:AK408)&gt;0,C176&lt;&gt;""),'Actuals - Billing - 2025'!$AG$2,"")</f>
        <v/>
      </c>
      <c r="E176" s="11"/>
      <c r="F176" s="11"/>
      <c r="G176" s="11"/>
      <c r="H176" s="11"/>
      <c r="I176" s="11"/>
      <c r="J176" s="11"/>
      <c r="K176" s="149"/>
      <c r="L176" s="1" t="str">
        <f t="shared" si="4"/>
        <v/>
      </c>
      <c r="M176" s="4"/>
      <c r="N176" s="17" t="str">
        <f>if(M176&lt;&gt;"",'Actuals - Billing - 2025'!BG408,"")</f>
        <v/>
      </c>
    </row>
    <row r="177">
      <c r="A177" s="7"/>
      <c r="B177" s="8"/>
      <c r="C177" s="9"/>
      <c r="D177" s="148" t="str">
        <f>if(and(sum('Actuals - Billing - 2025'!AF409:AK409)&gt;0,C177&lt;&gt;""),'Actuals - Billing - 2025'!$AG$2,"")</f>
        <v/>
      </c>
      <c r="E177" s="11"/>
      <c r="F177" s="11"/>
      <c r="G177" s="11"/>
      <c r="H177" s="11"/>
      <c r="I177" s="11"/>
      <c r="J177" s="11"/>
      <c r="K177" s="149"/>
      <c r="L177" s="1" t="str">
        <f t="shared" si="4"/>
        <v/>
      </c>
      <c r="M177" s="4"/>
      <c r="N177" s="17" t="str">
        <f>if(M177&lt;&gt;"",'Actuals - Billing - 2025'!BG409,"")</f>
        <v/>
      </c>
    </row>
    <row r="178">
      <c r="A178" s="7"/>
      <c r="B178" s="8"/>
      <c r="C178" s="9"/>
      <c r="D178" s="148" t="str">
        <f>if(and(sum('Actuals - Billing - 2025'!AF410:AK410)&gt;0,C178&lt;&gt;""),'Actuals - Billing - 2025'!$AG$2,"")</f>
        <v/>
      </c>
      <c r="E178" s="11"/>
      <c r="F178" s="11"/>
      <c r="G178" s="11"/>
      <c r="H178" s="11"/>
      <c r="I178" s="11"/>
      <c r="J178" s="11"/>
      <c r="K178" s="149"/>
      <c r="L178" s="1" t="str">
        <f t="shared" si="4"/>
        <v/>
      </c>
      <c r="M178" s="4"/>
      <c r="N178" s="17" t="str">
        <f>if(M178&lt;&gt;"",'Actuals - Billing - 2025'!BG410,"")</f>
        <v/>
      </c>
    </row>
    <row r="179">
      <c r="A179" s="7"/>
      <c r="B179" s="8"/>
      <c r="C179" s="9"/>
      <c r="D179" s="148" t="str">
        <f>if(and(sum('Actuals - Billing - 2025'!AF411:AK411)&gt;0,C179&lt;&gt;""),'Actuals - Billing - 2025'!$AG$2,"")</f>
        <v/>
      </c>
      <c r="E179" s="11"/>
      <c r="F179" s="11"/>
      <c r="G179" s="11"/>
      <c r="H179" s="11"/>
      <c r="I179" s="11"/>
      <c r="J179" s="11"/>
      <c r="K179" s="149"/>
      <c r="L179" s="1" t="str">
        <f t="shared" si="4"/>
        <v/>
      </c>
      <c r="M179" s="4"/>
      <c r="N179" s="17" t="str">
        <f>if(M179&lt;&gt;"",'Actuals - Billing - 2025'!BG411,"")</f>
        <v/>
      </c>
    </row>
    <row r="180">
      <c r="A180" s="7"/>
      <c r="B180" s="8"/>
      <c r="C180" s="9"/>
      <c r="D180" s="148" t="str">
        <f>if(and(sum('Actuals - Billing - 2025'!AF412:AK412)&gt;0,C180&lt;&gt;""),'Actuals - Billing - 2025'!$AG$2,"")</f>
        <v/>
      </c>
      <c r="E180" s="11"/>
      <c r="F180" s="11"/>
      <c r="G180" s="11"/>
      <c r="H180" s="11"/>
      <c r="I180" s="11"/>
      <c r="J180" s="11"/>
      <c r="K180" s="149"/>
      <c r="L180" s="1" t="str">
        <f t="shared" si="4"/>
        <v/>
      </c>
      <c r="M180" s="4"/>
      <c r="N180" s="17" t="str">
        <f>if(M180&lt;&gt;"",'Actuals - Billing - 2025'!BG412,"")</f>
        <v/>
      </c>
    </row>
    <row r="181">
      <c r="A181" s="7"/>
      <c r="B181" s="8"/>
      <c r="C181" s="9"/>
      <c r="D181" s="148" t="str">
        <f>if(and(sum('Actuals - Billing - 2025'!AF413:AK413)&gt;0,C181&lt;&gt;""),'Actuals - Billing - 2025'!$AG$2,"")</f>
        <v/>
      </c>
      <c r="E181" s="11"/>
      <c r="F181" s="11"/>
      <c r="G181" s="11"/>
      <c r="H181" s="11"/>
      <c r="I181" s="11"/>
      <c r="J181" s="11"/>
      <c r="K181" s="149"/>
      <c r="L181" s="1" t="str">
        <f t="shared" si="4"/>
        <v/>
      </c>
      <c r="M181" s="4"/>
      <c r="N181" s="17" t="str">
        <f>if(M181&lt;&gt;"",'Actuals - Billing - 2025'!BG413,"")</f>
        <v/>
      </c>
    </row>
    <row r="182">
      <c r="A182" s="7"/>
      <c r="B182" s="8"/>
      <c r="C182" s="9"/>
      <c r="D182" s="148" t="str">
        <f>if(and(sum('Actuals - Billing - 2025'!AF414:AK414)&gt;0,C182&lt;&gt;""),'Actuals - Billing - 2025'!$AG$2,"")</f>
        <v/>
      </c>
      <c r="E182" s="11"/>
      <c r="F182" s="11"/>
      <c r="G182" s="11"/>
      <c r="H182" s="11"/>
      <c r="I182" s="11"/>
      <c r="J182" s="11"/>
      <c r="K182" s="149"/>
      <c r="L182" s="1" t="str">
        <f t="shared" si="4"/>
        <v/>
      </c>
      <c r="M182" s="4"/>
      <c r="N182" s="17" t="str">
        <f>if(M182&lt;&gt;"",'Actuals - Billing - 2025'!BG414,"")</f>
        <v/>
      </c>
    </row>
    <row r="183">
      <c r="A183" s="7"/>
      <c r="B183" s="8"/>
      <c r="C183" s="9"/>
      <c r="D183" s="148" t="str">
        <f>if(and(sum('Actuals - Billing - 2025'!AF415:AK415)&gt;0,C183&lt;&gt;""),'Actuals - Billing - 2025'!$AG$2,"")</f>
        <v/>
      </c>
      <c r="E183" s="11"/>
      <c r="F183" s="11"/>
      <c r="G183" s="11"/>
      <c r="H183" s="11"/>
      <c r="I183" s="11"/>
      <c r="J183" s="11"/>
      <c r="K183" s="149"/>
      <c r="L183" s="1" t="str">
        <f t="shared" si="4"/>
        <v/>
      </c>
      <c r="M183" s="4"/>
      <c r="N183" s="17" t="str">
        <f>if(M183&lt;&gt;"",'Actuals - Billing - 2025'!BG415,"")</f>
        <v/>
      </c>
    </row>
    <row r="184">
      <c r="A184" s="7"/>
      <c r="B184" s="8"/>
      <c r="C184" s="9"/>
      <c r="D184" s="148" t="str">
        <f>if(and(sum('Actuals - Billing - 2025'!AF416:AK416)&gt;0,C184&lt;&gt;""),'Actuals - Billing - 2025'!$AG$2,"")</f>
        <v/>
      </c>
      <c r="E184" s="11"/>
      <c r="F184" s="11"/>
      <c r="G184" s="11"/>
      <c r="H184" s="11"/>
      <c r="I184" s="11"/>
      <c r="J184" s="11"/>
      <c r="K184" s="149"/>
      <c r="L184" s="1" t="str">
        <f t="shared" si="4"/>
        <v/>
      </c>
      <c r="M184" s="4"/>
      <c r="N184" s="17" t="str">
        <f>if(M184&lt;&gt;"",'Actuals - Billing - 2025'!BG416,"")</f>
        <v/>
      </c>
    </row>
    <row r="185">
      <c r="A185" s="7"/>
      <c r="B185" s="8"/>
      <c r="C185" s="9"/>
      <c r="D185" s="148" t="str">
        <f>if(and(sum('Actuals - Billing - 2025'!AF417:AK417)&gt;0,C185&lt;&gt;""),'Actuals - Billing - 2025'!$AG$2,"")</f>
        <v/>
      </c>
      <c r="E185" s="11"/>
      <c r="F185" s="11"/>
      <c r="G185" s="11"/>
      <c r="H185" s="11"/>
      <c r="I185" s="11"/>
      <c r="J185" s="11"/>
      <c r="K185" s="149"/>
      <c r="L185" s="1" t="str">
        <f t="shared" si="4"/>
        <v/>
      </c>
      <c r="M185" s="4"/>
      <c r="N185" s="17" t="str">
        <f>if(M185&lt;&gt;"",'Actuals - Billing - 2025'!BG417,"")</f>
        <v/>
      </c>
    </row>
    <row r="186">
      <c r="A186" s="7"/>
      <c r="B186" s="8"/>
      <c r="C186" s="9"/>
      <c r="D186" s="148" t="str">
        <f>if(and(sum('Actuals - Billing - 2025'!AF418:AK418)&gt;0,C186&lt;&gt;""),'Actuals - Billing - 2025'!$AG$2,"")</f>
        <v/>
      </c>
      <c r="E186" s="11"/>
      <c r="F186" s="11"/>
      <c r="G186" s="11"/>
      <c r="H186" s="11"/>
      <c r="I186" s="11"/>
      <c r="J186" s="11"/>
      <c r="K186" s="149"/>
      <c r="L186" s="1" t="str">
        <f t="shared" si="4"/>
        <v/>
      </c>
      <c r="M186" s="4"/>
      <c r="N186" s="17" t="str">
        <f>if(M186&lt;&gt;"",'Actuals - Billing - 2025'!BG418,"")</f>
        <v/>
      </c>
    </row>
    <row r="187">
      <c r="A187" s="7"/>
      <c r="B187" s="8"/>
      <c r="C187" s="9"/>
      <c r="D187" s="148" t="str">
        <f>if(and(sum('Actuals - Billing - 2025'!AF419:AK419)&gt;0,C187&lt;&gt;""),'Actuals - Billing - 2025'!$AG$2,"")</f>
        <v/>
      </c>
      <c r="E187" s="11"/>
      <c r="F187" s="11"/>
      <c r="G187" s="11"/>
      <c r="H187" s="11"/>
      <c r="I187" s="11"/>
      <c r="J187" s="11"/>
      <c r="K187" s="149"/>
      <c r="L187" s="1" t="str">
        <f t="shared" si="4"/>
        <v/>
      </c>
      <c r="M187" s="4"/>
      <c r="N187" s="17" t="str">
        <f>if(M187&lt;&gt;"",'Actuals - Billing - 2025'!BG419,"")</f>
        <v/>
      </c>
    </row>
    <row r="188">
      <c r="A188" s="7"/>
      <c r="B188" s="8"/>
      <c r="C188" s="9"/>
      <c r="D188" s="148" t="str">
        <f>if(and(sum('Actuals - Billing - 2025'!AF420:AK420)&gt;0,C188&lt;&gt;""),'Actuals - Billing - 2025'!$AG$2,"")</f>
        <v/>
      </c>
      <c r="E188" s="11"/>
      <c r="F188" s="11"/>
      <c r="G188" s="11"/>
      <c r="H188" s="11"/>
      <c r="I188" s="11"/>
      <c r="J188" s="11"/>
      <c r="K188" s="149"/>
      <c r="L188" s="1" t="str">
        <f t="shared" si="4"/>
        <v/>
      </c>
      <c r="M188" s="4"/>
      <c r="N188" s="17" t="str">
        <f>if(M188&lt;&gt;"",'Actuals - Billing - 2025'!BG420,"")</f>
        <v/>
      </c>
    </row>
    <row r="189">
      <c r="A189" s="7"/>
      <c r="B189" s="8"/>
      <c r="C189" s="9"/>
      <c r="D189" s="148" t="str">
        <f>if(and(sum('Actuals - Billing - 2025'!AF421:AK421)&gt;0,C189&lt;&gt;""),'Actuals - Billing - 2025'!$AG$2,"")</f>
        <v/>
      </c>
      <c r="E189" s="11"/>
      <c r="F189" s="11"/>
      <c r="G189" s="11"/>
      <c r="H189" s="11"/>
      <c r="I189" s="11"/>
      <c r="J189" s="11"/>
      <c r="K189" s="149"/>
      <c r="L189" s="1" t="str">
        <f t="shared" si="4"/>
        <v/>
      </c>
      <c r="M189" s="4"/>
      <c r="N189" s="17" t="str">
        <f>if(M189&lt;&gt;"",'Actuals - Billing - 2025'!BG421,"")</f>
        <v/>
      </c>
    </row>
    <row r="190">
      <c r="A190" s="7"/>
      <c r="B190" s="8"/>
      <c r="C190" s="9"/>
      <c r="D190" s="148" t="str">
        <f>if(and(sum('Actuals - Billing - 2025'!AF422:AK422)&gt;0,C190&lt;&gt;""),'Actuals - Billing - 2025'!$AG$2,"")</f>
        <v/>
      </c>
      <c r="E190" s="11"/>
      <c r="F190" s="11"/>
      <c r="G190" s="11"/>
      <c r="H190" s="11"/>
      <c r="I190" s="11"/>
      <c r="J190" s="11"/>
      <c r="K190" s="149"/>
      <c r="L190" s="1" t="str">
        <f t="shared" si="4"/>
        <v/>
      </c>
      <c r="M190" s="4"/>
      <c r="N190" s="17" t="str">
        <f>if(M190&lt;&gt;"",'Actuals - Billing - 2025'!BG422,"")</f>
        <v/>
      </c>
    </row>
    <row r="191">
      <c r="A191" s="7"/>
      <c r="B191" s="8"/>
      <c r="C191" s="9"/>
      <c r="D191" s="148" t="str">
        <f>if(and(sum('Actuals - Billing - 2025'!AF423:AK423)&gt;0,C191&lt;&gt;""),'Actuals - Billing - 2025'!$AG$2,"")</f>
        <v/>
      </c>
      <c r="E191" s="11"/>
      <c r="F191" s="11"/>
      <c r="G191" s="11"/>
      <c r="H191" s="11"/>
      <c r="I191" s="11"/>
      <c r="J191" s="11"/>
      <c r="K191" s="149"/>
      <c r="L191" s="1" t="str">
        <f t="shared" si="4"/>
        <v/>
      </c>
      <c r="M191" s="4"/>
      <c r="N191" s="17" t="str">
        <f>if(M191&lt;&gt;"",'Actuals - Billing - 2025'!BG423,"")</f>
        <v/>
      </c>
    </row>
    <row r="192">
      <c r="A192" s="7"/>
      <c r="B192" s="8"/>
      <c r="C192" s="9"/>
      <c r="D192" s="148" t="str">
        <f>if(and(sum('Actuals - Billing - 2025'!AF424:AK424)&gt;0,C192&lt;&gt;""),'Actuals - Billing - 2025'!$AG$2,"")</f>
        <v/>
      </c>
      <c r="E192" s="11"/>
      <c r="F192" s="11"/>
      <c r="G192" s="11"/>
      <c r="H192" s="11"/>
      <c r="I192" s="11"/>
      <c r="J192" s="11"/>
      <c r="K192" s="149"/>
      <c r="L192" s="1" t="str">
        <f t="shared" si="4"/>
        <v/>
      </c>
      <c r="M192" s="4"/>
      <c r="N192" s="17" t="str">
        <f>if(M192&lt;&gt;"",'Actuals - Billing - 2025'!BG424,"")</f>
        <v/>
      </c>
    </row>
    <row r="193">
      <c r="A193" s="7"/>
      <c r="B193" s="8"/>
      <c r="C193" s="9"/>
      <c r="D193" s="148" t="str">
        <f>if(and(sum('Actuals - Billing - 2025'!AF425:AK425)&gt;0,C193&lt;&gt;""),'Actuals - Billing - 2025'!$AG$2,"")</f>
        <v/>
      </c>
      <c r="E193" s="11"/>
      <c r="F193" s="11"/>
      <c r="G193" s="11"/>
      <c r="H193" s="11"/>
      <c r="I193" s="11"/>
      <c r="J193" s="11"/>
      <c r="K193" s="149"/>
      <c r="L193" s="1" t="str">
        <f t="shared" si="4"/>
        <v/>
      </c>
      <c r="M193" s="4"/>
      <c r="N193" s="17" t="str">
        <f>if(M193&lt;&gt;"",'Actuals - Billing - 2025'!BG425,"")</f>
        <v/>
      </c>
    </row>
    <row r="194">
      <c r="A194" s="7"/>
      <c r="B194" s="8"/>
      <c r="C194" s="9"/>
      <c r="D194" s="148" t="str">
        <f>if(and(sum('Actuals - Billing - 2025'!AF426:AK426)&gt;0,C194&lt;&gt;""),'Actuals - Billing - 2025'!$AG$2,"")</f>
        <v/>
      </c>
      <c r="E194" s="11"/>
      <c r="F194" s="11"/>
      <c r="G194" s="11"/>
      <c r="H194" s="11"/>
      <c r="I194" s="11"/>
      <c r="J194" s="11"/>
      <c r="K194" s="149"/>
      <c r="L194" s="1" t="str">
        <f t="shared" si="4"/>
        <v/>
      </c>
      <c r="M194" s="4"/>
      <c r="N194" s="17" t="str">
        <f>if(M194&lt;&gt;"",'Actuals - Billing - 2025'!BG426,"")</f>
        <v/>
      </c>
    </row>
    <row r="195">
      <c r="A195" s="7"/>
      <c r="B195" s="8"/>
      <c r="C195" s="9"/>
      <c r="D195" s="148" t="str">
        <f>if(and(sum('Actuals - Billing - 2025'!AF427:AK427)&gt;0,C195&lt;&gt;""),'Actuals - Billing - 2025'!$AG$2,"")</f>
        <v/>
      </c>
      <c r="E195" s="11"/>
      <c r="F195" s="11"/>
      <c r="G195" s="11"/>
      <c r="H195" s="11"/>
      <c r="I195" s="11"/>
      <c r="J195" s="11"/>
      <c r="K195" s="149"/>
      <c r="L195" s="1" t="str">
        <f t="shared" si="4"/>
        <v/>
      </c>
      <c r="M195" s="4"/>
      <c r="N195" s="17" t="str">
        <f>if(M195&lt;&gt;"",'Actuals - Billing - 2025'!BG427,"")</f>
        <v/>
      </c>
    </row>
    <row r="196">
      <c r="A196" s="7"/>
      <c r="B196" s="8"/>
      <c r="C196" s="9"/>
      <c r="D196" s="148" t="str">
        <f>if(and(sum('Actuals - Billing - 2025'!AF428:AK428)&gt;0,C196&lt;&gt;""),'Actuals - Billing - 2025'!$AG$2,"")</f>
        <v/>
      </c>
      <c r="E196" s="11"/>
      <c r="F196" s="11"/>
      <c r="G196" s="11"/>
      <c r="H196" s="11"/>
      <c r="I196" s="11"/>
      <c r="J196" s="11"/>
      <c r="K196" s="149"/>
      <c r="L196" s="1" t="str">
        <f t="shared" si="4"/>
        <v/>
      </c>
      <c r="M196" s="4"/>
      <c r="N196" s="17" t="str">
        <f>if(M196&lt;&gt;"",'Actuals - Billing - 2025'!BG428,"")</f>
        <v/>
      </c>
    </row>
    <row r="197">
      <c r="A197" s="7"/>
      <c r="B197" s="8"/>
      <c r="C197" s="9"/>
      <c r="D197" s="148" t="str">
        <f>if(and(sum('Actuals - Billing - 2025'!AF429:AK429)&gt;0,C197&lt;&gt;""),'Actuals - Billing - 2025'!$AG$2,"")</f>
        <v/>
      </c>
      <c r="E197" s="11"/>
      <c r="F197" s="11"/>
      <c r="G197" s="11"/>
      <c r="H197" s="11"/>
      <c r="I197" s="11"/>
      <c r="J197" s="11"/>
      <c r="K197" s="149"/>
      <c r="L197" s="1" t="str">
        <f t="shared" si="4"/>
        <v/>
      </c>
      <c r="M197" s="4"/>
      <c r="N197" s="17" t="str">
        <f>if(M197&lt;&gt;"",'Actuals - Billing - 2025'!BG429,"")</f>
        <v/>
      </c>
    </row>
    <row r="198">
      <c r="A198" s="7"/>
      <c r="B198" s="8"/>
      <c r="C198" s="9"/>
      <c r="D198" s="148" t="str">
        <f>if(and(sum('Actuals - Billing - 2025'!AF430:AK430)&gt;0,C198&lt;&gt;""),'Actuals - Billing - 2025'!$AG$2,"")</f>
        <v/>
      </c>
      <c r="E198" s="11"/>
      <c r="F198" s="11"/>
      <c r="G198" s="11"/>
      <c r="H198" s="11"/>
      <c r="I198" s="11"/>
      <c r="J198" s="11"/>
      <c r="K198" s="149"/>
      <c r="L198" s="1" t="str">
        <f t="shared" si="4"/>
        <v/>
      </c>
      <c r="M198" s="4"/>
      <c r="N198" s="17" t="str">
        <f>if(M198&lt;&gt;"",'Actuals - Billing - 2025'!BG430,"")</f>
        <v/>
      </c>
    </row>
    <row r="199">
      <c r="A199" s="7"/>
      <c r="B199" s="8"/>
      <c r="C199" s="9"/>
      <c r="D199" s="148" t="str">
        <f>if(and(sum('Actuals - Billing - 2025'!AF431:AK431)&gt;0,C199&lt;&gt;""),'Actuals - Billing - 2025'!$AG$2,"")</f>
        <v/>
      </c>
      <c r="E199" s="11"/>
      <c r="F199" s="11"/>
      <c r="G199" s="11"/>
      <c r="H199" s="11"/>
      <c r="I199" s="11"/>
      <c r="J199" s="11"/>
      <c r="K199" s="149"/>
      <c r="L199" s="1" t="str">
        <f t="shared" si="4"/>
        <v/>
      </c>
      <c r="M199" s="4"/>
      <c r="N199" s="17" t="str">
        <f>if(M199&lt;&gt;"",'Actuals - Billing - 2025'!BG431,"")</f>
        <v/>
      </c>
    </row>
    <row r="200">
      <c r="A200" s="7"/>
      <c r="B200" s="8"/>
      <c r="C200" s="9"/>
      <c r="D200" s="148" t="str">
        <f>if(and(sum('Actuals - Billing - 2025'!AF432:AK432)&gt;0,C200&lt;&gt;""),'Actuals - Billing - 2025'!$AG$2,"")</f>
        <v/>
      </c>
      <c r="E200" s="11"/>
      <c r="F200" s="11"/>
      <c r="G200" s="11"/>
      <c r="H200" s="11"/>
      <c r="I200" s="11"/>
      <c r="J200" s="11"/>
      <c r="K200" s="149"/>
      <c r="L200" s="1" t="str">
        <f t="shared" si="4"/>
        <v/>
      </c>
      <c r="M200" s="4"/>
      <c r="N200" s="17" t="str">
        <f>if(M200&lt;&gt;"",'Actuals - Billing - 2025'!BG432,"")</f>
        <v/>
      </c>
    </row>
    <row r="201">
      <c r="A201" s="7"/>
      <c r="B201" s="8"/>
      <c r="C201" s="9"/>
      <c r="D201" s="148" t="str">
        <f>if(and(sum('Actuals - Billing - 2025'!AF433:AK433)&gt;0,C201&lt;&gt;""),'Actuals - Billing - 2025'!$AG$2,"")</f>
        <v/>
      </c>
      <c r="E201" s="11"/>
      <c r="F201" s="11"/>
      <c r="G201" s="11"/>
      <c r="H201" s="11"/>
      <c r="I201" s="11"/>
      <c r="J201" s="11"/>
      <c r="K201" s="149"/>
      <c r="L201" s="1" t="str">
        <f t="shared" si="4"/>
        <v/>
      </c>
      <c r="M201" s="4"/>
      <c r="N201" s="17" t="str">
        <f>if(M201&lt;&gt;"",'Actuals - Billing - 2025'!BG433,"")</f>
        <v/>
      </c>
    </row>
    <row r="202">
      <c r="A202" s="7"/>
      <c r="B202" s="8"/>
      <c r="C202" s="9"/>
      <c r="D202" s="148" t="str">
        <f>if(and(sum('Actuals - Billing - 2025'!AF434:AK434)&gt;0,C202&lt;&gt;""),'Actuals - Billing - 2025'!$AG$2,"")</f>
        <v/>
      </c>
      <c r="E202" s="11"/>
      <c r="F202" s="11"/>
      <c r="G202" s="11"/>
      <c r="H202" s="11"/>
      <c r="I202" s="11"/>
      <c r="J202" s="11"/>
      <c r="K202" s="149"/>
      <c r="L202" s="1" t="str">
        <f t="shared" si="4"/>
        <v/>
      </c>
      <c r="M202" s="4"/>
      <c r="N202" s="17" t="str">
        <f>if(M202&lt;&gt;"",'Actuals - Billing - 2025'!BG434,"")</f>
        <v/>
      </c>
    </row>
    <row r="203">
      <c r="A203" s="7"/>
      <c r="B203" s="8"/>
      <c r="C203" s="9"/>
      <c r="D203" s="148" t="str">
        <f>if(and(sum('Actuals - Billing - 2025'!AF435:AK435)&gt;0,C203&lt;&gt;""),'Actuals - Billing - 2025'!$AG$2,"")</f>
        <v/>
      </c>
      <c r="E203" s="11"/>
      <c r="F203" s="11"/>
      <c r="G203" s="11"/>
      <c r="H203" s="11"/>
      <c r="I203" s="11"/>
      <c r="J203" s="11"/>
      <c r="K203" s="149"/>
      <c r="L203" s="1" t="str">
        <f t="shared" si="4"/>
        <v/>
      </c>
      <c r="M203" s="4"/>
      <c r="N203" s="17" t="str">
        <f>if(M203&lt;&gt;"",'Actuals - Billing - 2025'!BG435,"")</f>
        <v/>
      </c>
    </row>
    <row r="204">
      <c r="A204" s="7"/>
      <c r="B204" s="8"/>
      <c r="C204" s="9"/>
      <c r="D204" s="148" t="str">
        <f>if(and(sum('Actuals - Billing - 2025'!AF436:AK436)&gt;0,C204&lt;&gt;""),'Actuals - Billing - 2025'!$AG$2,"")</f>
        <v/>
      </c>
      <c r="E204" s="11"/>
      <c r="F204" s="11"/>
      <c r="G204" s="11"/>
      <c r="H204" s="11"/>
      <c r="I204" s="11"/>
      <c r="J204" s="11"/>
      <c r="K204" s="149"/>
      <c r="L204" s="1" t="str">
        <f t="shared" si="4"/>
        <v/>
      </c>
      <c r="M204" s="4"/>
      <c r="N204" s="17" t="str">
        <f>if(M204&lt;&gt;"",'Actuals - Billing - 2025'!BG436,"")</f>
        <v/>
      </c>
    </row>
    <row r="205">
      <c r="A205" s="7"/>
      <c r="B205" s="8"/>
      <c r="C205" s="9"/>
      <c r="D205" s="148" t="str">
        <f>if(and(sum('Actuals - Billing - 2025'!AF437:AK437)&gt;0,C205&lt;&gt;""),'Actuals - Billing - 2025'!$AG$2,"")</f>
        <v/>
      </c>
      <c r="E205" s="11"/>
      <c r="F205" s="11"/>
      <c r="G205" s="11"/>
      <c r="H205" s="11"/>
      <c r="I205" s="11"/>
      <c r="J205" s="11"/>
      <c r="K205" s="149"/>
      <c r="L205" s="1" t="str">
        <f t="shared" si="4"/>
        <v/>
      </c>
      <c r="M205" s="4"/>
      <c r="N205" s="17" t="str">
        <f>if(M205&lt;&gt;"",'Actuals - Billing - 2025'!BG437,"")</f>
        <v/>
      </c>
    </row>
    <row r="206">
      <c r="A206" s="7"/>
      <c r="B206" s="8"/>
      <c r="C206" s="9"/>
      <c r="D206" s="148" t="str">
        <f>if(and(sum('Actuals - Billing - 2025'!AF438:AK438)&gt;0,C206&lt;&gt;""),'Actuals - Billing - 2025'!$AG$2,"")</f>
        <v/>
      </c>
      <c r="E206" s="11"/>
      <c r="F206" s="11"/>
      <c r="G206" s="11"/>
      <c r="H206" s="11"/>
      <c r="I206" s="11"/>
      <c r="J206" s="11"/>
      <c r="K206" s="149"/>
      <c r="L206" s="1" t="str">
        <f t="shared" si="4"/>
        <v/>
      </c>
      <c r="M206" s="4"/>
      <c r="N206" s="17" t="str">
        <f>if(M206&lt;&gt;"",'Actuals - Billing - 2025'!BG438,"")</f>
        <v/>
      </c>
    </row>
    <row r="207">
      <c r="A207" s="7"/>
      <c r="B207" s="8"/>
      <c r="C207" s="9"/>
      <c r="D207" s="148" t="str">
        <f>if(and(sum('Actuals - Billing - 2025'!AF439:AK439)&gt;0,C207&lt;&gt;""),'Actuals - Billing - 2025'!$AG$2,"")</f>
        <v/>
      </c>
      <c r="E207" s="11"/>
      <c r="F207" s="11"/>
      <c r="G207" s="11"/>
      <c r="H207" s="11"/>
      <c r="I207" s="11"/>
      <c r="J207" s="11"/>
      <c r="K207" s="149"/>
      <c r="L207" s="1" t="str">
        <f t="shared" si="4"/>
        <v/>
      </c>
      <c r="M207" s="4"/>
      <c r="N207" s="17" t="str">
        <f>if(M207&lt;&gt;"",'Actuals - Billing - 2025'!BG439,"")</f>
        <v/>
      </c>
    </row>
    <row r="208">
      <c r="A208" s="7"/>
      <c r="B208" s="8"/>
      <c r="C208" s="9"/>
      <c r="D208" s="148" t="str">
        <f>if(and(sum('Actuals - Billing - 2025'!AF440:AK440)&gt;0,C208&lt;&gt;""),'Actuals - Billing - 2025'!$AG$2,"")</f>
        <v/>
      </c>
      <c r="E208" s="11"/>
      <c r="F208" s="11"/>
      <c r="G208" s="11"/>
      <c r="H208" s="11"/>
      <c r="I208" s="11"/>
      <c r="J208" s="11"/>
      <c r="K208" s="149"/>
      <c r="L208" s="1" t="str">
        <f t="shared" si="4"/>
        <v/>
      </c>
      <c r="M208" s="4"/>
      <c r="N208" s="17" t="str">
        <f>if(M208&lt;&gt;"",'Actuals - Billing - 2025'!BG440,"")</f>
        <v/>
      </c>
    </row>
    <row r="209">
      <c r="A209" s="7"/>
      <c r="B209" s="8"/>
      <c r="C209" s="9"/>
      <c r="D209" s="148" t="str">
        <f>if(and(sum('Actuals - Billing - 2025'!AF441:AK441)&gt;0,C209&lt;&gt;""),'Actuals - Billing - 2025'!$AG$2,"")</f>
        <v/>
      </c>
      <c r="E209" s="11"/>
      <c r="F209" s="11"/>
      <c r="G209" s="11"/>
      <c r="H209" s="11"/>
      <c r="I209" s="11"/>
      <c r="J209" s="11"/>
      <c r="K209" s="149"/>
      <c r="L209" s="1" t="str">
        <f t="shared" si="4"/>
        <v/>
      </c>
      <c r="M209" s="4"/>
      <c r="N209" s="17" t="str">
        <f>if(M209&lt;&gt;"",'Actuals - Billing - 2025'!BG441,"")</f>
        <v/>
      </c>
    </row>
    <row r="210">
      <c r="A210" s="7"/>
      <c r="B210" s="8"/>
      <c r="C210" s="9"/>
      <c r="D210" s="148" t="str">
        <f>if(and(sum('Actuals - Billing - 2025'!AF442:AK442)&gt;0,C210&lt;&gt;""),'Actuals - Billing - 2025'!$AG$2,"")</f>
        <v/>
      </c>
      <c r="E210" s="11"/>
      <c r="F210" s="11"/>
      <c r="G210" s="11"/>
      <c r="H210" s="11"/>
      <c r="I210" s="11"/>
      <c r="J210" s="11"/>
      <c r="K210" s="149"/>
      <c r="L210" s="1" t="str">
        <f t="shared" si="4"/>
        <v/>
      </c>
      <c r="M210" s="4"/>
      <c r="N210" s="17" t="str">
        <f>if(M210&lt;&gt;"",'Actuals - Billing - 2025'!BG442,"")</f>
        <v/>
      </c>
    </row>
    <row r="211">
      <c r="A211" s="7"/>
      <c r="B211" s="8"/>
      <c r="C211" s="9"/>
      <c r="D211" s="148" t="str">
        <f>if(and(sum('Actuals - Billing - 2025'!AF443:AK443)&gt;0,C211&lt;&gt;""),'Actuals - Billing - 2025'!$AG$2,"")</f>
        <v/>
      </c>
      <c r="E211" s="11"/>
      <c r="F211" s="11"/>
      <c r="G211" s="11"/>
      <c r="H211" s="11"/>
      <c r="I211" s="11"/>
      <c r="J211" s="11"/>
      <c r="K211" s="149"/>
      <c r="L211" s="1" t="str">
        <f t="shared" si="4"/>
        <v/>
      </c>
      <c r="M211" s="4"/>
      <c r="N211" s="17" t="str">
        <f>if(M211&lt;&gt;"",'Actuals - Billing - 2025'!BG443,"")</f>
        <v/>
      </c>
    </row>
    <row r="212">
      <c r="A212" s="7"/>
      <c r="B212" s="8"/>
      <c r="C212" s="9"/>
      <c r="D212" s="148" t="str">
        <f>if(and(sum('Actuals - Billing - 2025'!AF444:AK444)&gt;0,C212&lt;&gt;""),'Actuals - Billing - 2025'!$AG$2,"")</f>
        <v/>
      </c>
      <c r="E212" s="11"/>
      <c r="F212" s="11"/>
      <c r="G212" s="11"/>
      <c r="H212" s="11"/>
      <c r="I212" s="11"/>
      <c r="J212" s="11"/>
      <c r="K212" s="149"/>
      <c r="L212" s="1" t="str">
        <f t="shared" si="4"/>
        <v/>
      </c>
      <c r="M212" s="4"/>
      <c r="N212" s="17" t="str">
        <f>if(M212&lt;&gt;"",'Actuals - Billing - 2025'!BG444,"")</f>
        <v/>
      </c>
    </row>
    <row r="213">
      <c r="A213" s="7"/>
      <c r="B213" s="8"/>
      <c r="C213" s="9"/>
      <c r="D213" s="148" t="str">
        <f>if(and(sum('Actuals - Billing - 2025'!AF445:AK445)&gt;0,C213&lt;&gt;""),'Actuals - Billing - 2025'!$AG$2,"")</f>
        <v/>
      </c>
      <c r="E213" s="11"/>
      <c r="F213" s="11"/>
      <c r="G213" s="11"/>
      <c r="H213" s="11"/>
      <c r="I213" s="11"/>
      <c r="J213" s="11"/>
      <c r="K213" s="149"/>
      <c r="L213" s="1" t="str">
        <f t="shared" si="4"/>
        <v/>
      </c>
      <c r="M213" s="4"/>
      <c r="N213" s="17" t="str">
        <f>if(M213&lt;&gt;"",'Actuals - Billing - 2025'!BG445,"")</f>
        <v/>
      </c>
    </row>
    <row r="214">
      <c r="A214" s="7"/>
      <c r="B214" s="8"/>
      <c r="C214" s="9"/>
      <c r="D214" s="148" t="str">
        <f>if(and(sum('Actuals - Billing - 2025'!AF446:AK446)&gt;0,C214&lt;&gt;""),'Actuals - Billing - 2025'!$AG$2,"")</f>
        <v/>
      </c>
      <c r="E214" s="11"/>
      <c r="F214" s="11"/>
      <c r="G214" s="11"/>
      <c r="H214" s="11"/>
      <c r="I214" s="11"/>
      <c r="J214" s="11"/>
      <c r="K214" s="149"/>
      <c r="L214" s="1" t="str">
        <f t="shared" si="4"/>
        <v/>
      </c>
      <c r="M214" s="4"/>
      <c r="N214" s="17" t="str">
        <f>if(M214&lt;&gt;"",'Actuals - Billing - 2025'!BG446,"")</f>
        <v/>
      </c>
    </row>
    <row r="215">
      <c r="A215" s="7"/>
      <c r="B215" s="8"/>
      <c r="C215" s="9"/>
      <c r="D215" s="148" t="str">
        <f>if(and(sum('Actuals - Billing - 2025'!AF447:AK447)&gt;0,C215&lt;&gt;""),'Actuals - Billing - 2025'!$AG$2,"")</f>
        <v/>
      </c>
      <c r="E215" s="11"/>
      <c r="F215" s="11"/>
      <c r="G215" s="11"/>
      <c r="H215" s="11"/>
      <c r="I215" s="11"/>
      <c r="J215" s="11"/>
      <c r="K215" s="149"/>
      <c r="L215" s="1" t="str">
        <f t="shared" si="4"/>
        <v/>
      </c>
      <c r="M215" s="4"/>
      <c r="N215" s="17" t="str">
        <f>if(M215&lt;&gt;"",'Actuals - Billing - 2025'!BG447,"")</f>
        <v/>
      </c>
    </row>
    <row r="216">
      <c r="A216" s="7"/>
      <c r="B216" s="8"/>
      <c r="C216" s="9"/>
      <c r="D216" s="148" t="str">
        <f>if(and(sum('Actuals - Billing - 2025'!AF448:AK448)&gt;0,C216&lt;&gt;""),'Actuals - Billing - 2025'!$AG$2,"")</f>
        <v/>
      </c>
      <c r="E216" s="11"/>
      <c r="F216" s="11"/>
      <c r="G216" s="11"/>
      <c r="H216" s="11"/>
      <c r="I216" s="11"/>
      <c r="J216" s="11"/>
      <c r="K216" s="149"/>
      <c r="L216" s="1" t="str">
        <f t="shared" si="4"/>
        <v/>
      </c>
      <c r="M216" s="4"/>
      <c r="N216" s="17" t="str">
        <f>if(M216&lt;&gt;"",'Actuals - Billing - 2025'!BG448,"")</f>
        <v/>
      </c>
    </row>
    <row r="217">
      <c r="A217" s="7"/>
      <c r="B217" s="8"/>
      <c r="C217" s="9"/>
      <c r="D217" s="148" t="str">
        <f>if(and(sum('Actuals - Billing - 2025'!AF449:AK449)&gt;0,C217&lt;&gt;""),'Actuals - Billing - 2025'!$AG$2,"")</f>
        <v/>
      </c>
      <c r="E217" s="11"/>
      <c r="F217" s="11"/>
      <c r="G217" s="11"/>
      <c r="H217" s="11"/>
      <c r="I217" s="11"/>
      <c r="J217" s="11"/>
      <c r="K217" s="149"/>
      <c r="L217" s="1" t="str">
        <f t="shared" si="4"/>
        <v/>
      </c>
      <c r="M217" s="4"/>
      <c r="N217" s="17" t="str">
        <f>if(M217&lt;&gt;"",'Actuals - Billing - 2025'!BG449,"")</f>
        <v/>
      </c>
    </row>
    <row r="218">
      <c r="A218" s="7"/>
      <c r="B218" s="8"/>
      <c r="C218" s="9"/>
      <c r="D218" s="148" t="str">
        <f>if(and(sum('Actuals - Billing - 2025'!AF450:AK450)&gt;0,C218&lt;&gt;""),'Actuals - Billing - 2025'!$AG$2,"")</f>
        <v/>
      </c>
      <c r="E218" s="11"/>
      <c r="F218" s="11"/>
      <c r="G218" s="11"/>
      <c r="H218" s="11"/>
      <c r="I218" s="11"/>
      <c r="J218" s="11"/>
      <c r="K218" s="149"/>
      <c r="L218" s="1" t="str">
        <f t="shared" si="4"/>
        <v/>
      </c>
      <c r="M218" s="4"/>
      <c r="N218" s="17" t="str">
        <f>if(M218&lt;&gt;"",'Actuals - Billing - 2025'!BG450,"")</f>
        <v/>
      </c>
    </row>
    <row r="219">
      <c r="A219" s="7"/>
      <c r="B219" s="8"/>
      <c r="C219" s="9"/>
      <c r="D219" s="148" t="str">
        <f>if(and(sum('Actuals - Billing - 2025'!AF451:AK451)&gt;0,C219&lt;&gt;""),'Actuals - Billing - 2025'!$AG$2,"")</f>
        <v/>
      </c>
      <c r="E219" s="11"/>
      <c r="F219" s="11"/>
      <c r="G219" s="11"/>
      <c r="H219" s="11"/>
      <c r="I219" s="11"/>
      <c r="J219" s="11"/>
      <c r="K219" s="149"/>
      <c r="L219" s="1" t="str">
        <f t="shared" si="4"/>
        <v/>
      </c>
      <c r="M219" s="4"/>
      <c r="N219" s="17" t="str">
        <f>if(M219&lt;&gt;"",'Actuals - Billing - 2025'!BG451,"")</f>
        <v/>
      </c>
    </row>
    <row r="220">
      <c r="A220" s="7"/>
      <c r="B220" s="8"/>
      <c r="C220" s="9"/>
      <c r="D220" s="148" t="str">
        <f>if(and(sum('Actuals - Billing - 2025'!AF452:AK452)&gt;0,C220&lt;&gt;""),'Actuals - Billing - 2025'!$AG$2,"")</f>
        <v/>
      </c>
      <c r="E220" s="11"/>
      <c r="F220" s="11"/>
      <c r="G220" s="11"/>
      <c r="H220" s="11"/>
      <c r="I220" s="11"/>
      <c r="J220" s="11"/>
      <c r="K220" s="149"/>
      <c r="L220" s="1" t="str">
        <f t="shared" si="4"/>
        <v/>
      </c>
      <c r="M220" s="4"/>
      <c r="N220" s="17" t="str">
        <f>if(M220&lt;&gt;"",'Actuals - Billing - 2025'!BG452,"")</f>
        <v/>
      </c>
    </row>
    <row r="221">
      <c r="A221" s="7"/>
      <c r="B221" s="8"/>
      <c r="C221" s="9"/>
      <c r="D221" s="148" t="str">
        <f>if(and(sum('Actuals - Billing - 2025'!AF453:AK453)&gt;0,C221&lt;&gt;""),'Actuals - Billing - 2025'!$AG$2,"")</f>
        <v/>
      </c>
      <c r="E221" s="11"/>
      <c r="F221" s="11"/>
      <c r="G221" s="11"/>
      <c r="H221" s="11"/>
      <c r="I221" s="11"/>
      <c r="J221" s="11"/>
      <c r="K221" s="149"/>
      <c r="L221" s="1" t="str">
        <f t="shared" si="4"/>
        <v/>
      </c>
      <c r="M221" s="4"/>
      <c r="N221" s="17" t="str">
        <f>if(M221&lt;&gt;"",'Actuals - Billing - 2025'!BG453,"")</f>
        <v/>
      </c>
    </row>
    <row r="222">
      <c r="A222" s="7"/>
      <c r="B222" s="8"/>
      <c r="C222" s="9"/>
      <c r="D222" s="148" t="str">
        <f>if(and(sum('Actuals - Billing - 2025'!AF454:AK454)&gt;0,C222&lt;&gt;""),'Actuals - Billing - 2025'!$AG$2,"")</f>
        <v/>
      </c>
      <c r="E222" s="11"/>
      <c r="F222" s="11"/>
      <c r="G222" s="11"/>
      <c r="H222" s="11"/>
      <c r="I222" s="11"/>
      <c r="J222" s="11"/>
      <c r="K222" s="149"/>
      <c r="L222" s="1" t="str">
        <f t="shared" si="4"/>
        <v/>
      </c>
      <c r="M222" s="4"/>
      <c r="N222" s="17" t="str">
        <f>if(M222&lt;&gt;"",'Actuals - Billing - 2025'!BG454,"")</f>
        <v/>
      </c>
    </row>
    <row r="223">
      <c r="A223" s="7"/>
      <c r="B223" s="8"/>
      <c r="C223" s="9"/>
      <c r="D223" s="148" t="str">
        <f>if(and(sum('Actuals - Billing - 2025'!AF455:AK455)&gt;0,C223&lt;&gt;""),'Actuals - Billing - 2025'!$AG$2,"")</f>
        <v/>
      </c>
      <c r="E223" s="11"/>
      <c r="F223" s="11"/>
      <c r="G223" s="11"/>
      <c r="H223" s="11"/>
      <c r="I223" s="11"/>
      <c r="J223" s="11"/>
      <c r="K223" s="149"/>
      <c r="L223" s="1" t="str">
        <f t="shared" si="4"/>
        <v/>
      </c>
      <c r="M223" s="4"/>
      <c r="N223" s="17" t="str">
        <f>if(M223&lt;&gt;"",'Actuals - Billing - 2025'!BG455,"")</f>
        <v/>
      </c>
    </row>
    <row r="224">
      <c r="A224" s="7"/>
      <c r="B224" s="8"/>
      <c r="C224" s="9"/>
      <c r="D224" s="148" t="str">
        <f>if(and(sum('Actuals - Billing - 2025'!AF456:AK456)&gt;0,C224&lt;&gt;""),'Actuals - Billing - 2025'!$AG$2,"")</f>
        <v/>
      </c>
      <c r="E224" s="11"/>
      <c r="F224" s="11"/>
      <c r="G224" s="11"/>
      <c r="H224" s="11"/>
      <c r="I224" s="11"/>
      <c r="J224" s="11"/>
      <c r="K224" s="149"/>
      <c r="L224" s="1" t="str">
        <f t="shared" si="4"/>
        <v/>
      </c>
      <c r="M224" s="4"/>
      <c r="N224" s="17" t="str">
        <f>if(M224&lt;&gt;"",'Actuals - Billing - 2025'!BG456,"")</f>
        <v/>
      </c>
    </row>
    <row r="225">
      <c r="A225" s="7"/>
      <c r="B225" s="8"/>
      <c r="C225" s="9"/>
      <c r="D225" s="148" t="str">
        <f>if(and(sum('Actuals - Billing - 2025'!AF457:AK457)&gt;0,C225&lt;&gt;""),'Actuals - Billing - 2025'!$AG$2,"")</f>
        <v/>
      </c>
      <c r="E225" s="11"/>
      <c r="F225" s="11"/>
      <c r="G225" s="11"/>
      <c r="H225" s="11"/>
      <c r="I225" s="11"/>
      <c r="J225" s="11"/>
      <c r="K225" s="149"/>
      <c r="L225" s="1" t="str">
        <f t="shared" si="4"/>
        <v/>
      </c>
      <c r="M225" s="4"/>
      <c r="N225" s="17" t="str">
        <f>if(M225&lt;&gt;"",'Actuals - Billing - 2025'!BG457,"")</f>
        <v/>
      </c>
    </row>
    <row r="226">
      <c r="A226" s="7"/>
      <c r="B226" s="8"/>
      <c r="C226" s="9"/>
      <c r="D226" s="148" t="str">
        <f>if(and(sum('Actuals - Billing - 2025'!AF458:AK458)&gt;0,C226&lt;&gt;""),'Actuals - Billing - 2025'!$AG$2,"")</f>
        <v/>
      </c>
      <c r="E226" s="11"/>
      <c r="F226" s="11"/>
      <c r="G226" s="11"/>
      <c r="H226" s="11"/>
      <c r="I226" s="11"/>
      <c r="J226" s="11"/>
      <c r="K226" s="149"/>
      <c r="L226" s="1" t="str">
        <f t="shared" si="4"/>
        <v/>
      </c>
      <c r="M226" s="4"/>
      <c r="N226" s="17" t="str">
        <f>if(M226&lt;&gt;"",'Actuals - Billing - 2025'!BG458,"")</f>
        <v/>
      </c>
    </row>
    <row r="227">
      <c r="A227" s="7"/>
      <c r="B227" s="8"/>
      <c r="C227" s="9"/>
      <c r="D227" s="148" t="str">
        <f>if(and(sum('Actuals - Billing - 2025'!AF459:AK459)&gt;0,C227&lt;&gt;""),'Actuals - Billing - 2025'!$AG$2,"")</f>
        <v/>
      </c>
      <c r="E227" s="11"/>
      <c r="F227" s="11"/>
      <c r="G227" s="11"/>
      <c r="H227" s="11"/>
      <c r="I227" s="11"/>
      <c r="J227" s="11"/>
      <c r="K227" s="149"/>
      <c r="L227" s="1" t="str">
        <f t="shared" si="4"/>
        <v/>
      </c>
      <c r="M227" s="4"/>
      <c r="N227" s="17" t="str">
        <f>if(M227&lt;&gt;"",'Actuals - Billing - 2025'!BG459,"")</f>
        <v/>
      </c>
    </row>
    <row r="228">
      <c r="A228" s="7"/>
      <c r="B228" s="8"/>
      <c r="C228" s="9"/>
      <c r="D228" s="148" t="str">
        <f>if(and(sum('Actuals - Billing - 2025'!AF460:AK460)&gt;0,C228&lt;&gt;""),'Actuals - Billing - 2025'!$AG$2,"")</f>
        <v/>
      </c>
      <c r="E228" s="11"/>
      <c r="F228" s="11"/>
      <c r="G228" s="11"/>
      <c r="H228" s="11"/>
      <c r="I228" s="11"/>
      <c r="J228" s="11"/>
      <c r="K228" s="149"/>
      <c r="L228" s="1" t="str">
        <f t="shared" si="4"/>
        <v/>
      </c>
      <c r="M228" s="4"/>
      <c r="N228" s="17" t="str">
        <f>if(M228&lt;&gt;"",'Actuals - Billing - 2025'!BG460,"")</f>
        <v/>
      </c>
    </row>
    <row r="229">
      <c r="A229" s="7"/>
      <c r="B229" s="8"/>
      <c r="C229" s="9"/>
      <c r="D229" s="148" t="str">
        <f>if(and(sum('Actuals - Billing - 2025'!AF461:AK461)&gt;0,C229&lt;&gt;""),'Actuals - Billing - 2025'!$AG$2,"")</f>
        <v/>
      </c>
      <c r="E229" s="11"/>
      <c r="F229" s="11"/>
      <c r="G229" s="11"/>
      <c r="H229" s="11"/>
      <c r="I229" s="11"/>
      <c r="J229" s="11"/>
      <c r="K229" s="149"/>
      <c r="L229" s="1" t="str">
        <f t="shared" si="4"/>
        <v/>
      </c>
      <c r="M229" s="4"/>
      <c r="N229" s="17" t="str">
        <f>if(M229&lt;&gt;"",'Actuals - Billing - 2025'!BG461,"")</f>
        <v/>
      </c>
    </row>
    <row r="230">
      <c r="A230" s="7"/>
      <c r="B230" s="8"/>
      <c r="C230" s="9"/>
      <c r="D230" s="148" t="str">
        <f>if(and(sum('Actuals - Billing - 2025'!AF462:AK462)&gt;0,C230&lt;&gt;""),'Actuals - Billing - 2025'!$AG$2,"")</f>
        <v/>
      </c>
      <c r="E230" s="11"/>
      <c r="F230" s="11"/>
      <c r="G230" s="11"/>
      <c r="H230" s="11"/>
      <c r="I230" s="11"/>
      <c r="J230" s="11"/>
      <c r="K230" s="149"/>
      <c r="L230" s="1" t="str">
        <f t="shared" si="4"/>
        <v/>
      </c>
      <c r="M230" s="4"/>
      <c r="N230" s="17" t="str">
        <f>if(M230&lt;&gt;"",'Actuals - Billing - 2025'!BG462,"")</f>
        <v/>
      </c>
    </row>
    <row r="231">
      <c r="A231" s="7"/>
      <c r="B231" s="8"/>
      <c r="C231" s="9"/>
      <c r="D231" s="148" t="str">
        <f>if(and(sum('Actuals - Billing - 2025'!AF463:AK463)&gt;0,C231&lt;&gt;""),'Actuals - Billing - 2025'!$AG$2,"")</f>
        <v/>
      </c>
      <c r="E231" s="11"/>
      <c r="F231" s="11"/>
      <c r="G231" s="11"/>
      <c r="H231" s="11"/>
      <c r="I231" s="11"/>
      <c r="J231" s="11"/>
      <c r="K231" s="149"/>
      <c r="L231" s="1" t="str">
        <f t="shared" si="4"/>
        <v/>
      </c>
      <c r="M231" s="4"/>
      <c r="N231" s="17" t="str">
        <f>if(M231&lt;&gt;"",'Actuals - Billing - 2025'!BG463,"")</f>
        <v/>
      </c>
    </row>
    <row r="232">
      <c r="A232" s="7"/>
      <c r="B232" s="8"/>
      <c r="C232" s="9"/>
      <c r="D232" s="148" t="str">
        <f>if(and(sum('Actuals - Billing - 2025'!AF464:AK464)&gt;0,C232&lt;&gt;""),'Actuals - Billing - 2025'!$AG$2,"")</f>
        <v/>
      </c>
      <c r="E232" s="11"/>
      <c r="F232" s="11"/>
      <c r="G232" s="11"/>
      <c r="H232" s="11"/>
      <c r="I232" s="11"/>
      <c r="J232" s="11"/>
      <c r="K232" s="149"/>
      <c r="L232" s="1" t="str">
        <f t="shared" si="4"/>
        <v/>
      </c>
      <c r="M232" s="4"/>
      <c r="N232" s="17" t="str">
        <f>if(M232&lt;&gt;"",'Actuals - Billing - 2025'!BG464,"")</f>
        <v/>
      </c>
    </row>
    <row r="233">
      <c r="A233" s="7"/>
      <c r="B233" s="8"/>
      <c r="C233" s="9"/>
      <c r="D233" s="148" t="str">
        <f>if(and(sum('Actuals - Billing - 2025'!AF465:AK465)&gt;0,C233&lt;&gt;""),'Actuals - Billing - 2025'!$AG$2,"")</f>
        <v/>
      </c>
      <c r="E233" s="11"/>
      <c r="F233" s="11"/>
      <c r="G233" s="11"/>
      <c r="H233" s="11"/>
      <c r="I233" s="11"/>
      <c r="J233" s="11"/>
      <c r="K233" s="149"/>
      <c r="L233" s="1" t="str">
        <f t="shared" si="4"/>
        <v/>
      </c>
      <c r="M233" s="4"/>
      <c r="N233" s="17" t="str">
        <f>if(M233&lt;&gt;"",'Actuals - Billing - 2025'!BG465,"")</f>
        <v/>
      </c>
    </row>
    <row r="234">
      <c r="A234" s="7"/>
      <c r="B234" s="8"/>
      <c r="C234" s="9"/>
      <c r="D234" s="148" t="str">
        <f>if(and(sum('Actuals - Billing - 2025'!AF466:AK466)&gt;0,C234&lt;&gt;""),'Actuals - Billing - 2025'!$AG$2,"")</f>
        <v/>
      </c>
      <c r="E234" s="11"/>
      <c r="F234" s="11"/>
      <c r="G234" s="11"/>
      <c r="H234" s="11"/>
      <c r="I234" s="11"/>
      <c r="J234" s="11"/>
      <c r="K234" s="149"/>
      <c r="L234" s="1" t="str">
        <f t="shared" si="4"/>
        <v/>
      </c>
      <c r="M234" s="4"/>
      <c r="N234" s="17" t="str">
        <f>if(M234&lt;&gt;"",'Actuals - Billing - 2025'!BG466,"")</f>
        <v/>
      </c>
    </row>
    <row r="235">
      <c r="A235" s="7"/>
      <c r="B235" s="8"/>
      <c r="C235" s="9"/>
      <c r="D235" s="148" t="str">
        <f>if(and(sum('Actuals - Billing - 2025'!AF467:AK467)&gt;0,C235&lt;&gt;""),'Actuals - Billing - 2025'!$AG$2,"")</f>
        <v/>
      </c>
      <c r="E235" s="11"/>
      <c r="F235" s="11"/>
      <c r="G235" s="11"/>
      <c r="H235" s="11"/>
      <c r="I235" s="11"/>
      <c r="J235" s="11"/>
      <c r="K235" s="149"/>
      <c r="L235" s="1" t="str">
        <f t="shared" si="4"/>
        <v/>
      </c>
      <c r="M235" s="4"/>
      <c r="N235" s="17" t="str">
        <f>if(M235&lt;&gt;"",'Actuals - Billing - 2025'!BG467,"")</f>
        <v/>
      </c>
    </row>
    <row r="236">
      <c r="A236" s="7"/>
      <c r="B236" s="8"/>
      <c r="C236" s="9"/>
      <c r="D236" s="148" t="str">
        <f>if(and(sum('Actuals - Billing - 2025'!AF468:AK468)&gt;0,C236&lt;&gt;""),'Actuals - Billing - 2025'!$AG$2,"")</f>
        <v/>
      </c>
      <c r="E236" s="11"/>
      <c r="F236" s="11"/>
      <c r="G236" s="11"/>
      <c r="H236" s="11"/>
      <c r="I236" s="11"/>
      <c r="J236" s="11"/>
      <c r="K236" s="149"/>
      <c r="L236" s="1" t="str">
        <f t="shared" si="4"/>
        <v/>
      </c>
      <c r="M236" s="4"/>
      <c r="N236" s="17" t="str">
        <f>if(M236&lt;&gt;"",'Actuals - Billing - 2025'!BG468,"")</f>
        <v/>
      </c>
    </row>
    <row r="237">
      <c r="A237" s="7"/>
      <c r="B237" s="8"/>
      <c r="C237" s="9"/>
      <c r="D237" s="148" t="str">
        <f>if(and(sum('Actuals - Billing - 2025'!AF469:AK469)&gt;0,C237&lt;&gt;""),'Actuals - Billing - 2025'!$AG$2,"")</f>
        <v/>
      </c>
      <c r="E237" s="11"/>
      <c r="F237" s="11"/>
      <c r="G237" s="11"/>
      <c r="H237" s="11"/>
      <c r="I237" s="11"/>
      <c r="J237" s="11"/>
      <c r="K237" s="149"/>
      <c r="L237" s="1" t="str">
        <f t="shared" si="4"/>
        <v/>
      </c>
      <c r="M237" s="4"/>
      <c r="N237" s="17" t="str">
        <f>if(M237&lt;&gt;"",'Actuals - Billing - 2025'!BG469,"")</f>
        <v/>
      </c>
    </row>
    <row r="238">
      <c r="A238" s="7"/>
      <c r="B238" s="8"/>
      <c r="C238" s="9"/>
      <c r="D238" s="148" t="str">
        <f>if(and(sum('Actuals - Billing - 2025'!AF470:AK470)&gt;0,C238&lt;&gt;""),'Actuals - Billing - 2025'!$AG$2,"")</f>
        <v/>
      </c>
      <c r="E238" s="11"/>
      <c r="F238" s="11"/>
      <c r="G238" s="11"/>
      <c r="H238" s="11"/>
      <c r="I238" s="11"/>
      <c r="J238" s="11"/>
      <c r="K238" s="149"/>
      <c r="L238" s="1" t="str">
        <f t="shared" si="4"/>
        <v/>
      </c>
      <c r="M238" s="4"/>
      <c r="N238" s="17" t="str">
        <f>if(M238&lt;&gt;"",'Actuals - Billing - 2025'!BG470,"")</f>
        <v/>
      </c>
    </row>
    <row r="239">
      <c r="A239" s="7"/>
      <c r="B239" s="8"/>
      <c r="C239" s="9"/>
      <c r="D239" s="148" t="str">
        <f>if(and(sum('Actuals - Billing - 2025'!AF471:AK471)&gt;0,C239&lt;&gt;""),'Actuals - Billing - 2025'!$AG$2,"")</f>
        <v/>
      </c>
      <c r="E239" s="11"/>
      <c r="F239" s="11"/>
      <c r="G239" s="11"/>
      <c r="H239" s="11"/>
      <c r="I239" s="11"/>
      <c r="J239" s="11"/>
      <c r="K239" s="149"/>
      <c r="L239" s="1" t="str">
        <f t="shared" si="4"/>
        <v/>
      </c>
      <c r="M239" s="4"/>
      <c r="N239" s="17" t="str">
        <f>if(M239&lt;&gt;"",'Actuals - Billing - 2025'!BG471,"")</f>
        <v/>
      </c>
    </row>
    <row r="240">
      <c r="A240" s="7"/>
      <c r="B240" s="8"/>
      <c r="C240" s="9"/>
      <c r="D240" s="148" t="str">
        <f>if(and(sum('Actuals - Billing - 2025'!AF472:AK472)&gt;0,C240&lt;&gt;""),'Actuals - Billing - 2025'!$AG$2,"")</f>
        <v/>
      </c>
      <c r="E240" s="11"/>
      <c r="F240" s="11"/>
      <c r="G240" s="11"/>
      <c r="H240" s="11"/>
      <c r="I240" s="11"/>
      <c r="J240" s="11"/>
      <c r="K240" s="149"/>
      <c r="L240" s="1" t="str">
        <f t="shared" si="4"/>
        <v/>
      </c>
      <c r="M240" s="4"/>
      <c r="N240" s="17" t="str">
        <f>if(M240&lt;&gt;"",'Actuals - Billing - 2025'!BG472,"")</f>
        <v/>
      </c>
    </row>
    <row r="241">
      <c r="A241" s="7"/>
      <c r="B241" s="8"/>
      <c r="C241" s="9"/>
      <c r="D241" s="148" t="str">
        <f>if(and(sum('Actuals - Billing - 2025'!AF473:AK473)&gt;0,C241&lt;&gt;""),'Actuals - Billing - 2025'!$AG$2,"")</f>
        <v/>
      </c>
      <c r="E241" s="11"/>
      <c r="F241" s="11"/>
      <c r="G241" s="11"/>
      <c r="H241" s="11"/>
      <c r="I241" s="11"/>
      <c r="J241" s="11"/>
      <c r="K241" s="149"/>
      <c r="L241" s="1" t="str">
        <f t="shared" si="4"/>
        <v/>
      </c>
      <c r="M241" s="4"/>
      <c r="N241" s="17" t="str">
        <f>if(M241&lt;&gt;"",'Actuals - Billing - 2025'!BG473,"")</f>
        <v/>
      </c>
    </row>
    <row r="242">
      <c r="A242" s="7"/>
      <c r="B242" s="8"/>
      <c r="C242" s="9"/>
      <c r="D242" s="148" t="str">
        <f>if(and(sum('Actuals - Billing - 2025'!AF474:AK474)&gt;0,C242&lt;&gt;""),'Actuals - Billing - 2025'!$AG$2,"")</f>
        <v/>
      </c>
      <c r="E242" s="11"/>
      <c r="F242" s="11"/>
      <c r="G242" s="11"/>
      <c r="H242" s="11"/>
      <c r="I242" s="11"/>
      <c r="J242" s="11"/>
      <c r="K242" s="149"/>
      <c r="L242" s="1" t="str">
        <f t="shared" si="4"/>
        <v/>
      </c>
      <c r="M242" s="4"/>
      <c r="N242" s="17" t="str">
        <f>if(M242&lt;&gt;"",'Actuals - Billing - 2025'!BG474,"")</f>
        <v/>
      </c>
    </row>
    <row r="243">
      <c r="A243" s="7"/>
      <c r="B243" s="8"/>
      <c r="C243" s="9"/>
      <c r="D243" s="148" t="str">
        <f>if(and(sum('Actuals - Billing - 2025'!AF475:AK475)&gt;0,C243&lt;&gt;""),'Actuals - Billing - 2025'!$AG$2,"")</f>
        <v/>
      </c>
      <c r="E243" s="11"/>
      <c r="F243" s="11"/>
      <c r="G243" s="11"/>
      <c r="H243" s="11"/>
      <c r="I243" s="11"/>
      <c r="J243" s="11"/>
      <c r="K243" s="149"/>
      <c r="L243" s="1" t="str">
        <f t="shared" si="4"/>
        <v/>
      </c>
      <c r="M243" s="4"/>
      <c r="N243" s="17" t="str">
        <f>if(M243&lt;&gt;"",'Actuals - Billing - 2025'!BG475,"")</f>
        <v/>
      </c>
    </row>
    <row r="244">
      <c r="A244" s="7"/>
      <c r="B244" s="8"/>
      <c r="C244" s="9"/>
      <c r="D244" s="148" t="str">
        <f>if(and(sum('Actuals - Billing - 2025'!AF476:AK476)&gt;0,C244&lt;&gt;""),'Actuals - Billing - 2025'!$AG$2,"")</f>
        <v/>
      </c>
      <c r="E244" s="11"/>
      <c r="F244" s="11"/>
      <c r="G244" s="11"/>
      <c r="H244" s="11"/>
      <c r="I244" s="11"/>
      <c r="J244" s="11"/>
      <c r="K244" s="149"/>
      <c r="L244" s="1" t="str">
        <f t="shared" si="4"/>
        <v/>
      </c>
      <c r="M244" s="4"/>
      <c r="N244" s="17" t="str">
        <f>if(M244&lt;&gt;"",'Actuals - Billing - 2025'!BG476,"")</f>
        <v/>
      </c>
    </row>
    <row r="245">
      <c r="A245" s="7"/>
      <c r="B245" s="8"/>
      <c r="C245" s="9"/>
      <c r="D245" s="148" t="str">
        <f>if(and(sum('Actuals - Billing - 2025'!AF477:AK477)&gt;0,C245&lt;&gt;""),'Actuals - Billing - 2025'!$AG$2,"")</f>
        <v/>
      </c>
      <c r="E245" s="11"/>
      <c r="F245" s="11"/>
      <c r="G245" s="11"/>
      <c r="H245" s="11"/>
      <c r="I245" s="11"/>
      <c r="J245" s="11"/>
      <c r="K245" s="149"/>
      <c r="L245" s="1" t="str">
        <f t="shared" si="4"/>
        <v/>
      </c>
      <c r="M245" s="4"/>
      <c r="N245" s="17" t="str">
        <f>if(M245&lt;&gt;"",'Actuals - Billing - 2025'!BG477,"")</f>
        <v/>
      </c>
    </row>
    <row r="246">
      <c r="A246" s="7"/>
      <c r="B246" s="8"/>
      <c r="C246" s="9"/>
      <c r="D246" s="148" t="str">
        <f>if(and(sum('Actuals - Billing - 2025'!AF478:AK478)&gt;0,C246&lt;&gt;""),'Actuals - Billing - 2025'!$AG$2,"")</f>
        <v/>
      </c>
      <c r="E246" s="11"/>
      <c r="F246" s="11"/>
      <c r="G246" s="11"/>
      <c r="H246" s="11"/>
      <c r="I246" s="11"/>
      <c r="J246" s="11"/>
      <c r="K246" s="149"/>
      <c r="L246" s="1" t="str">
        <f t="shared" si="4"/>
        <v/>
      </c>
      <c r="M246" s="4"/>
      <c r="N246" s="17" t="str">
        <f>if(M246&lt;&gt;"",'Actuals - Billing - 2025'!BG478,"")</f>
        <v/>
      </c>
    </row>
    <row r="247">
      <c r="A247" s="7"/>
      <c r="B247" s="8"/>
      <c r="C247" s="9"/>
      <c r="D247" s="148" t="str">
        <f>if(and(sum('Actuals - Billing - 2025'!AF479:AK479)&gt;0,C247&lt;&gt;""),'Actuals - Billing - 2025'!$AG$2,"")</f>
        <v/>
      </c>
      <c r="E247" s="11"/>
      <c r="F247" s="11"/>
      <c r="G247" s="11"/>
      <c r="H247" s="11"/>
      <c r="I247" s="11"/>
      <c r="J247" s="11"/>
      <c r="K247" s="149"/>
      <c r="L247" s="1" t="str">
        <f t="shared" si="4"/>
        <v/>
      </c>
      <c r="M247" s="4"/>
      <c r="N247" s="17" t="str">
        <f>if(M247&lt;&gt;"",'Actuals - Billing - 2025'!BG479,"")</f>
        <v/>
      </c>
    </row>
    <row r="248">
      <c r="A248" s="7"/>
      <c r="B248" s="8"/>
      <c r="C248" s="9"/>
      <c r="D248" s="148" t="str">
        <f>if(and(sum('Actuals - Billing - 2025'!AF480:AK480)&gt;0,C248&lt;&gt;""),'Actuals - Billing - 2025'!$AG$2,"")</f>
        <v/>
      </c>
      <c r="E248" s="11"/>
      <c r="F248" s="11"/>
      <c r="G248" s="11"/>
      <c r="H248" s="11"/>
      <c r="I248" s="11"/>
      <c r="J248" s="11"/>
      <c r="K248" s="149"/>
      <c r="L248" s="1" t="str">
        <f t="shared" si="4"/>
        <v/>
      </c>
      <c r="M248" s="4"/>
      <c r="N248" s="17" t="str">
        <f>if(M248&lt;&gt;"",'Actuals - Billing - 2025'!BG480,"")</f>
        <v/>
      </c>
    </row>
    <row r="249">
      <c r="A249" s="7"/>
      <c r="B249" s="8"/>
      <c r="C249" s="9"/>
      <c r="D249" s="148" t="str">
        <f>if(and(sum('Actuals - Billing - 2025'!AF481:AK481)&gt;0,C249&lt;&gt;""),'Actuals - Billing - 2025'!$AG$2,"")</f>
        <v/>
      </c>
      <c r="E249" s="11"/>
      <c r="F249" s="11"/>
      <c r="G249" s="11"/>
      <c r="H249" s="11"/>
      <c r="I249" s="11"/>
      <c r="J249" s="11"/>
      <c r="K249" s="149"/>
      <c r="L249" s="1" t="str">
        <f t="shared" si="4"/>
        <v/>
      </c>
      <c r="M249" s="4"/>
      <c r="N249" s="17" t="str">
        <f>if(M249&lt;&gt;"",'Actuals - Billing - 2025'!BG481,"")</f>
        <v/>
      </c>
    </row>
    <row r="250">
      <c r="A250" s="7"/>
      <c r="B250" s="8"/>
      <c r="C250" s="9"/>
      <c r="D250" s="148" t="str">
        <f>if(and(sum('Actuals - Billing - 2025'!AF482:AK482)&gt;0,C250&lt;&gt;""),'Actuals - Billing - 2025'!$AG$2,"")</f>
        <v/>
      </c>
      <c r="E250" s="11"/>
      <c r="F250" s="11"/>
      <c r="G250" s="11"/>
      <c r="H250" s="11"/>
      <c r="I250" s="11"/>
      <c r="J250" s="11"/>
      <c r="K250" s="149"/>
      <c r="L250" s="1" t="str">
        <f t="shared" si="4"/>
        <v/>
      </c>
      <c r="M250" s="4"/>
      <c r="N250" s="17" t="str">
        <f>if(M250&lt;&gt;"",'Actuals - Billing - 2025'!BG482,"")</f>
        <v/>
      </c>
    </row>
    <row r="251">
      <c r="A251" s="7"/>
      <c r="B251" s="8"/>
      <c r="C251" s="9"/>
      <c r="D251" s="148" t="str">
        <f>if(and(sum('Actuals - Billing - 2025'!AF483:AK483)&gt;0,C251&lt;&gt;""),'Actuals - Billing - 2025'!$AG$2,"")</f>
        <v/>
      </c>
      <c r="E251" s="11"/>
      <c r="F251" s="11"/>
      <c r="G251" s="11"/>
      <c r="H251" s="11"/>
      <c r="I251" s="11"/>
      <c r="J251" s="11"/>
      <c r="K251" s="149"/>
      <c r="L251" s="1" t="str">
        <f t="shared" si="4"/>
        <v/>
      </c>
      <c r="M251" s="4"/>
      <c r="N251" s="17" t="str">
        <f>if(M251&lt;&gt;"",'Actuals - Billing - 2025'!BG483,"")</f>
        <v/>
      </c>
    </row>
    <row r="252">
      <c r="A252" s="7"/>
      <c r="B252" s="8"/>
      <c r="C252" s="9"/>
      <c r="D252" s="148" t="str">
        <f>if(and(sum('Actuals - Billing - 2025'!AF484:AK484)&gt;0,C252&lt;&gt;""),'Actuals - Billing - 2025'!$AG$2,"")</f>
        <v/>
      </c>
      <c r="E252" s="11"/>
      <c r="F252" s="11"/>
      <c r="G252" s="11"/>
      <c r="H252" s="11"/>
      <c r="I252" s="11"/>
      <c r="J252" s="11"/>
      <c r="K252" s="149"/>
      <c r="L252" s="1" t="str">
        <f t="shared" si="4"/>
        <v/>
      </c>
      <c r="M252" s="4"/>
      <c r="N252" s="17" t="str">
        <f>if(M252&lt;&gt;"",'Actuals - Billing - 2025'!BG484,"")</f>
        <v/>
      </c>
    </row>
    <row r="253">
      <c r="A253" s="7"/>
      <c r="B253" s="8"/>
      <c r="C253" s="9"/>
      <c r="D253" s="148" t="str">
        <f>if(and(sum('Actuals - Billing - 2025'!AF485:AK485)&gt;0,C253&lt;&gt;""),'Actuals - Billing - 2025'!$AG$2,"")</f>
        <v/>
      </c>
      <c r="E253" s="11"/>
      <c r="F253" s="11"/>
      <c r="G253" s="11"/>
      <c r="H253" s="11"/>
      <c r="I253" s="11"/>
      <c r="J253" s="11"/>
      <c r="K253" s="149"/>
      <c r="L253" s="1" t="str">
        <f t="shared" si="4"/>
        <v/>
      </c>
      <c r="M253" s="4"/>
      <c r="N253" s="17" t="str">
        <f>if(M253&lt;&gt;"",'Actuals - Billing - 2025'!BG485,"")</f>
        <v/>
      </c>
    </row>
    <row r="254">
      <c r="A254" s="7"/>
      <c r="B254" s="8"/>
      <c r="C254" s="9"/>
      <c r="D254" s="148" t="str">
        <f>if(and(sum('Actuals - Billing - 2025'!AF486:AK486)&gt;0,C254&lt;&gt;""),'Actuals - Billing - 2025'!$AG$2,"")</f>
        <v/>
      </c>
      <c r="E254" s="11"/>
      <c r="F254" s="11"/>
      <c r="G254" s="11"/>
      <c r="H254" s="11"/>
      <c r="I254" s="11"/>
      <c r="J254" s="11"/>
      <c r="K254" s="149"/>
      <c r="L254" s="1" t="str">
        <f t="shared" si="4"/>
        <v/>
      </c>
      <c r="M254" s="4"/>
      <c r="N254" s="17" t="str">
        <f>if(M254&lt;&gt;"",'Actuals - Billing - 2025'!BG486,"")</f>
        <v/>
      </c>
    </row>
    <row r="255">
      <c r="A255" s="7"/>
      <c r="B255" s="8"/>
      <c r="C255" s="9"/>
      <c r="D255" s="148" t="str">
        <f>if(and(sum('Actuals - Billing - 2025'!AF487:AK487)&gt;0,C255&lt;&gt;""),'Actuals - Billing - 2025'!$AG$2,"")</f>
        <v/>
      </c>
      <c r="E255" s="11"/>
      <c r="F255" s="11"/>
      <c r="G255" s="11"/>
      <c r="H255" s="11"/>
      <c r="I255" s="11"/>
      <c r="J255" s="11"/>
      <c r="K255" s="149"/>
      <c r="L255" s="1" t="str">
        <f t="shared" si="4"/>
        <v/>
      </c>
      <c r="M255" s="4"/>
      <c r="N255" s="17" t="str">
        <f>if(M255&lt;&gt;"",'Actuals - Billing - 2025'!BG487,"")</f>
        <v/>
      </c>
    </row>
    <row r="256">
      <c r="A256" s="7"/>
      <c r="B256" s="8"/>
      <c r="C256" s="9"/>
      <c r="D256" s="148" t="str">
        <f>if(and(sum('Actuals - Billing - 2025'!AF488:AK488)&gt;0,C256&lt;&gt;""),'Actuals - Billing - 2025'!$AG$2,"")</f>
        <v/>
      </c>
      <c r="E256" s="11"/>
      <c r="F256" s="11"/>
      <c r="G256" s="11"/>
      <c r="H256" s="11"/>
      <c r="I256" s="11"/>
      <c r="J256" s="11"/>
      <c r="K256" s="149"/>
      <c r="L256" s="1" t="str">
        <f t="shared" si="4"/>
        <v/>
      </c>
      <c r="M256" s="4"/>
      <c r="N256" s="17" t="str">
        <f>if(M256&lt;&gt;"",'Actuals - Billing - 2025'!BG488,"")</f>
        <v/>
      </c>
    </row>
    <row r="257">
      <c r="A257" s="7"/>
      <c r="B257" s="8"/>
      <c r="C257" s="9"/>
      <c r="D257" s="148" t="str">
        <f>if(and(sum('Actuals - Billing - 2025'!AF489:AK489)&gt;0,C257&lt;&gt;""),'Actuals - Billing - 2025'!$AG$2,"")</f>
        <v/>
      </c>
      <c r="E257" s="11"/>
      <c r="F257" s="11"/>
      <c r="G257" s="11"/>
      <c r="H257" s="11"/>
      <c r="I257" s="11"/>
      <c r="J257" s="11"/>
      <c r="K257" s="149"/>
      <c r="L257" s="1" t="str">
        <f t="shared" si="4"/>
        <v/>
      </c>
      <c r="M257" s="4"/>
      <c r="N257" s="17" t="str">
        <f>if(M257&lt;&gt;"",'Actuals - Billing - 2025'!BG489,"")</f>
        <v/>
      </c>
    </row>
    <row r="258">
      <c r="A258" s="7"/>
      <c r="B258" s="8"/>
      <c r="C258" s="9"/>
      <c r="D258" s="148" t="str">
        <f>if(and(sum('Actuals - Billing - 2025'!AF490:AK490)&gt;0,C258&lt;&gt;""),'Actuals - Billing - 2025'!$AG$2,"")</f>
        <v/>
      </c>
      <c r="E258" s="11"/>
      <c r="F258" s="11"/>
      <c r="G258" s="11"/>
      <c r="H258" s="11"/>
      <c r="I258" s="11"/>
      <c r="J258" s="11"/>
      <c r="K258" s="149"/>
      <c r="L258" s="1" t="str">
        <f t="shared" si="4"/>
        <v/>
      </c>
      <c r="M258" s="4"/>
      <c r="N258" s="17" t="str">
        <f>if(M258&lt;&gt;"",'Actuals - Billing - 2025'!BG490,"")</f>
        <v/>
      </c>
    </row>
    <row r="259">
      <c r="A259" s="7"/>
      <c r="B259" s="8"/>
      <c r="C259" s="9"/>
      <c r="D259" s="148" t="str">
        <f>if(and(sum('Actuals - Billing - 2025'!AF491:AK491)&gt;0,C259&lt;&gt;""),'Actuals - Billing - 2025'!$AG$2,"")</f>
        <v/>
      </c>
      <c r="E259" s="11"/>
      <c r="F259" s="11"/>
      <c r="G259" s="11"/>
      <c r="H259" s="11"/>
      <c r="I259" s="11"/>
      <c r="J259" s="11"/>
      <c r="K259" s="149"/>
      <c r="L259" s="1" t="str">
        <f t="shared" si="4"/>
        <v/>
      </c>
      <c r="M259" s="4"/>
      <c r="N259" s="17" t="str">
        <f>if(M259&lt;&gt;"",'Actuals - Billing - 2025'!BG491,"")</f>
        <v/>
      </c>
    </row>
    <row r="260">
      <c r="A260" s="7"/>
      <c r="B260" s="8"/>
      <c r="C260" s="9"/>
      <c r="D260" s="148" t="str">
        <f>if(and(sum('Actuals - Billing - 2025'!AF492:AK492)&gt;0,C260&lt;&gt;""),'Actuals - Billing - 2025'!$AG$2,"")</f>
        <v/>
      </c>
      <c r="E260" s="11"/>
      <c r="F260" s="11"/>
      <c r="G260" s="11"/>
      <c r="H260" s="11"/>
      <c r="I260" s="11"/>
      <c r="J260" s="11"/>
      <c r="K260" s="149"/>
      <c r="L260" s="1" t="str">
        <f t="shared" si="4"/>
        <v/>
      </c>
      <c r="M260" s="4"/>
      <c r="N260" s="17" t="str">
        <f>if(M260&lt;&gt;"",'Actuals - Billing - 2025'!BG492,"")</f>
        <v/>
      </c>
    </row>
    <row r="261">
      <c r="A261" s="7"/>
      <c r="B261" s="8"/>
      <c r="C261" s="9"/>
      <c r="D261" s="148" t="str">
        <f>if(and(sum('Actuals - Billing - 2025'!AF493:AK493)&gt;0,C261&lt;&gt;""),'Actuals - Billing - 2025'!$AG$2,"")</f>
        <v/>
      </c>
      <c r="E261" s="11"/>
      <c r="F261" s="11"/>
      <c r="G261" s="11"/>
      <c r="H261" s="11"/>
      <c r="I261" s="11"/>
      <c r="J261" s="11"/>
      <c r="K261" s="149"/>
      <c r="L261" s="1" t="str">
        <f t="shared" si="4"/>
        <v/>
      </c>
      <c r="M261" s="4"/>
      <c r="N261" s="17" t="str">
        <f>if(M261&lt;&gt;"",'Actuals - Billing - 2025'!BG493,"")</f>
        <v/>
      </c>
    </row>
    <row r="262">
      <c r="A262" s="7"/>
      <c r="B262" s="8"/>
      <c r="C262" s="9"/>
      <c r="D262" s="148" t="str">
        <f>if(and(sum('Actuals - Billing - 2025'!AF494:AK494)&gt;0,C262&lt;&gt;""),'Actuals - Billing - 2025'!$AG$2,"")</f>
        <v/>
      </c>
      <c r="E262" s="11"/>
      <c r="F262" s="11"/>
      <c r="G262" s="11"/>
      <c r="H262" s="11"/>
      <c r="I262" s="11"/>
      <c r="J262" s="11"/>
      <c r="K262" s="149"/>
      <c r="L262" s="1" t="str">
        <f t="shared" si="4"/>
        <v/>
      </c>
      <c r="M262" s="4"/>
      <c r="N262" s="17" t="str">
        <f>if(M262&lt;&gt;"",'Actuals - Billing - 2025'!BG494,"")</f>
        <v/>
      </c>
    </row>
    <row r="263">
      <c r="A263" s="7"/>
      <c r="B263" s="8"/>
      <c r="C263" s="9"/>
      <c r="D263" s="148" t="str">
        <f>if(and(sum('Actuals - Billing - 2025'!AF495:AK495)&gt;0,C263&lt;&gt;""),'Actuals - Billing - 2025'!$AG$2,"")</f>
        <v/>
      </c>
      <c r="E263" s="11"/>
      <c r="F263" s="11"/>
      <c r="G263" s="11"/>
      <c r="H263" s="11"/>
      <c r="I263" s="11"/>
      <c r="J263" s="11"/>
      <c r="K263" s="149"/>
      <c r="L263" s="1" t="str">
        <f t="shared" si="4"/>
        <v/>
      </c>
      <c r="M263" s="4"/>
      <c r="N263" s="17" t="str">
        <f>if(M263&lt;&gt;"",'Actuals - Billing - 2025'!BG495,"")</f>
        <v/>
      </c>
    </row>
    <row r="264">
      <c r="A264" s="7"/>
      <c r="B264" s="8"/>
      <c r="C264" s="9"/>
      <c r="D264" s="148" t="str">
        <f>if(and(sum('Actuals - Billing - 2025'!AF496:AK496)&gt;0,C264&lt;&gt;""),'Actuals - Billing - 2025'!$AG$2,"")</f>
        <v/>
      </c>
      <c r="E264" s="11"/>
      <c r="F264" s="11"/>
      <c r="G264" s="11"/>
      <c r="H264" s="11"/>
      <c r="I264" s="11"/>
      <c r="J264" s="11"/>
      <c r="K264" s="149"/>
      <c r="L264" s="1" t="str">
        <f t="shared" si="4"/>
        <v/>
      </c>
      <c r="M264" s="4"/>
      <c r="N264" s="17" t="str">
        <f>if(M264&lt;&gt;"",'Actuals - Billing - 2025'!BG496,"")</f>
        <v/>
      </c>
    </row>
    <row r="265">
      <c r="A265" s="7"/>
      <c r="B265" s="8"/>
      <c r="C265" s="9"/>
      <c r="D265" s="148" t="str">
        <f>if(and(sum('Actuals - Billing - 2025'!AF497:AK497)&gt;0,C265&lt;&gt;""),'Actuals - Billing - 2025'!$AG$2,"")</f>
        <v/>
      </c>
      <c r="E265" s="11"/>
      <c r="F265" s="11"/>
      <c r="G265" s="11"/>
      <c r="H265" s="11"/>
      <c r="I265" s="11"/>
      <c r="J265" s="11"/>
      <c r="K265" s="149"/>
      <c r="L265" s="1" t="str">
        <f t="shared" si="4"/>
        <v/>
      </c>
      <c r="M265" s="4"/>
      <c r="N265" s="17" t="str">
        <f>if(M265&lt;&gt;"",'Actuals - Billing - 2025'!BG497,"")</f>
        <v/>
      </c>
    </row>
    <row r="266">
      <c r="A266" s="7"/>
      <c r="B266" s="8"/>
      <c r="C266" s="9"/>
      <c r="D266" s="148" t="str">
        <f>if(and(sum('Actuals - Billing - 2025'!AF498:AK498)&gt;0,C266&lt;&gt;""),'Actuals - Billing - 2025'!$AG$2,"")</f>
        <v/>
      </c>
      <c r="E266" s="11"/>
      <c r="F266" s="11"/>
      <c r="G266" s="11"/>
      <c r="H266" s="11"/>
      <c r="I266" s="11"/>
      <c r="J266" s="11"/>
      <c r="K266" s="149"/>
      <c r="L266" s="1" t="str">
        <f t="shared" si="4"/>
        <v/>
      </c>
      <c r="M266" s="4"/>
      <c r="N266" s="17" t="str">
        <f>if(M266&lt;&gt;"",'Actuals - Billing - 2025'!BG498,"")</f>
        <v/>
      </c>
    </row>
    <row r="267">
      <c r="A267" s="7"/>
      <c r="B267" s="8"/>
      <c r="C267" s="9"/>
      <c r="D267" s="148" t="str">
        <f>if(and(sum('Actuals - Billing - 2025'!AF499:AK499)&gt;0,C267&lt;&gt;""),'Actuals - Billing - 2025'!$AG$2,"")</f>
        <v/>
      </c>
      <c r="E267" s="11"/>
      <c r="F267" s="11"/>
      <c r="G267" s="11"/>
      <c r="H267" s="11"/>
      <c r="I267" s="11"/>
      <c r="J267" s="11"/>
      <c r="K267" s="149"/>
      <c r="L267" s="1" t="str">
        <f t="shared" si="4"/>
        <v/>
      </c>
      <c r="M267" s="4"/>
      <c r="N267" s="17" t="str">
        <f>if(M267&lt;&gt;"",'Actuals - Billing - 2025'!BG499,"")</f>
        <v/>
      </c>
    </row>
    <row r="268">
      <c r="A268" s="7"/>
      <c r="B268" s="8"/>
      <c r="C268" s="9"/>
      <c r="D268" s="148" t="str">
        <f>if(and(sum('Actuals - Billing - 2025'!AF500:AK500)&gt;0,C268&lt;&gt;""),'Actuals - Billing - 2025'!$AG$2,"")</f>
        <v/>
      </c>
      <c r="E268" s="11"/>
      <c r="F268" s="11"/>
      <c r="G268" s="11"/>
      <c r="H268" s="11"/>
      <c r="I268" s="11"/>
      <c r="J268" s="11"/>
      <c r="K268" s="149"/>
      <c r="L268" s="1" t="str">
        <f t="shared" si="4"/>
        <v/>
      </c>
      <c r="M268" s="4"/>
      <c r="N268" s="17" t="str">
        <f>if(M268&lt;&gt;"",'Actuals - Billing - 2025'!BG500,"")</f>
        <v/>
      </c>
    </row>
    <row r="269">
      <c r="A269" s="7"/>
      <c r="B269" s="8"/>
      <c r="C269" s="9"/>
      <c r="D269" s="148" t="str">
        <f>if(and(sum('Actuals - Billing - 2025'!AF501:AK501)&gt;0,C269&lt;&gt;""),'Actuals - Billing - 2025'!$AG$2,"")</f>
        <v/>
      </c>
      <c r="E269" s="11"/>
      <c r="F269" s="11"/>
      <c r="G269" s="11"/>
      <c r="H269" s="11"/>
      <c r="I269" s="11"/>
      <c r="J269" s="11"/>
      <c r="K269" s="149"/>
      <c r="L269" s="1" t="str">
        <f t="shared" si="4"/>
        <v/>
      </c>
      <c r="M269" s="4"/>
      <c r="N269" s="17" t="str">
        <f>if(M269&lt;&gt;"",'Actuals - Billing - 2025'!BG501,"")</f>
        <v/>
      </c>
    </row>
    <row r="270">
      <c r="A270" s="7"/>
      <c r="B270" s="8"/>
      <c r="C270" s="9"/>
      <c r="D270" s="148" t="str">
        <f>if(and(sum('Actuals - Billing - 2025'!AF502:AK502)&gt;0,C270&lt;&gt;""),'Actuals - Billing - 2025'!$AG$2,"")</f>
        <v/>
      </c>
      <c r="E270" s="11"/>
      <c r="F270" s="11"/>
      <c r="G270" s="11"/>
      <c r="H270" s="11"/>
      <c r="I270" s="11"/>
      <c r="J270" s="11"/>
      <c r="K270" s="149"/>
      <c r="L270" s="1" t="str">
        <f t="shared" si="4"/>
        <v/>
      </c>
      <c r="M270" s="4"/>
      <c r="N270" s="17" t="str">
        <f>if(M270&lt;&gt;"",'Actuals - Billing - 2025'!BG502,"")</f>
        <v/>
      </c>
    </row>
    <row r="271">
      <c r="A271" s="7"/>
      <c r="B271" s="8"/>
      <c r="C271" s="9"/>
      <c r="D271" s="148" t="str">
        <f>if(and(sum('Actuals - Billing - 2025'!AF503:AK503)&gt;0,C271&lt;&gt;""),'Actuals - Billing - 2025'!$AG$2,"")</f>
        <v/>
      </c>
      <c r="E271" s="11"/>
      <c r="F271" s="11"/>
      <c r="G271" s="11"/>
      <c r="H271" s="11"/>
      <c r="I271" s="11"/>
      <c r="J271" s="11"/>
      <c r="K271" s="149"/>
      <c r="L271" s="1" t="str">
        <f t="shared" si="4"/>
        <v/>
      </c>
      <c r="M271" s="4"/>
      <c r="N271" s="17" t="str">
        <f>if(M271&lt;&gt;"",'Actuals - Billing - 2025'!BG503,"")</f>
        <v/>
      </c>
    </row>
    <row r="272">
      <c r="A272" s="7"/>
      <c r="B272" s="8"/>
      <c r="C272" s="9"/>
      <c r="D272" s="148" t="str">
        <f>if(and(sum('Actuals - Billing - 2025'!AF504:AK504)&gt;0,C272&lt;&gt;""),'Actuals - Billing - 2025'!$AG$2,"")</f>
        <v/>
      </c>
      <c r="E272" s="11"/>
      <c r="F272" s="11"/>
      <c r="G272" s="11"/>
      <c r="H272" s="11"/>
      <c r="I272" s="11"/>
      <c r="J272" s="11"/>
      <c r="K272" s="149"/>
      <c r="L272" s="1" t="str">
        <f t="shared" si="4"/>
        <v/>
      </c>
      <c r="M272" s="4"/>
      <c r="N272" s="17" t="str">
        <f>if(M272&lt;&gt;"",'Actuals - Billing - 2025'!BG504,"")</f>
        <v/>
      </c>
    </row>
    <row r="273">
      <c r="A273" s="7"/>
      <c r="B273" s="8"/>
      <c r="C273" s="9"/>
      <c r="D273" s="148" t="str">
        <f>if(and(sum('Actuals - Billing - 2025'!AF505:AK505)&gt;0,C273&lt;&gt;""),'Actuals - Billing - 2025'!$AG$2,"")</f>
        <v/>
      </c>
      <c r="E273" s="11"/>
      <c r="F273" s="11"/>
      <c r="G273" s="11"/>
      <c r="H273" s="11"/>
      <c r="I273" s="11"/>
      <c r="J273" s="11"/>
      <c r="K273" s="149"/>
      <c r="L273" s="1" t="str">
        <f t="shared" si="4"/>
        <v/>
      </c>
      <c r="M273" s="4"/>
      <c r="N273" s="17" t="str">
        <f>if(M273&lt;&gt;"",'Actuals - Billing - 2025'!BG505,"")</f>
        <v/>
      </c>
    </row>
    <row r="274">
      <c r="A274" s="7"/>
      <c r="B274" s="8"/>
      <c r="C274" s="9"/>
      <c r="D274" s="148" t="str">
        <f>if(and(sum('Actuals - Billing - 2025'!AF506:AK506)&gt;0,C274&lt;&gt;""),'Actuals - Billing - 2025'!$AG$2,"")</f>
        <v/>
      </c>
      <c r="E274" s="11"/>
      <c r="F274" s="11"/>
      <c r="G274" s="11"/>
      <c r="H274" s="11"/>
      <c r="I274" s="11"/>
      <c r="J274" s="11"/>
      <c r="K274" s="149"/>
      <c r="L274" s="1" t="str">
        <f t="shared" si="4"/>
        <v/>
      </c>
      <c r="M274" s="4"/>
      <c r="N274" s="17" t="str">
        <f>if(M274&lt;&gt;"",'Actuals - Billing - 2025'!BG506,"")</f>
        <v/>
      </c>
    </row>
    <row r="275">
      <c r="A275" s="7"/>
      <c r="B275" s="8"/>
      <c r="C275" s="9"/>
      <c r="D275" s="148" t="str">
        <f>if(and(sum('Actuals - Billing - 2025'!AF507:AK507)&gt;0,C275&lt;&gt;""),'Actuals - Billing - 2025'!$AG$2,"")</f>
        <v/>
      </c>
      <c r="E275" s="11"/>
      <c r="F275" s="11"/>
      <c r="G275" s="11"/>
      <c r="H275" s="11"/>
      <c r="I275" s="11"/>
      <c r="J275" s="11"/>
      <c r="K275" s="149"/>
      <c r="L275" s="1" t="str">
        <f t="shared" si="4"/>
        <v/>
      </c>
      <c r="M275" s="4"/>
      <c r="N275" s="17" t="str">
        <f>if(M275&lt;&gt;"",'Actuals - Billing - 2025'!BG507,"")</f>
        <v/>
      </c>
    </row>
    <row r="276">
      <c r="A276" s="7"/>
      <c r="B276" s="8"/>
      <c r="C276" s="9"/>
      <c r="D276" s="148" t="str">
        <f>if(and(sum('Actuals - Billing - 2025'!AF508:AK508)&gt;0,C276&lt;&gt;""),'Actuals - Billing - 2025'!$AG$2,"")</f>
        <v/>
      </c>
      <c r="E276" s="11"/>
      <c r="F276" s="11"/>
      <c r="G276" s="11"/>
      <c r="H276" s="11"/>
      <c r="I276" s="11"/>
      <c r="J276" s="11"/>
      <c r="K276" s="149"/>
      <c r="L276" s="1" t="str">
        <f t="shared" si="4"/>
        <v/>
      </c>
      <c r="M276" s="4"/>
      <c r="N276" s="17" t="str">
        <f>if(M276&lt;&gt;"",'Actuals - Billing - 2025'!BG508,"")</f>
        <v/>
      </c>
    </row>
    <row r="277">
      <c r="A277" s="7"/>
      <c r="B277" s="8"/>
      <c r="C277" s="9"/>
      <c r="D277" s="148" t="str">
        <f>if(and(sum('Actuals - Billing - 2025'!AF509:AK509)&gt;0,C277&lt;&gt;""),'Actuals - Billing - 2025'!$AG$2,"")</f>
        <v/>
      </c>
      <c r="E277" s="11"/>
      <c r="F277" s="11"/>
      <c r="G277" s="11"/>
      <c r="H277" s="11"/>
      <c r="I277" s="11"/>
      <c r="J277" s="11"/>
      <c r="K277" s="149"/>
      <c r="L277" s="1" t="str">
        <f t="shared" si="4"/>
        <v/>
      </c>
      <c r="M277" s="4"/>
      <c r="N277" s="17" t="str">
        <f>if(M277&lt;&gt;"",'Actuals - Billing - 2025'!BG509,"")</f>
        <v/>
      </c>
    </row>
    <row r="278">
      <c r="A278" s="7"/>
      <c r="B278" s="8"/>
      <c r="C278" s="9"/>
      <c r="D278" s="148" t="str">
        <f>if(and(sum('Actuals - Billing - 2025'!AF510:AK510)&gt;0,C278&lt;&gt;""),'Actuals - Billing - 2025'!$AG$2,"")</f>
        <v/>
      </c>
      <c r="E278" s="11"/>
      <c r="F278" s="11"/>
      <c r="G278" s="11"/>
      <c r="H278" s="11"/>
      <c r="I278" s="11"/>
      <c r="J278" s="11"/>
      <c r="K278" s="149"/>
      <c r="L278" s="1" t="str">
        <f t="shared" si="4"/>
        <v/>
      </c>
      <c r="M278" s="4"/>
      <c r="N278" s="17" t="str">
        <f>if(M278&lt;&gt;"",'Actuals - Billing - 2025'!BG510,"")</f>
        <v/>
      </c>
    </row>
    <row r="279">
      <c r="A279" s="7"/>
      <c r="B279" s="8"/>
      <c r="C279" s="9"/>
      <c r="D279" s="148" t="str">
        <f>if(and(sum('Actuals - Billing - 2025'!AF511:AK511)&gt;0,C279&lt;&gt;""),'Actuals - Billing - 2025'!$AG$2,"")</f>
        <v/>
      </c>
      <c r="E279" s="11"/>
      <c r="F279" s="11"/>
      <c r="G279" s="11"/>
      <c r="H279" s="11"/>
      <c r="I279" s="11"/>
      <c r="J279" s="11"/>
      <c r="K279" s="149"/>
      <c r="L279" s="1" t="str">
        <f t="shared" si="4"/>
        <v/>
      </c>
      <c r="M279" s="4"/>
      <c r="N279" s="17" t="str">
        <f>if(M279&lt;&gt;"",'Actuals - Billing - 2025'!BG511,"")</f>
        <v/>
      </c>
    </row>
    <row r="280">
      <c r="A280" s="7"/>
      <c r="B280" s="8"/>
      <c r="C280" s="9"/>
      <c r="D280" s="148" t="str">
        <f>if(and(sum('Actuals - Billing - 2025'!AF512:AK512)&gt;0,C280&lt;&gt;""),'Actuals - Billing - 2025'!$AG$2,"")</f>
        <v/>
      </c>
      <c r="E280" s="11"/>
      <c r="F280" s="11"/>
      <c r="G280" s="11"/>
      <c r="H280" s="11"/>
      <c r="I280" s="11"/>
      <c r="J280" s="11"/>
      <c r="K280" s="149"/>
      <c r="L280" s="1" t="str">
        <f t="shared" si="4"/>
        <v/>
      </c>
      <c r="M280" s="4"/>
      <c r="N280" s="17" t="str">
        <f>if(M280&lt;&gt;"",'Actuals - Billing - 2025'!BG512,"")</f>
        <v/>
      </c>
    </row>
    <row r="281">
      <c r="A281" s="7"/>
      <c r="B281" s="8"/>
      <c r="C281" s="9"/>
      <c r="D281" s="148" t="str">
        <f>if(and(sum('Actuals - Billing - 2025'!AF513:AK513)&gt;0,C281&lt;&gt;""),'Actuals - Billing - 2025'!$AG$2,"")</f>
        <v/>
      </c>
      <c r="E281" s="11"/>
      <c r="F281" s="11"/>
      <c r="G281" s="11"/>
      <c r="H281" s="11"/>
      <c r="I281" s="11"/>
      <c r="J281" s="11"/>
      <c r="K281" s="149"/>
      <c r="L281" s="1" t="str">
        <f t="shared" si="4"/>
        <v/>
      </c>
      <c r="M281" s="4"/>
      <c r="N281" s="17" t="str">
        <f>if(M281&lt;&gt;"",'Actuals - Billing - 2025'!BG513,"")</f>
        <v/>
      </c>
    </row>
    <row r="282">
      <c r="A282" s="7"/>
      <c r="B282" s="8"/>
      <c r="C282" s="9"/>
      <c r="D282" s="148" t="str">
        <f>if(and(sum('Actuals - Billing - 2025'!AF514:AK514)&gt;0,C282&lt;&gt;""),'Actuals - Billing - 2025'!$AG$2,"")</f>
        <v/>
      </c>
      <c r="E282" s="11"/>
      <c r="F282" s="11"/>
      <c r="G282" s="11"/>
      <c r="H282" s="11"/>
      <c r="I282" s="11"/>
      <c r="J282" s="11"/>
      <c r="K282" s="149"/>
      <c r="L282" s="1" t="str">
        <f t="shared" si="4"/>
        <v/>
      </c>
      <c r="M282" s="4"/>
      <c r="N282" s="17" t="str">
        <f>if(M282&lt;&gt;"",'Actuals - Billing - 2025'!BG514,"")</f>
        <v/>
      </c>
    </row>
    <row r="283">
      <c r="A283" s="7" t="str">
        <f t="shared" ref="A283:A291" si="6">if(B283&lt;&gt;"","Rogers Blue Jays Baseball Partnership","")</f>
        <v/>
      </c>
      <c r="B283" s="8" t="str">
        <f>if(and('Actuals - Billing - 2025'!E$261=True,C283&lt;&gt;""),'Actuals - Billing - 2025'!C515,"")</f>
        <v/>
      </c>
      <c r="C283" s="9" t="str">
        <f>IF(and('Actuals - Billing - 2025'!E$261=True,sum('Actuals - Billing - 2025'!T515:Y515)&gt;0),'Actuals - Billing - 2025'!B515,"")</f>
        <v/>
      </c>
      <c r="D283" s="148" t="str">
        <f>if(and(sum('Actuals - Billing - 2025'!AF515:AK515)&gt;0,C283&lt;&gt;""),'Actuals - Billing - 2025'!$AG$2,"")</f>
        <v/>
      </c>
      <c r="E283" s="11" t="str">
        <f t="array" ref="E283">if($D283="","",index('Actuals - Billing - 2025'!$B283:$AE1181,Match($C283,'Actuals - Billing - 2025'!$B283:$B1181,0),Match(E$1,'Actuals - Billing - 2025'!$B$2:$AE$2,0)))</f>
        <v/>
      </c>
      <c r="F283" s="11" t="str">
        <f t="array" ref="F283">if($D283="","",index('Actuals - Billing - 2025'!$B283:$AE1181,Match($C283,'Actuals - Billing - 2025'!$B283:$B1181,0),Match(F$1,'Actuals - Billing - 2025'!$B$2:$AE$2,0)))</f>
        <v/>
      </c>
      <c r="G283" s="11" t="str">
        <f t="array" ref="G283">if($D283="","",index('Actuals - Billing - 2025'!$B283:$AE1181,Match($C283,'Actuals - Billing - 2025'!$B283:$B1181,0),Match(G$1,'Actuals - Billing - 2025'!$B$2:$AE$2,0)))</f>
        <v/>
      </c>
      <c r="H283" s="11" t="str">
        <f t="array" ref="H283">if($D283="","",index('Actuals - Billing - 2025'!$B283:$AE1181,Match($C283,'Actuals - Billing - 2025'!$B283:$B1181,0),Match(H$1,'Actuals - Billing - 2025'!$B$2:$AE$2,0)))</f>
        <v/>
      </c>
      <c r="I283" s="11"/>
      <c r="J283" s="11" t="str">
        <f t="shared" ref="J283:J291" si="7">if(sum(E283:I283)&gt;0,sum(E283:I283),"")</f>
        <v/>
      </c>
      <c r="K283" s="149" t="str">
        <f t="shared" ref="K283:K291" si="8">if(J283&lt;&gt;"",J283*D283,"")</f>
        <v/>
      </c>
      <c r="L283" s="1" t="str">
        <f t="shared" si="4"/>
        <v/>
      </c>
      <c r="M283" s="4" t="str">
        <f t="shared" ref="M283:M291" si="9">if(B283&lt;&gt;"","TBJ MiLB - Breakfast/Lunch/Dinner","")</f>
        <v/>
      </c>
      <c r="N283" s="17" t="str">
        <f>if(M283&lt;&gt;"",'Actuals - Billing - 2025'!BG515,"")</f>
        <v/>
      </c>
    </row>
    <row r="284">
      <c r="A284" s="7" t="str">
        <f t="shared" si="6"/>
        <v/>
      </c>
      <c r="B284" s="8" t="str">
        <f>if(and('Actuals - Billing - 2025'!E$261=True,C284&lt;&gt;""),'Actuals - Billing - 2025'!C516,"")</f>
        <v/>
      </c>
      <c r="C284" s="9" t="str">
        <f>IF(and('Actuals - Billing - 2025'!E$261=True,sum('Actuals - Billing - 2025'!T516:Y516)&gt;0),'Actuals - Billing - 2025'!B516,"")</f>
        <v/>
      </c>
      <c r="D284" s="148" t="str">
        <f>if(and(sum('Actuals - Billing - 2025'!AF516:AK516)&gt;0,C284&lt;&gt;""),'Actuals - Billing - 2025'!$AG$2,"")</f>
        <v/>
      </c>
      <c r="E284" s="11" t="str">
        <f t="array" ref="E284">if($D284="","",index('Actuals - Billing - 2025'!$B284:$AE1182,Match($C284,'Actuals - Billing - 2025'!$B284:$B1182,0),Match(E$1,'Actuals - Billing - 2025'!$B$2:$AE$2,0)))</f>
        <v/>
      </c>
      <c r="F284" s="11" t="str">
        <f t="array" ref="F284">if($D284="","",index('Actuals - Billing - 2025'!$B284:$AE1182,Match($C284,'Actuals - Billing - 2025'!$B284:$B1182,0),Match(F$1,'Actuals - Billing - 2025'!$B$2:$AE$2,0)))</f>
        <v/>
      </c>
      <c r="G284" s="11" t="str">
        <f t="array" ref="G284">if($D284="","",index('Actuals - Billing - 2025'!$B284:$AE1182,Match($C284,'Actuals - Billing - 2025'!$B284:$B1182,0),Match(G$1,'Actuals - Billing - 2025'!$B$2:$AE$2,0)))</f>
        <v/>
      </c>
      <c r="H284" s="11" t="str">
        <f t="array" ref="H284">if($D284="","",index('Actuals - Billing - 2025'!$B284:$AE1182,Match($C284,'Actuals - Billing - 2025'!$B284:$B1182,0),Match(H$1,'Actuals - Billing - 2025'!$B$2:$AE$2,0)))</f>
        <v/>
      </c>
      <c r="I284" s="11"/>
      <c r="J284" s="11" t="str">
        <f t="shared" si="7"/>
        <v/>
      </c>
      <c r="K284" s="149" t="str">
        <f t="shared" si="8"/>
        <v/>
      </c>
      <c r="L284" s="1" t="str">
        <f t="shared" si="4"/>
        <v/>
      </c>
      <c r="M284" s="4" t="str">
        <f t="shared" si="9"/>
        <v/>
      </c>
      <c r="N284" s="17" t="str">
        <f>if(M284&lt;&gt;"",'Actuals - Billing - 2025'!BG516,"")</f>
        <v/>
      </c>
    </row>
    <row r="285">
      <c r="A285" s="7" t="str">
        <f t="shared" si="6"/>
        <v/>
      </c>
      <c r="B285" s="8" t="str">
        <f>if(and('Actuals - Billing - 2025'!E$261=True,C285&lt;&gt;""),'Actuals - Billing - 2025'!C517,"")</f>
        <v/>
      </c>
      <c r="C285" s="9" t="str">
        <f>IF(and('Actuals - Billing - 2025'!E$261=True,sum('Actuals - Billing - 2025'!T517:Y517)&gt;0),'Actuals - Billing - 2025'!B517,"")</f>
        <v/>
      </c>
      <c r="D285" s="148" t="str">
        <f>if(and(sum('Actuals - Billing - 2025'!AF517:AK517)&gt;0,C285&lt;&gt;""),'Actuals - Billing - 2025'!$AG$2,"")</f>
        <v/>
      </c>
      <c r="E285" s="11" t="str">
        <f t="array" ref="E285">if($D285="","",index('Actuals - Billing - 2025'!$B285:$AE1183,Match($C285,'Actuals - Billing - 2025'!$B285:$B1183,0),Match(E$1,'Actuals - Billing - 2025'!$B$2:$AE$2,0)))</f>
        <v/>
      </c>
      <c r="F285" s="11" t="str">
        <f t="array" ref="F285">if($D285="","",index('Actuals - Billing - 2025'!$B285:$AE1183,Match($C285,'Actuals - Billing - 2025'!$B285:$B1183,0),Match(F$1,'Actuals - Billing - 2025'!$B$2:$AE$2,0)))</f>
        <v/>
      </c>
      <c r="G285" s="11" t="str">
        <f t="array" ref="G285">if($D285="","",index('Actuals - Billing - 2025'!$B285:$AE1183,Match($C285,'Actuals - Billing - 2025'!$B285:$B1183,0),Match(G$1,'Actuals - Billing - 2025'!$B$2:$AE$2,0)))</f>
        <v/>
      </c>
      <c r="H285" s="11" t="str">
        <f t="array" ref="H285">if($D285="","",index('Actuals - Billing - 2025'!$B285:$AE1183,Match($C285,'Actuals - Billing - 2025'!$B285:$B1183,0),Match(H$1,'Actuals - Billing - 2025'!$B$2:$AE$2,0)))</f>
        <v/>
      </c>
      <c r="I285" s="11"/>
      <c r="J285" s="11" t="str">
        <f t="shared" si="7"/>
        <v/>
      </c>
      <c r="K285" s="149" t="str">
        <f t="shared" si="8"/>
        <v/>
      </c>
      <c r="L285" s="1" t="str">
        <f t="shared" si="4"/>
        <v/>
      </c>
      <c r="M285" s="4" t="str">
        <f t="shared" si="9"/>
        <v/>
      </c>
      <c r="N285" s="17" t="str">
        <f>if(M285&lt;&gt;"",'Actuals - Billing - 2025'!BG517,"")</f>
        <v/>
      </c>
    </row>
    <row r="286">
      <c r="A286" s="7" t="str">
        <f t="shared" si="6"/>
        <v/>
      </c>
      <c r="B286" s="8" t="str">
        <f>if(and('Actuals - Billing - 2025'!E$261=True,C286&lt;&gt;""),'Actuals - Billing - 2025'!C518,"")</f>
        <v/>
      </c>
      <c r="C286" s="9" t="str">
        <f>IF(and('Actuals - Billing - 2025'!E$261=True,sum('Actuals - Billing - 2025'!T518:Y518)&gt;0),'Actuals - Billing - 2025'!B518,"")</f>
        <v/>
      </c>
      <c r="D286" s="148" t="str">
        <f>if(and(sum('Actuals - Billing - 2025'!AF518:AK518)&gt;0,C286&lt;&gt;""),'Actuals - Billing - 2025'!$AG$2,"")</f>
        <v/>
      </c>
      <c r="E286" s="11" t="str">
        <f t="array" ref="E286">if($D286="","",index('Actuals - Billing - 2025'!$B286:$AE1184,Match($C286,'Actuals - Billing - 2025'!$B286:$B1184,0),Match(E$1,'Actuals - Billing - 2025'!$B$2:$AE$2,0)))</f>
        <v/>
      </c>
      <c r="F286" s="11" t="str">
        <f t="array" ref="F286">if($D286="","",index('Actuals - Billing - 2025'!$B286:$AE1184,Match($C286,'Actuals - Billing - 2025'!$B286:$B1184,0),Match(F$1,'Actuals - Billing - 2025'!$B$2:$AE$2,0)))</f>
        <v/>
      </c>
      <c r="G286" s="11" t="str">
        <f t="array" ref="G286">if($D286="","",index('Actuals - Billing - 2025'!$B286:$AE1184,Match($C286,'Actuals - Billing - 2025'!$B286:$B1184,0),Match(G$1,'Actuals - Billing - 2025'!$B$2:$AE$2,0)))</f>
        <v/>
      </c>
      <c r="H286" s="11" t="str">
        <f t="array" ref="H286">if($D286="","",index('Actuals - Billing - 2025'!$B286:$AE1184,Match($C286,'Actuals - Billing - 2025'!$B286:$B1184,0),Match(H$1,'Actuals - Billing - 2025'!$B$2:$AE$2,0)))</f>
        <v/>
      </c>
      <c r="I286" s="11"/>
      <c r="J286" s="11" t="str">
        <f t="shared" si="7"/>
        <v/>
      </c>
      <c r="K286" s="149" t="str">
        <f t="shared" si="8"/>
        <v/>
      </c>
      <c r="L286" s="1" t="str">
        <f t="shared" si="4"/>
        <v/>
      </c>
      <c r="M286" s="4" t="str">
        <f t="shared" si="9"/>
        <v/>
      </c>
      <c r="N286" s="17" t="str">
        <f>if(M286&lt;&gt;"",'Actuals - Billing - 2025'!BG518,"")</f>
        <v/>
      </c>
    </row>
    <row r="287">
      <c r="A287" s="7" t="str">
        <f t="shared" si="6"/>
        <v/>
      </c>
      <c r="B287" s="8" t="str">
        <f>if(and('Actuals - Billing - 2025'!E$261=True,C287&lt;&gt;""),'Actuals - Billing - 2025'!C519,"")</f>
        <v/>
      </c>
      <c r="C287" s="9" t="str">
        <f>IF(and('Actuals - Billing - 2025'!E$261=True,sum('Actuals - Billing - 2025'!T519:Y519)&gt;0),'Actuals - Billing - 2025'!B519,"")</f>
        <v/>
      </c>
      <c r="D287" s="148" t="str">
        <f>if(and(sum('Actuals - Billing - 2025'!AF519:AK519)&gt;0,C287&lt;&gt;""),'Actuals - Billing - 2025'!$AG$2,"")</f>
        <v/>
      </c>
      <c r="E287" s="11" t="str">
        <f t="array" ref="E287">if($D287="","",index('Actuals - Billing - 2025'!$B287:$AE1185,Match($C287,'Actuals - Billing - 2025'!$B287:$B1185,0),Match(E$1,'Actuals - Billing - 2025'!$B$2:$AE$2,0)))</f>
        <v/>
      </c>
      <c r="F287" s="11" t="str">
        <f t="array" ref="F287">if($D287="","",index('Actuals - Billing - 2025'!$B287:$AE1185,Match($C287,'Actuals - Billing - 2025'!$B287:$B1185,0),Match(F$1,'Actuals - Billing - 2025'!$B$2:$AE$2,0)))</f>
        <v/>
      </c>
      <c r="G287" s="11" t="str">
        <f t="array" ref="G287">if($D287="","",index('Actuals - Billing - 2025'!$B287:$AE1185,Match($C287,'Actuals - Billing - 2025'!$B287:$B1185,0),Match(G$1,'Actuals - Billing - 2025'!$B$2:$AE$2,0)))</f>
        <v/>
      </c>
      <c r="H287" s="11" t="str">
        <f t="array" ref="H287">if($D287="","",index('Actuals - Billing - 2025'!$B287:$AE1185,Match($C287,'Actuals - Billing - 2025'!$B287:$B1185,0),Match(H$1,'Actuals - Billing - 2025'!$B$2:$AE$2,0)))</f>
        <v/>
      </c>
      <c r="I287" s="11"/>
      <c r="J287" s="11" t="str">
        <f t="shared" si="7"/>
        <v/>
      </c>
      <c r="K287" s="149" t="str">
        <f t="shared" si="8"/>
        <v/>
      </c>
      <c r="L287" s="1" t="str">
        <f t="shared" si="4"/>
        <v/>
      </c>
      <c r="M287" s="4" t="str">
        <f t="shared" si="9"/>
        <v/>
      </c>
      <c r="N287" s="17" t="str">
        <f>if(M287&lt;&gt;"",'Actuals - Billing - 2025'!BG519,"")</f>
        <v/>
      </c>
    </row>
    <row r="288">
      <c r="A288" s="7" t="str">
        <f t="shared" si="6"/>
        <v/>
      </c>
      <c r="B288" s="8" t="str">
        <f>if(and('Actuals - Billing - 2025'!E$261=True,C288&lt;&gt;""),'Actuals - Billing - 2025'!C520,"")</f>
        <v/>
      </c>
      <c r="C288" s="9" t="str">
        <f>IF(and('Actuals - Billing - 2025'!E$261=True,sum('Actuals - Billing - 2025'!T520:Y520)&gt;0),'Actuals - Billing - 2025'!B520,"")</f>
        <v/>
      </c>
      <c r="D288" s="148" t="str">
        <f>if(and(sum('Actuals - Billing - 2025'!AF520:AK520)&gt;0,C288&lt;&gt;""),'Actuals - Billing - 2025'!$AG$2,"")</f>
        <v/>
      </c>
      <c r="E288" s="11" t="str">
        <f t="array" ref="E288">if($D288="","",index('Actuals - Billing - 2025'!$B288:$AE1186,Match($C288,'Actuals - Billing - 2025'!$B288:$B1186,0),Match(E$1,'Actuals - Billing - 2025'!$B$2:$AE$2,0)))</f>
        <v/>
      </c>
      <c r="F288" s="11" t="str">
        <f t="array" ref="F288">if($D288="","",index('Actuals - Billing - 2025'!$B288:$AE1186,Match($C288,'Actuals - Billing - 2025'!$B288:$B1186,0),Match(F$1,'Actuals - Billing - 2025'!$B$2:$AE$2,0)))</f>
        <v/>
      </c>
      <c r="G288" s="11" t="str">
        <f t="array" ref="G288">if($D288="","",index('Actuals - Billing - 2025'!$B288:$AE1186,Match($C288,'Actuals - Billing - 2025'!$B288:$B1186,0),Match(G$1,'Actuals - Billing - 2025'!$B$2:$AE$2,0)))</f>
        <v/>
      </c>
      <c r="H288" s="11" t="str">
        <f t="array" ref="H288">if($D288="","",index('Actuals - Billing - 2025'!$B288:$AE1186,Match($C288,'Actuals - Billing - 2025'!$B288:$B1186,0),Match(H$1,'Actuals - Billing - 2025'!$B$2:$AE$2,0)))</f>
        <v/>
      </c>
      <c r="I288" s="11"/>
      <c r="J288" s="11" t="str">
        <f t="shared" si="7"/>
        <v/>
      </c>
      <c r="K288" s="149" t="str">
        <f t="shared" si="8"/>
        <v/>
      </c>
      <c r="L288" s="1" t="str">
        <f t="shared" si="4"/>
        <v/>
      </c>
      <c r="M288" s="4" t="str">
        <f t="shared" si="9"/>
        <v/>
      </c>
      <c r="N288" s="17" t="str">
        <f>if(M288&lt;&gt;"",'Actuals - Billing - 2025'!BG520,"")</f>
        <v/>
      </c>
    </row>
    <row r="289">
      <c r="A289" s="7" t="str">
        <f t="shared" si="6"/>
        <v/>
      </c>
      <c r="B289" s="8" t="str">
        <f>if(and('Actuals - Billing - 2025'!E$261=True,C289&lt;&gt;""),'Actuals - Billing - 2025'!C521,"")</f>
        <v/>
      </c>
      <c r="C289" s="9" t="str">
        <f>IF(and('Actuals - Billing - 2025'!E$261=True,sum('Actuals - Billing - 2025'!T521:Y521)&gt;0),'Actuals - Billing - 2025'!B521,"")</f>
        <v/>
      </c>
      <c r="D289" s="148" t="str">
        <f>if(and(sum('Actuals - Billing - 2025'!AF521:AK521)&gt;0,C289&lt;&gt;""),'Actuals - Billing - 2025'!$AG$2,"")</f>
        <v/>
      </c>
      <c r="E289" s="11" t="str">
        <f t="array" ref="E289">if($D289="","",index('Actuals - Billing - 2025'!$B289:$AE1187,Match($C289,'Actuals - Billing - 2025'!$B289:$B1187,0),Match(E$1,'Actuals - Billing - 2025'!$B$2:$AE$2,0)))</f>
        <v/>
      </c>
      <c r="F289" s="11" t="str">
        <f t="array" ref="F289">if($D289="","",index('Actuals - Billing - 2025'!$B289:$AE1187,Match($C289,'Actuals - Billing - 2025'!$B289:$B1187,0),Match(F$1,'Actuals - Billing - 2025'!$B$2:$AE$2,0)))</f>
        <v/>
      </c>
      <c r="G289" s="11" t="str">
        <f t="array" ref="G289">if($D289="","",index('Actuals - Billing - 2025'!$B289:$AE1187,Match($C289,'Actuals - Billing - 2025'!$B289:$B1187,0),Match(G$1,'Actuals - Billing - 2025'!$B$2:$AE$2,0)))</f>
        <v/>
      </c>
      <c r="H289" s="11" t="str">
        <f t="array" ref="H289">if($D289="","",index('Actuals - Billing - 2025'!$B289:$AE1187,Match($C289,'Actuals - Billing - 2025'!$B289:$B1187,0),Match(H$1,'Actuals - Billing - 2025'!$B$2:$AE$2,0)))</f>
        <v/>
      </c>
      <c r="I289" s="11"/>
      <c r="J289" s="11" t="str">
        <f t="shared" si="7"/>
        <v/>
      </c>
      <c r="K289" s="149" t="str">
        <f t="shared" si="8"/>
        <v/>
      </c>
      <c r="L289" s="1" t="str">
        <f t="shared" si="4"/>
        <v/>
      </c>
      <c r="M289" s="4" t="str">
        <f t="shared" si="9"/>
        <v/>
      </c>
      <c r="N289" s="17" t="str">
        <f>if(M289&lt;&gt;"",'Actuals - Billing - 2025'!BG521,"")</f>
        <v/>
      </c>
    </row>
    <row r="290">
      <c r="A290" s="7" t="str">
        <f t="shared" si="6"/>
        <v/>
      </c>
      <c r="B290" s="8" t="str">
        <f>if(and('Actuals - Billing - 2025'!E$261=True,C290&lt;&gt;""),'Actuals - Billing - 2025'!C522,"")</f>
        <v/>
      </c>
      <c r="C290" s="9" t="str">
        <f>IF(and('Actuals - Billing - 2025'!E$261=True,sum('Actuals - Billing - 2025'!T522:Y522)&gt;0),'Actuals - Billing - 2025'!B522,"")</f>
        <v/>
      </c>
      <c r="D290" s="148" t="str">
        <f>if(and(sum('Actuals - Billing - 2025'!AF522:AK522)&gt;0,C290&lt;&gt;""),'Actuals - Billing - 2025'!$AG$2,"")</f>
        <v/>
      </c>
      <c r="E290" s="11" t="str">
        <f t="array" ref="E290">if($D290="","",index('Actuals - Billing - 2025'!$B290:$AE1188,Match($C290,'Actuals - Billing - 2025'!$B290:$B1188,0),Match(E$1,'Actuals - Billing - 2025'!$B$2:$AE$2,0)))</f>
        <v/>
      </c>
      <c r="F290" s="11" t="str">
        <f t="array" ref="F290">if($D290="","",index('Actuals - Billing - 2025'!$B290:$AE1188,Match($C290,'Actuals - Billing - 2025'!$B290:$B1188,0),Match(F$1,'Actuals - Billing - 2025'!$B$2:$AE$2,0)))</f>
        <v/>
      </c>
      <c r="G290" s="11" t="str">
        <f t="array" ref="G290">if($D290="","",index('Actuals - Billing - 2025'!$B290:$AE1188,Match($C290,'Actuals - Billing - 2025'!$B290:$B1188,0),Match(G$1,'Actuals - Billing - 2025'!$B$2:$AE$2,0)))</f>
        <v/>
      </c>
      <c r="H290" s="11" t="str">
        <f t="array" ref="H290">if($D290="","",index('Actuals - Billing - 2025'!$B290:$AE1188,Match($C290,'Actuals - Billing - 2025'!$B290:$B1188,0),Match(H$1,'Actuals - Billing - 2025'!$B$2:$AE$2,0)))</f>
        <v/>
      </c>
      <c r="I290" s="11"/>
      <c r="J290" s="11" t="str">
        <f t="shared" si="7"/>
        <v/>
      </c>
      <c r="K290" s="149" t="str">
        <f t="shared" si="8"/>
        <v/>
      </c>
      <c r="L290" s="1" t="str">
        <f t="shared" si="4"/>
        <v/>
      </c>
      <c r="M290" s="4" t="str">
        <f t="shared" si="9"/>
        <v/>
      </c>
      <c r="N290" s="17" t="str">
        <f>if(M290&lt;&gt;"",'Actuals - Billing - 2025'!BG522,"")</f>
        <v/>
      </c>
    </row>
    <row r="291">
      <c r="A291" s="7" t="str">
        <f t="shared" si="6"/>
        <v/>
      </c>
      <c r="B291" s="8" t="str">
        <f>if(and('Actuals - Billing - 2025'!E$261=True,C291&lt;&gt;""),'Actuals - Billing - 2025'!C523,"")</f>
        <v/>
      </c>
      <c r="C291" s="9" t="str">
        <f>IF(and('Actuals - Billing - 2025'!E$261=True,sum('Actuals - Billing - 2025'!T523:Y523)&gt;0),'Actuals - Billing - 2025'!B523,"")</f>
        <v/>
      </c>
      <c r="D291" s="148" t="str">
        <f>if(and(sum('Actuals - Billing - 2025'!AF523:AK523)&gt;0,C291&lt;&gt;""),'Actuals - Billing - 2025'!$AG$2,"")</f>
        <v/>
      </c>
      <c r="E291" s="11" t="str">
        <f t="array" ref="E291">if($D291="","",index('Actuals - Billing - 2025'!$B291:$AE1189,Match($C291,'Actuals - Billing - 2025'!$B291:$B1189,0),Match(E$1,'Actuals - Billing - 2025'!$B$2:$AE$2,0)))</f>
        <v/>
      </c>
      <c r="F291" s="11" t="str">
        <f t="array" ref="F291">if($D291="","",index('Actuals - Billing - 2025'!$B291:$AE1189,Match($C291,'Actuals - Billing - 2025'!$B291:$B1189,0),Match(F$1,'Actuals - Billing - 2025'!$B$2:$AE$2,0)))</f>
        <v/>
      </c>
      <c r="G291" s="11" t="str">
        <f t="array" ref="G291">if($D291="","",index('Actuals - Billing - 2025'!$B291:$AE1189,Match($C291,'Actuals - Billing - 2025'!$B291:$B1189,0),Match(G$1,'Actuals - Billing - 2025'!$B$2:$AE$2,0)))</f>
        <v/>
      </c>
      <c r="H291" s="11" t="str">
        <f t="array" ref="H291">if($D291="","",index('Actuals - Billing - 2025'!$B291:$AE1189,Match($C291,'Actuals - Billing - 2025'!$B291:$B1189,0),Match(H$1,'Actuals - Billing - 2025'!$B$2:$AE$2,0)))</f>
        <v/>
      </c>
      <c r="I291" s="11"/>
      <c r="J291" s="11" t="str">
        <f t="shared" si="7"/>
        <v/>
      </c>
      <c r="K291" s="149" t="str">
        <f t="shared" si="8"/>
        <v/>
      </c>
      <c r="L291" s="1" t="str">
        <f t="shared" si="4"/>
        <v/>
      </c>
      <c r="M291" s="4" t="str">
        <f t="shared" si="9"/>
        <v/>
      </c>
      <c r="N291" s="17" t="str">
        <f>if(M291&lt;&gt;"",'Actuals - Billing - 2025'!BG523,"")</f>
        <v/>
      </c>
    </row>
    <row r="292">
      <c r="D292" s="148" t="str">
        <f>if(and(sum('Actuals - Billing - 2025'!AF524:AK524)&gt;0,C292&lt;&gt;""),'Actuals - Billing - 2025'!$AG$2,"")</f>
        <v/>
      </c>
      <c r="L292" s="1" t="str">
        <f t="shared" si="4"/>
        <v/>
      </c>
      <c r="N292" s="17" t="str">
        <f>if(M292&lt;&gt;"",'Actuals - Billing - 2025'!BG524,"")</f>
        <v/>
      </c>
    </row>
    <row r="293">
      <c r="D293" s="148" t="str">
        <f>if(and(sum('Actuals - Billing - 2025'!AF525:AK525)&gt;0,C293&lt;&gt;""),'Actuals - Billing - 2025'!$AG$2,"")</f>
        <v/>
      </c>
      <c r="L293" s="1" t="str">
        <f t="shared" si="4"/>
        <v/>
      </c>
      <c r="N293" s="17" t="str">
        <f>if(M293&lt;&gt;"",'Actuals - Billing - 2025'!BG525,"")</f>
        <v/>
      </c>
    </row>
    <row r="294">
      <c r="D294" s="148" t="str">
        <f>if(and(sum('Actuals - Billing - 2025'!AF526:AK526)&gt;0,C294&lt;&gt;""),'Actuals - Billing - 2025'!$AG$2,"")</f>
        <v/>
      </c>
      <c r="L294" s="1" t="str">
        <f t="shared" si="4"/>
        <v/>
      </c>
      <c r="N294" s="17" t="str">
        <f>if(M294&lt;&gt;"",'Actuals - Billing - 2025'!BG526,"")</f>
        <v/>
      </c>
    </row>
    <row r="295">
      <c r="D295" s="148" t="str">
        <f>if(and(sum('Actuals - Billing - 2025'!AF527:AK527)&gt;0,C295&lt;&gt;""),'Actuals - Billing - 2025'!$AG$2,"")</f>
        <v/>
      </c>
      <c r="L295" s="1" t="str">
        <f t="shared" si="4"/>
        <v/>
      </c>
      <c r="N295" s="17" t="str">
        <f>if(M295&lt;&gt;"",'Actuals - Billing - 2025'!BG527,"")</f>
        <v/>
      </c>
    </row>
    <row r="296">
      <c r="D296" s="148" t="str">
        <f>if(and(sum('Actuals - Billing - 2025'!AF528:AK528)&gt;0,C296&lt;&gt;""),'Actuals - Billing - 2025'!$AG$2,"")</f>
        <v/>
      </c>
      <c r="L296" s="1" t="str">
        <f t="shared" si="4"/>
        <v/>
      </c>
      <c r="N296" s="17" t="str">
        <f>if(M296&lt;&gt;"",'Actuals - Billing - 2025'!BG528,"")</f>
        <v/>
      </c>
    </row>
    <row r="297">
      <c r="D297" s="148" t="str">
        <f>if(and(sum('Actuals - Billing - 2025'!AF529:AK529)&gt;0,C297&lt;&gt;""),'Actuals - Billing - 2025'!$AG$2,"")</f>
        <v/>
      </c>
      <c r="L297" s="1" t="str">
        <f t="shared" si="4"/>
        <v/>
      </c>
      <c r="N297" s="17" t="str">
        <f>if(M297&lt;&gt;"",'Actuals - Billing - 2025'!BG529,"")</f>
        <v/>
      </c>
    </row>
    <row r="298">
      <c r="D298" s="148" t="str">
        <f>if(and(sum('Actuals - Billing - 2025'!AF530:AK530)&gt;0,C298&lt;&gt;""),'Actuals - Billing - 2025'!$AG$2,"")</f>
        <v/>
      </c>
      <c r="L298" s="1" t="str">
        <f t="shared" si="4"/>
        <v/>
      </c>
      <c r="N298" s="17" t="str">
        <f>if(M298&lt;&gt;"",'Actuals - Billing - 2025'!BG530,"")</f>
        <v/>
      </c>
    </row>
    <row r="299">
      <c r="D299" s="148" t="str">
        <f>if(and(sum('Actuals - Billing - 2025'!AF531:AK531)&gt;0,C299&lt;&gt;""),'Actuals - Billing - 2025'!$AG$2,"")</f>
        <v/>
      </c>
      <c r="L299" s="1" t="str">
        <f t="shared" si="4"/>
        <v/>
      </c>
      <c r="N299" s="17" t="str">
        <f>if(M299&lt;&gt;"",'Actuals - Billing - 2025'!BG531,"")</f>
        <v/>
      </c>
    </row>
    <row r="300">
      <c r="D300" s="148" t="str">
        <f>if(and(sum('Actuals - Billing - 2025'!AF532:AK532)&gt;0,C300&lt;&gt;""),'Actuals - Billing - 2025'!$AG$2,"")</f>
        <v/>
      </c>
      <c r="L300" s="1" t="str">
        <f t="shared" si="4"/>
        <v/>
      </c>
      <c r="N300" s="17" t="str">
        <f>if(M300&lt;&gt;"",'Actuals - Billing - 2025'!BG532,"")</f>
        <v/>
      </c>
    </row>
    <row r="301">
      <c r="D301" s="148" t="str">
        <f>if(and(sum('Actuals - Billing - 2025'!AF533:AK533)&gt;0,C301&lt;&gt;""),'Actuals - Billing - 2025'!$AG$2,"")</f>
        <v/>
      </c>
      <c r="L301" s="1" t="str">
        <f t="shared" si="4"/>
        <v/>
      </c>
      <c r="N301" s="17" t="str">
        <f>if(M301&lt;&gt;"",'Actuals - Billing - 2025'!BG533,"")</f>
        <v/>
      </c>
    </row>
    <row r="302">
      <c r="D302" s="148" t="str">
        <f>if(and(sum('Actuals - Billing - 2025'!AF534:AK534)&gt;0,C302&lt;&gt;""),'Actuals - Billing - 2025'!$AG$2,"")</f>
        <v/>
      </c>
      <c r="L302" s="1" t="str">
        <f t="shared" si="4"/>
        <v/>
      </c>
      <c r="N302" s="17" t="str">
        <f>if(M302&lt;&gt;"",'Actuals - Billing - 2025'!BG534,"")</f>
        <v/>
      </c>
    </row>
    <row r="303">
      <c r="D303" s="148" t="str">
        <f>if(and(sum('Actuals - Billing - 2025'!AF535:AK535)&gt;0,C303&lt;&gt;""),'Actuals - Billing - 2025'!$AG$2,"")</f>
        <v/>
      </c>
      <c r="L303" s="1" t="str">
        <f t="shared" si="4"/>
        <v/>
      </c>
      <c r="N303" s="17" t="str">
        <f>if(M303&lt;&gt;"",'Actuals - Billing - 2025'!BG535,"")</f>
        <v/>
      </c>
    </row>
    <row r="304">
      <c r="D304" s="148" t="str">
        <f>if(and(sum('Actuals - Billing - 2025'!AF536:AK536)&gt;0,C304&lt;&gt;""),'Actuals - Billing - 2025'!$AG$2,"")</f>
        <v/>
      </c>
      <c r="L304" s="1" t="str">
        <f t="shared" si="4"/>
        <v/>
      </c>
      <c r="N304" s="17" t="str">
        <f>if(M304&lt;&gt;"",'Actuals - Billing - 2025'!BG536,"")</f>
        <v/>
      </c>
    </row>
    <row r="305">
      <c r="D305" s="148" t="str">
        <f>if(and(sum('Actuals - Billing - 2025'!AF537:AK537)&gt;0,C305&lt;&gt;""),'Actuals - Billing - 2025'!$AG$2,"")</f>
        <v/>
      </c>
      <c r="L305" s="1" t="str">
        <f t="shared" si="4"/>
        <v/>
      </c>
      <c r="N305" s="17" t="str">
        <f>if(M305&lt;&gt;"",'Actuals - Billing - 2025'!BG537,"")</f>
        <v/>
      </c>
    </row>
    <row r="306">
      <c r="D306" s="148" t="str">
        <f>if(and(sum('Actuals - Billing - 2025'!AF538:AK538)&gt;0,C306&lt;&gt;""),'Actuals - Billing - 2025'!$AG$2,"")</f>
        <v/>
      </c>
      <c r="L306" s="1" t="str">
        <f t="shared" si="4"/>
        <v/>
      </c>
      <c r="N306" s="17" t="str">
        <f>if(M306&lt;&gt;"",'Actuals - Billing - 2025'!BG538,"")</f>
        <v/>
      </c>
    </row>
    <row r="307">
      <c r="D307" s="148" t="str">
        <f>if(and(sum('Actuals - Billing - 2025'!AF539:AK539)&gt;0,C307&lt;&gt;""),'Actuals - Billing - 2025'!$AG$2,"")</f>
        <v/>
      </c>
      <c r="L307" s="1" t="str">
        <f t="shared" si="4"/>
        <v/>
      </c>
      <c r="N307" s="17" t="str">
        <f>if(M307&lt;&gt;"",'Actuals - Billing - 2025'!BG539,"")</f>
        <v/>
      </c>
    </row>
    <row r="308">
      <c r="D308" s="148" t="str">
        <f>if(and(sum('Actuals - Billing - 2025'!AF540:AK540)&gt;0,C308&lt;&gt;""),'Actuals - Billing - 2025'!$AG$2,"")</f>
        <v/>
      </c>
      <c r="L308" s="1" t="str">
        <f t="shared" si="4"/>
        <v/>
      </c>
      <c r="N308" s="17" t="str">
        <f>if(M308&lt;&gt;"",'Actuals - Billing - 2025'!BG540,"")</f>
        <v/>
      </c>
    </row>
    <row r="309">
      <c r="D309" s="148" t="str">
        <f>if(and(sum('Actuals - Billing - 2025'!AF541:AK541)&gt;0,C309&lt;&gt;""),'Actuals - Billing - 2025'!$AG$2,"")</f>
        <v/>
      </c>
      <c r="L309" s="1" t="str">
        <f t="shared" si="4"/>
        <v/>
      </c>
      <c r="N309" s="17" t="str">
        <f>if(M309&lt;&gt;"",'Actuals - Billing - 2025'!BG541,"")</f>
        <v/>
      </c>
    </row>
    <row r="310">
      <c r="D310" s="148" t="str">
        <f>if(and(sum('Actuals - Billing - 2025'!AF542:AK542)&gt;0,C310&lt;&gt;""),'Actuals - Billing - 2025'!$AG$2,"")</f>
        <v/>
      </c>
      <c r="L310" s="1" t="str">
        <f t="shared" si="4"/>
        <v/>
      </c>
      <c r="N310" s="17" t="str">
        <f>if(M310&lt;&gt;"",'Actuals - Billing - 2025'!BG542,"")</f>
        <v/>
      </c>
    </row>
    <row r="311">
      <c r="D311" s="148" t="str">
        <f>if(and(sum('Actuals - Billing - 2025'!AF543:AK543)&gt;0,C311&lt;&gt;""),'Actuals - Billing - 2025'!$AG$2,"")</f>
        <v/>
      </c>
      <c r="L311" s="1" t="str">
        <f t="shared" si="4"/>
        <v/>
      </c>
      <c r="N311" s="17" t="str">
        <f>if(M311&lt;&gt;"",'Actuals - Billing - 2025'!BG543,"")</f>
        <v/>
      </c>
    </row>
    <row r="312">
      <c r="D312" s="148" t="str">
        <f>if(and(sum('Actuals - Billing - 2025'!AF544:AK544)&gt;0,C312&lt;&gt;""),'Actuals - Billing - 2025'!$AG$2,"")</f>
        <v/>
      </c>
      <c r="L312" s="1" t="str">
        <f t="shared" si="4"/>
        <v/>
      </c>
      <c r="N312" s="17" t="str">
        <f>if(M312&lt;&gt;"",'Actuals - Billing - 2025'!BG544,"")</f>
        <v/>
      </c>
    </row>
    <row r="313">
      <c r="D313" s="148" t="str">
        <f>if(and(sum('Actuals - Billing - 2025'!AF545:AK545)&gt;0,C313&lt;&gt;""),'Actuals - Billing - 2025'!$AG$2,"")</f>
        <v/>
      </c>
      <c r="L313" s="1" t="str">
        <f t="shared" si="4"/>
        <v/>
      </c>
      <c r="N313" s="17" t="str">
        <f>if(M313&lt;&gt;"",'Actuals - Billing - 2025'!BG545,"")</f>
        <v/>
      </c>
    </row>
    <row r="314">
      <c r="D314" s="148" t="str">
        <f>if(and(sum('Actuals - Billing - 2025'!AF546:AK546)&gt;0,C314&lt;&gt;""),'Actuals - Billing - 2025'!$AG$2,"")</f>
        <v/>
      </c>
      <c r="L314" s="1" t="str">
        <f t="shared" si="4"/>
        <v/>
      </c>
      <c r="N314" s="17" t="str">
        <f>if(M314&lt;&gt;"",'Actuals - Billing - 2025'!BG546,"")</f>
        <v/>
      </c>
    </row>
    <row r="315">
      <c r="D315" s="148" t="str">
        <f>if(and(sum('Actuals - Billing - 2025'!AF547:AK547)&gt;0,C315&lt;&gt;""),'Actuals - Billing - 2025'!$AG$2,"")</f>
        <v/>
      </c>
      <c r="L315" s="1" t="str">
        <f t="shared" si="4"/>
        <v/>
      </c>
      <c r="N315" s="17" t="str">
        <f>if(M315&lt;&gt;"",'Actuals - Billing - 2025'!BG547,"")</f>
        <v/>
      </c>
    </row>
    <row r="316">
      <c r="D316" s="148" t="str">
        <f>if(and(sum('Actuals - Billing - 2025'!AF548:AK548)&gt;0,C316&lt;&gt;""),'Actuals - Billing - 2025'!$AG$2,"")</f>
        <v/>
      </c>
      <c r="L316" s="1" t="str">
        <f t="shared" si="4"/>
        <v/>
      </c>
      <c r="N316" s="17" t="str">
        <f>if(M316&lt;&gt;"",'Actuals - Billing - 2025'!BG548,"")</f>
        <v/>
      </c>
    </row>
    <row r="317">
      <c r="D317" s="148" t="str">
        <f>if(and(sum('Actuals - Billing - 2025'!AF549:AK549)&gt;0,C317&lt;&gt;""),'Actuals - Billing - 2025'!$AG$2,"")</f>
        <v/>
      </c>
      <c r="L317" s="1" t="str">
        <f t="shared" si="4"/>
        <v/>
      </c>
      <c r="N317" s="17" t="str">
        <f>if(M317&lt;&gt;"",'Actuals - Billing - 2025'!BG549,"")</f>
        <v/>
      </c>
    </row>
    <row r="318">
      <c r="D318" s="148" t="str">
        <f>if(and(sum('Actuals - Billing - 2025'!AF550:AK550)&gt;0,C318&lt;&gt;""),'Actuals - Billing - 2025'!$AG$2,"")</f>
        <v/>
      </c>
      <c r="L318" s="1" t="str">
        <f t="shared" si="4"/>
        <v/>
      </c>
      <c r="N318" s="17" t="str">
        <f>if(M318&lt;&gt;"",'Actuals - Billing - 2025'!BG550,"")</f>
        <v/>
      </c>
    </row>
    <row r="319">
      <c r="D319" s="148" t="str">
        <f>if(and(sum('Actuals - Billing - 2025'!AF551:AK551)&gt;0,C319&lt;&gt;""),'Actuals - Billing - 2025'!$AG$2,"")</f>
        <v/>
      </c>
      <c r="L319" s="1" t="str">
        <f t="shared" si="4"/>
        <v/>
      </c>
      <c r="N319" s="17" t="str">
        <f>if(M319&lt;&gt;"",'Actuals - Billing - 2025'!BG551,"")</f>
        <v/>
      </c>
    </row>
    <row r="320">
      <c r="D320" s="148" t="str">
        <f>if(and(sum('Actuals - Billing - 2025'!AF552:AK552)&gt;0,C320&lt;&gt;""),'Actuals - Billing - 2025'!$AG$2,"")</f>
        <v/>
      </c>
      <c r="L320" s="1" t="str">
        <f t="shared" si="4"/>
        <v/>
      </c>
      <c r="N320" s="17" t="str">
        <f>if(M320&lt;&gt;"",'Actuals - Billing - 2025'!BG552,"")</f>
        <v/>
      </c>
    </row>
    <row r="321">
      <c r="D321" s="148" t="str">
        <f>if(and(sum('Actuals - Billing - 2025'!AF553:AK553)&gt;0,C321&lt;&gt;""),'Actuals - Billing - 2025'!$AG$2,"")</f>
        <v/>
      </c>
      <c r="L321" s="1" t="str">
        <f t="shared" si="4"/>
        <v/>
      </c>
      <c r="N321" s="17" t="str">
        <f>if(M321&lt;&gt;"",'Actuals - Billing - 2025'!BG553,"")</f>
        <v/>
      </c>
    </row>
    <row r="322">
      <c r="D322" s="148" t="str">
        <f>if(and(sum('Actuals - Billing - 2025'!AF554:AK554)&gt;0,C322&lt;&gt;""),'Actuals - Billing - 2025'!$AG$2,"")</f>
        <v/>
      </c>
      <c r="L322" s="1" t="str">
        <f t="shared" si="4"/>
        <v/>
      </c>
      <c r="N322" s="17" t="str">
        <f>if(M322&lt;&gt;"",'Actuals - Billing - 2025'!BG554,"")</f>
        <v/>
      </c>
    </row>
    <row r="323">
      <c r="D323" s="148" t="str">
        <f>if(and(sum('Actuals - Billing - 2025'!AF555:AK555)&gt;0,C323&lt;&gt;""),'Actuals - Billing - 2025'!$AG$2,"")</f>
        <v/>
      </c>
      <c r="L323" s="1" t="str">
        <f t="shared" si="4"/>
        <v/>
      </c>
      <c r="N323" s="17" t="str">
        <f>if(M323&lt;&gt;"",'Actuals - Billing - 2025'!BG555,"")</f>
        <v/>
      </c>
    </row>
    <row r="324">
      <c r="D324" s="148" t="str">
        <f>if(and(sum('Actuals - Billing - 2025'!AF556:AK556)&gt;0,C324&lt;&gt;""),'Actuals - Billing - 2025'!$AG$2,"")</f>
        <v/>
      </c>
      <c r="L324" s="1" t="str">
        <f t="shared" si="4"/>
        <v/>
      </c>
      <c r="N324" s="17" t="str">
        <f>if(M324&lt;&gt;"",'Actuals - Billing - 2025'!BG556,"")</f>
        <v/>
      </c>
    </row>
    <row r="325">
      <c r="D325" s="148" t="str">
        <f>if(and(sum('Actuals - Billing - 2025'!AF557:AK557)&gt;0,C325&lt;&gt;""),'Actuals - Billing - 2025'!$AG$2,"")</f>
        <v/>
      </c>
      <c r="L325" s="1" t="str">
        <f t="shared" si="4"/>
        <v/>
      </c>
      <c r="N325" s="17" t="str">
        <f>if(M325&lt;&gt;"",'Actuals - Billing - 2025'!BG557,"")</f>
        <v/>
      </c>
    </row>
    <row r="326">
      <c r="D326" s="148" t="str">
        <f>if(and(sum('Actuals - Billing - 2025'!AF558:AK558)&gt;0,C326&lt;&gt;""),'Actuals - Billing - 2025'!$AG$2,"")</f>
        <v/>
      </c>
      <c r="L326" s="1" t="str">
        <f t="shared" si="4"/>
        <v/>
      </c>
      <c r="N326" s="17" t="str">
        <f>if(M326&lt;&gt;"",'Actuals - Billing - 2025'!BG558,"")</f>
        <v/>
      </c>
    </row>
    <row r="327">
      <c r="D327" s="148" t="str">
        <f>if(and(sum('Actuals - Billing - 2025'!AF559:AK559)&gt;0,C327&lt;&gt;""),'Actuals - Billing - 2025'!$AG$2,"")</f>
        <v/>
      </c>
      <c r="L327" s="1" t="str">
        <f t="shared" si="4"/>
        <v/>
      </c>
      <c r="N327" s="17" t="str">
        <f>if(M327&lt;&gt;"",'Actuals - Billing - 2025'!BG559,"")</f>
        <v/>
      </c>
    </row>
    <row r="328">
      <c r="D328" s="148" t="str">
        <f>if(and(sum('Actuals - Billing - 2025'!AF560:AK560)&gt;0,C328&lt;&gt;""),'Actuals - Billing - 2025'!$AG$2,"")</f>
        <v/>
      </c>
      <c r="L328" s="1" t="str">
        <f t="shared" si="4"/>
        <v/>
      </c>
      <c r="N328" s="17" t="str">
        <f>if(M328&lt;&gt;"",'Actuals - Billing - 2025'!BG560,"")</f>
        <v/>
      </c>
    </row>
    <row r="329">
      <c r="D329" s="148" t="str">
        <f>if(and(sum('Actuals - Billing - 2025'!AF561:AK561)&gt;0,C329&lt;&gt;""),'Actuals - Billing - 2025'!$AG$2,"")</f>
        <v/>
      </c>
      <c r="L329" s="1" t="str">
        <f t="shared" si="4"/>
        <v/>
      </c>
      <c r="N329" s="17" t="str">
        <f>if(M329&lt;&gt;"",'Actuals - Billing - 2025'!BG561,"")</f>
        <v/>
      </c>
    </row>
    <row r="330">
      <c r="D330" s="148" t="str">
        <f>if(and(sum('Actuals - Billing - 2025'!AF562:AK562)&gt;0,C330&lt;&gt;""),'Actuals - Billing - 2025'!$AG$2,"")</f>
        <v/>
      </c>
      <c r="L330" s="1" t="str">
        <f t="shared" si="4"/>
        <v/>
      </c>
      <c r="N330" s="17" t="str">
        <f>if(M330&lt;&gt;"",'Actuals - Billing - 2025'!BG562,"")</f>
        <v/>
      </c>
    </row>
    <row r="331">
      <c r="D331" s="148" t="str">
        <f>if(and(sum('Actuals - Billing - 2025'!AF563:AK563)&gt;0,C331&lt;&gt;""),'Actuals - Billing - 2025'!$AG$2,"")</f>
        <v/>
      </c>
      <c r="L331" s="1" t="str">
        <f t="shared" si="4"/>
        <v/>
      </c>
      <c r="N331" s="17" t="str">
        <f>if(M331&lt;&gt;"",'Actuals - Billing - 2025'!BG563,"")</f>
        <v/>
      </c>
    </row>
    <row r="332">
      <c r="D332" s="148" t="str">
        <f>if(and(sum('Actuals - Billing - 2025'!AF564:AK564)&gt;0,C332&lt;&gt;""),'Actuals - Billing - 2025'!$AG$2,"")</f>
        <v/>
      </c>
      <c r="L332" s="1" t="str">
        <f t="shared" si="4"/>
        <v/>
      </c>
      <c r="N332" s="17" t="str">
        <f>if(M332&lt;&gt;"",'Actuals - Billing - 2025'!BG564,"")</f>
        <v/>
      </c>
    </row>
    <row r="333">
      <c r="D333" s="148" t="str">
        <f>if(and(sum('Actuals - Billing - 2025'!AF565:AK565)&gt;0,C333&lt;&gt;""),'Actuals - Billing - 2025'!$AG$2,"")</f>
        <v/>
      </c>
      <c r="L333" s="1" t="str">
        <f t="shared" si="4"/>
        <v/>
      </c>
      <c r="N333" s="17" t="str">
        <f>if(M333&lt;&gt;"",'Actuals - Billing - 2025'!BG565,"")</f>
        <v/>
      </c>
    </row>
    <row r="334">
      <c r="D334" s="148" t="str">
        <f>if(and(sum('Actuals - Billing - 2025'!AF566:AK566)&gt;0,C334&lt;&gt;""),'Actuals - Billing - 2025'!$AG$2,"")</f>
        <v/>
      </c>
      <c r="L334" s="1" t="str">
        <f t="shared" si="4"/>
        <v/>
      </c>
      <c r="N334" s="17" t="str">
        <f>if(M334&lt;&gt;"",'Actuals - Billing - 2025'!BG566,"")</f>
        <v/>
      </c>
    </row>
    <row r="335">
      <c r="D335" s="148" t="str">
        <f>if(and(sum('Actuals - Billing - 2025'!AF567:AK567)&gt;0,C335&lt;&gt;""),'Actuals - Billing - 2025'!$AG$2,"")</f>
        <v/>
      </c>
      <c r="L335" s="1" t="str">
        <f t="shared" si="4"/>
        <v/>
      </c>
      <c r="N335" s="17" t="str">
        <f>if(M335&lt;&gt;"",'Actuals - Billing - 2025'!BG567,"")</f>
        <v/>
      </c>
    </row>
    <row r="336">
      <c r="D336" s="148" t="str">
        <f>if(and(sum('Actuals - Billing - 2025'!AF568:AK568)&gt;0,C336&lt;&gt;""),'Actuals - Billing - 2025'!$AG$2,"")</f>
        <v/>
      </c>
      <c r="L336" s="1" t="str">
        <f t="shared" si="4"/>
        <v/>
      </c>
      <c r="N336" s="17" t="str">
        <f>if(M336&lt;&gt;"",'Actuals - Billing - 2025'!BG568,"")</f>
        <v/>
      </c>
    </row>
    <row r="337">
      <c r="D337" s="148" t="str">
        <f>if(and(sum('Actuals - Billing - 2025'!AF569:AK569)&gt;0,C337&lt;&gt;""),'Actuals - Billing - 2025'!$AG$2,"")</f>
        <v/>
      </c>
      <c r="L337" s="1" t="str">
        <f t="shared" si="4"/>
        <v/>
      </c>
      <c r="N337" s="17" t="str">
        <f>if(M337&lt;&gt;"",'Actuals - Billing - 2025'!BG569,"")</f>
        <v/>
      </c>
    </row>
    <row r="338">
      <c r="D338" s="148" t="str">
        <f>if(and(sum('Actuals - Billing - 2025'!AF570:AK570)&gt;0,C338&lt;&gt;""),'Actuals - Billing - 2025'!$AG$2,"")</f>
        <v/>
      </c>
      <c r="L338" s="1" t="str">
        <f t="shared" si="4"/>
        <v/>
      </c>
      <c r="N338" s="17" t="str">
        <f>if(M338&lt;&gt;"",'Actuals - Billing - 2025'!BG570,"")</f>
        <v/>
      </c>
    </row>
    <row r="339">
      <c r="D339" s="148" t="str">
        <f>if(and(sum('Actuals - Billing - 2025'!AF571:AK571)&gt;0,C339&lt;&gt;""),'Actuals - Billing - 2025'!$AG$2,"")</f>
        <v/>
      </c>
      <c r="L339" s="1" t="str">
        <f t="shared" si="4"/>
        <v/>
      </c>
      <c r="N339" s="17" t="str">
        <f>if(M339&lt;&gt;"",'Actuals - Billing - 2025'!BG571,"")</f>
        <v/>
      </c>
    </row>
    <row r="340">
      <c r="D340" s="148" t="str">
        <f>if(and(sum('Actuals - Billing - 2025'!AF572:AK572)&gt;0,C340&lt;&gt;""),'Actuals - Billing - 2025'!$AG$2,"")</f>
        <v/>
      </c>
      <c r="L340" s="1" t="str">
        <f t="shared" si="4"/>
        <v/>
      </c>
      <c r="N340" s="17" t="str">
        <f>if(M340&lt;&gt;"",'Actuals - Billing - 2025'!BG572,"")</f>
        <v/>
      </c>
    </row>
    <row r="341">
      <c r="D341" s="148" t="str">
        <f>if(and(sum('Actuals - Billing - 2025'!AF573:AK573)&gt;0,C341&lt;&gt;""),'Actuals - Billing - 2025'!$AG$2,"")</f>
        <v/>
      </c>
      <c r="L341" s="1" t="str">
        <f t="shared" si="4"/>
        <v/>
      </c>
      <c r="N341" s="17" t="str">
        <f>if(M341&lt;&gt;"",'Actuals - Billing - 2025'!BG573,"")</f>
        <v/>
      </c>
    </row>
    <row r="342">
      <c r="D342" s="148" t="str">
        <f>if(and(sum('Actuals - Billing - 2025'!AF574:AK574)&gt;0,C342&lt;&gt;""),'Actuals - Billing - 2025'!$AG$2,"")</f>
        <v/>
      </c>
      <c r="L342" s="1" t="str">
        <f t="shared" si="4"/>
        <v/>
      </c>
      <c r="N342" s="17" t="str">
        <f>if(M342&lt;&gt;"",'Actuals - Billing - 2025'!BG574,"")</f>
        <v/>
      </c>
    </row>
    <row r="343">
      <c r="D343" s="148" t="str">
        <f>if(and(sum('Actuals - Billing - 2025'!AF575:AK575)&gt;0,C343&lt;&gt;""),'Actuals - Billing - 2025'!$AG$2,"")</f>
        <v/>
      </c>
      <c r="L343" s="1" t="str">
        <f t="shared" si="4"/>
        <v/>
      </c>
      <c r="N343" s="17" t="str">
        <f>if(M343&lt;&gt;"",'Actuals - Billing - 2025'!BG575,"")</f>
        <v/>
      </c>
    </row>
    <row r="344">
      <c r="D344" s="148" t="str">
        <f>if(and(sum('Actuals - Billing - 2025'!AF576:AK576)&gt;0,C344&lt;&gt;""),'Actuals - Billing - 2025'!$AG$2,"")</f>
        <v/>
      </c>
      <c r="L344" s="1" t="str">
        <f t="shared" si="4"/>
        <v/>
      </c>
      <c r="N344" s="17" t="str">
        <f>if(M344&lt;&gt;"",'Actuals - Billing - 2025'!BG576,"")</f>
        <v/>
      </c>
    </row>
    <row r="345">
      <c r="D345" s="148" t="str">
        <f>if(and(sum('Actuals - Billing - 2025'!AF577:AK577)&gt;0,C345&lt;&gt;""),'Actuals - Billing - 2025'!$AG$2,"")</f>
        <v/>
      </c>
      <c r="L345" s="1" t="str">
        <f t="shared" si="4"/>
        <v/>
      </c>
      <c r="N345" s="17" t="str">
        <f>if(M345&lt;&gt;"",'Actuals - Billing - 2025'!BG577,"")</f>
        <v/>
      </c>
    </row>
    <row r="346">
      <c r="D346" s="148" t="str">
        <f>if(and(sum('Actuals - Billing - 2025'!AF578:AK578)&gt;0,C346&lt;&gt;""),'Actuals - Billing - 2025'!$AG$2,"")</f>
        <v/>
      </c>
      <c r="L346" s="1" t="str">
        <f t="shared" si="4"/>
        <v/>
      </c>
      <c r="N346" s="17" t="str">
        <f>if(M346&lt;&gt;"",'Actuals - Billing - 2025'!BG578,"")</f>
        <v/>
      </c>
    </row>
    <row r="347">
      <c r="D347" s="148" t="str">
        <f>if(and(sum('Actuals - Billing - 2025'!AF579:AK579)&gt;0,C347&lt;&gt;""),'Actuals - Billing - 2025'!$AG$2,"")</f>
        <v/>
      </c>
      <c r="L347" s="1" t="str">
        <f t="shared" si="4"/>
        <v/>
      </c>
      <c r="N347" s="17" t="str">
        <f>if(M347&lt;&gt;"",'Actuals - Billing - 2025'!BG579,"")</f>
        <v/>
      </c>
    </row>
    <row r="348">
      <c r="D348" s="148" t="str">
        <f>if(and(sum('Actuals - Billing - 2025'!AF580:AK580)&gt;0,C348&lt;&gt;""),'Actuals - Billing - 2025'!$AG$2,"")</f>
        <v/>
      </c>
      <c r="L348" s="1" t="str">
        <f t="shared" si="4"/>
        <v/>
      </c>
      <c r="N348" s="17" t="str">
        <f>if(M348&lt;&gt;"",'Actuals - Billing - 2025'!BG580,"")</f>
        <v/>
      </c>
    </row>
    <row r="349">
      <c r="D349" s="148" t="str">
        <f>if(and(sum('Actuals - Billing - 2025'!AF581:AK581)&gt;0,C349&lt;&gt;""),'Actuals - Billing - 2025'!$AG$2,"")</f>
        <v/>
      </c>
      <c r="L349" s="1" t="str">
        <f t="shared" si="4"/>
        <v/>
      </c>
      <c r="N349" s="17" t="str">
        <f>if(M349&lt;&gt;"",'Actuals - Billing - 2025'!BG581,"")</f>
        <v/>
      </c>
    </row>
    <row r="350">
      <c r="D350" s="148" t="str">
        <f>if(and(sum('Actuals - Billing - 2025'!AF582:AK582)&gt;0,C350&lt;&gt;""),'Actuals - Billing - 2025'!$AG$2,"")</f>
        <v/>
      </c>
      <c r="L350" s="1" t="str">
        <f t="shared" si="4"/>
        <v/>
      </c>
      <c r="N350" s="17" t="str">
        <f>if(M350&lt;&gt;"",'Actuals - Billing - 2025'!BG582,"")</f>
        <v/>
      </c>
    </row>
    <row r="351">
      <c r="D351" s="148" t="str">
        <f>if(and(sum('Actuals - Billing - 2025'!AF583:AK583)&gt;0,C351&lt;&gt;""),'Actuals - Billing - 2025'!$AG$2,"")</f>
        <v/>
      </c>
      <c r="L351" s="1" t="str">
        <f t="shared" si="4"/>
        <v/>
      </c>
      <c r="N351" s="17" t="str">
        <f>if(M351&lt;&gt;"",'Actuals - Billing - 2025'!BG583,"")</f>
        <v/>
      </c>
    </row>
    <row r="352">
      <c r="D352" s="148" t="str">
        <f>if(and(sum('Actuals - Billing - 2025'!AF584:AK584)&gt;0,C352&lt;&gt;""),'Actuals - Billing - 2025'!$AG$2,"")</f>
        <v/>
      </c>
      <c r="L352" s="1" t="str">
        <f t="shared" si="4"/>
        <v/>
      </c>
      <c r="N352" s="17" t="str">
        <f>if(M352&lt;&gt;"",'Actuals - Billing - 2025'!BG584,"")</f>
        <v/>
      </c>
    </row>
    <row r="353">
      <c r="D353" s="148" t="str">
        <f>if(and(sum('Actuals - Billing - 2025'!AF585:AK585)&gt;0,C353&lt;&gt;""),'Actuals - Billing - 2025'!$AG$2,"")</f>
        <v/>
      </c>
      <c r="L353" s="1" t="str">
        <f t="shared" si="4"/>
        <v/>
      </c>
      <c r="N353" s="17" t="str">
        <f>if(M353&lt;&gt;"",'Actuals - Billing - 2025'!BG585,"")</f>
        <v/>
      </c>
    </row>
    <row r="354">
      <c r="D354" s="148" t="str">
        <f>if(and(sum('Actuals - Billing - 2025'!AF586:AK586)&gt;0,C354&lt;&gt;""),'Actuals - Billing - 2025'!$AG$2,"")</f>
        <v/>
      </c>
      <c r="L354" s="1" t="str">
        <f t="shared" si="4"/>
        <v/>
      </c>
      <c r="N354" s="17" t="str">
        <f>if(M354&lt;&gt;"",'Actuals - Billing - 2025'!BG586,"")</f>
        <v/>
      </c>
    </row>
    <row r="355">
      <c r="D355" s="148" t="str">
        <f>if(and(sum('Actuals - Billing - 2025'!AF587:AK587)&gt;0,C355&lt;&gt;""),'Actuals - Billing - 2025'!$AG$2,"")</f>
        <v/>
      </c>
      <c r="L355" s="1" t="str">
        <f t="shared" si="4"/>
        <v/>
      </c>
      <c r="N355" s="17" t="str">
        <f>if(M355&lt;&gt;"",'Actuals - Billing - 2025'!BG587,"")</f>
        <v/>
      </c>
    </row>
    <row r="356">
      <c r="D356" s="148" t="str">
        <f>if(and(sum('Actuals - Billing - 2025'!AF588:AK588)&gt;0,C356&lt;&gt;""),'Actuals - Billing - 2025'!$AG$2,"")</f>
        <v/>
      </c>
      <c r="L356" s="1" t="str">
        <f t="shared" si="4"/>
        <v/>
      </c>
      <c r="N356" s="17" t="str">
        <f>if(M356&lt;&gt;"",'Actuals - Billing - 2025'!BG588,"")</f>
        <v/>
      </c>
    </row>
    <row r="357">
      <c r="D357" s="148" t="str">
        <f>if(and(sum('Actuals - Billing - 2025'!AF589:AK589)&gt;0,C357&lt;&gt;""),'Actuals - Billing - 2025'!$AG$2,"")</f>
        <v/>
      </c>
      <c r="L357" s="1" t="str">
        <f t="shared" si="4"/>
        <v/>
      </c>
      <c r="N357" s="17" t="str">
        <f>if(M357&lt;&gt;"",'Actuals - Billing - 2025'!BG589,"")</f>
        <v/>
      </c>
    </row>
    <row r="358">
      <c r="D358" s="148" t="str">
        <f>if(and(sum('Actuals - Billing - 2025'!AF590:AK590)&gt;0,C358&lt;&gt;""),'Actuals - Billing - 2025'!$AG$2,"")</f>
        <v/>
      </c>
      <c r="L358" s="1" t="str">
        <f t="shared" si="4"/>
        <v/>
      </c>
      <c r="N358" s="17" t="str">
        <f>if(M358&lt;&gt;"",'Actuals - Billing - 2025'!BG590,"")</f>
        <v/>
      </c>
    </row>
    <row r="359">
      <c r="D359" s="148" t="str">
        <f>if(and(sum('Actuals - Billing - 2025'!AF591:AK591)&gt;0,C359&lt;&gt;""),'Actuals - Billing - 2025'!$AG$2,"")</f>
        <v/>
      </c>
      <c r="L359" s="1" t="str">
        <f t="shared" si="4"/>
        <v/>
      </c>
      <c r="N359" s="17" t="str">
        <f>if(M359&lt;&gt;"",'Actuals - Billing - 2025'!BG591,"")</f>
        <v/>
      </c>
    </row>
    <row r="360">
      <c r="D360" s="148" t="str">
        <f>if(and(sum('Actuals - Billing - 2025'!AF592:AK592)&gt;0,C360&lt;&gt;""),'Actuals - Billing - 2025'!$AG$2,"")</f>
        <v/>
      </c>
      <c r="L360" s="1" t="str">
        <f t="shared" si="4"/>
        <v/>
      </c>
      <c r="N360" s="17" t="str">
        <f>if(M360&lt;&gt;"",'Actuals - Billing - 2025'!BG592,"")</f>
        <v/>
      </c>
    </row>
    <row r="361">
      <c r="D361" s="148" t="str">
        <f>if(and(sum('Actuals - Billing - 2025'!AF593:AK593)&gt;0,C361&lt;&gt;""),'Actuals - Billing - 2025'!$AG$2,"")</f>
        <v/>
      </c>
      <c r="L361" s="1" t="str">
        <f t="shared" si="4"/>
        <v/>
      </c>
      <c r="N361" s="17" t="str">
        <f>if(M361&lt;&gt;"",'Actuals - Billing - 2025'!BG593,"")</f>
        <v/>
      </c>
    </row>
    <row r="362">
      <c r="D362" s="148" t="str">
        <f>if(and(sum('Actuals - Billing - 2025'!AF594:AK594)&gt;0,C362&lt;&gt;""),'Actuals - Billing - 2025'!$AG$2,"")</f>
        <v/>
      </c>
      <c r="L362" s="1" t="str">
        <f t="shared" si="4"/>
        <v/>
      </c>
      <c r="N362" s="17" t="str">
        <f>if(M362&lt;&gt;"",'Actuals - Billing - 2025'!BG594,"")</f>
        <v/>
      </c>
    </row>
    <row r="363">
      <c r="D363" s="148" t="str">
        <f>if(and(sum('Actuals - Billing - 2025'!AF595:AK595)&gt;0,C363&lt;&gt;""),'Actuals - Billing - 2025'!$AG$2,"")</f>
        <v/>
      </c>
      <c r="L363" s="1" t="str">
        <f t="shared" si="4"/>
        <v/>
      </c>
      <c r="N363" s="17" t="str">
        <f>if(M363&lt;&gt;"",'Actuals - Billing - 2025'!BG595,"")</f>
        <v/>
      </c>
    </row>
    <row r="364">
      <c r="D364" s="148" t="str">
        <f>if(and(sum('Actuals - Billing - 2025'!AF596:AK596)&gt;0,C364&lt;&gt;""),'Actuals - Billing - 2025'!$AG$2,"")</f>
        <v/>
      </c>
      <c r="L364" s="1" t="str">
        <f t="shared" si="4"/>
        <v/>
      </c>
      <c r="N364" s="17" t="str">
        <f>if(M364&lt;&gt;"",'Actuals - Billing - 2025'!BG596,"")</f>
        <v/>
      </c>
    </row>
    <row r="365">
      <c r="D365" s="148" t="str">
        <f>if(and(sum('Actuals - Billing - 2025'!AF597:AK597)&gt;0,C365&lt;&gt;""),'Actuals - Billing - 2025'!$AG$2,"")</f>
        <v/>
      </c>
      <c r="L365" s="1" t="str">
        <f t="shared" si="4"/>
        <v/>
      </c>
      <c r="N365" s="17" t="str">
        <f>if(M365&lt;&gt;"",'Actuals - Billing - 2025'!BG597,"")</f>
        <v/>
      </c>
    </row>
    <row r="366">
      <c r="D366" s="148" t="str">
        <f>if(and(sum('Actuals - Billing - 2025'!AF598:AK598)&gt;0,C366&lt;&gt;""),'Actuals - Billing - 2025'!$AG$2,"")</f>
        <v/>
      </c>
      <c r="L366" s="1" t="str">
        <f t="shared" si="4"/>
        <v/>
      </c>
      <c r="N366" s="17" t="str">
        <f>if(M366&lt;&gt;"",'Actuals - Billing - 2025'!BG598,"")</f>
        <v/>
      </c>
    </row>
    <row r="367">
      <c r="D367" s="148" t="str">
        <f>if(and(sum('Actuals - Billing - 2025'!AF599:AK599)&gt;0,C367&lt;&gt;""),'Actuals - Billing - 2025'!$AG$2,"")</f>
        <v/>
      </c>
      <c r="L367" s="1" t="str">
        <f t="shared" si="4"/>
        <v/>
      </c>
      <c r="N367" s="17" t="str">
        <f>if(M367&lt;&gt;"",'Actuals - Billing - 2025'!BG599,"")</f>
        <v/>
      </c>
    </row>
    <row r="368">
      <c r="D368" s="148" t="str">
        <f>if(and(sum('Actuals - Billing - 2025'!AF600:AK600)&gt;0,C368&lt;&gt;""),'Actuals - Billing - 2025'!$AG$2,"")</f>
        <v/>
      </c>
      <c r="L368" s="1" t="str">
        <f t="shared" si="4"/>
        <v/>
      </c>
      <c r="N368" s="17" t="str">
        <f>if(M368&lt;&gt;"",'Actuals - Billing - 2025'!BG600,"")</f>
        <v/>
      </c>
    </row>
    <row r="369">
      <c r="D369" s="148" t="str">
        <f>if(and(sum('Actuals - Billing - 2025'!AF601:AK601)&gt;0,C369&lt;&gt;""),'Actuals - Billing - 2025'!$AG$2,"")</f>
        <v/>
      </c>
      <c r="L369" s="1" t="str">
        <f t="shared" si="4"/>
        <v/>
      </c>
      <c r="N369" s="17" t="str">
        <f>if(M369&lt;&gt;"",'Actuals - Billing - 2025'!BG601,"")</f>
        <v/>
      </c>
    </row>
    <row r="370">
      <c r="D370" s="148" t="str">
        <f>if(and(sum('Actuals - Billing - 2025'!AF602:AK602)&gt;0,C370&lt;&gt;""),'Actuals - Billing - 2025'!$AG$2,"")</f>
        <v/>
      </c>
      <c r="L370" s="1" t="str">
        <f t="shared" si="4"/>
        <v/>
      </c>
      <c r="N370" s="17" t="str">
        <f>if(M370&lt;&gt;"",'Actuals - Billing - 2025'!BG602,"")</f>
        <v/>
      </c>
    </row>
    <row r="371">
      <c r="D371" s="148" t="str">
        <f>if(and(sum('Actuals - Billing - 2025'!AF603:AK603)&gt;0,C371&lt;&gt;""),'Actuals - Billing - 2025'!$AG$2,"")</f>
        <v/>
      </c>
      <c r="L371" s="1" t="str">
        <f t="shared" si="4"/>
        <v/>
      </c>
      <c r="N371" s="17" t="str">
        <f>if(M371&lt;&gt;"",'Actuals - Billing - 2025'!BG603,"")</f>
        <v/>
      </c>
    </row>
    <row r="372">
      <c r="D372" s="148" t="str">
        <f>if(and(sum('Actuals - Billing - 2025'!AF604:AK604)&gt;0,C372&lt;&gt;""),'Actuals - Billing - 2025'!$AG$2,"")</f>
        <v/>
      </c>
      <c r="L372" s="1" t="str">
        <f t="shared" si="4"/>
        <v/>
      </c>
      <c r="N372" s="17" t="str">
        <f>if(M372&lt;&gt;"",'Actuals - Billing - 2025'!BG604,"")</f>
        <v/>
      </c>
    </row>
    <row r="373">
      <c r="D373" s="148" t="str">
        <f>if(and(sum('Actuals - Billing - 2025'!AF605:AK605)&gt;0,C373&lt;&gt;""),'Actuals - Billing - 2025'!$AG$2,"")</f>
        <v/>
      </c>
      <c r="L373" s="1" t="str">
        <f t="shared" si="4"/>
        <v/>
      </c>
      <c r="N373" s="17" t="str">
        <f>if(M373&lt;&gt;"",'Actuals - Billing - 2025'!BG605,"")</f>
        <v/>
      </c>
    </row>
    <row r="374">
      <c r="D374" s="148" t="str">
        <f>if(and(sum('Actuals - Billing - 2025'!AF606:AK606)&gt;0,C374&lt;&gt;""),'Actuals - Billing - 2025'!$AG$2,"")</f>
        <v/>
      </c>
      <c r="L374" s="1" t="str">
        <f t="shared" si="4"/>
        <v/>
      </c>
      <c r="N374" s="17" t="str">
        <f>if(M374&lt;&gt;"",'Actuals - Billing - 2025'!BG606,"")</f>
        <v/>
      </c>
    </row>
    <row r="375">
      <c r="D375" s="148" t="str">
        <f>if(and(sum('Actuals - Billing - 2025'!AF607:AK607)&gt;0,C375&lt;&gt;""),'Actuals - Billing - 2025'!$AG$2,"")</f>
        <v/>
      </c>
      <c r="L375" s="1" t="str">
        <f t="shared" si="4"/>
        <v/>
      </c>
      <c r="N375" s="17" t="str">
        <f>if(M375&lt;&gt;"",'Actuals - Billing - 2025'!BG607,"")</f>
        <v/>
      </c>
    </row>
    <row r="376">
      <c r="D376" s="148" t="str">
        <f>if(and(sum('Actuals - Billing - 2025'!AF608:AK608)&gt;0,C376&lt;&gt;""),'Actuals - Billing - 2025'!$AG$2,"")</f>
        <v/>
      </c>
      <c r="L376" s="1" t="str">
        <f t="shared" si="4"/>
        <v/>
      </c>
      <c r="N376" s="17" t="str">
        <f>if(M376&lt;&gt;"",'Actuals - Billing - 2025'!BG608,"")</f>
        <v/>
      </c>
    </row>
    <row r="377">
      <c r="D377" s="148" t="str">
        <f>if(and(sum('Actuals - Billing - 2025'!AF609:AK609)&gt;0,C377&lt;&gt;""),'Actuals - Billing - 2025'!$AG$2,"")</f>
        <v/>
      </c>
      <c r="L377" s="1" t="str">
        <f t="shared" si="4"/>
        <v/>
      </c>
      <c r="N377" s="17" t="str">
        <f>if(M377&lt;&gt;"",'Actuals - Billing - 2025'!BG609,"")</f>
        <v/>
      </c>
    </row>
    <row r="378">
      <c r="D378" s="148" t="str">
        <f>if(and(sum('Actuals - Billing - 2025'!AF610:AK610)&gt;0,C378&lt;&gt;""),'Actuals - Billing - 2025'!$AG$2,"")</f>
        <v/>
      </c>
      <c r="L378" s="1" t="str">
        <f t="shared" si="4"/>
        <v/>
      </c>
      <c r="N378" s="17" t="str">
        <f>if(M378&lt;&gt;"",'Actuals - Billing - 2025'!BG610,"")</f>
        <v/>
      </c>
    </row>
    <row r="379">
      <c r="D379" s="148" t="str">
        <f>if(and(sum('Actuals - Billing - 2025'!AF611:AK611)&gt;0,C379&lt;&gt;""),'Actuals - Billing - 2025'!$AG$2,"")</f>
        <v/>
      </c>
      <c r="L379" s="1" t="str">
        <f t="shared" si="4"/>
        <v/>
      </c>
      <c r="N379" s="17" t="str">
        <f>if(M379&lt;&gt;"",'Actuals - Billing - 2025'!BG611,"")</f>
        <v/>
      </c>
    </row>
    <row r="380">
      <c r="D380" s="148" t="str">
        <f>if(and(sum('Actuals - Billing - 2025'!AF612:AK612)&gt;0,C380&lt;&gt;""),'Actuals - Billing - 2025'!$AG$2,"")</f>
        <v/>
      </c>
      <c r="L380" s="1" t="str">
        <f t="shared" si="4"/>
        <v/>
      </c>
      <c r="N380" s="17" t="str">
        <f>if(M380&lt;&gt;"",'Actuals - Billing - 2025'!BG612,"")</f>
        <v/>
      </c>
    </row>
    <row r="381">
      <c r="D381" s="148" t="str">
        <f>if(and(sum('Actuals - Billing - 2025'!AF613:AK613)&gt;0,C381&lt;&gt;""),'Actuals - Billing - 2025'!$AG$2,"")</f>
        <v/>
      </c>
      <c r="L381" s="1" t="str">
        <f t="shared" si="4"/>
        <v/>
      </c>
      <c r="N381" s="17" t="str">
        <f>if(M381&lt;&gt;"",'Actuals - Billing - 2025'!BG613,"")</f>
        <v/>
      </c>
    </row>
    <row r="382">
      <c r="D382" s="148" t="str">
        <f>if(and(sum('Actuals - Billing - 2025'!AF614:AK614)&gt;0,C382&lt;&gt;""),'Actuals - Billing - 2025'!$AG$2,"")</f>
        <v/>
      </c>
      <c r="L382" s="1" t="str">
        <f t="shared" si="4"/>
        <v/>
      </c>
      <c r="N382" s="17" t="str">
        <f>if(M382&lt;&gt;"",'Actuals - Billing - 2025'!BG614,"")</f>
        <v/>
      </c>
    </row>
    <row r="383">
      <c r="D383" s="148" t="str">
        <f>if(and(sum('Actuals - Billing - 2025'!AF615:AK615)&gt;0,C383&lt;&gt;""),'Actuals - Billing - 2025'!$AG$2,"")</f>
        <v/>
      </c>
      <c r="L383" s="1" t="str">
        <f t="shared" si="4"/>
        <v/>
      </c>
      <c r="N383" s="17" t="str">
        <f>if(M383&lt;&gt;"",'Actuals - Billing - 2025'!BG615,"")</f>
        <v/>
      </c>
    </row>
    <row r="384">
      <c r="D384" s="148" t="str">
        <f>if(and(sum('Actuals - Billing - 2025'!AF616:AK616)&gt;0,C384&lt;&gt;""),'Actuals - Billing - 2025'!$AG$2,"")</f>
        <v/>
      </c>
      <c r="L384" s="1" t="str">
        <f t="shared" si="4"/>
        <v/>
      </c>
      <c r="N384" s="17" t="str">
        <f>if(M384&lt;&gt;"",'Actuals - Billing - 2025'!BG616,"")</f>
        <v/>
      </c>
    </row>
    <row r="385">
      <c r="D385" s="148" t="str">
        <f>if(and(sum('Actuals - Billing - 2025'!AF617:AK617)&gt;0,C385&lt;&gt;""),'Actuals - Billing - 2025'!$AG$2,"")</f>
        <v/>
      </c>
      <c r="L385" s="1" t="str">
        <f t="shared" si="4"/>
        <v/>
      </c>
      <c r="N385" s="17" t="str">
        <f>if(M385&lt;&gt;"",'Actuals - Billing - 2025'!BG617,"")</f>
        <v/>
      </c>
    </row>
    <row r="386">
      <c r="D386" s="148" t="str">
        <f>if(and(sum('Actuals - Billing - 2025'!AF618:AK618)&gt;0,C386&lt;&gt;""),'Actuals - Billing - 2025'!$AG$2,"")</f>
        <v/>
      </c>
      <c r="L386" s="1" t="str">
        <f t="shared" si="4"/>
        <v/>
      </c>
      <c r="N386" s="17" t="str">
        <f>if(M386&lt;&gt;"",'Actuals - Billing - 2025'!BG618,"")</f>
        <v/>
      </c>
    </row>
    <row r="387">
      <c r="D387" s="148" t="str">
        <f>if(and(sum('Actuals - Billing - 2025'!AF619:AK619)&gt;0,C387&lt;&gt;""),'Actuals - Billing - 2025'!$AG$2,"")</f>
        <v/>
      </c>
      <c r="L387" s="1" t="str">
        <f t="shared" si="4"/>
        <v/>
      </c>
      <c r="N387" s="17" t="str">
        <f>if(M387&lt;&gt;"",'Actuals - Billing - 2025'!BG619,"")</f>
        <v/>
      </c>
    </row>
    <row r="388">
      <c r="D388" s="148" t="str">
        <f>if(and(sum('Actuals - Billing - 2025'!AF620:AK620)&gt;0,C388&lt;&gt;""),'Actuals - Billing - 2025'!$AG$2,"")</f>
        <v/>
      </c>
      <c r="L388" s="1" t="str">
        <f t="shared" si="4"/>
        <v/>
      </c>
    </row>
    <row r="389">
      <c r="D389" s="148" t="str">
        <f>if(and(sum('Actuals - Billing - 2025'!AF621:AK621)&gt;0,C389&lt;&gt;""),'Actuals - Billing - 2025'!$AG$2,"")</f>
        <v/>
      </c>
      <c r="L389" s="1" t="str">
        <f t="shared" si="4"/>
        <v/>
      </c>
    </row>
    <row r="390">
      <c r="D390" s="148" t="str">
        <f>if(and(sum('Actuals - Billing - 2025'!AF622:AK622)&gt;0,C390&lt;&gt;""),'Actuals - Billing - 2025'!$AG$2,"")</f>
        <v/>
      </c>
      <c r="L390" s="1" t="str">
        <f t="shared" si="4"/>
        <v/>
      </c>
    </row>
    <row r="391">
      <c r="D391" s="148" t="str">
        <f>if(and(sum('Actuals - Billing - 2025'!AF623:AK623)&gt;0,C391&lt;&gt;""),'Actuals - Billing - 2025'!$AG$2,"")</f>
        <v/>
      </c>
      <c r="L391" s="1" t="str">
        <f t="shared" si="4"/>
        <v/>
      </c>
    </row>
    <row r="392">
      <c r="D392" s="148" t="str">
        <f>if(and(sum('Actuals - Billing - 2025'!AF624:AK624)&gt;0,C392&lt;&gt;""),'Actuals - Billing - 2025'!$AG$2,"")</f>
        <v/>
      </c>
      <c r="L392" s="1" t="str">
        <f t="shared" si="4"/>
        <v/>
      </c>
    </row>
    <row r="393">
      <c r="D393" s="148" t="str">
        <f>if(and(sum('Actuals - Billing - 2025'!AF625:AK625)&gt;0,C393&lt;&gt;""),'Actuals - Billing - 2025'!$AG$2,"")</f>
        <v/>
      </c>
      <c r="L393" s="1" t="str">
        <f t="shared" si="4"/>
        <v/>
      </c>
    </row>
    <row r="394">
      <c r="D394" s="148" t="str">
        <f>if(and(sum('Actuals - Billing - 2025'!AF626:AK626)&gt;0,C394&lt;&gt;""),'Actuals - Billing - 2025'!$AG$2,"")</f>
        <v/>
      </c>
      <c r="L394" s="1" t="str">
        <f t="shared" si="4"/>
        <v/>
      </c>
    </row>
    <row r="395">
      <c r="D395" s="148" t="str">
        <f>if(and(sum('Actuals - Billing - 2025'!AF627:AK627)&gt;0,C395&lt;&gt;""),'Actuals - Billing - 2025'!$AG$2,"")</f>
        <v/>
      </c>
      <c r="L395" s="1" t="str">
        <f t="shared" si="4"/>
        <v/>
      </c>
    </row>
    <row r="396">
      <c r="D396" s="148" t="str">
        <f>if(and(sum('Actuals - Billing - 2025'!AF628:AK628)&gt;0,C396&lt;&gt;""),'Actuals - Billing - 2025'!$AG$2,"")</f>
        <v/>
      </c>
      <c r="L396" s="1" t="str">
        <f t="shared" si="4"/>
        <v/>
      </c>
    </row>
    <row r="397">
      <c r="D397" s="148" t="str">
        <f>if(and(sum('Actuals - Billing - 2025'!AF629:AK629)&gt;0,C397&lt;&gt;""),'Actuals - Billing - 2025'!$AG$2,"")</f>
        <v/>
      </c>
      <c r="L397" s="1" t="str">
        <f t="shared" si="4"/>
        <v/>
      </c>
    </row>
    <row r="398">
      <c r="D398" s="148" t="str">
        <f>if(and(sum('Actuals - Billing - 2025'!AF630:AK630)&gt;0,C398&lt;&gt;""),'Actuals - Billing - 2025'!$AG$2,"")</f>
        <v/>
      </c>
      <c r="L398" s="1" t="str">
        <f t="shared" si="4"/>
        <v/>
      </c>
    </row>
    <row r="399">
      <c r="D399" s="148" t="str">
        <f>if(and(sum('Actuals - Billing - 2025'!AF631:AK631)&gt;0,C399&lt;&gt;""),'Actuals - Billing - 2025'!$AG$2,"")</f>
        <v/>
      </c>
      <c r="L399" s="1" t="str">
        <f t="shared" si="4"/>
        <v/>
      </c>
    </row>
    <row r="400">
      <c r="D400" s="148" t="str">
        <f>if(and(sum('Actuals - Billing - 2025'!AF632:AK632)&gt;0,C400&lt;&gt;""),'Actuals - Billing - 2025'!$AG$2,"")</f>
        <v/>
      </c>
      <c r="L400" s="1" t="str">
        <f t="shared" si="4"/>
        <v/>
      </c>
    </row>
    <row r="401">
      <c r="D401" s="148" t="str">
        <f>if(and(sum('Actuals - Billing - 2025'!AF633:AK633)&gt;0,C401&lt;&gt;""),'Actuals - Billing - 2025'!$AG$2,"")</f>
        <v/>
      </c>
      <c r="L401" s="1" t="str">
        <f t="shared" si="4"/>
        <v/>
      </c>
    </row>
    <row r="402">
      <c r="D402" s="148" t="str">
        <f>if(and(sum('Actuals - Billing - 2025'!AF634:AK634)&gt;0,C402&lt;&gt;""),'Actuals - Billing - 2025'!$AG$2,"")</f>
        <v/>
      </c>
      <c r="L402" s="1" t="str">
        <f t="shared" si="4"/>
        <v/>
      </c>
    </row>
    <row r="403">
      <c r="D403" s="148" t="str">
        <f>if(and(sum('Actuals - Billing - 2025'!AF635:AK635)&gt;0,C403&lt;&gt;""),'Actuals - Billing - 2025'!$AG$2,"")</f>
        <v/>
      </c>
      <c r="L403" s="1" t="str">
        <f t="shared" si="4"/>
        <v/>
      </c>
    </row>
    <row r="404">
      <c r="D404" s="148" t="str">
        <f>if(and(sum('Actuals - Billing - 2025'!AF636:AK636)&gt;0,C404&lt;&gt;""),'Actuals - Billing - 2025'!$AG$2,"")</f>
        <v/>
      </c>
      <c r="L404" s="1" t="str">
        <f t="shared" si="4"/>
        <v/>
      </c>
    </row>
    <row r="405">
      <c r="D405" s="148" t="str">
        <f>if(and(sum('Actuals - Billing - 2025'!AF637:AK637)&gt;0,C405&lt;&gt;""),'Actuals - Billing - 2025'!$AG$2,"")</f>
        <v/>
      </c>
      <c r="L405" s="1" t="str">
        <f t="shared" si="4"/>
        <v/>
      </c>
    </row>
    <row r="406">
      <c r="D406" s="148" t="str">
        <f>if(and(sum('Actuals - Billing - 2025'!AF638:AK638)&gt;0,C406&lt;&gt;""),'Actuals - Billing - 2025'!$AG$2,"")</f>
        <v/>
      </c>
      <c r="L406" s="1" t="str">
        <f t="shared" si="4"/>
        <v/>
      </c>
    </row>
    <row r="407">
      <c r="D407" s="148" t="str">
        <f>if(and(sum('Actuals - Billing - 2025'!AF639:AK639)&gt;0,C407&lt;&gt;""),'Actuals - Billing - 2025'!$AG$2,"")</f>
        <v/>
      </c>
      <c r="L407" s="1" t="str">
        <f t="shared" si="4"/>
        <v/>
      </c>
    </row>
    <row r="408">
      <c r="D408" s="148" t="str">
        <f>if(and(sum('Actuals - Billing - 2025'!AF640:AK640)&gt;0,C408&lt;&gt;""),'Actuals - Billing - 2025'!$AG$2,"")</f>
        <v/>
      </c>
      <c r="L408" s="1" t="str">
        <f t="shared" si="4"/>
        <v/>
      </c>
    </row>
    <row r="409">
      <c r="D409" s="148" t="str">
        <f>if(and(sum('Actuals - Billing - 2025'!AF641:AK641)&gt;0,C409&lt;&gt;""),'Actuals - Billing - 2025'!$AG$2,"")</f>
        <v/>
      </c>
      <c r="L409" s="1" t="str">
        <f t="shared" si="4"/>
        <v/>
      </c>
    </row>
    <row r="410">
      <c r="D410" s="148" t="str">
        <f>if(and(sum('Actuals - Billing - 2025'!AF642:AK642)&gt;0,C410&lt;&gt;""),'Actuals - Billing - 2025'!$AG$2,"")</f>
        <v/>
      </c>
      <c r="L410" s="1" t="str">
        <f t="shared" si="4"/>
        <v/>
      </c>
    </row>
    <row r="411">
      <c r="D411" s="148" t="str">
        <f>if(and(sum('Actuals - Billing - 2025'!AF643:AK643)&gt;0,C411&lt;&gt;""),'Actuals - Billing - 2025'!$AG$2,"")</f>
        <v/>
      </c>
      <c r="L411" s="1" t="str">
        <f t="shared" si="4"/>
        <v/>
      </c>
    </row>
    <row r="412">
      <c r="D412" s="148" t="str">
        <f>if(and(sum('Actuals - Billing - 2025'!AF644:AK644)&gt;0,C412&lt;&gt;""),'Actuals - Billing - 2025'!$AG$2,"")</f>
        <v/>
      </c>
      <c r="L412" s="1" t="str">
        <f t="shared" si="4"/>
        <v/>
      </c>
    </row>
    <row r="413">
      <c r="D413" s="148" t="str">
        <f>if(and(sum('Actuals - Billing - 2025'!AF645:AK645)&gt;0,C413&lt;&gt;""),'Actuals - Billing - 2025'!$AG$2,"")</f>
        <v/>
      </c>
      <c r="L413" s="1" t="str">
        <f t="shared" si="4"/>
        <v/>
      </c>
    </row>
    <row r="414">
      <c r="D414" s="148" t="str">
        <f>if(and(sum('Actuals - Billing - 2025'!AF646:AK646)&gt;0,C414&lt;&gt;""),'Actuals - Billing - 2025'!$AG$2,"")</f>
        <v/>
      </c>
      <c r="L414" s="1" t="str">
        <f t="shared" si="4"/>
        <v/>
      </c>
    </row>
    <row r="415">
      <c r="D415" s="148" t="str">
        <f>if(and(sum('Actuals - Billing - 2025'!AF647:AK647)&gt;0,C415&lt;&gt;""),'Actuals - Billing - 2025'!$AG$2,"")</f>
        <v/>
      </c>
      <c r="L415" s="1" t="str">
        <f t="shared" si="4"/>
        <v/>
      </c>
    </row>
    <row r="416">
      <c r="D416" s="148" t="str">
        <f>if(and(sum('Actuals - Billing - 2025'!AF648:AK648)&gt;0,C416&lt;&gt;""),'Actuals - Billing - 2025'!$AG$2,"")</f>
        <v/>
      </c>
      <c r="L416" s="1" t="str">
        <f t="shared" si="4"/>
        <v/>
      </c>
    </row>
    <row r="417">
      <c r="D417" s="148" t="str">
        <f>if(and(sum('Actuals - Billing - 2025'!AF649:AK649)&gt;0,C417&lt;&gt;""),'Actuals - Billing - 2025'!$AG$2,"")</f>
        <v/>
      </c>
      <c r="L417" s="1" t="str">
        <f t="shared" si="4"/>
        <v/>
      </c>
    </row>
    <row r="418">
      <c r="D418" s="148" t="str">
        <f>if(and(sum('Actuals - Billing - 2025'!AF650:AK650)&gt;0,C418&lt;&gt;""),'Actuals - Billing - 2025'!$AG$2,"")</f>
        <v/>
      </c>
      <c r="L418" s="1" t="str">
        <f t="shared" si="4"/>
        <v/>
      </c>
    </row>
    <row r="419">
      <c r="D419" s="148" t="str">
        <f>if(and(sum('Actuals - Billing - 2025'!AF651:AK651)&gt;0,C419&lt;&gt;""),'Actuals - Billing - 2025'!$AG$2,"")</f>
        <v/>
      </c>
      <c r="L419" s="1" t="str">
        <f t="shared" si="4"/>
        <v/>
      </c>
    </row>
    <row r="420">
      <c r="D420" s="148" t="str">
        <f>if(and(sum('Actuals - Billing - 2025'!AF652:AK652)&gt;0,C420&lt;&gt;""),'Actuals - Billing - 2025'!$AG$2,"")</f>
        <v/>
      </c>
    </row>
    <row r="421">
      <c r="D421" s="148" t="str">
        <f>if(and(sum('Actuals - Billing - 2025'!AF653:AK653)&gt;0,C421&lt;&gt;""),'Actuals - Billing - 2025'!$AG$2,"")</f>
        <v/>
      </c>
    </row>
    <row r="422">
      <c r="D422" s="148" t="str">
        <f>if(and(sum('Actuals - Billing - 2025'!AF654:AK654)&gt;0,C422&lt;&gt;""),'Actuals - Billing - 2025'!$AG$2,"")</f>
        <v/>
      </c>
    </row>
    <row r="423">
      <c r="D423" s="148" t="str">
        <f>if(and(sum('Actuals - Billing - 2025'!AF655:AK655)&gt;0,C423&lt;&gt;""),'Actuals - Billing - 2025'!$AG$2,"")</f>
        <v/>
      </c>
    </row>
    <row r="424">
      <c r="D424" s="148" t="str">
        <f>if(and(sum('Actuals - Billing - 2025'!AF656:AK656)&gt;0,C424&lt;&gt;""),'Actuals - Billing - 2025'!$AG$2,"")</f>
        <v/>
      </c>
    </row>
    <row r="425">
      <c r="D425" s="148" t="str">
        <f>if(and(sum('Actuals - Billing - 2025'!AF657:AK657)&gt;0,C425&lt;&gt;""),'Actuals - Billing - 2025'!$AG$2,"")</f>
        <v/>
      </c>
    </row>
    <row r="426">
      <c r="D426" s="148" t="str">
        <f>if(and(sum('Actuals - Billing - 2025'!AF658:AK658)&gt;0,C426&lt;&gt;""),'Actuals - Billing - 2025'!$AG$2,"")</f>
        <v/>
      </c>
    </row>
    <row r="427">
      <c r="D427" s="148" t="str">
        <f>if(and(sum('Actuals - Billing - 2025'!AF659:AK659)&gt;0,C427&lt;&gt;""),'Actuals - Billing - 2025'!$AG$2,"")</f>
        <v/>
      </c>
    </row>
    <row r="428">
      <c r="D428" s="148" t="str">
        <f>if(and(sum('Actuals - Billing - 2025'!AF660:AK660)&gt;0,C428&lt;&gt;""),'Actuals - Billing - 2025'!$AG$2,"")</f>
        <v/>
      </c>
    </row>
    <row r="429">
      <c r="D429" s="148" t="str">
        <f>if(and(sum('Actuals - Billing - 2025'!AF661:AK661)&gt;0,C429&lt;&gt;""),'Actuals - Billing - 2025'!$AG$2,"")</f>
        <v/>
      </c>
    </row>
    <row r="430">
      <c r="D430" s="148" t="str">
        <f>if(and(sum('Actuals - Billing - 2025'!AF662:AK662)&gt;0,C430&lt;&gt;""),'Actuals - Billing - 2025'!$AG$2,"")</f>
        <v/>
      </c>
    </row>
    <row r="431">
      <c r="D431" s="148" t="str">
        <f>if(and(sum('Actuals - Billing - 2025'!AF663:AK663)&gt;0,C431&lt;&gt;""),'Actuals - Billing - 2025'!$AG$2,"")</f>
        <v/>
      </c>
    </row>
    <row r="432">
      <c r="D432" s="148" t="str">
        <f>if(and(sum('Actuals - Billing - 2025'!AF664:AK664)&gt;0,C432&lt;&gt;""),'Actuals - Billing - 2025'!$AG$2,"")</f>
        <v/>
      </c>
    </row>
    <row r="433">
      <c r="D433" s="148" t="str">
        <f>if(and(sum('Actuals - Billing - 2025'!AF665:AK665)&gt;0,C433&lt;&gt;""),'Actuals - Billing - 2025'!$AG$2,"")</f>
        <v/>
      </c>
    </row>
    <row r="434">
      <c r="D434" s="148" t="str">
        <f>if(and(sum('Actuals - Billing - 2025'!AF666:AK666)&gt;0,C434&lt;&gt;""),'Actuals - Billing - 2025'!$AG$2,"")</f>
        <v/>
      </c>
    </row>
    <row r="435">
      <c r="D435" s="148" t="str">
        <f>if(and(sum('Actuals - Billing - 2025'!AF667:AK667)&gt;0,C435&lt;&gt;""),'Actuals - Billing - 2025'!$AG$2,"")</f>
        <v/>
      </c>
    </row>
    <row r="436">
      <c r="D436" s="148" t="str">
        <f>if(and(sum('Actuals - Billing - 2025'!AF668:AK668)&gt;0,C436&lt;&gt;""),'Actuals - Billing - 2025'!$AG$2,"")</f>
        <v/>
      </c>
    </row>
    <row r="437">
      <c r="D437" s="148" t="str">
        <f>if(and(sum('Actuals - Billing - 2025'!AF669:AK669)&gt;0,C437&lt;&gt;""),'Actuals - Billing - 2025'!$AG$2,"")</f>
        <v/>
      </c>
    </row>
    <row r="438">
      <c r="D438" s="148" t="str">
        <f>if(and(sum('Actuals - Billing - 2025'!AF670:AK670)&gt;0,C438&lt;&gt;""),'Actuals - Billing - 2025'!$AG$2,"")</f>
        <v/>
      </c>
    </row>
    <row r="439">
      <c r="D439" s="148" t="str">
        <f>if(and(sum('Actuals - Billing - 2025'!AF671:AK671)&gt;0,C439&lt;&gt;""),'Actuals - Billing - 2025'!$AG$2,"")</f>
        <v/>
      </c>
    </row>
    <row r="440">
      <c r="D440" s="148" t="str">
        <f>if(and(sum('Actuals - Billing - 2025'!AF672:AK672)&gt;0,C440&lt;&gt;""),'Actuals - Billing - 2025'!$AG$2,"")</f>
        <v/>
      </c>
    </row>
    <row r="441">
      <c r="D441" s="148" t="str">
        <f>if(and(sum('Actuals - Billing - 2025'!AF673:AK673)&gt;0,C441&lt;&gt;""),'Actuals - Billing - 2025'!$AG$2,"")</f>
        <v/>
      </c>
    </row>
    <row r="442">
      <c r="D442" s="148" t="str">
        <f>if(and(sum('Actuals - Billing - 2025'!AF674:AK674)&gt;0,C442&lt;&gt;""),'Actuals - Billing - 2025'!$AG$2,"")</f>
        <v/>
      </c>
    </row>
    <row r="443">
      <c r="D443" s="148" t="str">
        <f>if(and(sum('Actuals - Billing - 2025'!AF675:AK675)&gt;0,C443&lt;&gt;""),'Actuals - Billing - 2025'!$AG$2,"")</f>
        <v/>
      </c>
    </row>
    <row r="444">
      <c r="D444" s="148" t="str">
        <f>if(and(sum('Actuals - Billing - 2025'!AF676:AK676)&gt;0,C444&lt;&gt;""),'Actuals - Billing - 2025'!$AG$2,"")</f>
        <v/>
      </c>
    </row>
    <row r="445">
      <c r="D445" s="148" t="str">
        <f>if(and(sum('Actuals - Billing - 2025'!AF677:AK677)&gt;0,C445&lt;&gt;""),'Actuals - Billing - 2025'!$AG$2,"")</f>
        <v/>
      </c>
    </row>
    <row r="446">
      <c r="D446" s="148" t="str">
        <f>if(and(sum('Actuals - Billing - 2025'!AF678:AK678)&gt;0,C446&lt;&gt;""),'Actuals - Billing - 2025'!$AG$2,"")</f>
        <v/>
      </c>
    </row>
    <row r="447">
      <c r="D447" s="148" t="str">
        <f>if(and(sum('Actuals - Billing - 2025'!AF679:AK679)&gt;0,C447&lt;&gt;""),'Actuals - Billing - 2025'!$AG$2,"")</f>
        <v/>
      </c>
    </row>
    <row r="448">
      <c r="D448" s="148" t="str">
        <f>if(and(sum('Actuals - Billing - 2025'!AF680:AK680)&gt;0,C448&lt;&gt;""),'Actuals - Billing - 2025'!$AG$2,"")</f>
        <v/>
      </c>
    </row>
    <row r="449">
      <c r="D449" s="148" t="str">
        <f>if(and(sum('Actuals - Billing - 2025'!AF681:AK681)&gt;0,C449&lt;&gt;""),'Actuals - Billing - 2025'!$AG$2,"")</f>
        <v/>
      </c>
    </row>
    <row r="450">
      <c r="D450" s="148" t="str">
        <f>if(and(sum('Actuals - Billing - 2025'!AF682:AK682)&gt;0,C450&lt;&gt;""),'Actuals - Billing - 2025'!$AG$2,"")</f>
        <v/>
      </c>
    </row>
    <row r="451">
      <c r="D451" s="148" t="str">
        <f>if(and(sum('Actuals - Billing - 2025'!AF683:AK683)&gt;0,C451&lt;&gt;""),'Actuals - Billing - 2025'!$AG$2,"")</f>
        <v/>
      </c>
    </row>
    <row r="452">
      <c r="D452" s="148" t="str">
        <f>if(and(sum('Actuals - Billing - 2025'!AF684:AK684)&gt;0,C452&lt;&gt;""),'Actuals - Billing - 2025'!$AG$2,"")</f>
        <v/>
      </c>
    </row>
    <row r="453">
      <c r="D453" s="148" t="str">
        <f>if(and(sum('Actuals - Billing - 2025'!AF685:AK685)&gt;0,C453&lt;&gt;""),'Actuals - Billing - 2025'!$AG$2,"")</f>
        <v/>
      </c>
    </row>
    <row r="454">
      <c r="D454" s="148" t="str">
        <f>if(and(sum('Actuals - Billing - 2025'!AF686:AK686)&gt;0,C454&lt;&gt;""),'Actuals - Billing - 2025'!$AG$2,"")</f>
        <v/>
      </c>
    </row>
    <row r="455">
      <c r="D455" s="148" t="str">
        <f>if(and(sum('Actuals - Billing - 2025'!AF687:AK687)&gt;0,C455&lt;&gt;""),'Actuals - Billing - 2025'!$AG$2,"")</f>
        <v/>
      </c>
    </row>
    <row r="456">
      <c r="D456" s="148" t="str">
        <f>if(and(sum('Actuals - Billing - 2025'!AF688:AK688)&gt;0,C456&lt;&gt;""),'Actuals - Billing - 2025'!$AG$2,"")</f>
        <v/>
      </c>
    </row>
    <row r="457">
      <c r="D457" s="148" t="str">
        <f>if(and(sum('Actuals - Billing - 2025'!AF689:AK689)&gt;0,C457&lt;&gt;""),'Actuals - Billing - 2025'!$AG$2,"")</f>
        <v/>
      </c>
    </row>
    <row r="458">
      <c r="D458" s="148" t="str">
        <f>if(and(sum('Actuals - Billing - 2025'!AF690:AK690)&gt;0,C458&lt;&gt;""),'Actuals - Billing - 2025'!$AG$2,"")</f>
        <v/>
      </c>
    </row>
    <row r="459">
      <c r="D459" s="148" t="str">
        <f>if(and(sum('Actuals - Billing - 2025'!AF691:AK691)&gt;0,C459&lt;&gt;""),'Actuals - Billing - 2025'!$AG$2,"")</f>
        <v/>
      </c>
    </row>
    <row r="460">
      <c r="D460" s="148" t="str">
        <f>if(and(sum('Actuals - Billing - 2025'!AF692:AK692)&gt;0,C460&lt;&gt;""),'Actuals - Billing - 2025'!$AG$2,"")</f>
        <v/>
      </c>
    </row>
    <row r="461">
      <c r="D461" s="148" t="str">
        <f>if(and(sum('Actuals - Billing - 2025'!AF693:AK693)&gt;0,C461&lt;&gt;""),'Actuals - Billing - 2025'!$AG$2,"")</f>
        <v/>
      </c>
    </row>
    <row r="462">
      <c r="D462" s="148" t="str">
        <f>if(and(sum('Actuals - Billing - 2025'!AF694:AK694)&gt;0,C462&lt;&gt;""),'Actuals - Billing - 2025'!$AG$2,"")</f>
        <v/>
      </c>
    </row>
    <row r="463">
      <c r="D463" s="148" t="str">
        <f>if(and(sum('Actuals - Billing - 2025'!AF695:AK695)&gt;0,C463&lt;&gt;""),'Actuals - Billing - 2025'!$AG$2,"")</f>
        <v/>
      </c>
    </row>
    <row r="464">
      <c r="D464" s="148" t="str">
        <f>if(and(sum('Actuals - Billing - 2025'!AF696:AK696)&gt;0,C464&lt;&gt;""),'Actuals - Billing - 2025'!$AG$2,"")</f>
        <v/>
      </c>
    </row>
    <row r="465">
      <c r="D465" s="148" t="str">
        <f>if(and(sum('Actuals - Billing - 2025'!AF697:AK697)&gt;0,C465&lt;&gt;""),'Actuals - Billing - 2025'!$AG$2,"")</f>
        <v/>
      </c>
    </row>
    <row r="466">
      <c r="D466" s="148" t="str">
        <f>if(and(sum('Actuals - Billing - 2025'!AF698:AK698)&gt;0,C466&lt;&gt;""),'Actuals - Billing - 2025'!$AG$2,"")</f>
        <v/>
      </c>
    </row>
    <row r="467">
      <c r="D467" s="148" t="str">
        <f>if(and(sum('Actuals - Billing - 2025'!AF699:AK699)&gt;0,C467&lt;&gt;""),'Actuals - Billing - 2025'!$AG$2,"")</f>
        <v/>
      </c>
    </row>
    <row r="468">
      <c r="D468" s="148" t="str">
        <f>if(and(sum('Actuals - Billing - 2025'!AF700:AK700)&gt;0,C468&lt;&gt;""),'Actuals - Billing - 2025'!$AG$2,"")</f>
        <v/>
      </c>
    </row>
    <row r="469">
      <c r="D469" s="148" t="str">
        <f>if(and(sum('Actuals - Billing - 2025'!AF701:AK701)&gt;0,C469&lt;&gt;""),'Actuals - Billing - 2025'!$AG$2,"")</f>
        <v/>
      </c>
    </row>
    <row r="470">
      <c r="D470" s="148" t="str">
        <f>if(and(sum('Actuals - Billing - 2025'!AF702:AK702)&gt;0,C470&lt;&gt;""),'Actuals - Billing - 2025'!$AG$2,"")</f>
        <v/>
      </c>
    </row>
    <row r="471">
      <c r="D471" s="148" t="str">
        <f>if(and(sum('Actuals - Billing - 2025'!AF703:AK703)&gt;0,C471&lt;&gt;""),'Actuals - Billing - 2025'!$AG$2,"")</f>
        <v/>
      </c>
    </row>
    <row r="472">
      <c r="D472" s="148" t="str">
        <f>if(and(sum('Actuals - Billing - 2025'!AF704:AK704)&gt;0,C472&lt;&gt;""),'Actuals - Billing - 2025'!$AG$2,"")</f>
        <v/>
      </c>
    </row>
    <row r="473">
      <c r="D473" s="148" t="str">
        <f>if(and(sum('Actuals - Billing - 2025'!AF705:AK705)&gt;0,C473&lt;&gt;""),'Actuals - Billing - 2025'!$AG$2,"")</f>
        <v/>
      </c>
    </row>
    <row r="474">
      <c r="D474" s="148" t="str">
        <f>if(and(sum('Actuals - Billing - 2025'!AF706:AK706)&gt;0,C474&lt;&gt;""),'Actuals - Billing - 2025'!$AG$2,"")</f>
        <v/>
      </c>
    </row>
    <row r="475">
      <c r="D475" s="148" t="str">
        <f>if(and(sum('Actuals - Billing - 2025'!AF707:AK707)&gt;0,C475&lt;&gt;""),'Actuals - Billing - 2025'!$AG$2,"")</f>
        <v/>
      </c>
    </row>
    <row r="476">
      <c r="D476" s="148" t="str">
        <f>if(and(sum('Actuals - Billing - 2025'!AF708:AK708)&gt;0,C476&lt;&gt;""),'Actuals - Billing - 2025'!$AG$2,"")</f>
        <v/>
      </c>
    </row>
    <row r="477">
      <c r="D477" s="148" t="str">
        <f>if(and(sum('Actuals - Billing - 2025'!AF709:AK709)&gt;0,C477&lt;&gt;""),'Actuals - Billing - 2025'!$AG$2,"")</f>
        <v/>
      </c>
    </row>
    <row r="478">
      <c r="D478" s="148" t="str">
        <f>if(and(sum('Actuals - Billing - 2025'!AF710:AK710)&gt;0,C478&lt;&gt;""),'Actuals - Billing - 2025'!$AG$2,"")</f>
        <v/>
      </c>
    </row>
    <row r="479">
      <c r="D479" s="148" t="str">
        <f>if(and(sum('Actuals - Billing - 2025'!AF711:AK711)&gt;0,C479&lt;&gt;""),'Actuals - Billing - 2025'!$AG$2,"")</f>
        <v/>
      </c>
    </row>
    <row r="480">
      <c r="D480" s="148" t="str">
        <f>if(and(sum('Actuals - Billing - 2025'!AF712:AK712)&gt;0,C480&lt;&gt;""),'Actuals - Billing - 2025'!$AG$2,"")</f>
        <v/>
      </c>
    </row>
    <row r="481">
      <c r="D481" s="148" t="str">
        <f>if(and(sum('Actuals - Billing - 2025'!AF713:AK713)&gt;0,C481&lt;&gt;""),'Actuals - Billing - 2025'!$AG$2,"")</f>
        <v/>
      </c>
    </row>
    <row r="482">
      <c r="D482" s="148" t="str">
        <f>if(and(sum('Actuals - Billing - 2025'!AF714:AK714)&gt;0,C482&lt;&gt;""),'Actuals - Billing - 2025'!$AG$2,"")</f>
        <v/>
      </c>
    </row>
    <row r="483">
      <c r="D483" s="148" t="str">
        <f>if(and(sum('Actuals - Billing - 2025'!AF715:AK715)&gt;0,C483&lt;&gt;""),'Actuals - Billing - 2025'!$AG$2,"")</f>
        <v/>
      </c>
    </row>
    <row r="484">
      <c r="D484" s="148" t="str">
        <f>if(and(sum('Actuals - Billing - 2025'!AF716:AK716)&gt;0,C484&lt;&gt;""),'Actuals - Billing - 2025'!$AG$2,"")</f>
        <v/>
      </c>
    </row>
    <row r="485">
      <c r="D485" s="148" t="str">
        <f>if(and(sum('Actuals - Billing - 2025'!AF717:AK717)&gt;0,C485&lt;&gt;""),'Actuals - Billing - 2025'!$AG$2,"")</f>
        <v/>
      </c>
    </row>
    <row r="486">
      <c r="D486" s="148" t="str">
        <f>if(and(sum('Actuals - Billing - 2025'!AF718:AK718)&gt;0,C486&lt;&gt;""),'Actuals - Billing - 2025'!$AG$2,"")</f>
        <v/>
      </c>
    </row>
    <row r="487">
      <c r="D487" s="148" t="str">
        <f>if(and(sum('Actuals - Billing - 2025'!AF719:AK719)&gt;0,C487&lt;&gt;""),'Actuals - Billing - 2025'!$AG$2,"")</f>
        <v/>
      </c>
    </row>
    <row r="488">
      <c r="D488" s="148" t="str">
        <f>if(and(sum('Actuals - Billing - 2025'!AF720:AK720)&gt;0,C488&lt;&gt;""),'Actuals - Billing - 2025'!$AG$2,"")</f>
        <v/>
      </c>
    </row>
    <row r="489">
      <c r="D489" s="148" t="str">
        <f>if(and(sum('Actuals - Billing - 2025'!AF721:AK721)&gt;0,C489&lt;&gt;""),'Actuals - Billing - 2025'!$AG$2,"")</f>
        <v/>
      </c>
    </row>
    <row r="490">
      <c r="D490" s="148" t="str">
        <f>if(and(sum('Actuals - Billing - 2025'!AF722:AK722)&gt;0,C490&lt;&gt;""),'Actuals - Billing - 2025'!$AG$2,"")</f>
        <v/>
      </c>
    </row>
    <row r="491">
      <c r="D491" s="148" t="str">
        <f>if(and(sum('Actuals - Billing - 2025'!AF723:AK723)&gt;0,C491&lt;&gt;""),'Actuals - Billing - 2025'!$AG$2,"")</f>
        <v/>
      </c>
    </row>
    <row r="492">
      <c r="D492" s="148" t="str">
        <f>if(and(sum('Actuals - Billing - 2025'!AF724:AK724)&gt;0,C492&lt;&gt;""),'Actuals - Billing - 2025'!$AG$2,"")</f>
        <v/>
      </c>
    </row>
    <row r="493">
      <c r="D493" s="148" t="str">
        <f>if(and(sum('Actuals - Billing - 2025'!AF725:AK725)&gt;0,C493&lt;&gt;""),'Actuals - Billing - 2025'!$AG$2,"")</f>
        <v/>
      </c>
    </row>
    <row r="494">
      <c r="D494" s="148" t="str">
        <f>if(and(sum('Actuals - Billing - 2025'!AF726:AK726)&gt;0,C494&lt;&gt;""),'Actuals - Billing - 2025'!$AG$2,"")</f>
        <v/>
      </c>
    </row>
    <row r="495">
      <c r="D495" s="148" t="str">
        <f>if(and(sum('Actuals - Billing - 2025'!AF727:AK727)&gt;0,C495&lt;&gt;""),'Actuals - Billing - 2025'!$AG$2,"")</f>
        <v/>
      </c>
    </row>
    <row r="496">
      <c r="D496" s="148" t="str">
        <f>if(and(sum('Actuals - Billing - 2025'!AF728:AK728)&gt;0,C496&lt;&gt;""),'Actuals - Billing - 2025'!$AG$2,"")</f>
        <v/>
      </c>
    </row>
    <row r="497">
      <c r="D497" s="148" t="str">
        <f>if(and(sum('Actuals - Billing - 2025'!AF729:AK729)&gt;0,C497&lt;&gt;""),'Actuals - Billing - 2025'!$AG$2,"")</f>
        <v/>
      </c>
    </row>
    <row r="498">
      <c r="D498" s="148" t="str">
        <f>if(and(sum('Actuals - Billing - 2025'!AF730:AK730)&gt;0,C498&lt;&gt;""),'Actuals - Billing - 2025'!$AG$2,"")</f>
        <v/>
      </c>
    </row>
    <row r="499">
      <c r="D499" s="148" t="str">
        <f>if(and(sum('Actuals - Billing - 2025'!AF731:AK731)&gt;0,C499&lt;&gt;""),'Actuals - Billing - 2025'!$AG$2,"")</f>
        <v/>
      </c>
    </row>
    <row r="500">
      <c r="D500" s="148" t="str">
        <f>if(and(sum('Actuals - Billing - 2025'!AF732:AK732)&gt;0,C500&lt;&gt;""),'Actuals - Billing - 2025'!$AG$2,"")</f>
        <v/>
      </c>
    </row>
    <row r="501">
      <c r="D501" s="148" t="str">
        <f>if(and(sum('Actuals - Billing - 2025'!AF733:AK733)&gt;0,C501&lt;&gt;""),'Actuals - Billing - 2025'!$AG$2,"")</f>
        <v/>
      </c>
    </row>
    <row r="502">
      <c r="D502" s="148" t="str">
        <f>if(and(sum('Actuals - Billing - 2025'!AF734:AK734)&gt;0,C502&lt;&gt;""),'Actuals - Billing - 2025'!$AG$2,"")</f>
        <v/>
      </c>
    </row>
    <row r="503">
      <c r="D503" s="148" t="str">
        <f>if(and(sum('Actuals - Billing - 2025'!AF735:AK735)&gt;0,C503&lt;&gt;""),'Actuals - Billing - 2025'!$AG$2,"")</f>
        <v/>
      </c>
    </row>
    <row r="504">
      <c r="D504" s="148" t="str">
        <f>if(and(sum('Actuals - Billing - 2025'!AF736:AK736)&gt;0,C504&lt;&gt;""),'Actuals - Billing - 2025'!$AG$2,"")</f>
        <v/>
      </c>
    </row>
    <row r="505">
      <c r="D505" s="148" t="str">
        <f>if(and(sum('Actuals - Billing - 2025'!AF737:AK737)&gt;0,C505&lt;&gt;""),'Actuals - Billing - 2025'!$AG$2,"")</f>
        <v/>
      </c>
    </row>
    <row r="506">
      <c r="D506" s="148" t="str">
        <f>if(and(sum('Actuals - Billing - 2025'!AF738:AK738)&gt;0,C506&lt;&gt;""),'Actuals - Billing - 2025'!$AG$2,"")</f>
        <v/>
      </c>
    </row>
    <row r="507">
      <c r="D507" s="148" t="str">
        <f>if(and(sum('Actuals - Billing - 2025'!AF739:AK739)&gt;0,C507&lt;&gt;""),'Actuals - Billing - 2025'!$AG$2,"")</f>
        <v/>
      </c>
    </row>
    <row r="508">
      <c r="D508" s="148" t="str">
        <f>if(and(sum('Actuals - Billing - 2025'!AF740:AK740)&gt;0,C508&lt;&gt;""),'Actuals - Billing - 2025'!$AG$2,"")</f>
        <v/>
      </c>
    </row>
    <row r="509">
      <c r="D509" s="148" t="str">
        <f>if(and(sum('Actuals - Billing - 2025'!AF741:AK741)&gt;0,C509&lt;&gt;""),'Actuals - Billing - 2025'!$AG$2,"")</f>
        <v/>
      </c>
    </row>
    <row r="510">
      <c r="D510" s="148" t="str">
        <f>if(and(sum('Actuals - Billing - 2025'!AF742:AK742)&gt;0,C510&lt;&gt;""),'Actuals - Billing - 2025'!$AG$2,"")</f>
        <v/>
      </c>
    </row>
    <row r="511">
      <c r="D511" s="148" t="str">
        <f>if(and(sum('Actuals - Billing - 2025'!AF743:AK743)&gt;0,C511&lt;&gt;""),'Actuals - Billing - 2025'!$AG$2,"")</f>
        <v/>
      </c>
    </row>
    <row r="512">
      <c r="D512" s="148" t="str">
        <f>if(and(sum('Actuals - Billing - 2025'!AF744:AK744)&gt;0,C512&lt;&gt;""),'Actuals - Billing - 2025'!$AG$2,"")</f>
        <v/>
      </c>
    </row>
    <row r="513">
      <c r="D513" s="148" t="str">
        <f>if(and(sum('Actuals - Billing - 2025'!AF745:AK745)&gt;0,C513&lt;&gt;""),'Actuals - Billing - 2025'!$AG$2,"")</f>
        <v/>
      </c>
    </row>
    <row r="514">
      <c r="D514" s="148" t="str">
        <f>if(and(sum('Actuals - Billing - 2025'!AF746:AK746)&gt;0,C514&lt;&gt;""),'Actuals - Billing - 2025'!$AG$2,"")</f>
        <v/>
      </c>
    </row>
    <row r="515">
      <c r="D515" s="148" t="str">
        <f>if(and(sum('Actuals - Billing - 2025'!AF747:AK747)&gt;0,C515&lt;&gt;""),'Actuals - Billing - 2025'!$AG$2,"")</f>
        <v/>
      </c>
    </row>
    <row r="516">
      <c r="D516" s="148" t="str">
        <f>if(and(sum('Actuals - Billing - 2025'!AF748:AK748)&gt;0,C516&lt;&gt;""),'Actuals - Billing - 2025'!$AG$2,"")</f>
        <v/>
      </c>
    </row>
    <row r="517">
      <c r="D517" s="148" t="str">
        <f>if(and(sum('Actuals - Billing - 2025'!AF749:AK749)&gt;0,C517&lt;&gt;""),'Actuals - Billing - 2025'!$AG$2,"")</f>
        <v/>
      </c>
    </row>
    <row r="518">
      <c r="D518" s="148" t="str">
        <f>if(and(sum('Actuals - Billing - 2025'!AF750:AK750)&gt;0,C518&lt;&gt;""),'Actuals - Billing - 2025'!$AG$2,"")</f>
        <v/>
      </c>
    </row>
    <row r="519">
      <c r="D519" s="148" t="str">
        <f>if(and(sum('Actuals - Billing - 2025'!AF751:AK751)&gt;0,C519&lt;&gt;""),'Actuals - Billing - 2025'!$AG$2,"")</f>
        <v/>
      </c>
    </row>
    <row r="520">
      <c r="D520" s="148" t="str">
        <f>if(and(sum('Actuals - Billing - 2025'!AF752:AK752)&gt;0,C520&lt;&gt;""),'Actuals - Billing - 2025'!$AG$2,"")</f>
        <v/>
      </c>
    </row>
    <row r="521">
      <c r="D521" s="148" t="str">
        <f>if(and(sum('Actuals - Billing - 2025'!AF753:AK753)&gt;0,C521&lt;&gt;""),'Actuals - Billing - 2025'!$AG$2,"")</f>
        <v/>
      </c>
    </row>
    <row r="522">
      <c r="D522" s="148" t="str">
        <f>if(and(sum('Actuals - Billing - 2025'!AF754:AK754)&gt;0,C522&lt;&gt;""),'Actuals - Billing - 2025'!$AG$2,"")</f>
        <v/>
      </c>
    </row>
    <row r="523">
      <c r="D523" s="148" t="str">
        <f>if(and(sum('Actuals - Billing - 2025'!AF755:AK755)&gt;0,C523&lt;&gt;""),'Actuals - Billing - 2025'!$AG$2,"")</f>
        <v/>
      </c>
    </row>
    <row r="524">
      <c r="D524" s="148" t="str">
        <f>if(and(sum('Actuals - Billing - 2025'!AF756:AK756)&gt;0,C524&lt;&gt;""),'Actuals - Billing - 2025'!$AG$2,"")</f>
        <v/>
      </c>
    </row>
    <row r="525">
      <c r="D525" s="148" t="str">
        <f>if(and(sum('Actuals - Billing - 2025'!AF757:AK757)&gt;0,C525&lt;&gt;""),'Actuals - Billing - 2025'!$AG$2,"")</f>
        <v/>
      </c>
    </row>
    <row r="526">
      <c r="D526" s="148" t="str">
        <f>if(and(sum('Actuals - Billing - 2025'!AF758:AK758)&gt;0,C526&lt;&gt;""),'Actuals - Billing - 2025'!$AG$2,"")</f>
        <v/>
      </c>
    </row>
    <row r="527">
      <c r="D527" s="148" t="str">
        <f>if(and(sum('Actuals - Billing - 2025'!AF759:AK759)&gt;0,C527&lt;&gt;""),'Actuals - Billing - 2025'!$AG$2,"")</f>
        <v/>
      </c>
    </row>
    <row r="528">
      <c r="D528" s="148" t="str">
        <f>if(and(sum('Actuals - Billing - 2025'!AF760:AK760)&gt;0,C528&lt;&gt;""),'Actuals - Billing - 2025'!$AG$2,"")</f>
        <v/>
      </c>
    </row>
    <row r="529">
      <c r="D529" s="148" t="str">
        <f>if(and(sum('Actuals - Billing - 2025'!AF761:AK761)&gt;0,C529&lt;&gt;""),'Actuals - Billing - 2025'!$AG$2,"")</f>
        <v/>
      </c>
    </row>
    <row r="530">
      <c r="D530" s="148" t="str">
        <f>if(and(sum('Actuals - Billing - 2025'!AF762:AK762)&gt;0,C530&lt;&gt;""),'Actuals - Billing - 2025'!$AG$2,"")</f>
        <v/>
      </c>
    </row>
    <row r="531">
      <c r="D531" s="148" t="str">
        <f>if(and(sum('Actuals - Billing - 2025'!AF763:AK763)&gt;0,C531&lt;&gt;""),'Actuals - Billing - 2025'!$AG$2,"")</f>
        <v/>
      </c>
    </row>
    <row r="532">
      <c r="D532" s="148" t="str">
        <f>if(and(sum('Actuals - Billing - 2025'!AF764:AK764)&gt;0,C532&lt;&gt;""),'Actuals - Billing - 2025'!$AG$2,"")</f>
        <v/>
      </c>
    </row>
    <row r="533">
      <c r="D533" s="148" t="str">
        <f>if(and(sum('Actuals - Billing - 2025'!AF765:AK765)&gt;0,C533&lt;&gt;""),'Actuals - Billing - 2025'!$AG$2,"")</f>
        <v/>
      </c>
    </row>
    <row r="534">
      <c r="D534" s="148" t="str">
        <f>if(and(sum('Actuals - Billing - 2025'!AF766:AK766)&gt;0,C534&lt;&gt;""),'Actuals - Billing - 2025'!$AG$2,"")</f>
        <v/>
      </c>
    </row>
    <row r="535">
      <c r="D535" s="148" t="str">
        <f>if(and(sum('Actuals - Billing - 2025'!AF767:AK767)&gt;0,C535&lt;&gt;""),'Actuals - Billing - 2025'!$AG$2,"")</f>
        <v/>
      </c>
    </row>
    <row r="536">
      <c r="D536" s="148" t="str">
        <f>if(and(sum('Actuals - Billing - 2025'!AF768:AK768)&gt;0,C536&lt;&gt;""),'Actuals - Billing - 2025'!$AG$2,"")</f>
        <v/>
      </c>
    </row>
    <row r="537">
      <c r="D537" s="148" t="str">
        <f>if(and(sum('Actuals - Billing - 2025'!AF769:AK769)&gt;0,C537&lt;&gt;""),'Actuals - Billing - 2025'!$AG$2,"")</f>
        <v/>
      </c>
    </row>
    <row r="538">
      <c r="D538" s="148" t="str">
        <f>if(and(sum('Actuals - Billing - 2025'!AF770:AK770)&gt;0,C538&lt;&gt;""),'Actuals - Billing - 2025'!$AG$2,"")</f>
        <v/>
      </c>
    </row>
    <row r="539">
      <c r="D539" s="148" t="str">
        <f>if(and(sum('Actuals - Billing - 2025'!AF771:AK771)&gt;0,C539&lt;&gt;""),'Actuals - Billing - 2025'!$AG$2,"")</f>
        <v/>
      </c>
    </row>
    <row r="540">
      <c r="D540" s="148" t="str">
        <f>if(and(sum('Actuals - Billing - 2025'!AF772:AK772)&gt;0,C540&lt;&gt;""),'Actuals - Billing - 2025'!$AG$2,"")</f>
        <v/>
      </c>
    </row>
    <row r="541">
      <c r="D541" s="148" t="str">
        <f>if(and(sum('Actuals - Billing - 2025'!AF773:AK773)&gt;0,C541&lt;&gt;""),'Actuals - Billing - 2025'!$AG$2,"")</f>
        <v/>
      </c>
    </row>
    <row r="542">
      <c r="D542" s="148" t="str">
        <f>if(and(sum('Actuals - Billing - 2025'!AF774:AK774)&gt;0,C542&lt;&gt;""),'Actuals - Billing - 2025'!$AG$2,"")</f>
        <v/>
      </c>
    </row>
    <row r="543">
      <c r="D543" s="148" t="str">
        <f>if(and(sum('Actuals - Billing - 2025'!AF775:AK775)&gt;0,C543&lt;&gt;""),'Actuals - Billing - 2025'!$AG$2,"")</f>
        <v/>
      </c>
    </row>
    <row r="544">
      <c r="D544" s="148" t="str">
        <f>if(and(sum('Actuals - Billing - 2025'!AF776:AK776)&gt;0,C544&lt;&gt;""),'Actuals - Billing - 2025'!$AG$2,"")</f>
        <v/>
      </c>
    </row>
    <row r="545">
      <c r="D545" s="148" t="str">
        <f>if(and(sum('Actuals - Billing - 2025'!AF777:AK777)&gt;0,C545&lt;&gt;""),'Actuals - Billing - 2025'!$AG$2,"")</f>
        <v/>
      </c>
    </row>
    <row r="546">
      <c r="D546" s="148" t="str">
        <f>if(and(sum('Actuals - Billing - 2025'!AF778:AK778)&gt;0,C546&lt;&gt;""),'Actuals - Billing - 2025'!$AG$2,"")</f>
        <v/>
      </c>
    </row>
    <row r="547">
      <c r="D547" s="148" t="str">
        <f>if(and(sum('Actuals - Billing - 2025'!AF779:AK779)&gt;0,C547&lt;&gt;""),'Actuals - Billing - 2025'!$AG$2,"")</f>
        <v/>
      </c>
    </row>
    <row r="548">
      <c r="D548" s="148" t="str">
        <f>if(and(sum('Actuals - Billing - 2025'!AF780:AK780)&gt;0,C548&lt;&gt;""),'Actuals - Billing - 2025'!$AG$2,"")</f>
        <v/>
      </c>
    </row>
    <row r="549">
      <c r="D549" s="148" t="str">
        <f>if(and(sum('Actuals - Billing - 2025'!AF781:AK781)&gt;0,C549&lt;&gt;""),'Actuals - Billing - 2025'!$AG$2,"")</f>
        <v/>
      </c>
    </row>
    <row r="550">
      <c r="D550" s="148" t="str">
        <f>if(and(sum('Actuals - Billing - 2025'!AF782:AK782)&gt;0,C550&lt;&gt;""),'Actuals - Billing - 2025'!$AG$2,"")</f>
        <v/>
      </c>
    </row>
    <row r="551">
      <c r="D551" s="148" t="str">
        <f>if(and(sum('Actuals - Billing - 2025'!AF783:AK783)&gt;0,C551&lt;&gt;""),'Actuals - Billing - 2025'!$AG$2,"")</f>
        <v/>
      </c>
    </row>
    <row r="552">
      <c r="D552" s="148" t="str">
        <f>if(and(sum('Actuals - Billing - 2025'!AF784:AK784)&gt;0,C552&lt;&gt;""),'Actuals - Billing - 2025'!$AG$2,"")</f>
        <v/>
      </c>
    </row>
    <row r="553">
      <c r="D553" s="148" t="str">
        <f>if(and(sum('Actuals - Billing - 2025'!AF785:AK785)&gt;0,C553&lt;&gt;""),'Actuals - Billing - 2025'!$AG$2,"")</f>
        <v/>
      </c>
    </row>
    <row r="554">
      <c r="D554" s="148" t="str">
        <f>if(and(sum('Actuals - Billing - 2025'!AF786:AK786)&gt;0,C554&lt;&gt;""),'Actuals - Billing - 2025'!$AG$2,"")</f>
        <v/>
      </c>
    </row>
    <row r="555">
      <c r="D555" s="148" t="str">
        <f>if(and(sum('Actuals - Billing - 2025'!AF787:AK787)&gt;0,C555&lt;&gt;""),'Actuals - Billing - 2025'!$AG$2,"")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2" max="12" width="26.5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4" t="s">
        <v>34</v>
      </c>
      <c r="F1" s="4" t="s">
        <v>92</v>
      </c>
      <c r="G1" s="4" t="s">
        <v>92</v>
      </c>
      <c r="H1" s="4" t="s">
        <v>92</v>
      </c>
      <c r="I1" s="4" t="s">
        <v>92</v>
      </c>
      <c r="J1" s="1" t="s">
        <v>8</v>
      </c>
      <c r="K1" s="147" t="s">
        <v>9</v>
      </c>
      <c r="L1" s="1" t="s">
        <v>10</v>
      </c>
      <c r="M1" s="1" t="s">
        <v>11</v>
      </c>
      <c r="N1" s="4" t="s">
        <v>12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t="36.0" customHeight="1">
      <c r="A2" s="7" t="str">
        <f t="shared" ref="A2:A134" si="1">if(B2&lt;&gt;"","Rogers Blue Jays Baseball Partnership","")</f>
        <v/>
      </c>
      <c r="B2" s="8" t="str">
        <f>if(and('Actuals - Billing - 2025'!E$240=True,C2&lt;&gt;""),'Actuals - Billing - 2025'!C234,"")</f>
        <v/>
      </c>
      <c r="C2" s="9" t="str">
        <f>IF(sum('Actuals - Billing - 2025'!AL234:AM234)&gt;0,'Actuals - Billing - 2025'!B234,"")</f>
        <v/>
      </c>
      <c r="D2" s="148" t="str">
        <f>if(and(sum('Actuals - Billing - 2025'!AL234)&gt;0,C2&lt;&gt;""),'Actuals - Billing - 2025'!$AM$2,"")</f>
        <v/>
      </c>
      <c r="E2" s="11" t="str">
        <f t="array" ref="E2">if($D2="","",index('Actuals - Billing - 2025'!$B2:$AZ900,Match($C2,'Actuals - Billing - 2025'!$B2:$B900,0),Match(E$1,'Actuals - Billing - 2025'!$B$2:$AZ$2,0)))</f>
        <v/>
      </c>
      <c r="F2" s="11"/>
      <c r="G2" s="11"/>
      <c r="H2" s="11"/>
      <c r="I2" s="11"/>
      <c r="J2" s="11" t="str">
        <f t="shared" ref="J2:J192" si="2">if(sum(E2:I2)&gt;0,sum(E2:I2),"")</f>
        <v/>
      </c>
      <c r="K2" s="149" t="str">
        <f t="shared" ref="K2:K192" si="3">if(J2&lt;&gt;"",J2*D2,"")</f>
        <v/>
      </c>
      <c r="L2" s="1" t="str">
        <f t="shared" ref="L2:L192" si="4">if(K2&lt;&gt;"", if(E2&gt;0,$E$1&amp;" "&amp;E2,"")&amp;IF(F2&gt;0," "&amp;$F$1&amp;" "&amp;F2,"")&amp;IF(G2&gt;0," "&amp;$G$1&amp;" "&amp;G2,""),"")</f>
        <v/>
      </c>
      <c r="M2" s="4" t="str">
        <f t="shared" ref="M2:M192" si="5">if(B2&lt;&gt;"","TBJ - Stadium Staff Meals","")</f>
        <v/>
      </c>
      <c r="N2" s="6"/>
      <c r="O2" s="6"/>
      <c r="P2" s="1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tr">
        <f t="shared" si="1"/>
        <v/>
      </c>
      <c r="B3" s="8" t="str">
        <f>if(and('Actuals - Billing - 2025'!E$240=True,C3&lt;&gt;""),'Actuals - Billing - 2025'!C235,"")</f>
        <v/>
      </c>
      <c r="C3" s="9" t="str">
        <f>IF(sum('Actuals - Billing - 2025'!AL235:AM235)&gt;0,'Actuals - Billing - 2025'!B235,"")</f>
        <v/>
      </c>
      <c r="D3" s="148" t="str">
        <f>if(and(sum('Actuals - Billing - 2025'!AL235)&gt;0,C3&lt;&gt;""),'Actuals - Billing - 2025'!$AM$2,"")</f>
        <v/>
      </c>
      <c r="E3" s="11" t="str">
        <f t="array" ref="E3">if($D3="","",index('Actuals - Billing - 2025'!$B3:$AZ901,Match($C3,'Actuals - Billing - 2025'!$B3:$B901,0),Match(E$1,'Actuals - Billing - 2025'!$B$2:$AZ$2,0)))</f>
        <v/>
      </c>
      <c r="F3" s="11"/>
      <c r="G3" s="11"/>
      <c r="H3" s="11"/>
      <c r="I3" s="11"/>
      <c r="J3" s="11" t="str">
        <f t="shared" si="2"/>
        <v/>
      </c>
      <c r="K3" s="149" t="str">
        <f t="shared" si="3"/>
        <v/>
      </c>
      <c r="L3" s="1" t="str">
        <f t="shared" si="4"/>
        <v/>
      </c>
      <c r="M3" s="4" t="str">
        <f t="shared" si="5"/>
        <v/>
      </c>
      <c r="N3" s="6"/>
    </row>
    <row r="4">
      <c r="A4" s="7" t="str">
        <f t="shared" si="1"/>
        <v/>
      </c>
      <c r="B4" s="8" t="str">
        <f>if(and('Actuals - Billing - 2025'!E$240=True,C4&lt;&gt;""),'Actuals - Billing - 2025'!C236,"")</f>
        <v/>
      </c>
      <c r="C4" s="9" t="str">
        <f>IF(sum('Actuals - Billing - 2025'!AL236:AM236)&gt;0,'Actuals - Billing - 2025'!B236,"")</f>
        <v/>
      </c>
      <c r="D4" s="148" t="str">
        <f>if(and(sum('Actuals - Billing - 2025'!AL236)&gt;0,C4&lt;&gt;""),'Actuals - Billing - 2025'!$AM$2,"")</f>
        <v/>
      </c>
      <c r="E4" s="11" t="str">
        <f t="array" ref="E4">if($D4="","",index('Actuals - Billing - 2025'!$B4:$AZ902,Match($C4,'Actuals - Billing - 2025'!$B4:$B902,0),Match(E$1,'Actuals - Billing - 2025'!$B$2:$AZ$2,0)))</f>
        <v/>
      </c>
      <c r="F4" s="11"/>
      <c r="G4" s="11"/>
      <c r="H4" s="11"/>
      <c r="I4" s="11"/>
      <c r="J4" s="11" t="str">
        <f t="shared" si="2"/>
        <v/>
      </c>
      <c r="K4" s="149" t="str">
        <f t="shared" si="3"/>
        <v/>
      </c>
      <c r="L4" s="1" t="str">
        <f t="shared" si="4"/>
        <v/>
      </c>
      <c r="M4" s="4" t="str">
        <f t="shared" si="5"/>
        <v/>
      </c>
      <c r="N4" s="6"/>
    </row>
    <row r="5">
      <c r="A5" s="7" t="str">
        <f t="shared" si="1"/>
        <v/>
      </c>
      <c r="B5" s="8" t="str">
        <f>if(and('Actuals - Billing - 2025'!E$240=True,C5&lt;&gt;""),'Actuals - Billing - 2025'!C237,"")</f>
        <v/>
      </c>
      <c r="C5" s="9" t="str">
        <f>IF(sum('Actuals - Billing - 2025'!AL237:AM237)&gt;0,'Actuals - Billing - 2025'!B237,"")</f>
        <v/>
      </c>
      <c r="D5" s="148" t="str">
        <f>if(and(sum('Actuals - Billing - 2025'!AL237)&gt;0,C5&lt;&gt;""),'Actuals - Billing - 2025'!$AM$2,"")</f>
        <v/>
      </c>
      <c r="E5" s="11" t="str">
        <f t="array" ref="E5">if($D5="","",index('Actuals - Billing - 2025'!$B5:$AZ903,Match($C5,'Actuals - Billing - 2025'!$B5:$B903,0),Match(E$1,'Actuals - Billing - 2025'!$B$2:$AZ$2,0)))</f>
        <v/>
      </c>
      <c r="F5" s="11"/>
      <c r="G5" s="11"/>
      <c r="H5" s="11"/>
      <c r="I5" s="11"/>
      <c r="J5" s="11" t="str">
        <f t="shared" si="2"/>
        <v/>
      </c>
      <c r="K5" s="149" t="str">
        <f t="shared" si="3"/>
        <v/>
      </c>
      <c r="L5" s="1" t="str">
        <f t="shared" si="4"/>
        <v/>
      </c>
      <c r="M5" s="4" t="str">
        <f t="shared" si="5"/>
        <v/>
      </c>
      <c r="N5" s="6"/>
    </row>
    <row r="6">
      <c r="A6" s="7" t="str">
        <f t="shared" si="1"/>
        <v/>
      </c>
      <c r="B6" s="8" t="str">
        <f>if(and('Actuals - Billing - 2025'!E$240=True,C6&lt;&gt;""),'Actuals - Billing - 2025'!C238,"")</f>
        <v/>
      </c>
      <c r="C6" s="9" t="str">
        <f>IF(sum('Actuals - Billing - 2025'!AL238:AM238)&gt;0,'Actuals - Billing - 2025'!B238,"")</f>
        <v/>
      </c>
      <c r="D6" s="148" t="str">
        <f>if(and(sum('Actuals - Billing - 2025'!AL238)&gt;0,C6&lt;&gt;""),'Actuals - Billing - 2025'!$AM$2,"")</f>
        <v/>
      </c>
      <c r="E6" s="11" t="str">
        <f t="array" ref="E6">if($D6="","",index('Actuals - Billing - 2025'!$B6:$AZ904,Match($C6,'Actuals - Billing - 2025'!$B6:$B904,0),Match(E$1,'Actuals - Billing - 2025'!$B$2:$AZ$2,0)))</f>
        <v/>
      </c>
      <c r="F6" s="11"/>
      <c r="G6" s="11"/>
      <c r="H6" s="11"/>
      <c r="I6" s="11"/>
      <c r="J6" s="11" t="str">
        <f t="shared" si="2"/>
        <v/>
      </c>
      <c r="K6" s="149" t="str">
        <f t="shared" si="3"/>
        <v/>
      </c>
      <c r="L6" s="1" t="str">
        <f t="shared" si="4"/>
        <v/>
      </c>
      <c r="M6" s="4" t="str">
        <f t="shared" si="5"/>
        <v/>
      </c>
      <c r="N6" s="6"/>
    </row>
    <row r="7">
      <c r="A7" s="7" t="str">
        <f t="shared" si="1"/>
        <v/>
      </c>
      <c r="B7" s="8" t="str">
        <f>if(and('Actuals - Billing - 2025'!E$240=True,C7&lt;&gt;""),'Actuals - Billing - 2025'!C239,"")</f>
        <v/>
      </c>
      <c r="C7" s="9" t="str">
        <f>IF(sum('Actuals - Billing - 2025'!AL239:AM239)&gt;0,'Actuals - Billing - 2025'!B239,"")</f>
        <v/>
      </c>
      <c r="D7" s="148" t="str">
        <f>if(and(sum('Actuals - Billing - 2025'!AL239)&gt;0,C7&lt;&gt;""),'Actuals - Billing - 2025'!$AM$2,"")</f>
        <v/>
      </c>
      <c r="E7" s="11" t="str">
        <f t="array" ref="E7">if($D7="","",index('Actuals - Billing - 2025'!$B7:$AZ905,Match($C7,'Actuals - Billing - 2025'!$B7:$B905,0),Match(E$1,'Actuals - Billing - 2025'!$B$2:$AZ$2,0)))</f>
        <v/>
      </c>
      <c r="F7" s="11"/>
      <c r="G7" s="11"/>
      <c r="H7" s="11"/>
      <c r="I7" s="11"/>
      <c r="J7" s="11" t="str">
        <f t="shared" si="2"/>
        <v/>
      </c>
      <c r="K7" s="149" t="str">
        <f t="shared" si="3"/>
        <v/>
      </c>
      <c r="L7" s="1" t="str">
        <f t="shared" si="4"/>
        <v/>
      </c>
      <c r="M7" s="4" t="str">
        <f t="shared" si="5"/>
        <v/>
      </c>
      <c r="N7" s="6"/>
    </row>
    <row r="8">
      <c r="A8" s="7" t="str">
        <f t="shared" si="1"/>
        <v/>
      </c>
      <c r="B8" s="8" t="str">
        <f>if(and('Actuals - Billing - 2025'!E$240=True,C8&lt;&gt;""),'Actuals - Billing - 2025'!C240,"")</f>
        <v/>
      </c>
      <c r="C8" s="9" t="str">
        <f>IF(sum('Actuals - Billing - 2025'!AL240:AM240)&gt;0,'Actuals - Billing - 2025'!B240,"")</f>
        <v/>
      </c>
      <c r="D8" s="148" t="str">
        <f>if(and(sum('Actuals - Billing - 2025'!AL240)&gt;0,C8&lt;&gt;""),'Actuals - Billing - 2025'!$AM$2,"")</f>
        <v/>
      </c>
      <c r="E8" s="11" t="str">
        <f t="array" ref="E8">if($D8="","",index('Actuals - Billing - 2025'!$B8:$AZ906,Match($C8,'Actuals - Billing - 2025'!$B8:$B906,0),Match(E$1,'Actuals - Billing - 2025'!$B$2:$AZ$2,0)))</f>
        <v/>
      </c>
      <c r="F8" s="11"/>
      <c r="G8" s="11"/>
      <c r="H8" s="11"/>
      <c r="I8" s="11"/>
      <c r="J8" s="11" t="str">
        <f t="shared" si="2"/>
        <v/>
      </c>
      <c r="K8" s="149" t="str">
        <f t="shared" si="3"/>
        <v/>
      </c>
      <c r="L8" s="1" t="str">
        <f t="shared" si="4"/>
        <v/>
      </c>
      <c r="M8" s="4" t="str">
        <f t="shared" si="5"/>
        <v/>
      </c>
      <c r="N8" s="6"/>
    </row>
    <row r="9">
      <c r="A9" s="7" t="str">
        <f t="shared" si="1"/>
        <v/>
      </c>
      <c r="B9" s="8" t="str">
        <f>IF('Actuals - Billing - 2025'!E$247=True,'Actuals - Billing - 2025'!C241,"")</f>
        <v/>
      </c>
      <c r="C9" s="9" t="str">
        <f>IF(sum('Actuals - Billing - 2025'!AL241:AM241)&gt;0,'Actuals - Billing - 2025'!B241,"")</f>
        <v/>
      </c>
      <c r="D9" s="148" t="str">
        <f>if(and(sum('Actuals - Billing - 2025'!AL241)&gt;0,C9&lt;&gt;""),'Actuals - Billing - 2025'!$AM$2,"")</f>
        <v/>
      </c>
      <c r="E9" s="11" t="str">
        <f t="array" ref="E9">if($D9="","",index('Actuals - Billing - 2025'!$B9:$AZ907,Match($C9,'Actuals - Billing - 2025'!$B9:$B907,0),Match(E$1,'Actuals - Billing - 2025'!$B$2:$AZ$2,0)))</f>
        <v/>
      </c>
      <c r="F9" s="11"/>
      <c r="G9" s="11"/>
      <c r="H9" s="11"/>
      <c r="I9" s="11"/>
      <c r="J9" s="11" t="str">
        <f t="shared" si="2"/>
        <v/>
      </c>
      <c r="K9" s="149" t="str">
        <f t="shared" si="3"/>
        <v/>
      </c>
      <c r="L9" s="1" t="str">
        <f t="shared" si="4"/>
        <v/>
      </c>
      <c r="M9" s="4" t="str">
        <f t="shared" si="5"/>
        <v/>
      </c>
      <c r="N9" s="6"/>
      <c r="P9" s="14"/>
    </row>
    <row r="10">
      <c r="A10" s="7" t="str">
        <f t="shared" si="1"/>
        <v/>
      </c>
      <c r="B10" s="8" t="str">
        <f>IF('Actuals - Billing - 2025'!E$247=True,'Actuals - Billing - 2025'!C242,"")</f>
        <v/>
      </c>
      <c r="C10" s="9" t="str">
        <f>IF(and(B10&lt;&gt;"", sum('Actuals - Billing - 2025'!AL242:AM242)&gt;0),'Actuals - Billing - 2025'!B242,"")</f>
        <v/>
      </c>
      <c r="D10" s="148" t="str">
        <f>if(and(sum('Actuals - Billing - 2025'!AL242)&gt;0,C10&lt;&gt;""),'Actuals - Billing - 2025'!$AM$2,"")</f>
        <v/>
      </c>
      <c r="E10" s="11" t="str">
        <f t="array" ref="E10">if($D10="","",index('Actuals - Billing - 2025'!$B10:$AZ908,Match($C10,'Actuals - Billing - 2025'!$B10:$B908,0),Match(E$1,'Actuals - Billing - 2025'!$B$2:$AZ$2,0)))</f>
        <v/>
      </c>
      <c r="F10" s="11"/>
      <c r="G10" s="11"/>
      <c r="H10" s="11"/>
      <c r="I10" s="11"/>
      <c r="J10" s="11" t="str">
        <f t="shared" si="2"/>
        <v/>
      </c>
      <c r="K10" s="149" t="str">
        <f t="shared" si="3"/>
        <v/>
      </c>
      <c r="L10" s="1" t="str">
        <f t="shared" si="4"/>
        <v/>
      </c>
      <c r="M10" s="4" t="str">
        <f t="shared" si="5"/>
        <v/>
      </c>
      <c r="N10" s="6"/>
    </row>
    <row r="11">
      <c r="A11" s="7" t="str">
        <f t="shared" si="1"/>
        <v/>
      </c>
      <c r="B11" s="8" t="str">
        <f>if('Actuals - Billing - 2025'!E$247=True,'Actuals - Billing - 2025'!C243,"")</f>
        <v/>
      </c>
      <c r="C11" s="9" t="str">
        <f>IF(and(B11&lt;&gt;"", sum('Actuals - Billing - 2025'!AL243:AM243)&gt;0),'Actuals - Billing - 2025'!B243,"")</f>
        <v/>
      </c>
      <c r="D11" s="148" t="str">
        <f>if(and(sum('Actuals - Billing - 2025'!AL243)&gt;0,C11&lt;&gt;""),'Actuals - Billing - 2025'!$AM$2,"")</f>
        <v/>
      </c>
      <c r="E11" s="11" t="str">
        <f t="array" ref="E11">if($D11="","",index('Actuals - Billing - 2025'!$B11:$AZ909,Match($C11,'Actuals - Billing - 2025'!$B11:$B909,0),Match(E$1,'Actuals - Billing - 2025'!$B$2:$AZ$2,0)))</f>
        <v/>
      </c>
      <c r="F11" s="11"/>
      <c r="G11" s="11"/>
      <c r="H11" s="11"/>
      <c r="I11" s="11"/>
      <c r="J11" s="11" t="str">
        <f t="shared" si="2"/>
        <v/>
      </c>
      <c r="K11" s="149" t="str">
        <f t="shared" si="3"/>
        <v/>
      </c>
      <c r="L11" s="1" t="str">
        <f t="shared" si="4"/>
        <v/>
      </c>
      <c r="M11" s="4" t="str">
        <f t="shared" si="5"/>
        <v/>
      </c>
      <c r="N11" s="6"/>
    </row>
    <row r="12">
      <c r="A12" s="7" t="str">
        <f t="shared" si="1"/>
        <v/>
      </c>
      <c r="B12" s="8" t="str">
        <f>if('Actuals - Billing - 2025'!E$247=True,'Actuals - Billing - 2025'!C244,"")</f>
        <v/>
      </c>
      <c r="C12" s="9" t="str">
        <f>IF(and(B12&lt;&gt;"", sum('Actuals - Billing - 2025'!AL244:AM244)&gt;0),'Actuals - Billing - 2025'!B244,"")</f>
        <v/>
      </c>
      <c r="D12" s="148" t="str">
        <f>if(and(sum('Actuals - Billing - 2025'!AL244)&gt;0,C12&lt;&gt;""),'Actuals - Billing - 2025'!$AM$2,"")</f>
        <v/>
      </c>
      <c r="E12" s="11" t="str">
        <f t="array" ref="E12">if($D12="","",index('Actuals - Billing - 2025'!$B12:$AZ910,Match($C12,'Actuals - Billing - 2025'!$B12:$B910,0),Match(E$1,'Actuals - Billing - 2025'!$B$2:$AZ$2,0)))</f>
        <v/>
      </c>
      <c r="F12" s="11"/>
      <c r="G12" s="11"/>
      <c r="H12" s="11"/>
      <c r="I12" s="11"/>
      <c r="J12" s="11" t="str">
        <f t="shared" si="2"/>
        <v/>
      </c>
      <c r="K12" s="149" t="str">
        <f t="shared" si="3"/>
        <v/>
      </c>
      <c r="L12" s="1" t="str">
        <f t="shared" si="4"/>
        <v/>
      </c>
      <c r="M12" s="4" t="str">
        <f t="shared" si="5"/>
        <v/>
      </c>
      <c r="N12" s="6"/>
    </row>
    <row r="13">
      <c r="A13" s="7" t="str">
        <f t="shared" si="1"/>
        <v/>
      </c>
      <c r="B13" s="8" t="str">
        <f>if('Actuals - Billing - 2025'!E$247=True,'Actuals - Billing - 2025'!C245,"")</f>
        <v/>
      </c>
      <c r="C13" s="9" t="str">
        <f>IF(and(B13&lt;&gt;"", sum('Actuals - Billing - 2025'!AL245:AM245)&gt;0),'Actuals - Billing - 2025'!B245,"")</f>
        <v/>
      </c>
      <c r="D13" s="148" t="str">
        <f>if(and(sum('Actuals - Billing - 2025'!AL245)&gt;0,C13&lt;&gt;""),'Actuals - Billing - 2025'!$AM$2,"")</f>
        <v/>
      </c>
      <c r="E13" s="11" t="str">
        <f t="array" ref="E13">if($D13="","",index('Actuals - Billing - 2025'!$B13:$AZ911,Match($C13,'Actuals - Billing - 2025'!$B13:$B911,0),Match(E$1,'Actuals - Billing - 2025'!$B$2:$AZ$2,0)))</f>
        <v/>
      </c>
      <c r="F13" s="11"/>
      <c r="G13" s="11"/>
      <c r="H13" s="11"/>
      <c r="I13" s="11"/>
      <c r="J13" s="11" t="str">
        <f t="shared" si="2"/>
        <v/>
      </c>
      <c r="K13" s="149" t="str">
        <f t="shared" si="3"/>
        <v/>
      </c>
      <c r="L13" s="1" t="str">
        <f t="shared" si="4"/>
        <v/>
      </c>
      <c r="M13" s="4" t="str">
        <f t="shared" si="5"/>
        <v/>
      </c>
      <c r="N13" s="6"/>
    </row>
    <row r="14">
      <c r="A14" s="7" t="str">
        <f t="shared" si="1"/>
        <v/>
      </c>
      <c r="B14" s="8" t="str">
        <f>if('Actuals - Billing - 2025'!E$247=True,'Actuals - Billing - 2025'!C246,"")</f>
        <v/>
      </c>
      <c r="C14" s="9" t="str">
        <f>IF(and(B14&lt;&gt;"", sum('Actuals - Billing - 2025'!AL246:AM246)&gt;0),'Actuals - Billing - 2025'!B246,"")</f>
        <v/>
      </c>
      <c r="D14" s="148" t="str">
        <f>if(and(sum('Actuals - Billing - 2025'!AL246)&gt;0,C14&lt;&gt;""),'Actuals - Billing - 2025'!$AM$2,"")</f>
        <v/>
      </c>
      <c r="E14" s="11" t="str">
        <f t="array" ref="E14">if($D14="","",index('Actuals - Billing - 2025'!$B14:$AZ912,Match($C14,'Actuals - Billing - 2025'!$B14:$B912,0),Match(E$1,'Actuals - Billing - 2025'!$B$2:$AZ$2,0)))</f>
        <v/>
      </c>
      <c r="F14" s="11"/>
      <c r="G14" s="11"/>
      <c r="H14" s="11"/>
      <c r="I14" s="11"/>
      <c r="J14" s="11" t="str">
        <f t="shared" si="2"/>
        <v/>
      </c>
      <c r="K14" s="149" t="str">
        <f t="shared" si="3"/>
        <v/>
      </c>
      <c r="L14" s="1" t="str">
        <f t="shared" si="4"/>
        <v/>
      </c>
      <c r="M14" s="4" t="str">
        <f t="shared" si="5"/>
        <v/>
      </c>
      <c r="N14" s="6"/>
    </row>
    <row r="15">
      <c r="A15" s="7" t="str">
        <f t="shared" si="1"/>
        <v/>
      </c>
      <c r="B15" s="8" t="str">
        <f>if(and('Actuals - Billing - 2025'!E$247=True,C15&lt;&gt;""),'Actuals - Billing - 2025'!C247,"")</f>
        <v/>
      </c>
      <c r="C15" s="9" t="str">
        <f>IF(sum('Actuals - Billing - 2025'!AL247:AM247)&gt;0,'Actuals - Billing - 2025'!B247,"")</f>
        <v/>
      </c>
      <c r="D15" s="148" t="str">
        <f>if(and(sum('Actuals - Billing - 2025'!AL247)&gt;0,C15&lt;&gt;""),'Actuals - Billing - 2025'!$AM$2,"")</f>
        <v/>
      </c>
      <c r="E15" s="11" t="str">
        <f t="array" ref="E15">if($D15="","",index('Actuals - Billing - 2025'!$B15:$AZ913,Match($C15,'Actuals - Billing - 2025'!$B15:$B913,0),Match(E$1,'Actuals - Billing - 2025'!$B$2:$AZ$2,0)))</f>
        <v/>
      </c>
      <c r="F15" s="11"/>
      <c r="G15" s="11"/>
      <c r="H15" s="11"/>
      <c r="I15" s="11"/>
      <c r="J15" s="11" t="str">
        <f t="shared" si="2"/>
        <v/>
      </c>
      <c r="K15" s="149" t="str">
        <f t="shared" si="3"/>
        <v/>
      </c>
      <c r="L15" s="1" t="str">
        <f t="shared" si="4"/>
        <v/>
      </c>
      <c r="M15" s="4" t="str">
        <f t="shared" si="5"/>
        <v/>
      </c>
      <c r="N15" s="6"/>
    </row>
    <row r="16">
      <c r="A16" s="7" t="str">
        <f t="shared" si="1"/>
        <v/>
      </c>
      <c r="B16" s="8" t="str">
        <f>if(and('Actuals - Billing - 2025'!E$254=True,C16&lt;&gt;""),'Actuals - Billing - 2025'!C248,"")</f>
        <v/>
      </c>
      <c r="C16" s="9" t="str">
        <f>IF(sum('Actuals - Billing - 2025'!AL248:AM248)&gt;0,'Actuals - Billing - 2025'!B248,"")</f>
        <v/>
      </c>
      <c r="D16" s="148" t="str">
        <f>if(and(sum('Actuals - Billing - 2025'!AL248)&gt;0,C16&lt;&gt;""),'Actuals - Billing - 2025'!$AM$2,"")</f>
        <v/>
      </c>
      <c r="E16" s="11" t="str">
        <f t="array" ref="E16">if($D16="","",index('Actuals - Billing - 2025'!$B16:$AZ914,Match($C16,'Actuals - Billing - 2025'!$B16:$B914,0),Match(E$1,'Actuals - Billing - 2025'!$B$2:$AZ$2,0)))</f>
        <v/>
      </c>
      <c r="F16" s="11"/>
      <c r="G16" s="11"/>
      <c r="H16" s="11"/>
      <c r="I16" s="11"/>
      <c r="J16" s="11" t="str">
        <f t="shared" si="2"/>
        <v/>
      </c>
      <c r="K16" s="149" t="str">
        <f t="shared" si="3"/>
        <v/>
      </c>
      <c r="L16" s="1" t="str">
        <f t="shared" si="4"/>
        <v/>
      </c>
      <c r="M16" s="4" t="str">
        <f t="shared" si="5"/>
        <v/>
      </c>
      <c r="P16" s="14"/>
    </row>
    <row r="17">
      <c r="A17" s="7" t="str">
        <f t="shared" si="1"/>
        <v/>
      </c>
      <c r="B17" s="8" t="str">
        <f>if(and('Actuals - Billing - 2025'!E$254=True,C17&lt;&gt;""),'Actuals - Billing - 2025'!C249,"")</f>
        <v/>
      </c>
      <c r="C17" s="9" t="str">
        <f>IF(sum('Actuals - Billing - 2025'!AL249:AM249)&gt;0,'Actuals - Billing - 2025'!B249,"")</f>
        <v/>
      </c>
      <c r="D17" s="148" t="str">
        <f>if(and(sum('Actuals - Billing - 2025'!AL249)&gt;0,C17&lt;&gt;""),'Actuals - Billing - 2025'!$AM$2,"")</f>
        <v/>
      </c>
      <c r="E17" s="11" t="str">
        <f t="array" ref="E17">if($D17="","",index('Actuals - Billing - 2025'!$B17:$AZ915,Match($C17,'Actuals - Billing - 2025'!$B17:$B915,0),Match(E$1,'Actuals - Billing - 2025'!$B$2:$AZ$2,0)))</f>
        <v/>
      </c>
      <c r="F17" s="11"/>
      <c r="G17" s="11"/>
      <c r="H17" s="11"/>
      <c r="I17" s="11"/>
      <c r="J17" s="11" t="str">
        <f t="shared" si="2"/>
        <v/>
      </c>
      <c r="K17" s="149" t="str">
        <f t="shared" si="3"/>
        <v/>
      </c>
      <c r="L17" s="1" t="str">
        <f t="shared" si="4"/>
        <v/>
      </c>
      <c r="M17" s="4" t="str">
        <f t="shared" si="5"/>
        <v/>
      </c>
    </row>
    <row r="18">
      <c r="A18" s="7" t="str">
        <f t="shared" si="1"/>
        <v/>
      </c>
      <c r="B18" s="8" t="str">
        <f>if(and('Actuals - Billing - 2025'!E$254=True,C18&lt;&gt;""),'Actuals - Billing - 2025'!C250,"")</f>
        <v/>
      </c>
      <c r="C18" s="9" t="str">
        <f>IF(sum('Actuals - Billing - 2025'!AL250:AM250)&gt;0,'Actuals - Billing - 2025'!B250,"")</f>
        <v/>
      </c>
      <c r="D18" s="148" t="str">
        <f>if(and(sum('Actuals - Billing - 2025'!AL250)&gt;0,C18&lt;&gt;""),'Actuals - Billing - 2025'!$AM$2,"")</f>
        <v/>
      </c>
      <c r="E18" s="11" t="str">
        <f t="array" ref="E18">if($D18="","",index('Actuals - Billing - 2025'!$B18:$AZ916,Match($C18,'Actuals - Billing - 2025'!$B18:$B916,0),Match(E$1,'Actuals - Billing - 2025'!$B$2:$AZ$2,0)))</f>
        <v/>
      </c>
      <c r="F18" s="11"/>
      <c r="G18" s="11"/>
      <c r="H18" s="11"/>
      <c r="I18" s="11"/>
      <c r="J18" s="11" t="str">
        <f t="shared" si="2"/>
        <v/>
      </c>
      <c r="K18" s="149" t="str">
        <f t="shared" si="3"/>
        <v/>
      </c>
      <c r="L18" s="1" t="str">
        <f t="shared" si="4"/>
        <v/>
      </c>
      <c r="M18" s="4" t="str">
        <f t="shared" si="5"/>
        <v/>
      </c>
    </row>
    <row r="19">
      <c r="A19" s="7" t="str">
        <f t="shared" si="1"/>
        <v/>
      </c>
      <c r="B19" s="8" t="str">
        <f>if(and('Actuals - Billing - 2025'!E$254=True,C19&lt;&gt;""),'Actuals - Billing - 2025'!C251,"")</f>
        <v/>
      </c>
      <c r="C19" s="9" t="str">
        <f>IF(sum('Actuals - Billing - 2025'!AL251:AM251)&gt;0,'Actuals - Billing - 2025'!B251,"")</f>
        <v/>
      </c>
      <c r="D19" s="148" t="str">
        <f>if(and(sum('Actuals - Billing - 2025'!AL251)&gt;0,C19&lt;&gt;""),'Actuals - Billing - 2025'!$AM$2,"")</f>
        <v/>
      </c>
      <c r="E19" s="11" t="str">
        <f t="array" ref="E19">if($D19="","",index('Actuals - Billing - 2025'!$B19:$AZ917,Match($C19,'Actuals - Billing - 2025'!$B19:$B917,0),Match(E$1,'Actuals - Billing - 2025'!$B$2:$AZ$2,0)))</f>
        <v/>
      </c>
      <c r="F19" s="11"/>
      <c r="G19" s="11"/>
      <c r="H19" s="11"/>
      <c r="I19" s="11"/>
      <c r="J19" s="11" t="str">
        <f t="shared" si="2"/>
        <v/>
      </c>
      <c r="K19" s="149" t="str">
        <f t="shared" si="3"/>
        <v/>
      </c>
      <c r="L19" s="1" t="str">
        <f t="shared" si="4"/>
        <v/>
      </c>
      <c r="M19" s="4" t="str">
        <f t="shared" si="5"/>
        <v/>
      </c>
    </row>
    <row r="20">
      <c r="A20" s="7" t="str">
        <f t="shared" si="1"/>
        <v/>
      </c>
      <c r="B20" s="8" t="str">
        <f>if(and('Actuals - Billing - 2025'!E$254=True,C20&lt;&gt;""),'Actuals - Billing - 2025'!C252,"")</f>
        <v/>
      </c>
      <c r="C20" s="9" t="str">
        <f>IF(sum('Actuals - Billing - 2025'!AL252:AM252)&gt;0,'Actuals - Billing - 2025'!B252,"")</f>
        <v/>
      </c>
      <c r="D20" s="148" t="str">
        <f>if(and(sum('Actuals - Billing - 2025'!AL252)&gt;0,C20&lt;&gt;""),'Actuals - Billing - 2025'!$AM$2,"")</f>
        <v/>
      </c>
      <c r="E20" s="11" t="str">
        <f t="array" ref="E20">if($D20="","",index('Actuals - Billing - 2025'!$B20:$AZ918,Match($C20,'Actuals - Billing - 2025'!$B20:$B918,0),Match(E$1,'Actuals - Billing - 2025'!$B$2:$AZ$2,0)))</f>
        <v/>
      </c>
      <c r="F20" s="11"/>
      <c r="G20" s="11"/>
      <c r="H20" s="11"/>
      <c r="I20" s="11"/>
      <c r="J20" s="11" t="str">
        <f t="shared" si="2"/>
        <v/>
      </c>
      <c r="K20" s="149" t="str">
        <f t="shared" si="3"/>
        <v/>
      </c>
      <c r="L20" s="1" t="str">
        <f t="shared" si="4"/>
        <v/>
      </c>
      <c r="M20" s="4" t="str">
        <f t="shared" si="5"/>
        <v/>
      </c>
    </row>
    <row r="21">
      <c r="A21" s="7" t="str">
        <f t="shared" si="1"/>
        <v/>
      </c>
      <c r="B21" s="8" t="str">
        <f>if(and('Actuals - Billing - 2025'!E$254=True,C21&lt;&gt;""),'Actuals - Billing - 2025'!C253,"")</f>
        <v/>
      </c>
      <c r="C21" s="9" t="str">
        <f>IF(sum('Actuals - Billing - 2025'!AL253:AM253)&gt;0,'Actuals - Billing - 2025'!B253,"")</f>
        <v/>
      </c>
      <c r="D21" s="148" t="str">
        <f>if(and(sum('Actuals - Billing - 2025'!AL253)&gt;0,C21&lt;&gt;""),'Actuals - Billing - 2025'!$AM$2,"")</f>
        <v/>
      </c>
      <c r="E21" s="11" t="str">
        <f t="array" ref="E21">if($D21="","",index('Actuals - Billing - 2025'!$B21:$AZ919,Match($C21,'Actuals - Billing - 2025'!$B21:$B919,0),Match(E$1,'Actuals - Billing - 2025'!$B$2:$AZ$2,0)))</f>
        <v/>
      </c>
      <c r="F21" s="11"/>
      <c r="G21" s="11"/>
      <c r="H21" s="11"/>
      <c r="I21" s="11"/>
      <c r="J21" s="11" t="str">
        <f t="shared" si="2"/>
        <v/>
      </c>
      <c r="K21" s="149" t="str">
        <f t="shared" si="3"/>
        <v/>
      </c>
      <c r="L21" s="1" t="str">
        <f t="shared" si="4"/>
        <v/>
      </c>
      <c r="M21" s="4" t="str">
        <f t="shared" si="5"/>
        <v/>
      </c>
    </row>
    <row r="22">
      <c r="A22" s="7" t="str">
        <f t="shared" si="1"/>
        <v/>
      </c>
      <c r="B22" s="8" t="str">
        <f>if(and('Actuals - Billing - 2025'!E$254=True,C22&lt;&gt;""),'Actuals - Billing - 2025'!C254,"")</f>
        <v/>
      </c>
      <c r="C22" s="9" t="str">
        <f>IF(sum('Actuals - Billing - 2025'!AL254:AM254)&gt;0,'Actuals - Billing - 2025'!B254,"")</f>
        <v/>
      </c>
      <c r="D22" s="148" t="str">
        <f>if(and(sum('Actuals - Billing - 2025'!AL254)&gt;0,C22&lt;&gt;""),'Actuals - Billing - 2025'!$AM$2,"")</f>
        <v/>
      </c>
      <c r="E22" s="11" t="str">
        <f t="array" ref="E22">if($D22="","",index('Actuals - Billing - 2025'!$B22:$AZ920,Match($C22,'Actuals - Billing - 2025'!$B22:$B920,0),Match(E$1,'Actuals - Billing - 2025'!$B$2:$AZ$2,0)))</f>
        <v/>
      </c>
      <c r="F22" s="11"/>
      <c r="G22" s="11"/>
      <c r="H22" s="11"/>
      <c r="I22" s="11"/>
      <c r="J22" s="11" t="str">
        <f t="shared" si="2"/>
        <v/>
      </c>
      <c r="K22" s="149" t="str">
        <f t="shared" si="3"/>
        <v/>
      </c>
      <c r="L22" s="1" t="str">
        <f t="shared" si="4"/>
        <v/>
      </c>
      <c r="M22" s="4" t="str">
        <f t="shared" si="5"/>
        <v/>
      </c>
      <c r="N22" s="6"/>
    </row>
    <row r="23">
      <c r="A23" s="7" t="str">
        <f t="shared" si="1"/>
        <v/>
      </c>
      <c r="B23" s="8" t="str">
        <f>if(and('Actuals - Billing - 2025'!E$261=True,C23&lt;&gt;""),'Actuals - Billing - 2025'!C255,"")</f>
        <v/>
      </c>
      <c r="C23" s="9" t="str">
        <f>IF(sum('Actuals - Billing - 2025'!AL255:AM255)&gt;0,'Actuals - Billing - 2025'!B255,"")</f>
        <v/>
      </c>
      <c r="D23" s="148" t="str">
        <f>if(and(sum('Actuals - Billing - 2025'!AL255)&gt;0,C23&lt;&gt;""),'Actuals - Billing - 2025'!$AM$2,"")</f>
        <v/>
      </c>
      <c r="E23" s="11" t="str">
        <f t="array" ref="E23">if($D23="","",index('Actuals - Billing - 2025'!$B23:$AZ921,Match($C23,'Actuals - Billing - 2025'!$B23:$B921,0),Match(E$1,'Actuals - Billing - 2025'!$B$2:$AZ$2,0)))</f>
        <v/>
      </c>
      <c r="F23" s="11"/>
      <c r="G23" s="11"/>
      <c r="H23" s="11"/>
      <c r="I23" s="11"/>
      <c r="J23" s="11" t="str">
        <f t="shared" si="2"/>
        <v/>
      </c>
      <c r="K23" s="149" t="str">
        <f t="shared" si="3"/>
        <v/>
      </c>
      <c r="L23" s="1" t="str">
        <f t="shared" si="4"/>
        <v/>
      </c>
      <c r="M23" s="4" t="str">
        <f t="shared" si="5"/>
        <v/>
      </c>
      <c r="N23" s="16"/>
      <c r="P23" s="14"/>
    </row>
    <row r="24">
      <c r="A24" s="7" t="str">
        <f t="shared" si="1"/>
        <v/>
      </c>
      <c r="B24" s="8" t="str">
        <f>if(and('Actuals - Billing - 2025'!E$261=True,C24&lt;&gt;""),'Actuals - Billing - 2025'!C256,"")</f>
        <v/>
      </c>
      <c r="C24" s="9" t="str">
        <f>IF(sum('Actuals - Billing - 2025'!AL256:AM256)&gt;0,'Actuals - Billing - 2025'!B256,"")</f>
        <v/>
      </c>
      <c r="D24" s="148" t="str">
        <f>if(and(sum('Actuals - Billing - 2025'!AL256)&gt;0,C24&lt;&gt;""),'Actuals - Billing - 2025'!$AM$2,"")</f>
        <v/>
      </c>
      <c r="E24" s="11" t="str">
        <f t="array" ref="E24">if($D24="","",index('Actuals - Billing - 2025'!$B24:$AZ922,Match($C24,'Actuals - Billing - 2025'!$B24:$B922,0),Match(E$1,'Actuals - Billing - 2025'!$B$2:$AZ$2,0)))</f>
        <v/>
      </c>
      <c r="F24" s="11"/>
      <c r="G24" s="11"/>
      <c r="H24" s="11"/>
      <c r="I24" s="11"/>
      <c r="J24" s="11" t="str">
        <f t="shared" si="2"/>
        <v/>
      </c>
      <c r="K24" s="149" t="str">
        <f t="shared" si="3"/>
        <v/>
      </c>
      <c r="L24" s="1" t="str">
        <f t="shared" si="4"/>
        <v/>
      </c>
      <c r="M24" s="4" t="str">
        <f t="shared" si="5"/>
        <v/>
      </c>
      <c r="N24" s="16"/>
    </row>
    <row r="25">
      <c r="A25" s="7" t="str">
        <f t="shared" si="1"/>
        <v/>
      </c>
      <c r="B25" s="8" t="str">
        <f>if(and('Actuals - Billing - 2025'!E$261=True,C25&lt;&gt;""),'Actuals - Billing - 2025'!C257,"")</f>
        <v/>
      </c>
      <c r="C25" s="9" t="str">
        <f>IF(sum('Actuals - Billing - 2025'!AL257:AM257)&gt;0,'Actuals - Billing - 2025'!B257,"")</f>
        <v/>
      </c>
      <c r="D25" s="148" t="str">
        <f>if(and(sum('Actuals - Billing - 2025'!AL257)&gt;0,C25&lt;&gt;""),'Actuals - Billing - 2025'!$AM$2,"")</f>
        <v/>
      </c>
      <c r="E25" s="11" t="str">
        <f t="array" ref="E25">if($D25="","",index('Actuals - Billing - 2025'!$B25:$AZ923,Match($C25,'Actuals - Billing - 2025'!$B25:$B923,0),Match(E$1,'Actuals - Billing - 2025'!$B$2:$AZ$2,0)))</f>
        <v/>
      </c>
      <c r="F25" s="11"/>
      <c r="G25" s="11"/>
      <c r="H25" s="11"/>
      <c r="I25" s="11"/>
      <c r="J25" s="11" t="str">
        <f t="shared" si="2"/>
        <v/>
      </c>
      <c r="K25" s="149" t="str">
        <f t="shared" si="3"/>
        <v/>
      </c>
      <c r="L25" s="1" t="str">
        <f t="shared" si="4"/>
        <v/>
      </c>
      <c r="M25" s="4" t="str">
        <f t="shared" si="5"/>
        <v/>
      </c>
      <c r="N25" s="16"/>
    </row>
    <row r="26">
      <c r="A26" s="7" t="str">
        <f t="shared" si="1"/>
        <v/>
      </c>
      <c r="B26" s="8" t="str">
        <f>if(and('Actuals - Billing - 2025'!E$261=True,C26&lt;&gt;""),'Actuals - Billing - 2025'!C258,"")</f>
        <v/>
      </c>
      <c r="C26" s="9" t="str">
        <f>IF(sum('Actuals - Billing - 2025'!AL258:AM258)&gt;0,'Actuals - Billing - 2025'!B258,"")</f>
        <v/>
      </c>
      <c r="D26" s="148" t="str">
        <f>if(and(sum('Actuals - Billing - 2025'!AL258)&gt;0,C26&lt;&gt;""),'Actuals - Billing - 2025'!$AM$2,"")</f>
        <v/>
      </c>
      <c r="E26" s="11" t="str">
        <f t="array" ref="E26">if($D26="","",index('Actuals - Billing - 2025'!$B26:$AZ924,Match($C26,'Actuals - Billing - 2025'!$B26:$B924,0),Match(E$1,'Actuals - Billing - 2025'!$B$2:$AZ$2,0)))</f>
        <v/>
      </c>
      <c r="F26" s="11"/>
      <c r="G26" s="11"/>
      <c r="H26" s="11"/>
      <c r="I26" s="11"/>
      <c r="J26" s="11" t="str">
        <f t="shared" si="2"/>
        <v/>
      </c>
      <c r="K26" s="149" t="str">
        <f t="shared" si="3"/>
        <v/>
      </c>
      <c r="L26" s="1" t="str">
        <f t="shared" si="4"/>
        <v/>
      </c>
      <c r="M26" s="4" t="str">
        <f t="shared" si="5"/>
        <v/>
      </c>
      <c r="N26" s="16"/>
    </row>
    <row r="27">
      <c r="A27" s="7" t="str">
        <f t="shared" si="1"/>
        <v/>
      </c>
      <c r="B27" s="8" t="str">
        <f>if(and('Actuals - Billing - 2025'!E$261=True,C27&lt;&gt;""),'Actuals - Billing - 2025'!C259,"")</f>
        <v/>
      </c>
      <c r="C27" s="9" t="str">
        <f>IF(sum('Actuals - Billing - 2025'!AL259:AM259)&gt;0,'Actuals - Billing - 2025'!B259,"")</f>
        <v/>
      </c>
      <c r="D27" s="148" t="str">
        <f>if(and(sum('Actuals - Billing - 2025'!AL259)&gt;0,C27&lt;&gt;""),'Actuals - Billing - 2025'!$AM$2,"")</f>
        <v/>
      </c>
      <c r="E27" s="11" t="str">
        <f t="array" ref="E27">if($D27="","",index('Actuals - Billing - 2025'!$B27:$AZ925,Match($C27,'Actuals - Billing - 2025'!$B27:$B925,0),Match(E$1,'Actuals - Billing - 2025'!$B$2:$AZ$2,0)))</f>
        <v/>
      </c>
      <c r="F27" s="11"/>
      <c r="G27" s="11"/>
      <c r="H27" s="11"/>
      <c r="I27" s="11"/>
      <c r="J27" s="11" t="str">
        <f t="shared" si="2"/>
        <v/>
      </c>
      <c r="K27" s="149" t="str">
        <f t="shared" si="3"/>
        <v/>
      </c>
      <c r="L27" s="1" t="str">
        <f t="shared" si="4"/>
        <v/>
      </c>
      <c r="M27" s="4" t="str">
        <f t="shared" si="5"/>
        <v/>
      </c>
      <c r="N27" s="16"/>
    </row>
    <row r="28">
      <c r="A28" s="7" t="str">
        <f t="shared" si="1"/>
        <v/>
      </c>
      <c r="B28" s="8" t="str">
        <f>if(and('Actuals - Billing - 2025'!E$261=True,C28&lt;&gt;""),'Actuals - Billing - 2025'!C260,"")</f>
        <v/>
      </c>
      <c r="C28" s="9" t="str">
        <f>IF(sum('Actuals - Billing - 2025'!AL260:AM260)&gt;0,'Actuals - Billing - 2025'!B260,"")</f>
        <v/>
      </c>
      <c r="D28" s="148" t="str">
        <f>if(and(sum('Actuals - Billing - 2025'!AL260)&gt;0,C28&lt;&gt;""),'Actuals - Billing - 2025'!$AM$2,"")</f>
        <v/>
      </c>
      <c r="E28" s="11" t="str">
        <f t="array" ref="E28">if($D28="","",index('Actuals - Billing - 2025'!$B28:$AZ926,Match($C28,'Actuals - Billing - 2025'!$B28:$B926,0),Match(E$1,'Actuals - Billing - 2025'!$B$2:$AZ$2,0)))</f>
        <v/>
      </c>
      <c r="F28" s="11"/>
      <c r="G28" s="11"/>
      <c r="H28" s="11"/>
      <c r="I28" s="11"/>
      <c r="J28" s="11" t="str">
        <f t="shared" si="2"/>
        <v/>
      </c>
      <c r="K28" s="149" t="str">
        <f t="shared" si="3"/>
        <v/>
      </c>
      <c r="L28" s="1" t="str">
        <f t="shared" si="4"/>
        <v/>
      </c>
      <c r="M28" s="4" t="str">
        <f t="shared" si="5"/>
        <v/>
      </c>
      <c r="N28" s="16"/>
    </row>
    <row r="29">
      <c r="A29" s="7" t="str">
        <f t="shared" si="1"/>
        <v/>
      </c>
      <c r="B29" s="8" t="str">
        <f>if(and('Actuals - Billing - 2025'!E$261=True,C29&lt;&gt;""),'Actuals - Billing - 2025'!C261,"")</f>
        <v/>
      </c>
      <c r="C29" s="9" t="str">
        <f>IF(sum('Actuals - Billing - 2025'!AL261:AM261)&gt;0,'Actuals - Billing - 2025'!B261,"")</f>
        <v/>
      </c>
      <c r="D29" s="148" t="str">
        <f>if(and(sum('Actuals - Billing - 2025'!AL261)&gt;0,C29&lt;&gt;""),'Actuals - Billing - 2025'!$AM$2,"")</f>
        <v/>
      </c>
      <c r="E29" s="11" t="str">
        <f t="array" ref="E29">if($D29="","",index('Actuals - Billing - 2025'!$B29:$AZ927,Match($C29,'Actuals - Billing - 2025'!$B29:$B927,0),Match(E$1,'Actuals - Billing - 2025'!$B$2:$AZ$2,0)))</f>
        <v/>
      </c>
      <c r="F29" s="11"/>
      <c r="G29" s="11"/>
      <c r="H29" s="11"/>
      <c r="I29" s="11"/>
      <c r="J29" s="11" t="str">
        <f t="shared" si="2"/>
        <v/>
      </c>
      <c r="K29" s="149" t="str">
        <f t="shared" si="3"/>
        <v/>
      </c>
      <c r="L29" s="1" t="str">
        <f t="shared" si="4"/>
        <v/>
      </c>
      <c r="M29" s="4" t="str">
        <f t="shared" si="5"/>
        <v/>
      </c>
      <c r="N29" s="6"/>
    </row>
    <row r="30">
      <c r="A30" s="7" t="str">
        <f t="shared" si="1"/>
        <v/>
      </c>
      <c r="B30" s="8" t="str">
        <f>if(and('Actuals - Billing - 2025'!E$268=True,C30&lt;&gt;""),'Actuals - Billing - 2025'!C262,"")</f>
        <v/>
      </c>
      <c r="C30" s="9" t="str">
        <f>IF(sum('Actuals - Billing - 2025'!AL262:AM262)&gt;0,'Actuals - Billing - 2025'!B262,"")</f>
        <v/>
      </c>
      <c r="D30" s="148" t="str">
        <f>if(and(sum('Actuals - Billing - 2025'!AL262)&gt;0,C30&lt;&gt;""),'Actuals - Billing - 2025'!$AM$2,"")</f>
        <v/>
      </c>
      <c r="E30" s="11" t="str">
        <f t="array" ref="E30">if($D30="","",index('Actuals - Billing - 2025'!$B30:$AZ928,Match($C30,'Actuals - Billing - 2025'!$B30:$B928,0),Match(E$1,'Actuals - Billing - 2025'!$B$2:$AZ$2,0)))</f>
        <v/>
      </c>
      <c r="F30" s="11"/>
      <c r="G30" s="11"/>
      <c r="H30" s="11"/>
      <c r="I30" s="11"/>
      <c r="J30" s="11" t="str">
        <f t="shared" si="2"/>
        <v/>
      </c>
      <c r="K30" s="149" t="str">
        <f t="shared" si="3"/>
        <v/>
      </c>
      <c r="L30" s="1" t="str">
        <f t="shared" si="4"/>
        <v/>
      </c>
      <c r="M30" s="4" t="str">
        <f t="shared" si="5"/>
        <v/>
      </c>
      <c r="N30" s="17" t="str">
        <f>if(M30&lt;&gt;"",'Actuals - Billing - 2025'!BG262,"")</f>
        <v/>
      </c>
      <c r="P30" s="14"/>
    </row>
    <row r="31">
      <c r="A31" s="7" t="str">
        <f t="shared" si="1"/>
        <v/>
      </c>
      <c r="B31" s="8" t="str">
        <f>if(and('Actuals - Billing - 2025'!E$268=True,C31&lt;&gt;""),'Actuals - Billing - 2025'!C263,"")</f>
        <v/>
      </c>
      <c r="C31" s="9" t="str">
        <f>IF(sum('Actuals - Billing - 2025'!AL263:AM263)&gt;0,'Actuals - Billing - 2025'!B263,"")</f>
        <v/>
      </c>
      <c r="D31" s="148" t="str">
        <f>if(and(sum('Actuals - Billing - 2025'!AL263)&gt;0,C31&lt;&gt;""),'Actuals - Billing - 2025'!$AM$2,"")</f>
        <v/>
      </c>
      <c r="E31" s="11" t="str">
        <f t="array" ref="E31">if($D31="","",index('Actuals - Billing - 2025'!$B31:$AZ929,Match($C31,'Actuals - Billing - 2025'!$B31:$B929,0),Match(E$1,'Actuals - Billing - 2025'!$B$2:$AZ$2,0)))</f>
        <v/>
      </c>
      <c r="F31" s="11"/>
      <c r="G31" s="11"/>
      <c r="H31" s="11"/>
      <c r="I31" s="11"/>
      <c r="J31" s="11" t="str">
        <f t="shared" si="2"/>
        <v/>
      </c>
      <c r="K31" s="149" t="str">
        <f t="shared" si="3"/>
        <v/>
      </c>
      <c r="L31" s="1" t="str">
        <f t="shared" si="4"/>
        <v/>
      </c>
      <c r="M31" s="4" t="str">
        <f t="shared" si="5"/>
        <v/>
      </c>
      <c r="N31" s="17" t="str">
        <f>if(M31&lt;&gt;"",'Actuals - Billing - 2025'!BG263,"")</f>
        <v/>
      </c>
    </row>
    <row r="32">
      <c r="A32" s="7" t="str">
        <f t="shared" si="1"/>
        <v/>
      </c>
      <c r="B32" s="8" t="str">
        <f>if(and('Actuals - Billing - 2025'!E$268=True,C32&lt;&gt;""),'Actuals - Billing - 2025'!C264,"")</f>
        <v/>
      </c>
      <c r="C32" s="9" t="str">
        <f>IF(sum('Actuals - Billing - 2025'!AL264:AM264)&gt;0,'Actuals - Billing - 2025'!B264,"")</f>
        <v/>
      </c>
      <c r="D32" s="148" t="str">
        <f>if(and(sum('Actuals - Billing - 2025'!AL264)&gt;0,C32&lt;&gt;""),'Actuals - Billing - 2025'!$AM$2,"")</f>
        <v/>
      </c>
      <c r="E32" s="11" t="str">
        <f t="array" ref="E32">if($D32="","",index('Actuals - Billing - 2025'!$B32:$AZ930,Match($C32,'Actuals - Billing - 2025'!$B32:$B930,0),Match(E$1,'Actuals - Billing - 2025'!$B$2:$AZ$2,0)))</f>
        <v/>
      </c>
      <c r="F32" s="11"/>
      <c r="G32" s="11"/>
      <c r="H32" s="11"/>
      <c r="I32" s="11"/>
      <c r="J32" s="11" t="str">
        <f t="shared" si="2"/>
        <v/>
      </c>
      <c r="K32" s="149" t="str">
        <f t="shared" si="3"/>
        <v/>
      </c>
      <c r="L32" s="1" t="str">
        <f t="shared" si="4"/>
        <v/>
      </c>
      <c r="M32" s="4" t="str">
        <f t="shared" si="5"/>
        <v/>
      </c>
      <c r="N32" s="17" t="str">
        <f>if(M32&lt;&gt;"",'Actuals - Billing - 2025'!BG264,"")</f>
        <v/>
      </c>
    </row>
    <row r="33">
      <c r="A33" s="7" t="str">
        <f t="shared" si="1"/>
        <v/>
      </c>
      <c r="B33" s="8" t="str">
        <f>if(and('Actuals - Billing - 2025'!E$268=True,C33&lt;&gt;""),'Actuals - Billing - 2025'!C265,"")</f>
        <v/>
      </c>
      <c r="C33" s="9" t="str">
        <f>IF(sum('Actuals - Billing - 2025'!AL265:AM265)&gt;0,'Actuals - Billing - 2025'!B265,"")</f>
        <v/>
      </c>
      <c r="D33" s="148" t="str">
        <f>if(and(sum('Actuals - Billing - 2025'!AL265)&gt;0,C33&lt;&gt;""),'Actuals - Billing - 2025'!$AM$2,"")</f>
        <v/>
      </c>
      <c r="E33" s="11" t="str">
        <f t="array" ref="E33">if($D33="","",index('Actuals - Billing - 2025'!$B33:$AZ931,Match($C33,'Actuals - Billing - 2025'!$B33:$B931,0),Match(E$1,'Actuals - Billing - 2025'!$B$2:$AZ$2,0)))</f>
        <v/>
      </c>
      <c r="F33" s="11"/>
      <c r="G33" s="11"/>
      <c r="H33" s="11"/>
      <c r="I33" s="11"/>
      <c r="J33" s="11" t="str">
        <f t="shared" si="2"/>
        <v/>
      </c>
      <c r="K33" s="149" t="str">
        <f t="shared" si="3"/>
        <v/>
      </c>
      <c r="L33" s="1" t="str">
        <f t="shared" si="4"/>
        <v/>
      </c>
      <c r="M33" s="4" t="str">
        <f t="shared" si="5"/>
        <v/>
      </c>
      <c r="N33" s="17" t="str">
        <f>if(M33&lt;&gt;"",'Actuals - Billing - 2025'!BG265,"")</f>
        <v/>
      </c>
    </row>
    <row r="34">
      <c r="A34" s="7" t="str">
        <f t="shared" si="1"/>
        <v/>
      </c>
      <c r="B34" s="8" t="str">
        <f>if(and('Actuals - Billing - 2025'!E$268=True,C34&lt;&gt;""),'Actuals - Billing - 2025'!C266,"")</f>
        <v/>
      </c>
      <c r="C34" s="9" t="str">
        <f>IF(sum('Actuals - Billing - 2025'!AL266:AM266)&gt;0,'Actuals - Billing - 2025'!B266,"")</f>
        <v/>
      </c>
      <c r="D34" s="148" t="str">
        <f>if(and(sum('Actuals - Billing - 2025'!AL266)&gt;0,C34&lt;&gt;""),'Actuals - Billing - 2025'!$AM$2,"")</f>
        <v/>
      </c>
      <c r="E34" s="11" t="str">
        <f t="array" ref="E34">if($D34="","",index('Actuals - Billing - 2025'!$B34:$AZ932,Match($C34,'Actuals - Billing - 2025'!$B34:$B932,0),Match(E$1,'Actuals - Billing - 2025'!$B$2:$AZ$2,0)))</f>
        <v/>
      </c>
      <c r="F34" s="11"/>
      <c r="G34" s="11"/>
      <c r="H34" s="11"/>
      <c r="I34" s="11"/>
      <c r="J34" s="11" t="str">
        <f t="shared" si="2"/>
        <v/>
      </c>
      <c r="K34" s="149" t="str">
        <f t="shared" si="3"/>
        <v/>
      </c>
      <c r="L34" s="1" t="str">
        <f t="shared" si="4"/>
        <v/>
      </c>
      <c r="M34" s="4" t="str">
        <f t="shared" si="5"/>
        <v/>
      </c>
      <c r="N34" s="17" t="str">
        <f>if(M34&lt;&gt;"",'Actuals - Billing - 2025'!BG266,"")</f>
        <v/>
      </c>
    </row>
    <row r="35">
      <c r="A35" s="7" t="str">
        <f t="shared" si="1"/>
        <v/>
      </c>
      <c r="B35" s="8" t="str">
        <f>if(and('Actuals - Billing - 2025'!E$268=True,C35&lt;&gt;""),'Actuals - Billing - 2025'!C267,"")</f>
        <v/>
      </c>
      <c r="C35" s="9" t="str">
        <f>IF(sum('Actuals - Billing - 2025'!AL267:AM267)&gt;0,'Actuals - Billing - 2025'!B267,"")</f>
        <v/>
      </c>
      <c r="D35" s="148" t="str">
        <f>if(and(sum('Actuals - Billing - 2025'!AL267)&gt;0,C35&lt;&gt;""),'Actuals - Billing - 2025'!$AM$2,"")</f>
        <v/>
      </c>
      <c r="E35" s="11" t="str">
        <f t="array" ref="E35">if($D35="","",index('Actuals - Billing - 2025'!$B35:$AZ933,Match($C35,'Actuals - Billing - 2025'!$B35:$B933,0),Match(E$1,'Actuals - Billing - 2025'!$B$2:$AZ$2,0)))</f>
        <v/>
      </c>
      <c r="F35" s="11"/>
      <c r="G35" s="11"/>
      <c r="H35" s="11"/>
      <c r="I35" s="11"/>
      <c r="J35" s="11" t="str">
        <f t="shared" si="2"/>
        <v/>
      </c>
      <c r="K35" s="149" t="str">
        <f t="shared" si="3"/>
        <v/>
      </c>
      <c r="L35" s="1" t="str">
        <f t="shared" si="4"/>
        <v/>
      </c>
      <c r="M35" s="4" t="str">
        <f t="shared" si="5"/>
        <v/>
      </c>
      <c r="N35" s="17" t="str">
        <f>if(M35&lt;&gt;"",'Actuals - Billing - 2025'!BG267,"")</f>
        <v/>
      </c>
    </row>
    <row r="36">
      <c r="A36" s="7" t="str">
        <f t="shared" si="1"/>
        <v/>
      </c>
      <c r="B36" s="8" t="str">
        <f>if(and('Actuals - Billing - 2025'!E$268=True,C36&lt;&gt;""),'Actuals - Billing - 2025'!C268,"")</f>
        <v/>
      </c>
      <c r="C36" s="9" t="str">
        <f>IF(sum('Actuals - Billing - 2025'!AL268:AM268)&gt;0,'Actuals - Billing - 2025'!B268,"")</f>
        <v/>
      </c>
      <c r="D36" s="148" t="str">
        <f>if(and(sum('Actuals - Billing - 2025'!AL268)&gt;0,C36&lt;&gt;""),'Actuals - Billing - 2025'!$AM$2,"")</f>
        <v/>
      </c>
      <c r="E36" s="11" t="str">
        <f t="array" ref="E36">if($D36="","",index('Actuals - Billing - 2025'!$B36:$AZ934,Match($C36,'Actuals - Billing - 2025'!$B36:$B934,0),Match(E$1,'Actuals - Billing - 2025'!$B$2:$AZ$2,0)))</f>
        <v/>
      </c>
      <c r="F36" s="11"/>
      <c r="G36" s="11"/>
      <c r="H36" s="11"/>
      <c r="I36" s="11"/>
      <c r="J36" s="11" t="str">
        <f t="shared" si="2"/>
        <v/>
      </c>
      <c r="K36" s="149" t="str">
        <f t="shared" si="3"/>
        <v/>
      </c>
      <c r="L36" s="1" t="str">
        <f t="shared" si="4"/>
        <v/>
      </c>
      <c r="M36" s="4" t="str">
        <f t="shared" si="5"/>
        <v/>
      </c>
      <c r="N36" s="17" t="str">
        <f>if(M36&lt;&gt;"",'Actuals - Billing - 2025'!BG268,"")</f>
        <v/>
      </c>
    </row>
    <row r="37">
      <c r="A37" s="7" t="str">
        <f t="shared" si="1"/>
        <v/>
      </c>
      <c r="B37" s="8" t="str">
        <f>if(and('Actuals - Billing - 2025'!E$275=True,C37&lt;&gt;""),'Actuals - Billing - 2025'!C269,"")</f>
        <v/>
      </c>
      <c r="C37" s="9" t="str">
        <f>IF(sum('Actuals - Billing - 2025'!AL269:AM269)&gt;0,'Actuals - Billing - 2025'!B269,"")</f>
        <v/>
      </c>
      <c r="D37" s="148" t="str">
        <f>if(and(sum('Actuals - Billing - 2025'!AL269)&gt;0,C37&lt;&gt;""),'Actuals - Billing - 2025'!$AM$2,"")</f>
        <v/>
      </c>
      <c r="E37" s="11" t="str">
        <f t="array" ref="E37">if($D37="","",index('Actuals - Billing - 2025'!$B37:$AZ935,Match($C37,'Actuals - Billing - 2025'!$B37:$B935,0),Match(E$1,'Actuals - Billing - 2025'!$B$2:$AZ$2,0)))</f>
        <v/>
      </c>
      <c r="F37" s="11"/>
      <c r="G37" s="11"/>
      <c r="H37" s="11"/>
      <c r="I37" s="11"/>
      <c r="J37" s="11" t="str">
        <f t="shared" si="2"/>
        <v/>
      </c>
      <c r="K37" s="149" t="str">
        <f t="shared" si="3"/>
        <v/>
      </c>
      <c r="L37" s="1" t="str">
        <f t="shared" si="4"/>
        <v/>
      </c>
      <c r="M37" s="4" t="str">
        <f t="shared" si="5"/>
        <v/>
      </c>
      <c r="N37" s="17" t="str">
        <f>if(M37&lt;&gt;"",'Actuals - Billing - 2025'!BG269,"")</f>
        <v/>
      </c>
      <c r="P37" s="14"/>
    </row>
    <row r="38">
      <c r="A38" s="7" t="str">
        <f t="shared" si="1"/>
        <v/>
      </c>
      <c r="B38" s="8" t="str">
        <f>if(and('Actuals - Billing - 2025'!E$275=True,C38&lt;&gt;""),'Actuals - Billing - 2025'!C270,"")</f>
        <v/>
      </c>
      <c r="C38" s="9" t="str">
        <f>IF(sum('Actuals - Billing - 2025'!AL270:AM270)&gt;0,'Actuals - Billing - 2025'!B270,"")</f>
        <v/>
      </c>
      <c r="D38" s="148" t="str">
        <f>if(and(sum('Actuals - Billing - 2025'!AL270)&gt;0,C38&lt;&gt;""),'Actuals - Billing - 2025'!$AM$2,"")</f>
        <v/>
      </c>
      <c r="E38" s="11" t="str">
        <f t="array" ref="E38">if($D38="","",index('Actuals - Billing - 2025'!$B38:$AZ936,Match($C38,'Actuals - Billing - 2025'!$B38:$B936,0),Match(E$1,'Actuals - Billing - 2025'!$B$2:$AZ$2,0)))</f>
        <v/>
      </c>
      <c r="F38" s="11"/>
      <c r="G38" s="11"/>
      <c r="H38" s="11"/>
      <c r="I38" s="11"/>
      <c r="J38" s="11" t="str">
        <f t="shared" si="2"/>
        <v/>
      </c>
      <c r="K38" s="149" t="str">
        <f t="shared" si="3"/>
        <v/>
      </c>
      <c r="L38" s="1" t="str">
        <f t="shared" si="4"/>
        <v/>
      </c>
      <c r="M38" s="4" t="str">
        <f t="shared" si="5"/>
        <v/>
      </c>
      <c r="N38" s="17" t="str">
        <f>if(M38&lt;&gt;"",'Actuals - Billing - 2025'!BG270,"")</f>
        <v/>
      </c>
    </row>
    <row r="39">
      <c r="A39" s="7" t="str">
        <f t="shared" si="1"/>
        <v/>
      </c>
      <c r="B39" s="8" t="str">
        <f>if(and('Actuals - Billing - 2025'!E$275=True,C39&lt;&gt;""),'Actuals - Billing - 2025'!C271,"")</f>
        <v/>
      </c>
      <c r="C39" s="9" t="str">
        <f>IF(sum('Actuals - Billing - 2025'!AL271:AM271)&gt;0,'Actuals - Billing - 2025'!B271,"")</f>
        <v/>
      </c>
      <c r="D39" s="148" t="str">
        <f>if(and(sum('Actuals - Billing - 2025'!AL271)&gt;0,C39&lt;&gt;""),'Actuals - Billing - 2025'!$AM$2,"")</f>
        <v/>
      </c>
      <c r="E39" s="11" t="str">
        <f t="array" ref="E39">if($D39="","",index('Actuals - Billing - 2025'!$B39:$AZ937,Match($C39,'Actuals - Billing - 2025'!$B39:$B937,0),Match(E$1,'Actuals - Billing - 2025'!$B$2:$AZ$2,0)))</f>
        <v/>
      </c>
      <c r="F39" s="11"/>
      <c r="G39" s="11"/>
      <c r="H39" s="11"/>
      <c r="I39" s="11"/>
      <c r="J39" s="11" t="str">
        <f t="shared" si="2"/>
        <v/>
      </c>
      <c r="K39" s="149" t="str">
        <f t="shared" si="3"/>
        <v/>
      </c>
      <c r="L39" s="1" t="str">
        <f t="shared" si="4"/>
        <v/>
      </c>
      <c r="M39" s="4" t="str">
        <f t="shared" si="5"/>
        <v/>
      </c>
      <c r="N39" s="17" t="str">
        <f>if(M39&lt;&gt;"",'Actuals - Billing - 2025'!BG271,"")</f>
        <v/>
      </c>
    </row>
    <row r="40">
      <c r="A40" s="7" t="str">
        <f t="shared" si="1"/>
        <v/>
      </c>
      <c r="B40" s="8" t="str">
        <f>if(and('Actuals - Billing - 2025'!E$275=True,C40&lt;&gt;""),'Actuals - Billing - 2025'!C272,"")</f>
        <v/>
      </c>
      <c r="C40" s="9" t="str">
        <f>IF(sum('Actuals - Billing - 2025'!AL272:AM272)&gt;0,'Actuals - Billing - 2025'!B272,"")</f>
        <v/>
      </c>
      <c r="D40" s="148" t="str">
        <f>if(and(sum('Actuals - Billing - 2025'!AL272)&gt;0,C40&lt;&gt;""),'Actuals - Billing - 2025'!$AM$2,"")</f>
        <v/>
      </c>
      <c r="E40" s="11" t="str">
        <f t="array" ref="E40">if($D40="","",index('Actuals - Billing - 2025'!$B40:$AZ938,Match($C40,'Actuals - Billing - 2025'!$B40:$B938,0),Match(E$1,'Actuals - Billing - 2025'!$B$2:$AZ$2,0)))</f>
        <v/>
      </c>
      <c r="F40" s="11"/>
      <c r="G40" s="11"/>
      <c r="H40" s="11"/>
      <c r="I40" s="11"/>
      <c r="J40" s="11" t="str">
        <f t="shared" si="2"/>
        <v/>
      </c>
      <c r="K40" s="149" t="str">
        <f t="shared" si="3"/>
        <v/>
      </c>
      <c r="L40" s="1" t="str">
        <f t="shared" si="4"/>
        <v/>
      </c>
      <c r="M40" s="4" t="str">
        <f t="shared" si="5"/>
        <v/>
      </c>
      <c r="N40" s="17" t="str">
        <f>if(M40&lt;&gt;"",'Actuals - Billing - 2025'!BG272,"")</f>
        <v/>
      </c>
    </row>
    <row r="41">
      <c r="A41" s="7" t="str">
        <f t="shared" si="1"/>
        <v/>
      </c>
      <c r="B41" s="8" t="str">
        <f>if(and('Actuals - Billing - 2025'!E$275=True,C41&lt;&gt;""),'Actuals - Billing - 2025'!C273,"")</f>
        <v/>
      </c>
      <c r="C41" s="9" t="str">
        <f>IF(sum('Actuals - Billing - 2025'!AL273:AM273)&gt;0,'Actuals - Billing - 2025'!B273,"")</f>
        <v/>
      </c>
      <c r="D41" s="148" t="str">
        <f>if(and(sum('Actuals - Billing - 2025'!AL273)&gt;0,C41&lt;&gt;""),'Actuals - Billing - 2025'!$AM$2,"")</f>
        <v/>
      </c>
      <c r="E41" s="11" t="str">
        <f t="array" ref="E41">if($D41="","",index('Actuals - Billing - 2025'!$B41:$AZ939,Match($C41,'Actuals - Billing - 2025'!$B41:$B939,0),Match(E$1,'Actuals - Billing - 2025'!$B$2:$AZ$2,0)))</f>
        <v/>
      </c>
      <c r="F41" s="11"/>
      <c r="G41" s="11"/>
      <c r="H41" s="11"/>
      <c r="I41" s="11"/>
      <c r="J41" s="11" t="str">
        <f t="shared" si="2"/>
        <v/>
      </c>
      <c r="K41" s="149" t="str">
        <f t="shared" si="3"/>
        <v/>
      </c>
      <c r="L41" s="1" t="str">
        <f t="shared" si="4"/>
        <v/>
      </c>
      <c r="M41" s="4" t="str">
        <f t="shared" si="5"/>
        <v/>
      </c>
      <c r="N41" s="17" t="str">
        <f>if(M41&lt;&gt;"",'Actuals - Billing - 2025'!BG273,"")</f>
        <v/>
      </c>
    </row>
    <row r="42">
      <c r="A42" s="7" t="str">
        <f t="shared" si="1"/>
        <v/>
      </c>
      <c r="B42" s="8" t="str">
        <f>if(and('Actuals - Billing - 2025'!E$275=True,C42&lt;&gt;""),'Actuals - Billing - 2025'!C274,"")</f>
        <v/>
      </c>
      <c r="C42" s="9" t="str">
        <f>IF(sum('Actuals - Billing - 2025'!AL274:AM274)&gt;0,'Actuals - Billing - 2025'!B274,"")</f>
        <v/>
      </c>
      <c r="D42" s="148" t="str">
        <f>if(and(sum('Actuals - Billing - 2025'!AL274)&gt;0,C42&lt;&gt;""),'Actuals - Billing - 2025'!$AM$2,"")</f>
        <v/>
      </c>
      <c r="E42" s="11" t="str">
        <f t="array" ref="E42">if($D42="","",index('Actuals - Billing - 2025'!$B42:$AZ940,Match($C42,'Actuals - Billing - 2025'!$B42:$B940,0),Match(E$1,'Actuals - Billing - 2025'!$B$2:$AZ$2,0)))</f>
        <v/>
      </c>
      <c r="F42" s="11"/>
      <c r="G42" s="11"/>
      <c r="H42" s="11"/>
      <c r="I42" s="11"/>
      <c r="J42" s="11" t="str">
        <f t="shared" si="2"/>
        <v/>
      </c>
      <c r="K42" s="149" t="str">
        <f t="shared" si="3"/>
        <v/>
      </c>
      <c r="L42" s="1" t="str">
        <f t="shared" si="4"/>
        <v/>
      </c>
      <c r="M42" s="4" t="str">
        <f t="shared" si="5"/>
        <v/>
      </c>
      <c r="N42" s="17" t="str">
        <f>if(M42&lt;&gt;"",'Actuals - Billing - 2025'!BG274,"")</f>
        <v/>
      </c>
    </row>
    <row r="43">
      <c r="A43" s="7" t="str">
        <f t="shared" si="1"/>
        <v/>
      </c>
      <c r="B43" s="8" t="str">
        <f>if(and('Actuals - Billing - 2025'!E$275=True,C43&lt;&gt;""),'Actuals - Billing - 2025'!C275,"")</f>
        <v/>
      </c>
      <c r="C43" s="9" t="str">
        <f>IF(sum('Actuals - Billing - 2025'!AL275:AM275)&gt;0,'Actuals - Billing - 2025'!B275,"")</f>
        <v/>
      </c>
      <c r="D43" s="148" t="str">
        <f>if(and(sum('Actuals - Billing - 2025'!AL275)&gt;0,C43&lt;&gt;""),'Actuals - Billing - 2025'!$AM$2,"")</f>
        <v/>
      </c>
      <c r="E43" s="11" t="str">
        <f t="array" ref="E43">if($D43="","",index('Actuals - Billing - 2025'!$B43:$AZ941,Match($C43,'Actuals - Billing - 2025'!$B43:$B941,0),Match(E$1,'Actuals - Billing - 2025'!$B$2:$AZ$2,0)))</f>
        <v/>
      </c>
      <c r="F43" s="11"/>
      <c r="G43" s="11"/>
      <c r="H43" s="11"/>
      <c r="I43" s="11"/>
      <c r="J43" s="11" t="str">
        <f t="shared" si="2"/>
        <v/>
      </c>
      <c r="K43" s="149" t="str">
        <f t="shared" si="3"/>
        <v/>
      </c>
      <c r="L43" s="1" t="str">
        <f t="shared" si="4"/>
        <v/>
      </c>
      <c r="M43" s="4" t="str">
        <f t="shared" si="5"/>
        <v/>
      </c>
      <c r="N43" s="17" t="str">
        <f>if(M43&lt;&gt;"",'Actuals - Billing - 2025'!BG275,"")</f>
        <v/>
      </c>
    </row>
    <row r="44">
      <c r="A44" s="7" t="str">
        <f t="shared" si="1"/>
        <v/>
      </c>
      <c r="B44" s="8" t="str">
        <f>if(and('Actuals - Billing - 2025'!E$282=True,C44&lt;&gt;""),'Actuals - Billing - 2025'!C276,"")</f>
        <v/>
      </c>
      <c r="C44" s="9" t="str">
        <f>IF(sum('Actuals - Billing - 2025'!AL276:AM276)&gt;0,'Actuals - Billing - 2025'!B276,"")</f>
        <v/>
      </c>
      <c r="D44" s="148" t="str">
        <f>if(and(sum('Actuals - Billing - 2025'!AL276)&gt;0,C44&lt;&gt;""),'Actuals - Billing - 2025'!$AM$2,"")</f>
        <v/>
      </c>
      <c r="E44" s="11" t="str">
        <f t="array" ref="E44">if($D44="","",index('Actuals - Billing - 2025'!$B44:$AZ942,Match($C44,'Actuals - Billing - 2025'!$B44:$B942,0),Match(E$1,'Actuals - Billing - 2025'!$B$2:$AZ$2,0)))</f>
        <v/>
      </c>
      <c r="F44" s="11"/>
      <c r="G44" s="11"/>
      <c r="H44" s="11"/>
      <c r="I44" s="11"/>
      <c r="J44" s="11" t="str">
        <f t="shared" si="2"/>
        <v/>
      </c>
      <c r="K44" s="149" t="str">
        <f t="shared" si="3"/>
        <v/>
      </c>
      <c r="L44" s="1" t="str">
        <f t="shared" si="4"/>
        <v/>
      </c>
      <c r="M44" s="4" t="str">
        <f t="shared" si="5"/>
        <v/>
      </c>
      <c r="N44" s="17" t="str">
        <f>if(M44&lt;&gt;"",'Actuals - Billing - 2025'!BG276,"")</f>
        <v/>
      </c>
      <c r="P44" s="14"/>
    </row>
    <row r="45">
      <c r="A45" s="7" t="str">
        <f t="shared" si="1"/>
        <v/>
      </c>
      <c r="B45" s="8" t="str">
        <f>if(and('Actuals - Billing - 2025'!E$282=True,C45&lt;&gt;""),'Actuals - Billing - 2025'!C277,"")</f>
        <v/>
      </c>
      <c r="C45" s="9" t="str">
        <f>IF(sum('Actuals - Billing - 2025'!AL277:AM277)&gt;0,'Actuals - Billing - 2025'!B277,"")</f>
        <v/>
      </c>
      <c r="D45" s="148" t="str">
        <f>if(and(sum('Actuals - Billing - 2025'!AL277)&gt;0,C45&lt;&gt;""),'Actuals - Billing - 2025'!$AM$2,"")</f>
        <v/>
      </c>
      <c r="E45" s="11" t="str">
        <f t="array" ref="E45">if($D45="","",index('Actuals - Billing - 2025'!$B45:$AZ943,Match($C45,'Actuals - Billing - 2025'!$B45:$B943,0),Match(E$1,'Actuals - Billing - 2025'!$B$2:$AZ$2,0)))</f>
        <v/>
      </c>
      <c r="F45" s="11"/>
      <c r="G45" s="11"/>
      <c r="H45" s="11"/>
      <c r="I45" s="11"/>
      <c r="J45" s="11" t="str">
        <f t="shared" si="2"/>
        <v/>
      </c>
      <c r="K45" s="149" t="str">
        <f t="shared" si="3"/>
        <v/>
      </c>
      <c r="L45" s="1" t="str">
        <f t="shared" si="4"/>
        <v/>
      </c>
      <c r="M45" s="4" t="str">
        <f t="shared" si="5"/>
        <v/>
      </c>
      <c r="N45" s="17" t="str">
        <f>if(M45&lt;&gt;"",'Actuals - Billing - 2025'!BG277,"")</f>
        <v/>
      </c>
    </row>
    <row r="46">
      <c r="A46" s="7" t="str">
        <f t="shared" si="1"/>
        <v/>
      </c>
      <c r="B46" s="8" t="str">
        <f>if(and('Actuals - Billing - 2025'!E$282=True,C46&lt;&gt;""),'Actuals - Billing - 2025'!C278,"")</f>
        <v/>
      </c>
      <c r="C46" s="9" t="str">
        <f>IF(sum('Actuals - Billing - 2025'!AL278:AM278)&gt;0,'Actuals - Billing - 2025'!B278,"")</f>
        <v/>
      </c>
      <c r="D46" s="148" t="str">
        <f>if(and(sum('Actuals - Billing - 2025'!AL278)&gt;0,C46&lt;&gt;""),'Actuals - Billing - 2025'!$AM$2,"")</f>
        <v/>
      </c>
      <c r="E46" s="11" t="str">
        <f t="array" ref="E46">if($D46="","",index('Actuals - Billing - 2025'!$B46:$AZ944,Match($C46,'Actuals - Billing - 2025'!$B46:$B944,0),Match(E$1,'Actuals - Billing - 2025'!$B$2:$AZ$2,0)))</f>
        <v/>
      </c>
      <c r="F46" s="11"/>
      <c r="G46" s="11"/>
      <c r="H46" s="11"/>
      <c r="I46" s="11"/>
      <c r="J46" s="11" t="str">
        <f t="shared" si="2"/>
        <v/>
      </c>
      <c r="K46" s="149" t="str">
        <f t="shared" si="3"/>
        <v/>
      </c>
      <c r="L46" s="1" t="str">
        <f t="shared" si="4"/>
        <v/>
      </c>
      <c r="M46" s="4" t="str">
        <f t="shared" si="5"/>
        <v/>
      </c>
      <c r="N46" s="17" t="str">
        <f>if(M46&lt;&gt;"",'Actuals - Billing - 2025'!BG278,"")</f>
        <v/>
      </c>
    </row>
    <row r="47">
      <c r="A47" s="7" t="str">
        <f t="shared" si="1"/>
        <v/>
      </c>
      <c r="B47" s="8" t="str">
        <f>if(and('Actuals - Billing - 2025'!E$282=True,C47&lt;&gt;""),'Actuals - Billing - 2025'!C279,"")</f>
        <v/>
      </c>
      <c r="C47" s="9" t="str">
        <f>IF(sum('Actuals - Billing - 2025'!AL279:AM279)&gt;0,'Actuals - Billing - 2025'!B279,"")</f>
        <v/>
      </c>
      <c r="D47" s="148" t="str">
        <f>if(and(sum('Actuals - Billing - 2025'!AL279)&gt;0,C47&lt;&gt;""),'Actuals - Billing - 2025'!$AM$2,"")</f>
        <v/>
      </c>
      <c r="E47" s="11" t="str">
        <f t="array" ref="E47">if($D47="","",index('Actuals - Billing - 2025'!$B47:$AZ945,Match($C47,'Actuals - Billing - 2025'!$B47:$B945,0),Match(E$1,'Actuals - Billing - 2025'!$B$2:$AZ$2,0)))</f>
        <v/>
      </c>
      <c r="F47" s="11"/>
      <c r="G47" s="11"/>
      <c r="H47" s="11"/>
      <c r="I47" s="11"/>
      <c r="J47" s="11" t="str">
        <f t="shared" si="2"/>
        <v/>
      </c>
      <c r="K47" s="149" t="str">
        <f t="shared" si="3"/>
        <v/>
      </c>
      <c r="L47" s="1" t="str">
        <f t="shared" si="4"/>
        <v/>
      </c>
      <c r="M47" s="4" t="str">
        <f t="shared" si="5"/>
        <v/>
      </c>
      <c r="N47" s="17" t="str">
        <f>if(M47&lt;&gt;"",'Actuals - Billing - 2025'!BG279,"")</f>
        <v/>
      </c>
    </row>
    <row r="48">
      <c r="A48" s="7" t="str">
        <f t="shared" si="1"/>
        <v/>
      </c>
      <c r="B48" s="8" t="str">
        <f>if(and('Actuals - Billing - 2025'!E$282=True,C48&lt;&gt;""),'Actuals - Billing - 2025'!C280,"")</f>
        <v/>
      </c>
      <c r="C48" s="9" t="str">
        <f>IF(sum('Actuals - Billing - 2025'!AL280:AM280)&gt;0,'Actuals - Billing - 2025'!B280,"")</f>
        <v/>
      </c>
      <c r="D48" s="148" t="str">
        <f>if(and(sum('Actuals - Billing - 2025'!AL280)&gt;0,C48&lt;&gt;""),'Actuals - Billing - 2025'!$AM$2,"")</f>
        <v/>
      </c>
      <c r="E48" s="11" t="str">
        <f t="array" ref="E48">if($D48="","",index('Actuals - Billing - 2025'!$B48:$AZ946,Match($C48,'Actuals - Billing - 2025'!$B48:$B946,0),Match(E$1,'Actuals - Billing - 2025'!$B$2:$AZ$2,0)))</f>
        <v/>
      </c>
      <c r="F48" s="11"/>
      <c r="G48" s="11"/>
      <c r="H48" s="11"/>
      <c r="I48" s="11"/>
      <c r="J48" s="11" t="str">
        <f t="shared" si="2"/>
        <v/>
      </c>
      <c r="K48" s="149" t="str">
        <f t="shared" si="3"/>
        <v/>
      </c>
      <c r="L48" s="1" t="str">
        <f t="shared" si="4"/>
        <v/>
      </c>
      <c r="M48" s="4" t="str">
        <f t="shared" si="5"/>
        <v/>
      </c>
      <c r="N48" s="17" t="str">
        <f>if(M48&lt;&gt;"",'Actuals - Billing - 2025'!BG280,"")</f>
        <v/>
      </c>
    </row>
    <row r="49">
      <c r="A49" s="7" t="str">
        <f t="shared" si="1"/>
        <v/>
      </c>
      <c r="B49" s="8" t="str">
        <f>if(and('Actuals - Billing - 2025'!E$282=True,C49&lt;&gt;""),'Actuals - Billing - 2025'!C281,"")</f>
        <v/>
      </c>
      <c r="C49" s="9" t="str">
        <f>IF(sum('Actuals - Billing - 2025'!AL281:AM281)&gt;0,'Actuals - Billing - 2025'!B281,"")</f>
        <v/>
      </c>
      <c r="D49" s="148" t="str">
        <f>if(and(sum('Actuals - Billing - 2025'!AL281)&gt;0,C49&lt;&gt;""),'Actuals - Billing - 2025'!$AM$2,"")</f>
        <v/>
      </c>
      <c r="E49" s="11" t="str">
        <f t="array" ref="E49">if($D49="","",index('Actuals - Billing - 2025'!$B49:$AZ947,Match($C49,'Actuals - Billing - 2025'!$B49:$B947,0),Match(E$1,'Actuals - Billing - 2025'!$B$2:$AZ$2,0)))</f>
        <v/>
      </c>
      <c r="F49" s="11"/>
      <c r="G49" s="11"/>
      <c r="H49" s="11"/>
      <c r="I49" s="11"/>
      <c r="J49" s="11" t="str">
        <f t="shared" si="2"/>
        <v/>
      </c>
      <c r="K49" s="149" t="str">
        <f t="shared" si="3"/>
        <v/>
      </c>
      <c r="L49" s="1" t="str">
        <f t="shared" si="4"/>
        <v/>
      </c>
      <c r="M49" s="4" t="str">
        <f t="shared" si="5"/>
        <v/>
      </c>
      <c r="N49" s="17" t="str">
        <f>if(M49&lt;&gt;"",'Actuals - Billing - 2025'!BG281,"")</f>
        <v/>
      </c>
    </row>
    <row r="50">
      <c r="A50" s="7" t="str">
        <f t="shared" si="1"/>
        <v/>
      </c>
      <c r="B50" s="8" t="str">
        <f>if(and('Actuals - Billing - 2025'!E$282=True,C50&lt;&gt;""),'Actuals - Billing - 2025'!C282,"")</f>
        <v/>
      </c>
      <c r="C50" s="9" t="str">
        <f>IF(sum('Actuals - Billing - 2025'!AL282:AM282)&gt;0,'Actuals - Billing - 2025'!B282,"")</f>
        <v/>
      </c>
      <c r="D50" s="148" t="str">
        <f>if(and(sum('Actuals - Billing - 2025'!AL282)&gt;0,C50&lt;&gt;""),'Actuals - Billing - 2025'!$AM$2,"")</f>
        <v/>
      </c>
      <c r="E50" s="11" t="str">
        <f t="array" ref="E50">if($D50="","",index('Actuals - Billing - 2025'!$B50:$AZ948,Match($C50,'Actuals - Billing - 2025'!$B50:$B948,0),Match(E$1,'Actuals - Billing - 2025'!$B$2:$AZ$2,0)))</f>
        <v/>
      </c>
      <c r="F50" s="11"/>
      <c r="G50" s="11"/>
      <c r="H50" s="11"/>
      <c r="I50" s="11"/>
      <c r="J50" s="11" t="str">
        <f t="shared" si="2"/>
        <v/>
      </c>
      <c r="K50" s="149" t="str">
        <f t="shared" si="3"/>
        <v/>
      </c>
      <c r="L50" s="1" t="str">
        <f t="shared" si="4"/>
        <v/>
      </c>
      <c r="M50" s="4" t="str">
        <f t="shared" si="5"/>
        <v/>
      </c>
      <c r="N50" s="17" t="str">
        <f>if(M50&lt;&gt;"",'Actuals - Billing - 2025'!BG282,"")</f>
        <v/>
      </c>
    </row>
    <row r="51">
      <c r="A51" s="7" t="str">
        <f t="shared" si="1"/>
        <v/>
      </c>
      <c r="B51" s="8" t="str">
        <f>if(and('Actuals - Billing - 2025'!E$289=True,C51&lt;&gt;""),'Actuals - Billing - 2025'!C283,"")</f>
        <v/>
      </c>
      <c r="C51" s="9" t="str">
        <f>IF(sum('Actuals - Billing - 2025'!AL283:AM283)&gt;0,'Actuals - Billing - 2025'!B283,"")</f>
        <v/>
      </c>
      <c r="D51" s="148" t="str">
        <f>if(and(sum('Actuals - Billing - 2025'!AL283)&gt;0,C51&lt;&gt;""),'Actuals - Billing - 2025'!$AM$2,"")</f>
        <v/>
      </c>
      <c r="E51" s="11" t="str">
        <f t="array" ref="E51">if($D51="","",index('Actuals - Billing - 2025'!$B51:$AZ949,Match($C51,'Actuals - Billing - 2025'!$B51:$B949,0),Match(E$1,'Actuals - Billing - 2025'!$B$2:$AZ$2,0)))</f>
        <v/>
      </c>
      <c r="F51" s="11"/>
      <c r="G51" s="11"/>
      <c r="H51" s="11"/>
      <c r="I51" s="11"/>
      <c r="J51" s="11" t="str">
        <f t="shared" si="2"/>
        <v/>
      </c>
      <c r="K51" s="149" t="str">
        <f t="shared" si="3"/>
        <v/>
      </c>
      <c r="L51" s="1" t="str">
        <f t="shared" si="4"/>
        <v/>
      </c>
      <c r="M51" s="4" t="str">
        <f t="shared" si="5"/>
        <v/>
      </c>
      <c r="N51" s="17" t="str">
        <f>if(M51&lt;&gt;"",'Actuals - Billing - 2025'!BG283,"")</f>
        <v/>
      </c>
      <c r="P51" s="14"/>
    </row>
    <row r="52">
      <c r="A52" s="7" t="str">
        <f t="shared" si="1"/>
        <v/>
      </c>
      <c r="B52" s="8" t="str">
        <f>if(and('Actuals - Billing - 2025'!E$289=True,C52&lt;&gt;""),'Actuals - Billing - 2025'!C284,"")</f>
        <v/>
      </c>
      <c r="C52" s="9" t="str">
        <f>IF(sum('Actuals - Billing - 2025'!AL284:AM284)&gt;0,'Actuals - Billing - 2025'!B284,"")</f>
        <v/>
      </c>
      <c r="D52" s="148" t="str">
        <f>if(and(sum('Actuals - Billing - 2025'!AL284)&gt;0,C52&lt;&gt;""),'Actuals - Billing - 2025'!$AM$2,"")</f>
        <v/>
      </c>
      <c r="E52" s="11" t="str">
        <f t="array" ref="E52">if($D52="","",index('Actuals - Billing - 2025'!$B52:$AZ950,Match($C52,'Actuals - Billing - 2025'!$B52:$B950,0),Match(E$1,'Actuals - Billing - 2025'!$B$2:$AZ$2,0)))</f>
        <v/>
      </c>
      <c r="F52" s="11"/>
      <c r="G52" s="11"/>
      <c r="H52" s="11"/>
      <c r="I52" s="11"/>
      <c r="J52" s="11" t="str">
        <f t="shared" si="2"/>
        <v/>
      </c>
      <c r="K52" s="149" t="str">
        <f t="shared" si="3"/>
        <v/>
      </c>
      <c r="L52" s="1" t="str">
        <f t="shared" si="4"/>
        <v/>
      </c>
      <c r="M52" s="4" t="str">
        <f t="shared" si="5"/>
        <v/>
      </c>
      <c r="N52" s="17" t="str">
        <f>if(M52&lt;&gt;"",'Actuals - Billing - 2025'!BG284,"")</f>
        <v/>
      </c>
    </row>
    <row r="53">
      <c r="A53" s="7" t="str">
        <f t="shared" si="1"/>
        <v/>
      </c>
      <c r="B53" s="8" t="str">
        <f>if(and('Actuals - Billing - 2025'!E$289=True,C53&lt;&gt;""),'Actuals - Billing - 2025'!C285,"")</f>
        <v/>
      </c>
      <c r="C53" s="9" t="str">
        <f>IF(sum('Actuals - Billing - 2025'!AL285:AM285)&gt;0,'Actuals - Billing - 2025'!B285,"")</f>
        <v/>
      </c>
      <c r="D53" s="148" t="str">
        <f>if(and(sum('Actuals - Billing - 2025'!AL285)&gt;0,C53&lt;&gt;""),'Actuals - Billing - 2025'!$AM$2,"")</f>
        <v/>
      </c>
      <c r="E53" s="11" t="str">
        <f t="array" ref="E53">if($D53="","",index('Actuals - Billing - 2025'!$B53:$AZ951,Match($C53,'Actuals - Billing - 2025'!$B53:$B951,0),Match(E$1,'Actuals - Billing - 2025'!$B$2:$AZ$2,0)))</f>
        <v/>
      </c>
      <c r="F53" s="11"/>
      <c r="G53" s="11"/>
      <c r="H53" s="11"/>
      <c r="I53" s="11"/>
      <c r="J53" s="11" t="str">
        <f t="shared" si="2"/>
        <v/>
      </c>
      <c r="K53" s="149" t="str">
        <f t="shared" si="3"/>
        <v/>
      </c>
      <c r="L53" s="1" t="str">
        <f t="shared" si="4"/>
        <v/>
      </c>
      <c r="M53" s="4" t="str">
        <f t="shared" si="5"/>
        <v/>
      </c>
      <c r="N53" s="17" t="str">
        <f>if(M53&lt;&gt;"",'Actuals - Billing - 2025'!BG285,"")</f>
        <v/>
      </c>
    </row>
    <row r="54">
      <c r="A54" s="7" t="str">
        <f t="shared" si="1"/>
        <v/>
      </c>
      <c r="B54" s="8" t="str">
        <f>if(and('Actuals - Billing - 2025'!E$289=True,C54&lt;&gt;""),'Actuals - Billing - 2025'!C286,"")</f>
        <v/>
      </c>
      <c r="C54" s="9" t="str">
        <f>IF(sum('Actuals - Billing - 2025'!AL286:AM286)&gt;0,'Actuals - Billing - 2025'!B286,"")</f>
        <v/>
      </c>
      <c r="D54" s="148" t="str">
        <f>if(and(sum('Actuals - Billing - 2025'!AL286)&gt;0,C54&lt;&gt;""),'Actuals - Billing - 2025'!$AM$2,"")</f>
        <v/>
      </c>
      <c r="E54" s="11" t="str">
        <f t="array" ref="E54">if($D54="","",index('Actuals - Billing - 2025'!$B54:$AZ952,Match($C54,'Actuals - Billing - 2025'!$B54:$B952,0),Match(E$1,'Actuals - Billing - 2025'!$B$2:$AZ$2,0)))</f>
        <v/>
      </c>
      <c r="F54" s="11"/>
      <c r="G54" s="11"/>
      <c r="H54" s="11"/>
      <c r="I54" s="11"/>
      <c r="J54" s="11" t="str">
        <f t="shared" si="2"/>
        <v/>
      </c>
      <c r="K54" s="149" t="str">
        <f t="shared" si="3"/>
        <v/>
      </c>
      <c r="L54" s="1" t="str">
        <f t="shared" si="4"/>
        <v/>
      </c>
      <c r="M54" s="4" t="str">
        <f t="shared" si="5"/>
        <v/>
      </c>
      <c r="N54" s="17" t="str">
        <f>if(M54&lt;&gt;"",'Actuals - Billing - 2025'!BG286,"")</f>
        <v/>
      </c>
    </row>
    <row r="55">
      <c r="A55" s="7" t="str">
        <f t="shared" si="1"/>
        <v/>
      </c>
      <c r="B55" s="8" t="str">
        <f>if(and('Actuals - Billing - 2025'!E$289=True,C55&lt;&gt;""),'Actuals - Billing - 2025'!C287,"")</f>
        <v/>
      </c>
      <c r="C55" s="9" t="str">
        <f>IF(sum('Actuals - Billing - 2025'!AL287:AM287)&gt;0,'Actuals - Billing - 2025'!B287,"")</f>
        <v/>
      </c>
      <c r="D55" s="148" t="str">
        <f>if(and(sum('Actuals - Billing - 2025'!AL287)&gt;0,C55&lt;&gt;""),'Actuals - Billing - 2025'!$AM$2,"")</f>
        <v/>
      </c>
      <c r="E55" s="11" t="str">
        <f t="array" ref="E55">if($D55="","",index('Actuals - Billing - 2025'!$B55:$AZ953,Match($C55,'Actuals - Billing - 2025'!$B55:$B953,0),Match(E$1,'Actuals - Billing - 2025'!$B$2:$AZ$2,0)))</f>
        <v/>
      </c>
      <c r="F55" s="11"/>
      <c r="G55" s="11"/>
      <c r="H55" s="11"/>
      <c r="I55" s="11"/>
      <c r="J55" s="11" t="str">
        <f t="shared" si="2"/>
        <v/>
      </c>
      <c r="K55" s="149" t="str">
        <f t="shared" si="3"/>
        <v/>
      </c>
      <c r="L55" s="1" t="str">
        <f t="shared" si="4"/>
        <v/>
      </c>
      <c r="M55" s="4" t="str">
        <f t="shared" si="5"/>
        <v/>
      </c>
      <c r="N55" s="17" t="str">
        <f>if(M55&lt;&gt;"",'Actuals - Billing - 2025'!BG287,"")</f>
        <v/>
      </c>
    </row>
    <row r="56">
      <c r="A56" s="7" t="str">
        <f t="shared" si="1"/>
        <v/>
      </c>
      <c r="B56" s="8" t="str">
        <f>if(and('Actuals - Billing - 2025'!E$289=True,C56&lt;&gt;""),'Actuals - Billing - 2025'!C288,"")</f>
        <v/>
      </c>
      <c r="C56" s="9" t="str">
        <f>IF(sum('Actuals - Billing - 2025'!AL288:AM288)&gt;0,'Actuals - Billing - 2025'!B288,"")</f>
        <v/>
      </c>
      <c r="D56" s="148" t="str">
        <f>if(and(sum('Actuals - Billing - 2025'!AL288)&gt;0,C56&lt;&gt;""),'Actuals - Billing - 2025'!$AM$2,"")</f>
        <v/>
      </c>
      <c r="E56" s="11" t="str">
        <f t="array" ref="E56">if($D56="","",index('Actuals - Billing - 2025'!$B56:$AZ954,Match($C56,'Actuals - Billing - 2025'!$B56:$B954,0),Match(E$1,'Actuals - Billing - 2025'!$B$2:$AZ$2,0)))</f>
        <v/>
      </c>
      <c r="F56" s="11"/>
      <c r="G56" s="11"/>
      <c r="H56" s="11"/>
      <c r="I56" s="11"/>
      <c r="J56" s="11" t="str">
        <f t="shared" si="2"/>
        <v/>
      </c>
      <c r="K56" s="149" t="str">
        <f t="shared" si="3"/>
        <v/>
      </c>
      <c r="L56" s="1" t="str">
        <f t="shared" si="4"/>
        <v/>
      </c>
      <c r="M56" s="4" t="str">
        <f t="shared" si="5"/>
        <v/>
      </c>
      <c r="N56" s="17" t="str">
        <f>if(M56&lt;&gt;"",'Actuals - Billing - 2025'!BG288,"")</f>
        <v/>
      </c>
    </row>
    <row r="57">
      <c r="A57" s="7" t="str">
        <f t="shared" si="1"/>
        <v/>
      </c>
      <c r="B57" s="8" t="str">
        <f>if(and('Actuals - Billing - 2025'!E$289=True,C57&lt;&gt;""),'Actuals - Billing - 2025'!C289,"")</f>
        <v/>
      </c>
      <c r="C57" s="9" t="str">
        <f>IF(sum('Actuals - Billing - 2025'!AL289:AM289)&gt;0,'Actuals - Billing - 2025'!B289,"")</f>
        <v/>
      </c>
      <c r="D57" s="148" t="str">
        <f>if(and(sum('Actuals - Billing - 2025'!AL289)&gt;0,C57&lt;&gt;""),'Actuals - Billing - 2025'!$AM$2,"")</f>
        <v/>
      </c>
      <c r="E57" s="11" t="str">
        <f t="array" ref="E57">if($D57="","",index('Actuals - Billing - 2025'!$B57:$AZ955,Match($C57,'Actuals - Billing - 2025'!$B57:$B955,0),Match(E$1,'Actuals - Billing - 2025'!$B$2:$AZ$2,0)))</f>
        <v/>
      </c>
      <c r="F57" s="11"/>
      <c r="G57" s="11"/>
      <c r="H57" s="11"/>
      <c r="I57" s="11"/>
      <c r="J57" s="11" t="str">
        <f t="shared" si="2"/>
        <v/>
      </c>
      <c r="K57" s="149" t="str">
        <f t="shared" si="3"/>
        <v/>
      </c>
      <c r="L57" s="1" t="str">
        <f t="shared" si="4"/>
        <v/>
      </c>
      <c r="M57" s="4" t="str">
        <f t="shared" si="5"/>
        <v/>
      </c>
      <c r="N57" s="17" t="str">
        <f>if(M57&lt;&gt;"",'Actuals - Billing - 2025'!BG289,"")</f>
        <v/>
      </c>
    </row>
    <row r="58">
      <c r="A58" s="7" t="str">
        <f t="shared" si="1"/>
        <v/>
      </c>
      <c r="B58" s="8" t="str">
        <f>if(and('Actuals - Billing - 2025'!E$296=True,C58&lt;&gt;""),'Actuals - Billing - 2025'!C290,"")</f>
        <v/>
      </c>
      <c r="C58" s="9" t="str">
        <f>IF(sum('Actuals - Billing - 2025'!AL290:AM290)&gt;0,'Actuals - Billing - 2025'!B290,"")</f>
        <v/>
      </c>
      <c r="D58" s="148" t="str">
        <f>if(and(sum('Actuals - Billing - 2025'!AL290)&gt;0,C58&lt;&gt;""),'Actuals - Billing - 2025'!$AM$2,"")</f>
        <v/>
      </c>
      <c r="E58" s="11" t="str">
        <f t="array" ref="E58">if($D58="","",index('Actuals - Billing - 2025'!$B58:$AZ956,Match($C58,'Actuals - Billing - 2025'!$B58:$B956,0),Match(E$1,'Actuals - Billing - 2025'!$B$2:$AZ$2,0)))</f>
        <v/>
      </c>
      <c r="F58" s="11"/>
      <c r="G58" s="11"/>
      <c r="H58" s="11"/>
      <c r="I58" s="11"/>
      <c r="J58" s="11" t="str">
        <f t="shared" si="2"/>
        <v/>
      </c>
      <c r="K58" s="149" t="str">
        <f t="shared" si="3"/>
        <v/>
      </c>
      <c r="L58" s="1" t="str">
        <f t="shared" si="4"/>
        <v/>
      </c>
      <c r="M58" s="4" t="str">
        <f t="shared" si="5"/>
        <v/>
      </c>
      <c r="N58" s="17" t="str">
        <f>if(M58&lt;&gt;"",'Actuals - Billing - 2025'!BG290,"")</f>
        <v/>
      </c>
      <c r="P58" s="14"/>
    </row>
    <row r="59">
      <c r="A59" s="7" t="str">
        <f t="shared" si="1"/>
        <v/>
      </c>
      <c r="B59" s="8" t="str">
        <f>if(and('Actuals - Billing - 2025'!E$296=True,C59&lt;&gt;""),'Actuals - Billing - 2025'!C291,"")</f>
        <v/>
      </c>
      <c r="C59" s="9" t="str">
        <f>IF(sum('Actuals - Billing - 2025'!AL291:AM291)&gt;0,'Actuals - Billing - 2025'!B291,"")</f>
        <v/>
      </c>
      <c r="D59" s="148" t="str">
        <f>if(and(sum('Actuals - Billing - 2025'!AL291)&gt;0,C59&lt;&gt;""),'Actuals - Billing - 2025'!$AM$2,"")</f>
        <v/>
      </c>
      <c r="E59" s="11" t="str">
        <f t="array" ref="E59">if($D59="","",index('Actuals - Billing - 2025'!$B59:$AZ957,Match($C59,'Actuals - Billing - 2025'!$B59:$B957,0),Match(E$1,'Actuals - Billing - 2025'!$B$2:$AZ$2,0)))</f>
        <v/>
      </c>
      <c r="F59" s="11"/>
      <c r="G59" s="11"/>
      <c r="H59" s="11"/>
      <c r="I59" s="11"/>
      <c r="J59" s="11" t="str">
        <f t="shared" si="2"/>
        <v/>
      </c>
      <c r="K59" s="149" t="str">
        <f t="shared" si="3"/>
        <v/>
      </c>
      <c r="L59" s="1" t="str">
        <f t="shared" si="4"/>
        <v/>
      </c>
      <c r="M59" s="4" t="str">
        <f t="shared" si="5"/>
        <v/>
      </c>
      <c r="N59" s="17" t="str">
        <f>if(M59&lt;&gt;"",'Actuals - Billing - 2025'!BG291,"")</f>
        <v/>
      </c>
    </row>
    <row r="60">
      <c r="A60" s="7" t="str">
        <f t="shared" si="1"/>
        <v/>
      </c>
      <c r="B60" s="8" t="str">
        <f>if(and('Actuals - Billing - 2025'!E$296=True,C60&lt;&gt;""),'Actuals - Billing - 2025'!C292,"")</f>
        <v/>
      </c>
      <c r="C60" s="9" t="str">
        <f>IF(sum('Actuals - Billing - 2025'!AL292:AM292)&gt;0,'Actuals - Billing - 2025'!B292,"")</f>
        <v/>
      </c>
      <c r="D60" s="148" t="str">
        <f>if(and(sum('Actuals - Billing - 2025'!AL292)&gt;0,C60&lt;&gt;""),'Actuals - Billing - 2025'!$AM$2,"")</f>
        <v/>
      </c>
      <c r="E60" s="11" t="str">
        <f t="array" ref="E60">if($D60="","",index('Actuals - Billing - 2025'!$B60:$AZ958,Match($C60,'Actuals - Billing - 2025'!$B60:$B958,0),Match(E$1,'Actuals - Billing - 2025'!$B$2:$AZ$2,0)))</f>
        <v/>
      </c>
      <c r="F60" s="11"/>
      <c r="G60" s="11"/>
      <c r="H60" s="11"/>
      <c r="I60" s="11"/>
      <c r="J60" s="11" t="str">
        <f t="shared" si="2"/>
        <v/>
      </c>
      <c r="K60" s="149" t="str">
        <f t="shared" si="3"/>
        <v/>
      </c>
      <c r="L60" s="1" t="str">
        <f t="shared" si="4"/>
        <v/>
      </c>
      <c r="M60" s="4" t="str">
        <f t="shared" si="5"/>
        <v/>
      </c>
      <c r="N60" s="17" t="str">
        <f>if(M60&lt;&gt;"",'Actuals - Billing - 2025'!BG292,"")</f>
        <v/>
      </c>
    </row>
    <row r="61">
      <c r="A61" s="7" t="str">
        <f t="shared" si="1"/>
        <v/>
      </c>
      <c r="B61" s="8" t="str">
        <f>if(and('Actuals - Billing - 2025'!E$296=True,C61&lt;&gt;""),'Actuals - Billing - 2025'!C293,"")</f>
        <v/>
      </c>
      <c r="C61" s="9" t="str">
        <f>IF(sum('Actuals - Billing - 2025'!AL293:AM293)&gt;0,'Actuals - Billing - 2025'!B293,"")</f>
        <v/>
      </c>
      <c r="D61" s="148" t="str">
        <f>if(and(sum('Actuals - Billing - 2025'!AL293)&gt;0,C61&lt;&gt;""),'Actuals - Billing - 2025'!$AM$2,"")</f>
        <v/>
      </c>
      <c r="E61" s="11" t="str">
        <f t="array" ref="E61">if($D61="","",index('Actuals - Billing - 2025'!$B61:$AZ959,Match($C61,'Actuals - Billing - 2025'!$B61:$B959,0),Match(E$1,'Actuals - Billing - 2025'!$B$2:$AZ$2,0)))</f>
        <v/>
      </c>
      <c r="F61" s="11"/>
      <c r="G61" s="11"/>
      <c r="H61" s="11"/>
      <c r="I61" s="11"/>
      <c r="J61" s="11" t="str">
        <f t="shared" si="2"/>
        <v/>
      </c>
      <c r="K61" s="149" t="str">
        <f t="shared" si="3"/>
        <v/>
      </c>
      <c r="L61" s="1" t="str">
        <f t="shared" si="4"/>
        <v/>
      </c>
      <c r="M61" s="4" t="str">
        <f t="shared" si="5"/>
        <v/>
      </c>
      <c r="N61" s="17" t="str">
        <f>if(M61&lt;&gt;"",'Actuals - Billing - 2025'!BG293,"")</f>
        <v/>
      </c>
    </row>
    <row r="62">
      <c r="A62" s="7" t="str">
        <f t="shared" si="1"/>
        <v/>
      </c>
      <c r="B62" s="8" t="str">
        <f>if(and('Actuals - Billing - 2025'!E$296=True,C62&lt;&gt;""),'Actuals - Billing - 2025'!C294,"")</f>
        <v/>
      </c>
      <c r="C62" s="9" t="str">
        <f>IF(sum('Actuals - Billing - 2025'!AL294:AM294)&gt;0,'Actuals - Billing - 2025'!B294,"")</f>
        <v/>
      </c>
      <c r="D62" s="148" t="str">
        <f>if(and(sum('Actuals - Billing - 2025'!AL294)&gt;0,C62&lt;&gt;""),'Actuals - Billing - 2025'!$AM$2,"")</f>
        <v/>
      </c>
      <c r="E62" s="11" t="str">
        <f t="array" ref="E62">if($D62="","",index('Actuals - Billing - 2025'!$B62:$AZ960,Match($C62,'Actuals - Billing - 2025'!$B62:$B960,0),Match(E$1,'Actuals - Billing - 2025'!$B$2:$AZ$2,0)))</f>
        <v/>
      </c>
      <c r="F62" s="11"/>
      <c r="G62" s="11"/>
      <c r="H62" s="11"/>
      <c r="I62" s="11"/>
      <c r="J62" s="11" t="str">
        <f t="shared" si="2"/>
        <v/>
      </c>
      <c r="K62" s="149" t="str">
        <f t="shared" si="3"/>
        <v/>
      </c>
      <c r="L62" s="1" t="str">
        <f t="shared" si="4"/>
        <v/>
      </c>
      <c r="M62" s="4" t="str">
        <f t="shared" si="5"/>
        <v/>
      </c>
      <c r="N62" s="17" t="str">
        <f>if(M62&lt;&gt;"",'Actuals - Billing - 2025'!BG294,"")</f>
        <v/>
      </c>
    </row>
    <row r="63">
      <c r="A63" s="7" t="str">
        <f t="shared" si="1"/>
        <v/>
      </c>
      <c r="B63" s="8" t="str">
        <f>if(and('Actuals - Billing - 2025'!E$296=True,C63&lt;&gt;""),'Actuals - Billing - 2025'!C295,"")</f>
        <v/>
      </c>
      <c r="C63" s="9" t="str">
        <f>IF(sum('Actuals - Billing - 2025'!AL295:AM295)&gt;0,'Actuals - Billing - 2025'!B295,"")</f>
        <v/>
      </c>
      <c r="D63" s="148" t="str">
        <f>if(and(sum('Actuals - Billing - 2025'!AL295)&gt;0,C63&lt;&gt;""),'Actuals - Billing - 2025'!$AM$2,"")</f>
        <v/>
      </c>
      <c r="E63" s="11" t="str">
        <f t="array" ref="E63">if($D63="","",index('Actuals - Billing - 2025'!$B63:$AZ961,Match($C63,'Actuals - Billing - 2025'!$B63:$B961,0),Match(E$1,'Actuals - Billing - 2025'!$B$2:$AZ$2,0)))</f>
        <v/>
      </c>
      <c r="F63" s="11"/>
      <c r="G63" s="11"/>
      <c r="H63" s="11"/>
      <c r="I63" s="11"/>
      <c r="J63" s="11" t="str">
        <f t="shared" si="2"/>
        <v/>
      </c>
      <c r="K63" s="149" t="str">
        <f t="shared" si="3"/>
        <v/>
      </c>
      <c r="L63" s="1" t="str">
        <f t="shared" si="4"/>
        <v/>
      </c>
      <c r="M63" s="4" t="str">
        <f t="shared" si="5"/>
        <v/>
      </c>
      <c r="N63" s="17" t="str">
        <f>if(M63&lt;&gt;"",'Actuals - Billing - 2025'!BG295,"")</f>
        <v/>
      </c>
    </row>
    <row r="64">
      <c r="A64" s="7" t="str">
        <f t="shared" si="1"/>
        <v/>
      </c>
      <c r="B64" s="8" t="str">
        <f>if(and('Actuals - Billing - 2025'!E$296=True,C64&lt;&gt;""),'Actuals - Billing - 2025'!C296,"")</f>
        <v/>
      </c>
      <c r="C64" s="9" t="str">
        <f>IF(sum('Actuals - Billing - 2025'!AL296:AM296)&gt;0,'Actuals - Billing - 2025'!B296,"")</f>
        <v/>
      </c>
      <c r="D64" s="148" t="str">
        <f>if(and(sum('Actuals - Billing - 2025'!AL296)&gt;0,C64&lt;&gt;""),'Actuals - Billing - 2025'!$AM$2,"")</f>
        <v/>
      </c>
      <c r="E64" s="11" t="str">
        <f t="array" ref="E64">if($D64="","",index('Actuals - Billing - 2025'!$B64:$AZ962,Match($C64,'Actuals - Billing - 2025'!$B64:$B962,0),Match(E$1,'Actuals - Billing - 2025'!$B$2:$AZ$2,0)))</f>
        <v/>
      </c>
      <c r="F64" s="11"/>
      <c r="G64" s="11"/>
      <c r="H64" s="11"/>
      <c r="I64" s="11"/>
      <c r="J64" s="11" t="str">
        <f t="shared" si="2"/>
        <v/>
      </c>
      <c r="K64" s="149" t="str">
        <f t="shared" si="3"/>
        <v/>
      </c>
      <c r="L64" s="1" t="str">
        <f t="shared" si="4"/>
        <v/>
      </c>
      <c r="M64" s="4" t="str">
        <f t="shared" si="5"/>
        <v/>
      </c>
      <c r="N64" s="17" t="str">
        <f>if(M64&lt;&gt;"",'Actuals - Billing - 2025'!BG296,"")</f>
        <v/>
      </c>
    </row>
    <row r="65">
      <c r="A65" s="7" t="str">
        <f t="shared" si="1"/>
        <v/>
      </c>
      <c r="B65" s="8" t="str">
        <f>if(and('Actuals - Billing - 2025'!E$303=True,C65&lt;&gt;""),'Actuals - Billing - 2025'!C297,"")</f>
        <v/>
      </c>
      <c r="C65" s="9" t="str">
        <f>IF(sum('Actuals - Billing - 2025'!AL297:AM297)&gt;0,'Actuals - Billing - 2025'!B297,"")</f>
        <v/>
      </c>
      <c r="D65" s="148" t="str">
        <f>if(and(sum('Actuals - Billing - 2025'!AL297)&gt;0,C65&lt;&gt;""),'Actuals - Billing - 2025'!$AM$2,"")</f>
        <v/>
      </c>
      <c r="E65" s="11" t="str">
        <f t="array" ref="E65">if($D65="","",index('Actuals - Billing - 2025'!$B65:$AZ963,Match($C65,'Actuals - Billing - 2025'!$B65:$B963,0),Match(E$1,'Actuals - Billing - 2025'!$B$2:$AZ$2,0)))</f>
        <v/>
      </c>
      <c r="F65" s="11"/>
      <c r="G65" s="11"/>
      <c r="H65" s="11"/>
      <c r="I65" s="11"/>
      <c r="J65" s="11" t="str">
        <f t="shared" si="2"/>
        <v/>
      </c>
      <c r="K65" s="149" t="str">
        <f t="shared" si="3"/>
        <v/>
      </c>
      <c r="L65" s="1" t="str">
        <f t="shared" si="4"/>
        <v/>
      </c>
      <c r="M65" s="4" t="str">
        <f t="shared" si="5"/>
        <v/>
      </c>
      <c r="N65" s="17" t="str">
        <f>if(M65&lt;&gt;"",'Actuals - Billing - 2025'!BG297,"")</f>
        <v/>
      </c>
      <c r="P65" s="14"/>
    </row>
    <row r="66">
      <c r="A66" s="7" t="str">
        <f t="shared" si="1"/>
        <v/>
      </c>
      <c r="B66" s="8" t="str">
        <f>if(and('Actuals - Billing - 2025'!E$303=True,C66&lt;&gt;""),'Actuals - Billing - 2025'!C298,"")</f>
        <v/>
      </c>
      <c r="C66" s="9" t="str">
        <f>IF(sum('Actuals - Billing - 2025'!AL298:AM298)&gt;0,'Actuals - Billing - 2025'!B298,"")</f>
        <v/>
      </c>
      <c r="D66" s="148" t="str">
        <f>if(and(sum('Actuals - Billing - 2025'!AL298)&gt;0,C66&lt;&gt;""),'Actuals - Billing - 2025'!$AM$2,"")</f>
        <v/>
      </c>
      <c r="E66" s="11" t="str">
        <f t="array" ref="E66">if($D66="","",index('Actuals - Billing - 2025'!$B66:$AZ964,Match($C66,'Actuals - Billing - 2025'!$B66:$B964,0),Match(E$1,'Actuals - Billing - 2025'!$B$2:$AZ$2,0)))</f>
        <v/>
      </c>
      <c r="F66" s="11"/>
      <c r="G66" s="11"/>
      <c r="H66" s="11"/>
      <c r="I66" s="11"/>
      <c r="J66" s="11" t="str">
        <f t="shared" si="2"/>
        <v/>
      </c>
      <c r="K66" s="149" t="str">
        <f t="shared" si="3"/>
        <v/>
      </c>
      <c r="L66" s="1" t="str">
        <f t="shared" si="4"/>
        <v/>
      </c>
      <c r="M66" s="4" t="str">
        <f t="shared" si="5"/>
        <v/>
      </c>
      <c r="N66" s="17" t="str">
        <f>if(M66&lt;&gt;"",'Actuals - Billing - 2025'!BG298,"")</f>
        <v/>
      </c>
    </row>
    <row r="67">
      <c r="A67" s="7" t="str">
        <f t="shared" si="1"/>
        <v/>
      </c>
      <c r="B67" s="8" t="str">
        <f>if(and('Actuals - Billing - 2025'!E$303=True,C67&lt;&gt;""),'Actuals - Billing - 2025'!C299,"")</f>
        <v/>
      </c>
      <c r="C67" s="9" t="str">
        <f>IF(sum('Actuals - Billing - 2025'!AL299:AM299)&gt;0,'Actuals - Billing - 2025'!B299,"")</f>
        <v/>
      </c>
      <c r="D67" s="148" t="str">
        <f>if(and(sum('Actuals - Billing - 2025'!AL299)&gt;0,C67&lt;&gt;""),'Actuals - Billing - 2025'!$AM$2,"")</f>
        <v/>
      </c>
      <c r="E67" s="11" t="str">
        <f t="array" ref="E67">if($D67="","",index('Actuals - Billing - 2025'!$B67:$AZ965,Match($C67,'Actuals - Billing - 2025'!$B67:$B965,0),Match(E$1,'Actuals - Billing - 2025'!$B$2:$AZ$2,0)))</f>
        <v/>
      </c>
      <c r="F67" s="11"/>
      <c r="G67" s="11"/>
      <c r="H67" s="11"/>
      <c r="I67" s="11"/>
      <c r="J67" s="11" t="str">
        <f t="shared" si="2"/>
        <v/>
      </c>
      <c r="K67" s="149" t="str">
        <f t="shared" si="3"/>
        <v/>
      </c>
      <c r="L67" s="1" t="str">
        <f t="shared" si="4"/>
        <v/>
      </c>
      <c r="M67" s="4" t="str">
        <f t="shared" si="5"/>
        <v/>
      </c>
      <c r="N67" s="17" t="str">
        <f>if(M67&lt;&gt;"",'Actuals - Billing - 2025'!BG299,"")</f>
        <v/>
      </c>
    </row>
    <row r="68">
      <c r="A68" s="7" t="str">
        <f t="shared" si="1"/>
        <v/>
      </c>
      <c r="B68" s="8" t="str">
        <f>if(and('Actuals - Billing - 2025'!E$303=True,C68&lt;&gt;""),'Actuals - Billing - 2025'!C300,"")</f>
        <v/>
      </c>
      <c r="C68" s="9" t="str">
        <f>IF(sum('Actuals - Billing - 2025'!AL300:AM300)&gt;0,'Actuals - Billing - 2025'!B300,"")</f>
        <v/>
      </c>
      <c r="D68" s="148" t="str">
        <f>if(and(sum('Actuals - Billing - 2025'!AL300)&gt;0,C68&lt;&gt;""),'Actuals - Billing - 2025'!$AM$2,"")</f>
        <v/>
      </c>
      <c r="E68" s="11" t="str">
        <f t="array" ref="E68">if($D68="","",index('Actuals - Billing - 2025'!$B68:$AZ966,Match($C68,'Actuals - Billing - 2025'!$B68:$B966,0),Match(E$1,'Actuals - Billing - 2025'!$B$2:$AZ$2,0)))</f>
        <v/>
      </c>
      <c r="F68" s="11"/>
      <c r="G68" s="11"/>
      <c r="H68" s="11"/>
      <c r="I68" s="11"/>
      <c r="J68" s="11" t="str">
        <f t="shared" si="2"/>
        <v/>
      </c>
      <c r="K68" s="149" t="str">
        <f t="shared" si="3"/>
        <v/>
      </c>
      <c r="L68" s="1" t="str">
        <f t="shared" si="4"/>
        <v/>
      </c>
      <c r="M68" s="4" t="str">
        <f t="shared" si="5"/>
        <v/>
      </c>
      <c r="N68" s="17" t="str">
        <f>if(M68&lt;&gt;"",'Actuals - Billing - 2025'!BG300,"")</f>
        <v/>
      </c>
    </row>
    <row r="69">
      <c r="A69" s="7" t="str">
        <f t="shared" si="1"/>
        <v/>
      </c>
      <c r="B69" s="8" t="str">
        <f>if(and('Actuals - Billing - 2025'!E$303=True,C69&lt;&gt;""),'Actuals - Billing - 2025'!C301,"")</f>
        <v/>
      </c>
      <c r="C69" s="9" t="str">
        <f>IF(sum('Actuals - Billing - 2025'!AL301:AM301)&gt;0,'Actuals - Billing - 2025'!B301,"")</f>
        <v/>
      </c>
      <c r="D69" s="148" t="str">
        <f>if(and(sum('Actuals - Billing - 2025'!AL301)&gt;0,C69&lt;&gt;""),'Actuals - Billing - 2025'!$AM$2,"")</f>
        <v/>
      </c>
      <c r="E69" s="11" t="str">
        <f t="array" ref="E69">if($D69="","",index('Actuals - Billing - 2025'!$B69:$AZ967,Match($C69,'Actuals - Billing - 2025'!$B69:$B967,0),Match(E$1,'Actuals - Billing - 2025'!$B$2:$AZ$2,0)))</f>
        <v/>
      </c>
      <c r="F69" s="11"/>
      <c r="G69" s="11"/>
      <c r="H69" s="11"/>
      <c r="I69" s="11"/>
      <c r="J69" s="11" t="str">
        <f t="shared" si="2"/>
        <v/>
      </c>
      <c r="K69" s="149" t="str">
        <f t="shared" si="3"/>
        <v/>
      </c>
      <c r="L69" s="1" t="str">
        <f t="shared" si="4"/>
        <v/>
      </c>
      <c r="M69" s="4" t="str">
        <f t="shared" si="5"/>
        <v/>
      </c>
      <c r="N69" s="17" t="str">
        <f>if(M69&lt;&gt;"",'Actuals - Billing - 2025'!BG301,"")</f>
        <v/>
      </c>
    </row>
    <row r="70">
      <c r="A70" s="7" t="str">
        <f t="shared" si="1"/>
        <v/>
      </c>
      <c r="B70" s="8" t="str">
        <f>if(and('Actuals - Billing - 2025'!E$303=True,C70&lt;&gt;""),'Actuals - Billing - 2025'!C302,"")</f>
        <v/>
      </c>
      <c r="C70" s="9" t="str">
        <f>IF(sum('Actuals - Billing - 2025'!AL302:AM302)&gt;0,'Actuals - Billing - 2025'!B302,"")</f>
        <v/>
      </c>
      <c r="D70" s="148" t="str">
        <f>if(and(sum('Actuals - Billing - 2025'!AL302)&gt;0,C70&lt;&gt;""),'Actuals - Billing - 2025'!$AM$2,"")</f>
        <v/>
      </c>
      <c r="E70" s="11" t="str">
        <f t="array" ref="E70">if($D70="","",index('Actuals - Billing - 2025'!$B70:$AZ968,Match($C70,'Actuals - Billing - 2025'!$B70:$B968,0),Match(E$1,'Actuals - Billing - 2025'!$B$2:$AZ$2,0)))</f>
        <v/>
      </c>
      <c r="F70" s="11"/>
      <c r="G70" s="11"/>
      <c r="H70" s="11"/>
      <c r="I70" s="11"/>
      <c r="J70" s="11" t="str">
        <f t="shared" si="2"/>
        <v/>
      </c>
      <c r="K70" s="149" t="str">
        <f t="shared" si="3"/>
        <v/>
      </c>
      <c r="L70" s="1" t="str">
        <f t="shared" si="4"/>
        <v/>
      </c>
      <c r="M70" s="4" t="str">
        <f t="shared" si="5"/>
        <v/>
      </c>
      <c r="N70" s="17" t="str">
        <f>if(M70&lt;&gt;"",'Actuals - Billing - 2025'!BG302,"")</f>
        <v/>
      </c>
    </row>
    <row r="71">
      <c r="A71" s="7" t="str">
        <f t="shared" si="1"/>
        <v/>
      </c>
      <c r="B71" s="8" t="str">
        <f>if(and('Actuals - Billing - 2025'!E$303=True,C71&lt;&gt;""),'Actuals - Billing - 2025'!C303,"")</f>
        <v/>
      </c>
      <c r="C71" s="9" t="str">
        <f>IF(sum('Actuals - Billing - 2025'!AL303:AM303)&gt;0,'Actuals - Billing - 2025'!B303,"")</f>
        <v/>
      </c>
      <c r="D71" s="148" t="str">
        <f>if(and(sum('Actuals - Billing - 2025'!AL303)&gt;0,C71&lt;&gt;""),'Actuals - Billing - 2025'!$AM$2,"")</f>
        <v/>
      </c>
      <c r="E71" s="11" t="str">
        <f t="array" ref="E71">if($D71="","",index('Actuals - Billing - 2025'!$B71:$AZ969,Match($C71,'Actuals - Billing - 2025'!$B71:$B969,0),Match(E$1,'Actuals - Billing - 2025'!$B$2:$AZ$2,0)))</f>
        <v/>
      </c>
      <c r="F71" s="11"/>
      <c r="G71" s="11"/>
      <c r="H71" s="11"/>
      <c r="I71" s="11"/>
      <c r="J71" s="11" t="str">
        <f t="shared" si="2"/>
        <v/>
      </c>
      <c r="K71" s="149" t="str">
        <f t="shared" si="3"/>
        <v/>
      </c>
      <c r="L71" s="1" t="str">
        <f t="shared" si="4"/>
        <v/>
      </c>
      <c r="M71" s="4" t="str">
        <f t="shared" si="5"/>
        <v/>
      </c>
      <c r="N71" s="17" t="str">
        <f>if(M71&lt;&gt;"",'Actuals - Billing - 2025'!BG303,"")</f>
        <v/>
      </c>
    </row>
    <row r="72">
      <c r="A72" s="7" t="str">
        <f t="shared" si="1"/>
        <v/>
      </c>
      <c r="B72" s="8" t="str">
        <f>if(and('Actuals - Billing - 2025'!E$310=True,C72&lt;&gt;""),'Actuals - Billing - 2025'!C304,"")</f>
        <v/>
      </c>
      <c r="C72" s="9" t="str">
        <f>IF(sum('Actuals - Billing - 2025'!AL304:AM304)&gt;0,'Actuals - Billing - 2025'!B304,"")</f>
        <v/>
      </c>
      <c r="D72" s="148" t="str">
        <f>if(and(sum('Actuals - Billing - 2025'!AL304)&gt;0,C72&lt;&gt;""),'Actuals - Billing - 2025'!$AM$2,"")</f>
        <v/>
      </c>
      <c r="E72" s="11" t="str">
        <f t="array" ref="E72">if($D72="","",index('Actuals - Billing - 2025'!$B72:$AZ970,Match($C72,'Actuals - Billing - 2025'!$B72:$B970,0),Match(E$1,'Actuals - Billing - 2025'!$B$2:$AZ$2,0)))</f>
        <v/>
      </c>
      <c r="F72" s="11"/>
      <c r="G72" s="11"/>
      <c r="H72" s="11"/>
      <c r="I72" s="11"/>
      <c r="J72" s="11" t="str">
        <f t="shared" si="2"/>
        <v/>
      </c>
      <c r="K72" s="149" t="str">
        <f t="shared" si="3"/>
        <v/>
      </c>
      <c r="L72" s="1" t="str">
        <f t="shared" si="4"/>
        <v/>
      </c>
      <c r="M72" s="4" t="str">
        <f t="shared" si="5"/>
        <v/>
      </c>
      <c r="N72" s="17" t="str">
        <f>if(M72&lt;&gt;"",'Actuals - Billing - 2025'!BG304,"")</f>
        <v/>
      </c>
      <c r="P72" s="14"/>
    </row>
    <row r="73">
      <c r="A73" s="7" t="str">
        <f t="shared" si="1"/>
        <v/>
      </c>
      <c r="B73" s="8" t="str">
        <f>if(and('Actuals - Billing - 2025'!E$310=True,C73&lt;&gt;""),'Actuals - Billing - 2025'!C305,"")</f>
        <v/>
      </c>
      <c r="C73" s="9" t="str">
        <f>IF(sum('Actuals - Billing - 2025'!AL305:AM305)&gt;0,'Actuals - Billing - 2025'!B305,"")</f>
        <v/>
      </c>
      <c r="D73" s="148" t="str">
        <f>if(and(sum('Actuals - Billing - 2025'!AL305)&gt;0,C73&lt;&gt;""),'Actuals - Billing - 2025'!$AM$2,"")</f>
        <v/>
      </c>
      <c r="E73" s="11" t="str">
        <f t="array" ref="E73">if($D73="","",index('Actuals - Billing - 2025'!$B73:$AZ971,Match($C73,'Actuals - Billing - 2025'!$B73:$B971,0),Match(E$1,'Actuals - Billing - 2025'!$B$2:$AZ$2,0)))</f>
        <v/>
      </c>
      <c r="F73" s="11"/>
      <c r="G73" s="11"/>
      <c r="H73" s="11"/>
      <c r="I73" s="11"/>
      <c r="J73" s="11" t="str">
        <f t="shared" si="2"/>
        <v/>
      </c>
      <c r="K73" s="149" t="str">
        <f t="shared" si="3"/>
        <v/>
      </c>
      <c r="L73" s="1" t="str">
        <f t="shared" si="4"/>
        <v/>
      </c>
      <c r="M73" s="4" t="str">
        <f t="shared" si="5"/>
        <v/>
      </c>
      <c r="N73" s="17" t="str">
        <f>if(M73&lt;&gt;"",'Actuals - Billing - 2025'!BG305,"")</f>
        <v/>
      </c>
    </row>
    <row r="74">
      <c r="A74" s="7" t="str">
        <f t="shared" si="1"/>
        <v/>
      </c>
      <c r="B74" s="8" t="str">
        <f>if(and('Actuals - Billing - 2025'!E$310=True,C74&lt;&gt;""),'Actuals - Billing - 2025'!C306,"")</f>
        <v/>
      </c>
      <c r="C74" s="9" t="str">
        <f>IF(sum('Actuals - Billing - 2025'!AL306:AM306)&gt;0,'Actuals - Billing - 2025'!B306,"")</f>
        <v/>
      </c>
      <c r="D74" s="148" t="str">
        <f>if(and(sum('Actuals - Billing - 2025'!AL306)&gt;0,C74&lt;&gt;""),'Actuals - Billing - 2025'!$AM$2,"")</f>
        <v/>
      </c>
      <c r="E74" s="11" t="str">
        <f t="array" ref="E74">if($D74="","",index('Actuals - Billing - 2025'!$B74:$AZ972,Match($C74,'Actuals - Billing - 2025'!$B74:$B972,0),Match(E$1,'Actuals - Billing - 2025'!$B$2:$AZ$2,0)))</f>
        <v/>
      </c>
      <c r="F74" s="11"/>
      <c r="G74" s="11"/>
      <c r="H74" s="11"/>
      <c r="I74" s="11"/>
      <c r="J74" s="11" t="str">
        <f t="shared" si="2"/>
        <v/>
      </c>
      <c r="K74" s="149" t="str">
        <f t="shared" si="3"/>
        <v/>
      </c>
      <c r="L74" s="1" t="str">
        <f t="shared" si="4"/>
        <v/>
      </c>
      <c r="M74" s="4" t="str">
        <f t="shared" si="5"/>
        <v/>
      </c>
      <c r="N74" s="17" t="str">
        <f>if(M74&lt;&gt;"",'Actuals - Billing - 2025'!BG306,"")</f>
        <v/>
      </c>
    </row>
    <row r="75">
      <c r="A75" s="7" t="str">
        <f t="shared" si="1"/>
        <v/>
      </c>
      <c r="B75" s="8" t="str">
        <f>if(and('Actuals - Billing - 2025'!E$310=True,C75&lt;&gt;""),'Actuals - Billing - 2025'!C307,"")</f>
        <v/>
      </c>
      <c r="C75" s="9" t="str">
        <f>IF(sum('Actuals - Billing - 2025'!AL307:AM307)&gt;0,'Actuals - Billing - 2025'!B307,"")</f>
        <v/>
      </c>
      <c r="D75" s="148" t="str">
        <f>if(and(sum('Actuals - Billing - 2025'!AL307)&gt;0,C75&lt;&gt;""),'Actuals - Billing - 2025'!$AM$2,"")</f>
        <v/>
      </c>
      <c r="E75" s="11" t="str">
        <f t="array" ref="E75">if($D75="","",index('Actuals - Billing - 2025'!$B75:$AZ973,Match($C75,'Actuals - Billing - 2025'!$B75:$B973,0),Match(E$1,'Actuals - Billing - 2025'!$B$2:$AZ$2,0)))</f>
        <v/>
      </c>
      <c r="F75" s="11"/>
      <c r="G75" s="11"/>
      <c r="H75" s="11"/>
      <c r="I75" s="11"/>
      <c r="J75" s="11" t="str">
        <f t="shared" si="2"/>
        <v/>
      </c>
      <c r="K75" s="149" t="str">
        <f t="shared" si="3"/>
        <v/>
      </c>
      <c r="L75" s="1" t="str">
        <f t="shared" si="4"/>
        <v/>
      </c>
      <c r="M75" s="4" t="str">
        <f t="shared" si="5"/>
        <v/>
      </c>
      <c r="N75" s="17" t="str">
        <f>if(M75&lt;&gt;"",'Actuals - Billing - 2025'!BG307,"")</f>
        <v/>
      </c>
    </row>
    <row r="76">
      <c r="A76" s="7" t="str">
        <f t="shared" si="1"/>
        <v/>
      </c>
      <c r="B76" s="8" t="str">
        <f>if(and('Actuals - Billing - 2025'!E$310=True,C76&lt;&gt;""),'Actuals - Billing - 2025'!C308,"")</f>
        <v/>
      </c>
      <c r="C76" s="9" t="str">
        <f>IF(sum('Actuals - Billing - 2025'!AL308:AM308)&gt;0,'Actuals - Billing - 2025'!B308,"")</f>
        <v/>
      </c>
      <c r="D76" s="148" t="str">
        <f>if(and(sum('Actuals - Billing - 2025'!AL308)&gt;0,C76&lt;&gt;""),'Actuals - Billing - 2025'!$AM$2,"")</f>
        <v/>
      </c>
      <c r="E76" s="11" t="str">
        <f t="array" ref="E76">if($D76="","",index('Actuals - Billing - 2025'!$B76:$AZ974,Match($C76,'Actuals - Billing - 2025'!$B76:$B974,0),Match(E$1,'Actuals - Billing - 2025'!$B$2:$AZ$2,0)))</f>
        <v/>
      </c>
      <c r="F76" s="11"/>
      <c r="G76" s="11"/>
      <c r="H76" s="11"/>
      <c r="I76" s="11"/>
      <c r="J76" s="11" t="str">
        <f t="shared" si="2"/>
        <v/>
      </c>
      <c r="K76" s="149" t="str">
        <f t="shared" si="3"/>
        <v/>
      </c>
      <c r="L76" s="1" t="str">
        <f t="shared" si="4"/>
        <v/>
      </c>
      <c r="M76" s="4" t="str">
        <f t="shared" si="5"/>
        <v/>
      </c>
      <c r="N76" s="17" t="str">
        <f>if(M76&lt;&gt;"",'Actuals - Billing - 2025'!BG308,"")</f>
        <v/>
      </c>
    </row>
    <row r="77">
      <c r="A77" s="7" t="str">
        <f t="shared" si="1"/>
        <v/>
      </c>
      <c r="B77" s="8" t="str">
        <f>if(and('Actuals - Billing - 2025'!E$310=True,C77&lt;&gt;""),'Actuals - Billing - 2025'!C309,"")</f>
        <v/>
      </c>
      <c r="C77" s="9" t="str">
        <f>IF(sum('Actuals - Billing - 2025'!AL309:AM309)&gt;0,'Actuals - Billing - 2025'!B309,"")</f>
        <v/>
      </c>
      <c r="D77" s="148" t="str">
        <f>if(and(sum('Actuals - Billing - 2025'!AL309)&gt;0,C77&lt;&gt;""),'Actuals - Billing - 2025'!$AM$2,"")</f>
        <v/>
      </c>
      <c r="E77" s="11" t="str">
        <f t="array" ref="E77">if($D77="","",index('Actuals - Billing - 2025'!$B77:$AZ975,Match($C77,'Actuals - Billing - 2025'!$B77:$B975,0),Match(E$1,'Actuals - Billing - 2025'!$B$2:$AZ$2,0)))</f>
        <v/>
      </c>
      <c r="F77" s="11"/>
      <c r="G77" s="11"/>
      <c r="H77" s="11"/>
      <c r="I77" s="11"/>
      <c r="J77" s="11" t="str">
        <f t="shared" si="2"/>
        <v/>
      </c>
      <c r="K77" s="149" t="str">
        <f t="shared" si="3"/>
        <v/>
      </c>
      <c r="L77" s="1" t="str">
        <f t="shared" si="4"/>
        <v/>
      </c>
      <c r="M77" s="4" t="str">
        <f t="shared" si="5"/>
        <v/>
      </c>
      <c r="N77" s="17" t="str">
        <f>if(M77&lt;&gt;"",'Actuals - Billing - 2025'!BG309,"")</f>
        <v/>
      </c>
    </row>
    <row r="78">
      <c r="A78" s="7" t="str">
        <f t="shared" si="1"/>
        <v/>
      </c>
      <c r="B78" s="8" t="str">
        <f>if(and('Actuals - Billing - 2025'!E$310=True,C78&lt;&gt;""),'Actuals - Billing - 2025'!C310,"")</f>
        <v/>
      </c>
      <c r="C78" s="9" t="str">
        <f>IF(sum('Actuals - Billing - 2025'!AL310:AM310)&gt;0,'Actuals - Billing - 2025'!B310,"")</f>
        <v/>
      </c>
      <c r="D78" s="148" t="str">
        <f>if(and(sum('Actuals - Billing - 2025'!AL310)&gt;0,C78&lt;&gt;""),'Actuals - Billing - 2025'!$AM$2,"")</f>
        <v/>
      </c>
      <c r="E78" s="11" t="str">
        <f t="array" ref="E78">if($D78="","",index('Actuals - Billing - 2025'!$B78:$AZ976,Match($C78,'Actuals - Billing - 2025'!$B78:$B976,0),Match(E$1,'Actuals - Billing - 2025'!$B$2:$AZ$2,0)))</f>
        <v/>
      </c>
      <c r="F78" s="11"/>
      <c r="G78" s="11"/>
      <c r="H78" s="11"/>
      <c r="I78" s="11"/>
      <c r="J78" s="11" t="str">
        <f t="shared" si="2"/>
        <v/>
      </c>
      <c r="K78" s="149" t="str">
        <f t="shared" si="3"/>
        <v/>
      </c>
      <c r="L78" s="1" t="str">
        <f t="shared" si="4"/>
        <v/>
      </c>
      <c r="M78" s="4" t="str">
        <f t="shared" si="5"/>
        <v/>
      </c>
      <c r="N78" s="17" t="str">
        <f>if(M78&lt;&gt;"",'Actuals - Billing - 2025'!BG310,"")</f>
        <v/>
      </c>
    </row>
    <row r="79">
      <c r="A79" s="7" t="str">
        <f t="shared" si="1"/>
        <v/>
      </c>
      <c r="B79" s="8" t="str">
        <f>if(and('Actuals - Billing - 2025'!E$317=True,C79&lt;&gt;""),'Actuals - Billing - 2025'!C311,"")</f>
        <v/>
      </c>
      <c r="C79" s="9" t="str">
        <f>IF(sum('Actuals - Billing - 2025'!AL311:AM311)&gt;0,'Actuals - Billing - 2025'!B311,"")</f>
        <v/>
      </c>
      <c r="D79" s="148" t="str">
        <f>if(and(sum('Actuals - Billing - 2025'!AL311)&gt;0,C79&lt;&gt;""),'Actuals - Billing - 2025'!$AM$2,"")</f>
        <v/>
      </c>
      <c r="E79" s="11" t="str">
        <f t="array" ref="E79">if($D79="","",index('Actuals - Billing - 2025'!$B79:$AZ977,Match($C79,'Actuals - Billing - 2025'!$B79:$B977,0),Match(E$1,'Actuals - Billing - 2025'!$B$2:$AZ$2,0)))</f>
        <v/>
      </c>
      <c r="F79" s="11"/>
      <c r="G79" s="11"/>
      <c r="H79" s="11"/>
      <c r="I79" s="11"/>
      <c r="J79" s="11" t="str">
        <f t="shared" si="2"/>
        <v/>
      </c>
      <c r="K79" s="149" t="str">
        <f t="shared" si="3"/>
        <v/>
      </c>
      <c r="L79" s="1" t="str">
        <f t="shared" si="4"/>
        <v/>
      </c>
      <c r="M79" s="4" t="str">
        <f t="shared" si="5"/>
        <v/>
      </c>
      <c r="N79" s="17" t="str">
        <f>if(M79&lt;&gt;"",'Actuals - Billing - 2025'!BG311,"")</f>
        <v/>
      </c>
    </row>
    <row r="80">
      <c r="A80" s="7" t="str">
        <f t="shared" si="1"/>
        <v/>
      </c>
      <c r="B80" s="8" t="str">
        <f>if(and('Actuals - Billing - 2025'!E$317=True,C80&lt;&gt;""),'Actuals - Billing - 2025'!C312,"")</f>
        <v/>
      </c>
      <c r="C80" s="9" t="str">
        <f>IF(sum('Actuals - Billing - 2025'!AL312:AM312)&gt;0,'Actuals - Billing - 2025'!B312,"")</f>
        <v/>
      </c>
      <c r="D80" s="148" t="str">
        <f>if(and(sum('Actuals - Billing - 2025'!AL312)&gt;0,C80&lt;&gt;""),'Actuals - Billing - 2025'!$AM$2,"")</f>
        <v/>
      </c>
      <c r="E80" s="11" t="str">
        <f t="array" ref="E80">if($D80="","",index('Actuals - Billing - 2025'!$B80:$AZ978,Match($C80,'Actuals - Billing - 2025'!$B80:$B978,0),Match(E$1,'Actuals - Billing - 2025'!$B$2:$AZ$2,0)))</f>
        <v/>
      </c>
      <c r="F80" s="11"/>
      <c r="G80" s="11"/>
      <c r="H80" s="11"/>
      <c r="I80" s="11"/>
      <c r="J80" s="11" t="str">
        <f t="shared" si="2"/>
        <v/>
      </c>
      <c r="K80" s="149" t="str">
        <f t="shared" si="3"/>
        <v/>
      </c>
      <c r="L80" s="1" t="str">
        <f t="shared" si="4"/>
        <v/>
      </c>
      <c r="M80" s="4" t="str">
        <f t="shared" si="5"/>
        <v/>
      </c>
      <c r="N80" s="17" t="str">
        <f>if(M80&lt;&gt;"",'Actuals - Billing - 2025'!BG312,"")</f>
        <v/>
      </c>
    </row>
    <row r="81">
      <c r="A81" s="7" t="str">
        <f t="shared" si="1"/>
        <v/>
      </c>
      <c r="B81" s="8" t="str">
        <f>if(and('Actuals - Billing - 2025'!E$317=True,C81&lt;&gt;""),'Actuals - Billing - 2025'!C313,"")</f>
        <v/>
      </c>
      <c r="C81" s="9" t="str">
        <f>IF(sum('Actuals - Billing - 2025'!AL313:AM313)&gt;0,'Actuals - Billing - 2025'!B313,"")</f>
        <v/>
      </c>
      <c r="D81" s="148" t="str">
        <f>if(and(sum('Actuals - Billing - 2025'!AL313)&gt;0,C81&lt;&gt;""),'Actuals - Billing - 2025'!$AM$2,"")</f>
        <v/>
      </c>
      <c r="E81" s="11" t="str">
        <f t="array" ref="E81">if($D81="","",index('Actuals - Billing - 2025'!$B81:$AZ979,Match($C81,'Actuals - Billing - 2025'!$B81:$B979,0),Match(E$1,'Actuals - Billing - 2025'!$B$2:$AZ$2,0)))</f>
        <v/>
      </c>
      <c r="F81" s="11"/>
      <c r="G81" s="11"/>
      <c r="H81" s="11"/>
      <c r="I81" s="11"/>
      <c r="J81" s="11" t="str">
        <f t="shared" si="2"/>
        <v/>
      </c>
      <c r="K81" s="149" t="str">
        <f t="shared" si="3"/>
        <v/>
      </c>
      <c r="L81" s="1" t="str">
        <f t="shared" si="4"/>
        <v/>
      </c>
      <c r="M81" s="4" t="str">
        <f t="shared" si="5"/>
        <v/>
      </c>
      <c r="N81" s="17" t="str">
        <f>if(M81&lt;&gt;"",'Actuals - Billing - 2025'!BG313,"")</f>
        <v/>
      </c>
    </row>
    <row r="82">
      <c r="A82" s="7" t="str">
        <f t="shared" si="1"/>
        <v/>
      </c>
      <c r="B82" s="8" t="str">
        <f>if(and('Actuals - Billing - 2025'!E$317=True,C82&lt;&gt;""),'Actuals - Billing - 2025'!C314,"")</f>
        <v/>
      </c>
      <c r="C82" s="9" t="str">
        <f>IF(sum('Actuals - Billing - 2025'!AL314:AM314)&gt;0,'Actuals - Billing - 2025'!B314,"")</f>
        <v/>
      </c>
      <c r="D82" s="148" t="str">
        <f>if(and(sum('Actuals - Billing - 2025'!AL314)&gt;0,C82&lt;&gt;""),'Actuals - Billing - 2025'!$AM$2,"")</f>
        <v/>
      </c>
      <c r="E82" s="11" t="str">
        <f t="array" ref="E82">if($D82="","",index('Actuals - Billing - 2025'!$B82:$AZ980,Match($C82,'Actuals - Billing - 2025'!$B82:$B980,0),Match(E$1,'Actuals - Billing - 2025'!$B$2:$AZ$2,0)))</f>
        <v/>
      </c>
      <c r="F82" s="11"/>
      <c r="G82" s="11"/>
      <c r="H82" s="11"/>
      <c r="I82" s="11"/>
      <c r="J82" s="11" t="str">
        <f t="shared" si="2"/>
        <v/>
      </c>
      <c r="K82" s="149" t="str">
        <f t="shared" si="3"/>
        <v/>
      </c>
      <c r="L82" s="1" t="str">
        <f t="shared" si="4"/>
        <v/>
      </c>
      <c r="M82" s="4" t="str">
        <f t="shared" si="5"/>
        <v/>
      </c>
      <c r="N82" s="17" t="str">
        <f>if(M82&lt;&gt;"",'Actuals - Billing - 2025'!BG314,"")</f>
        <v/>
      </c>
    </row>
    <row r="83">
      <c r="A83" s="7" t="str">
        <f t="shared" si="1"/>
        <v/>
      </c>
      <c r="B83" s="8" t="str">
        <f>if(and('Actuals - Billing - 2025'!E$317=True,C83&lt;&gt;""),'Actuals - Billing - 2025'!C315,"")</f>
        <v/>
      </c>
      <c r="C83" s="9" t="str">
        <f>IF(sum('Actuals - Billing - 2025'!AL315:AM315)&gt;0,'Actuals - Billing - 2025'!B315,"")</f>
        <v/>
      </c>
      <c r="D83" s="148" t="str">
        <f>if(and(sum('Actuals - Billing - 2025'!AL315)&gt;0,C83&lt;&gt;""),'Actuals - Billing - 2025'!$AM$2,"")</f>
        <v/>
      </c>
      <c r="E83" s="11" t="str">
        <f t="array" ref="E83">if($D83="","",index('Actuals - Billing - 2025'!$B83:$AZ981,Match($C83,'Actuals - Billing - 2025'!$B83:$B981,0),Match(E$1,'Actuals - Billing - 2025'!$B$2:$AZ$2,0)))</f>
        <v/>
      </c>
      <c r="F83" s="11"/>
      <c r="G83" s="11"/>
      <c r="H83" s="11"/>
      <c r="I83" s="11"/>
      <c r="J83" s="11" t="str">
        <f t="shared" si="2"/>
        <v/>
      </c>
      <c r="K83" s="149" t="str">
        <f t="shared" si="3"/>
        <v/>
      </c>
      <c r="L83" s="1" t="str">
        <f t="shared" si="4"/>
        <v/>
      </c>
      <c r="M83" s="4" t="str">
        <f t="shared" si="5"/>
        <v/>
      </c>
      <c r="N83" s="17" t="str">
        <f>if(M83&lt;&gt;"",'Actuals - Billing - 2025'!BG315,"")</f>
        <v/>
      </c>
    </row>
    <row r="84">
      <c r="A84" s="7" t="str">
        <f t="shared" si="1"/>
        <v/>
      </c>
      <c r="B84" s="8" t="str">
        <f>if(and('Actuals - Billing - 2025'!E$317=True,C84&lt;&gt;""),'Actuals - Billing - 2025'!C316,"")</f>
        <v/>
      </c>
      <c r="C84" s="9" t="str">
        <f>IF(sum('Actuals - Billing - 2025'!AL316:AM316)&gt;0,'Actuals - Billing - 2025'!B316,"")</f>
        <v/>
      </c>
      <c r="D84" s="148" t="str">
        <f>if(and(sum('Actuals - Billing - 2025'!AL316)&gt;0,C84&lt;&gt;""),'Actuals - Billing - 2025'!$AM$2,"")</f>
        <v/>
      </c>
      <c r="E84" s="11" t="str">
        <f t="array" ref="E84">if($D84="","",index('Actuals - Billing - 2025'!$B84:$AZ982,Match($C84,'Actuals - Billing - 2025'!$B84:$B982,0),Match(E$1,'Actuals - Billing - 2025'!$B$2:$AZ$2,0)))</f>
        <v/>
      </c>
      <c r="F84" s="11"/>
      <c r="G84" s="11"/>
      <c r="H84" s="11"/>
      <c r="I84" s="11"/>
      <c r="J84" s="11" t="str">
        <f t="shared" si="2"/>
        <v/>
      </c>
      <c r="K84" s="149" t="str">
        <f t="shared" si="3"/>
        <v/>
      </c>
      <c r="L84" s="1" t="str">
        <f t="shared" si="4"/>
        <v/>
      </c>
      <c r="M84" s="4" t="str">
        <f t="shared" si="5"/>
        <v/>
      </c>
      <c r="N84" s="17" t="str">
        <f>if(M84&lt;&gt;"",'Actuals - Billing - 2025'!BG316,"")</f>
        <v/>
      </c>
    </row>
    <row r="85">
      <c r="A85" s="7" t="str">
        <f t="shared" si="1"/>
        <v/>
      </c>
      <c r="B85" s="8" t="str">
        <f>if(and('Actuals - Billing - 2025'!E$317=True,C85&lt;&gt;""),'Actuals - Billing - 2025'!C317,"")</f>
        <v/>
      </c>
      <c r="C85" s="9" t="str">
        <f>IF(sum('Actuals - Billing - 2025'!AL317:AM317)&gt;0,'Actuals - Billing - 2025'!B317,"")</f>
        <v/>
      </c>
      <c r="D85" s="148" t="str">
        <f>if(and(sum('Actuals - Billing - 2025'!AL317)&gt;0,C85&lt;&gt;""),'Actuals - Billing - 2025'!$AM$2,"")</f>
        <v/>
      </c>
      <c r="E85" s="11" t="str">
        <f t="array" ref="E85">if($D85="","",index('Actuals - Billing - 2025'!$B85:$AZ983,Match($C85,'Actuals - Billing - 2025'!$B85:$B983,0),Match(E$1,'Actuals - Billing - 2025'!$B$2:$AZ$2,0)))</f>
        <v/>
      </c>
      <c r="F85" s="11"/>
      <c r="G85" s="11"/>
      <c r="H85" s="11"/>
      <c r="I85" s="11"/>
      <c r="J85" s="11" t="str">
        <f t="shared" si="2"/>
        <v/>
      </c>
      <c r="K85" s="149" t="str">
        <f t="shared" si="3"/>
        <v/>
      </c>
      <c r="L85" s="1" t="str">
        <f t="shared" si="4"/>
        <v/>
      </c>
      <c r="M85" s="4" t="str">
        <f t="shared" si="5"/>
        <v/>
      </c>
      <c r="N85" s="17" t="str">
        <f>if(M85&lt;&gt;"",'Actuals - Billing - 2025'!BG317,"")</f>
        <v/>
      </c>
    </row>
    <row r="86">
      <c r="A86" s="7" t="str">
        <f t="shared" si="1"/>
        <v/>
      </c>
      <c r="B86" s="8" t="str">
        <f>if(and('Actuals - Billing - 2025'!E$324=True,C86&lt;&gt;""),'Actuals - Billing - 2025'!C318,"")</f>
        <v/>
      </c>
      <c r="C86" s="9" t="str">
        <f>IF(sum('Actuals - Billing - 2025'!AL318:AM318)&gt;0,'Actuals - Billing - 2025'!B318,"")</f>
        <v/>
      </c>
      <c r="D86" s="148" t="str">
        <f>if(and(sum('Actuals - Billing - 2025'!AL318)&gt;0,C86&lt;&gt;""),'Actuals - Billing - 2025'!$AM$2,"")</f>
        <v/>
      </c>
      <c r="E86" s="11" t="str">
        <f t="array" ref="E86">if($D86="","",index('Actuals - Billing - 2025'!$B86:$AZ984,Match($C86,'Actuals - Billing - 2025'!$B86:$B984,0),Match(E$1,'Actuals - Billing - 2025'!$B$2:$AZ$2,0)))</f>
        <v/>
      </c>
      <c r="F86" s="11"/>
      <c r="G86" s="11"/>
      <c r="H86" s="11"/>
      <c r="I86" s="11"/>
      <c r="J86" s="11" t="str">
        <f t="shared" si="2"/>
        <v/>
      </c>
      <c r="K86" s="149" t="str">
        <f t="shared" si="3"/>
        <v/>
      </c>
      <c r="L86" s="1" t="str">
        <f t="shared" si="4"/>
        <v/>
      </c>
      <c r="M86" s="4" t="str">
        <f t="shared" si="5"/>
        <v/>
      </c>
      <c r="N86" s="17" t="str">
        <f>if(M86&lt;&gt;"",'Actuals - Billing - 2025'!BG318,"")</f>
        <v/>
      </c>
    </row>
    <row r="87">
      <c r="A87" s="7" t="str">
        <f t="shared" si="1"/>
        <v/>
      </c>
      <c r="B87" s="8" t="str">
        <f>if(and('Actuals - Billing - 2025'!E$324=True,C87&lt;&gt;""),'Actuals - Billing - 2025'!C319,"")</f>
        <v/>
      </c>
      <c r="C87" s="9" t="str">
        <f>IF(sum('Actuals - Billing - 2025'!AL319:AM319)&gt;0,'Actuals - Billing - 2025'!B319,"")</f>
        <v/>
      </c>
      <c r="D87" s="148" t="str">
        <f>if(and(sum('Actuals - Billing - 2025'!AL319)&gt;0,C87&lt;&gt;""),'Actuals - Billing - 2025'!$AM$2,"")</f>
        <v/>
      </c>
      <c r="E87" s="11" t="str">
        <f t="array" ref="E87">if($D87="","",index('Actuals - Billing - 2025'!$B87:$AZ985,Match($C87,'Actuals - Billing - 2025'!$B87:$B985,0),Match(E$1,'Actuals - Billing - 2025'!$B$2:$AZ$2,0)))</f>
        <v/>
      </c>
      <c r="F87" s="11"/>
      <c r="G87" s="11"/>
      <c r="H87" s="11"/>
      <c r="I87" s="11"/>
      <c r="J87" s="11" t="str">
        <f t="shared" si="2"/>
        <v/>
      </c>
      <c r="K87" s="149" t="str">
        <f t="shared" si="3"/>
        <v/>
      </c>
      <c r="L87" s="1" t="str">
        <f t="shared" si="4"/>
        <v/>
      </c>
      <c r="M87" s="4" t="str">
        <f t="shared" si="5"/>
        <v/>
      </c>
      <c r="N87" s="17" t="str">
        <f>if(M87&lt;&gt;"",'Actuals - Billing - 2025'!BG319,"")</f>
        <v/>
      </c>
    </row>
    <row r="88">
      <c r="A88" s="7" t="str">
        <f t="shared" si="1"/>
        <v/>
      </c>
      <c r="B88" s="8" t="str">
        <f>if(and('Actuals - Billing - 2025'!E$324=True,C88&lt;&gt;""),'Actuals - Billing - 2025'!C320,"")</f>
        <v/>
      </c>
      <c r="C88" s="9" t="str">
        <f>IF(sum('Actuals - Billing - 2025'!AL320:AM320)&gt;0,'Actuals - Billing - 2025'!B320,"")</f>
        <v/>
      </c>
      <c r="D88" s="148" t="str">
        <f>if(and(sum('Actuals - Billing - 2025'!AL320)&gt;0,C88&lt;&gt;""),'Actuals - Billing - 2025'!$AM$2,"")</f>
        <v/>
      </c>
      <c r="E88" s="11" t="str">
        <f t="array" ref="E88">if($D88="","",index('Actuals - Billing - 2025'!$B88:$AZ986,Match($C88,'Actuals - Billing - 2025'!$B88:$B986,0),Match(E$1,'Actuals - Billing - 2025'!$B$2:$AZ$2,0)))</f>
        <v/>
      </c>
      <c r="F88" s="11"/>
      <c r="G88" s="11"/>
      <c r="H88" s="11"/>
      <c r="I88" s="11"/>
      <c r="J88" s="11" t="str">
        <f t="shared" si="2"/>
        <v/>
      </c>
      <c r="K88" s="149" t="str">
        <f t="shared" si="3"/>
        <v/>
      </c>
      <c r="L88" s="1" t="str">
        <f t="shared" si="4"/>
        <v/>
      </c>
      <c r="M88" s="4" t="str">
        <f t="shared" si="5"/>
        <v/>
      </c>
      <c r="N88" s="17" t="str">
        <f>if(M88&lt;&gt;"",'Actuals - Billing - 2025'!BG320,"")</f>
        <v/>
      </c>
    </row>
    <row r="89">
      <c r="A89" s="7" t="str">
        <f t="shared" si="1"/>
        <v/>
      </c>
      <c r="B89" s="8" t="str">
        <f>if(and('Actuals - Billing - 2025'!E$324=True,C89&lt;&gt;""),'Actuals - Billing - 2025'!C321,"")</f>
        <v/>
      </c>
      <c r="C89" s="9" t="str">
        <f>IF(sum('Actuals - Billing - 2025'!AL321:AM321)&gt;0,'Actuals - Billing - 2025'!B321,"")</f>
        <v/>
      </c>
      <c r="D89" s="148" t="str">
        <f>if(and(sum('Actuals - Billing - 2025'!AL321)&gt;0,C89&lt;&gt;""),'Actuals - Billing - 2025'!$AM$2,"")</f>
        <v/>
      </c>
      <c r="E89" s="11" t="str">
        <f t="array" ref="E89">if($D89="","",index('Actuals - Billing - 2025'!$B89:$AZ987,Match($C89,'Actuals - Billing - 2025'!$B89:$B987,0),Match(E$1,'Actuals - Billing - 2025'!$B$2:$AZ$2,0)))</f>
        <v/>
      </c>
      <c r="F89" s="11"/>
      <c r="G89" s="11"/>
      <c r="H89" s="11"/>
      <c r="I89" s="11"/>
      <c r="J89" s="11" t="str">
        <f t="shared" si="2"/>
        <v/>
      </c>
      <c r="K89" s="149" t="str">
        <f t="shared" si="3"/>
        <v/>
      </c>
      <c r="L89" s="1" t="str">
        <f t="shared" si="4"/>
        <v/>
      </c>
      <c r="M89" s="4" t="str">
        <f t="shared" si="5"/>
        <v/>
      </c>
      <c r="N89" s="17" t="str">
        <f>if(M89&lt;&gt;"",'Actuals - Billing - 2025'!BG321,"")</f>
        <v/>
      </c>
    </row>
    <row r="90">
      <c r="A90" s="7" t="str">
        <f t="shared" si="1"/>
        <v/>
      </c>
      <c r="B90" s="8" t="str">
        <f>if(and('Actuals - Billing - 2025'!E$324=True,C90&lt;&gt;""),'Actuals - Billing - 2025'!C322,"")</f>
        <v/>
      </c>
      <c r="C90" s="9" t="str">
        <f>IF(sum('Actuals - Billing - 2025'!AL322:AM322)&gt;0,'Actuals - Billing - 2025'!B322,"")</f>
        <v/>
      </c>
      <c r="D90" s="148" t="str">
        <f>if(and(sum('Actuals - Billing - 2025'!AL322)&gt;0,C90&lt;&gt;""),'Actuals - Billing - 2025'!$AM$2,"")</f>
        <v/>
      </c>
      <c r="E90" s="11" t="str">
        <f t="array" ref="E90">if($D90="","",index('Actuals - Billing - 2025'!$B90:$AZ988,Match($C90,'Actuals - Billing - 2025'!$B90:$B988,0),Match(E$1,'Actuals - Billing - 2025'!$B$2:$AZ$2,0)))</f>
        <v/>
      </c>
      <c r="F90" s="11"/>
      <c r="G90" s="11"/>
      <c r="H90" s="11"/>
      <c r="I90" s="11"/>
      <c r="J90" s="11" t="str">
        <f t="shared" si="2"/>
        <v/>
      </c>
      <c r="K90" s="149" t="str">
        <f t="shared" si="3"/>
        <v/>
      </c>
      <c r="L90" s="1" t="str">
        <f t="shared" si="4"/>
        <v/>
      </c>
      <c r="M90" s="4" t="str">
        <f t="shared" si="5"/>
        <v/>
      </c>
      <c r="N90" s="17" t="str">
        <f>if(M90&lt;&gt;"",'Actuals - Billing - 2025'!BG322,"")</f>
        <v/>
      </c>
    </row>
    <row r="91">
      <c r="A91" s="7" t="str">
        <f t="shared" si="1"/>
        <v/>
      </c>
      <c r="B91" s="8" t="str">
        <f>if(and('Actuals - Billing - 2025'!E$324=True,C91&lt;&gt;""),'Actuals - Billing - 2025'!C323,"")</f>
        <v/>
      </c>
      <c r="C91" s="9" t="str">
        <f>IF(sum('Actuals - Billing - 2025'!AL323:AM323)&gt;0,'Actuals - Billing - 2025'!B323,"")</f>
        <v/>
      </c>
      <c r="D91" s="148" t="str">
        <f>if(and(sum('Actuals - Billing - 2025'!AL323)&gt;0,C91&lt;&gt;""),'Actuals - Billing - 2025'!$AM$2,"")</f>
        <v/>
      </c>
      <c r="E91" s="11" t="str">
        <f t="array" ref="E91">if($D91="","",index('Actuals - Billing - 2025'!$B91:$AZ989,Match($C91,'Actuals - Billing - 2025'!$B91:$B989,0),Match(E$1,'Actuals - Billing - 2025'!$B$2:$AZ$2,0)))</f>
        <v/>
      </c>
      <c r="F91" s="11"/>
      <c r="G91" s="11"/>
      <c r="H91" s="11"/>
      <c r="I91" s="11"/>
      <c r="J91" s="11" t="str">
        <f t="shared" si="2"/>
        <v/>
      </c>
      <c r="K91" s="149" t="str">
        <f t="shared" si="3"/>
        <v/>
      </c>
      <c r="L91" s="1" t="str">
        <f t="shared" si="4"/>
        <v/>
      </c>
      <c r="M91" s="4" t="str">
        <f t="shared" si="5"/>
        <v/>
      </c>
      <c r="N91" s="17" t="str">
        <f>if(M91&lt;&gt;"",'Actuals - Billing - 2025'!BG323,"")</f>
        <v/>
      </c>
    </row>
    <row r="92">
      <c r="A92" s="7" t="str">
        <f t="shared" si="1"/>
        <v/>
      </c>
      <c r="B92" s="8" t="str">
        <f>if(and('Actuals - Billing - 2025'!E$324=True,C92&lt;&gt;""),'Actuals - Billing - 2025'!C324,"")</f>
        <v/>
      </c>
      <c r="C92" s="9" t="str">
        <f>IF(sum('Actuals - Billing - 2025'!AL324:AM324)&gt;0,'Actuals - Billing - 2025'!B324,"")</f>
        <v/>
      </c>
      <c r="D92" s="148" t="str">
        <f>if(and(sum('Actuals - Billing - 2025'!AL324)&gt;0,C92&lt;&gt;""),'Actuals - Billing - 2025'!$AM$2,"")</f>
        <v/>
      </c>
      <c r="E92" s="11" t="str">
        <f t="array" ref="E92">if($D92="","",index('Actuals - Billing - 2025'!$B92:$AZ990,Match($C92,'Actuals - Billing - 2025'!$B92:$B990,0),Match(E$1,'Actuals - Billing - 2025'!$B$2:$AZ$2,0)))</f>
        <v/>
      </c>
      <c r="F92" s="11"/>
      <c r="G92" s="11"/>
      <c r="H92" s="11"/>
      <c r="I92" s="11"/>
      <c r="J92" s="11" t="str">
        <f t="shared" si="2"/>
        <v/>
      </c>
      <c r="K92" s="149" t="str">
        <f t="shared" si="3"/>
        <v/>
      </c>
      <c r="L92" s="1" t="str">
        <f t="shared" si="4"/>
        <v/>
      </c>
      <c r="M92" s="4" t="str">
        <f t="shared" si="5"/>
        <v/>
      </c>
      <c r="N92" s="17" t="str">
        <f>if(M92&lt;&gt;"",'Actuals - Billing - 2025'!BG324,"")</f>
        <v/>
      </c>
    </row>
    <row r="93">
      <c r="A93" s="7" t="str">
        <f t="shared" si="1"/>
        <v/>
      </c>
      <c r="B93" s="8" t="str">
        <f>if(and('Actuals - Billing - 2025'!E$331=True,C93&lt;&gt;""),'Actuals - Billing - 2025'!C325,"")</f>
        <v/>
      </c>
      <c r="C93" s="9" t="str">
        <f>IF(sum('Actuals - Billing - 2025'!AL325:AM325)&gt;0,'Actuals - Billing - 2025'!B325,"")</f>
        <v/>
      </c>
      <c r="D93" s="148" t="str">
        <f>if(and(sum('Actuals - Billing - 2025'!AL325)&gt;0,C93&lt;&gt;""),'Actuals - Billing - 2025'!$AM$2,"")</f>
        <v/>
      </c>
      <c r="E93" s="11" t="str">
        <f t="array" ref="E93">if($D93="","",index('Actuals - Billing - 2025'!$B93:$AZ991,Match($C93,'Actuals - Billing - 2025'!$B93:$B991,0),Match(E$1,'Actuals - Billing - 2025'!$B$2:$AZ$2,0)))</f>
        <v/>
      </c>
      <c r="F93" s="11"/>
      <c r="G93" s="11"/>
      <c r="H93" s="11"/>
      <c r="I93" s="11"/>
      <c r="J93" s="11" t="str">
        <f t="shared" si="2"/>
        <v/>
      </c>
      <c r="K93" s="149" t="str">
        <f t="shared" si="3"/>
        <v/>
      </c>
      <c r="L93" s="1" t="str">
        <f t="shared" si="4"/>
        <v/>
      </c>
      <c r="M93" s="4" t="str">
        <f t="shared" si="5"/>
        <v/>
      </c>
      <c r="N93" s="17" t="str">
        <f>if(M93&lt;&gt;"",'Actuals - Billing - 2025'!BG325,"")</f>
        <v/>
      </c>
    </row>
    <row r="94">
      <c r="A94" s="7" t="str">
        <f t="shared" si="1"/>
        <v/>
      </c>
      <c r="B94" s="8" t="str">
        <f>if(and('Actuals - Billing - 2025'!E$331=True,C94&lt;&gt;""),'Actuals - Billing - 2025'!C326,"")</f>
        <v/>
      </c>
      <c r="C94" s="9" t="str">
        <f>IF(sum('Actuals - Billing - 2025'!AL326:AM326)&gt;0,'Actuals - Billing - 2025'!B326,"")</f>
        <v/>
      </c>
      <c r="D94" s="148" t="str">
        <f>if(and(sum('Actuals - Billing - 2025'!AL326)&gt;0,C94&lt;&gt;""),'Actuals - Billing - 2025'!$AM$2,"")</f>
        <v/>
      </c>
      <c r="E94" s="11" t="str">
        <f t="array" ref="E94">if($D94="","",index('Actuals - Billing - 2025'!$B94:$AZ992,Match($C94,'Actuals - Billing - 2025'!$B94:$B992,0),Match(E$1,'Actuals - Billing - 2025'!$B$2:$AZ$2,0)))</f>
        <v/>
      </c>
      <c r="F94" s="11"/>
      <c r="G94" s="11"/>
      <c r="H94" s="11"/>
      <c r="I94" s="11"/>
      <c r="J94" s="11" t="str">
        <f t="shared" si="2"/>
        <v/>
      </c>
      <c r="K94" s="149" t="str">
        <f t="shared" si="3"/>
        <v/>
      </c>
      <c r="L94" s="1" t="str">
        <f t="shared" si="4"/>
        <v/>
      </c>
      <c r="M94" s="4" t="str">
        <f t="shared" si="5"/>
        <v/>
      </c>
      <c r="N94" s="17" t="str">
        <f>if(M94&lt;&gt;"",'Actuals - Billing - 2025'!BG326,"")</f>
        <v/>
      </c>
    </row>
    <row r="95">
      <c r="A95" s="7" t="str">
        <f t="shared" si="1"/>
        <v/>
      </c>
      <c r="B95" s="8" t="str">
        <f>if(and('Actuals - Billing - 2025'!E$331=True,C95&lt;&gt;""),'Actuals - Billing - 2025'!C327,"")</f>
        <v/>
      </c>
      <c r="C95" s="9" t="str">
        <f>IF(sum('Actuals - Billing - 2025'!AL327:AM327)&gt;0,'Actuals - Billing - 2025'!B327,"")</f>
        <v/>
      </c>
      <c r="D95" s="148" t="str">
        <f>if(and(sum('Actuals - Billing - 2025'!AL327)&gt;0,C95&lt;&gt;""),'Actuals - Billing - 2025'!$AM$2,"")</f>
        <v/>
      </c>
      <c r="E95" s="11" t="str">
        <f t="array" ref="E95">if($D95="","",index('Actuals - Billing - 2025'!$B95:$AZ993,Match($C95,'Actuals - Billing - 2025'!$B95:$B993,0),Match(E$1,'Actuals - Billing - 2025'!$B$2:$AZ$2,0)))</f>
        <v/>
      </c>
      <c r="F95" s="11"/>
      <c r="G95" s="11"/>
      <c r="H95" s="11"/>
      <c r="I95" s="11"/>
      <c r="J95" s="11" t="str">
        <f t="shared" si="2"/>
        <v/>
      </c>
      <c r="K95" s="149" t="str">
        <f t="shared" si="3"/>
        <v/>
      </c>
      <c r="L95" s="1" t="str">
        <f t="shared" si="4"/>
        <v/>
      </c>
      <c r="M95" s="4" t="str">
        <f t="shared" si="5"/>
        <v/>
      </c>
      <c r="N95" s="17" t="str">
        <f>if(M95&lt;&gt;"",'Actuals - Billing - 2025'!BG327,"")</f>
        <v/>
      </c>
    </row>
    <row r="96">
      <c r="A96" s="7" t="str">
        <f t="shared" si="1"/>
        <v/>
      </c>
      <c r="B96" s="8" t="str">
        <f>if(and('Actuals - Billing - 2025'!E$331=True,C96&lt;&gt;""),'Actuals - Billing - 2025'!C328,"")</f>
        <v/>
      </c>
      <c r="C96" s="9" t="str">
        <f>IF(sum('Actuals - Billing - 2025'!AL328:AM328)&gt;0,'Actuals - Billing - 2025'!B328,"")</f>
        <v/>
      </c>
      <c r="D96" s="148" t="str">
        <f>if(and(sum('Actuals - Billing - 2025'!AL328)&gt;0,C96&lt;&gt;""),'Actuals - Billing - 2025'!$AM$2,"")</f>
        <v/>
      </c>
      <c r="E96" s="11" t="str">
        <f t="array" ref="E96">if($D96="","",index('Actuals - Billing - 2025'!$B96:$AZ994,Match($C96,'Actuals - Billing - 2025'!$B96:$B994,0),Match(E$1,'Actuals - Billing - 2025'!$B$2:$AZ$2,0)))</f>
        <v/>
      </c>
      <c r="F96" s="11"/>
      <c r="G96" s="11"/>
      <c r="H96" s="11"/>
      <c r="I96" s="11"/>
      <c r="J96" s="11" t="str">
        <f t="shared" si="2"/>
        <v/>
      </c>
      <c r="K96" s="149" t="str">
        <f t="shared" si="3"/>
        <v/>
      </c>
      <c r="L96" s="1" t="str">
        <f t="shared" si="4"/>
        <v/>
      </c>
      <c r="M96" s="4" t="str">
        <f t="shared" si="5"/>
        <v/>
      </c>
      <c r="N96" s="17" t="str">
        <f>if(M96&lt;&gt;"",'Actuals - Billing - 2025'!BG328,"")</f>
        <v/>
      </c>
    </row>
    <row r="97">
      <c r="A97" s="7" t="str">
        <f t="shared" si="1"/>
        <v/>
      </c>
      <c r="B97" s="8" t="str">
        <f>if(and('Actuals - Billing - 2025'!E$331=True,C97&lt;&gt;""),'Actuals - Billing - 2025'!C329,"")</f>
        <v/>
      </c>
      <c r="C97" s="9" t="str">
        <f>IF(sum('Actuals - Billing - 2025'!AL329:AM329)&gt;0,'Actuals - Billing - 2025'!B329,"")</f>
        <v/>
      </c>
      <c r="D97" s="148" t="str">
        <f>if(and(sum('Actuals - Billing - 2025'!AL329)&gt;0,C97&lt;&gt;""),'Actuals - Billing - 2025'!$AM$2,"")</f>
        <v/>
      </c>
      <c r="E97" s="11" t="str">
        <f t="array" ref="E97">if($D97="","",index('Actuals - Billing - 2025'!$B97:$AZ995,Match($C97,'Actuals - Billing - 2025'!$B97:$B995,0),Match(E$1,'Actuals - Billing - 2025'!$B$2:$AZ$2,0)))</f>
        <v/>
      </c>
      <c r="F97" s="11"/>
      <c r="G97" s="11"/>
      <c r="H97" s="11"/>
      <c r="I97" s="11"/>
      <c r="J97" s="11" t="str">
        <f t="shared" si="2"/>
        <v/>
      </c>
      <c r="K97" s="149" t="str">
        <f t="shared" si="3"/>
        <v/>
      </c>
      <c r="L97" s="1" t="str">
        <f t="shared" si="4"/>
        <v/>
      </c>
      <c r="M97" s="4" t="str">
        <f t="shared" si="5"/>
        <v/>
      </c>
      <c r="N97" s="17" t="str">
        <f>if(M97&lt;&gt;"",'Actuals - Billing - 2025'!BG329,"")</f>
        <v/>
      </c>
    </row>
    <row r="98">
      <c r="A98" s="7" t="str">
        <f t="shared" si="1"/>
        <v/>
      </c>
      <c r="B98" s="8" t="str">
        <f>if(and('Actuals - Billing - 2025'!E$331=True,C98&lt;&gt;""),'Actuals - Billing - 2025'!C330,"")</f>
        <v/>
      </c>
      <c r="C98" s="9" t="str">
        <f>IF(sum('Actuals - Billing - 2025'!AL330:AM330)&gt;0,'Actuals - Billing - 2025'!B330,"")</f>
        <v/>
      </c>
      <c r="D98" s="148" t="str">
        <f>if(and(sum('Actuals - Billing - 2025'!AL330)&gt;0,C98&lt;&gt;""),'Actuals - Billing - 2025'!$AM$2,"")</f>
        <v/>
      </c>
      <c r="E98" s="11" t="str">
        <f t="array" ref="E98">if($D98="","",index('Actuals - Billing - 2025'!$B98:$AZ996,Match($C98,'Actuals - Billing - 2025'!$B98:$B996,0),Match(E$1,'Actuals - Billing - 2025'!$B$2:$AZ$2,0)))</f>
        <v/>
      </c>
      <c r="F98" s="11"/>
      <c r="G98" s="11"/>
      <c r="H98" s="11"/>
      <c r="I98" s="11"/>
      <c r="J98" s="11" t="str">
        <f t="shared" si="2"/>
        <v/>
      </c>
      <c r="K98" s="149" t="str">
        <f t="shared" si="3"/>
        <v/>
      </c>
      <c r="L98" s="1" t="str">
        <f t="shared" si="4"/>
        <v/>
      </c>
      <c r="M98" s="4" t="str">
        <f t="shared" si="5"/>
        <v/>
      </c>
      <c r="N98" s="17" t="str">
        <f>if(M98&lt;&gt;"",'Actuals - Billing - 2025'!BG330,"")</f>
        <v/>
      </c>
    </row>
    <row r="99">
      <c r="A99" s="7" t="str">
        <f t="shared" si="1"/>
        <v/>
      </c>
      <c r="B99" s="8" t="str">
        <f>if(and('Actuals - Billing - 2025'!E$331=True,C99&lt;&gt;""),'Actuals - Billing - 2025'!C331,"")</f>
        <v/>
      </c>
      <c r="C99" s="9" t="str">
        <f>IF(sum('Actuals - Billing - 2025'!AL331:AM331)&gt;0,'Actuals - Billing - 2025'!B331,"")</f>
        <v/>
      </c>
      <c r="D99" s="148" t="str">
        <f>if(and(sum('Actuals - Billing - 2025'!AL331)&gt;0,C99&lt;&gt;""),'Actuals - Billing - 2025'!$AM$2,"")</f>
        <v/>
      </c>
      <c r="E99" s="11" t="str">
        <f t="array" ref="E99">if($D99="","",index('Actuals - Billing - 2025'!$B99:$AZ997,Match($C99,'Actuals - Billing - 2025'!$B99:$B997,0),Match(E$1,'Actuals - Billing - 2025'!$B$2:$AZ$2,0)))</f>
        <v/>
      </c>
      <c r="F99" s="11"/>
      <c r="G99" s="11"/>
      <c r="H99" s="11"/>
      <c r="I99" s="11"/>
      <c r="J99" s="11" t="str">
        <f t="shared" si="2"/>
        <v/>
      </c>
      <c r="K99" s="149" t="str">
        <f t="shared" si="3"/>
        <v/>
      </c>
      <c r="L99" s="1" t="str">
        <f t="shared" si="4"/>
        <v/>
      </c>
      <c r="M99" s="4" t="str">
        <f t="shared" si="5"/>
        <v/>
      </c>
      <c r="N99" s="17" t="str">
        <f>if(M99&lt;&gt;"",'Actuals - Billing - 2025'!BG331,"")</f>
        <v/>
      </c>
    </row>
    <row r="100">
      <c r="A100" s="7" t="str">
        <f t="shared" si="1"/>
        <v/>
      </c>
      <c r="B100" s="8" t="str">
        <f>if(and('Actuals - Billing - 2025'!E$338=True,C100&lt;&gt;""),'Actuals - Billing - 2025'!C332,"")</f>
        <v/>
      </c>
      <c r="C100" s="9" t="str">
        <f>IF(sum('Actuals - Billing - 2025'!AL332:AM332)&gt;0,'Actuals - Billing - 2025'!B332,"")</f>
        <v/>
      </c>
      <c r="D100" s="148" t="str">
        <f>if(and(sum('Actuals - Billing - 2025'!AL332)&gt;0,C100&lt;&gt;""),'Actuals - Billing - 2025'!$AM$2,"")</f>
        <v/>
      </c>
      <c r="E100" s="11" t="str">
        <f t="array" ref="E100">if($D100="","",index('Actuals - Billing - 2025'!$B100:$AZ998,Match($C100,'Actuals - Billing - 2025'!$B100:$B998,0),Match(E$1,'Actuals - Billing - 2025'!$B$2:$AZ$2,0)))</f>
        <v/>
      </c>
      <c r="F100" s="11"/>
      <c r="G100" s="11"/>
      <c r="H100" s="11"/>
      <c r="I100" s="11"/>
      <c r="J100" s="11" t="str">
        <f t="shared" si="2"/>
        <v/>
      </c>
      <c r="K100" s="149" t="str">
        <f t="shared" si="3"/>
        <v/>
      </c>
      <c r="L100" s="1" t="str">
        <f t="shared" si="4"/>
        <v/>
      </c>
      <c r="M100" s="4" t="str">
        <f t="shared" si="5"/>
        <v/>
      </c>
      <c r="N100" s="17" t="str">
        <f>if(M100&lt;&gt;"",'Actuals - Billing - 2025'!BG332,"")</f>
        <v/>
      </c>
    </row>
    <row r="101">
      <c r="A101" s="7" t="str">
        <f t="shared" si="1"/>
        <v/>
      </c>
      <c r="B101" s="8" t="str">
        <f>if(and('Actuals - Billing - 2025'!E$338=True,C101&lt;&gt;""),'Actuals - Billing - 2025'!C333,"")</f>
        <v/>
      </c>
      <c r="C101" s="9" t="str">
        <f>IF(sum('Actuals - Billing - 2025'!AL333:AM333)&gt;0,'Actuals - Billing - 2025'!B333,"")</f>
        <v/>
      </c>
      <c r="D101" s="148" t="str">
        <f>if(and(sum('Actuals - Billing - 2025'!AL333)&gt;0,C101&lt;&gt;""),'Actuals - Billing - 2025'!$AM$2,"")</f>
        <v/>
      </c>
      <c r="E101" s="11" t="str">
        <f t="array" ref="E101">if($D101="","",index('Actuals - Billing - 2025'!$B101:$AZ999,Match($C101,'Actuals - Billing - 2025'!$B101:$B999,0),Match(E$1,'Actuals - Billing - 2025'!$B$2:$AZ$2,0)))</f>
        <v/>
      </c>
      <c r="F101" s="11"/>
      <c r="G101" s="11"/>
      <c r="H101" s="11"/>
      <c r="I101" s="11"/>
      <c r="J101" s="11" t="str">
        <f t="shared" si="2"/>
        <v/>
      </c>
      <c r="K101" s="149" t="str">
        <f t="shared" si="3"/>
        <v/>
      </c>
      <c r="L101" s="1" t="str">
        <f t="shared" si="4"/>
        <v/>
      </c>
      <c r="M101" s="4" t="str">
        <f t="shared" si="5"/>
        <v/>
      </c>
      <c r="N101" s="17" t="str">
        <f>if(M101&lt;&gt;"",'Actuals - Billing - 2025'!BG333,"")</f>
        <v/>
      </c>
    </row>
    <row r="102">
      <c r="A102" s="7" t="str">
        <f t="shared" si="1"/>
        <v/>
      </c>
      <c r="B102" s="8" t="str">
        <f>if(and('Actuals - Billing - 2025'!E$338=True,C102&lt;&gt;""),'Actuals - Billing - 2025'!C334,"")</f>
        <v/>
      </c>
      <c r="C102" s="9" t="str">
        <f>IF(sum('Actuals - Billing - 2025'!AL334:AM334)&gt;0,'Actuals - Billing - 2025'!B334,"")</f>
        <v/>
      </c>
      <c r="D102" s="148" t="str">
        <f>if(and(sum('Actuals - Billing - 2025'!AL334)&gt;0,C102&lt;&gt;""),'Actuals - Billing - 2025'!$AM$2,"")</f>
        <v/>
      </c>
      <c r="E102" s="11" t="str">
        <f t="array" ref="E102">if($D102="","",index('Actuals - Billing - 2025'!$B102:$AZ1000,Match($C102,'Actuals - Billing - 2025'!$B102:$B1000,0),Match(E$1,'Actuals - Billing - 2025'!$B$2:$AZ$2,0)))</f>
        <v/>
      </c>
      <c r="F102" s="11"/>
      <c r="G102" s="11"/>
      <c r="H102" s="11"/>
      <c r="I102" s="11"/>
      <c r="J102" s="11" t="str">
        <f t="shared" si="2"/>
        <v/>
      </c>
      <c r="K102" s="149" t="str">
        <f t="shared" si="3"/>
        <v/>
      </c>
      <c r="L102" s="1" t="str">
        <f t="shared" si="4"/>
        <v/>
      </c>
      <c r="M102" s="4" t="str">
        <f t="shared" si="5"/>
        <v/>
      </c>
      <c r="N102" s="17" t="str">
        <f>if(M102&lt;&gt;"",'Actuals - Billing - 2025'!BG334,"")</f>
        <v/>
      </c>
    </row>
    <row r="103">
      <c r="A103" s="7" t="str">
        <f t="shared" si="1"/>
        <v/>
      </c>
      <c r="B103" s="8" t="str">
        <f>if(and('Actuals - Billing - 2025'!E$338=True,C103&lt;&gt;""),'Actuals - Billing - 2025'!C335,"")</f>
        <v/>
      </c>
      <c r="C103" s="9" t="str">
        <f>IF(sum('Actuals - Billing - 2025'!AL335:AM335)&gt;0,'Actuals - Billing - 2025'!B335,"")</f>
        <v/>
      </c>
      <c r="D103" s="148" t="str">
        <f>if(and(sum('Actuals - Billing - 2025'!AL335)&gt;0,C103&lt;&gt;""),'Actuals - Billing - 2025'!$AM$2,"")</f>
        <v/>
      </c>
      <c r="E103" s="11" t="str">
        <f t="array" ref="E103">if($D103="","",index('Actuals - Billing - 2025'!$B103:$AZ1001,Match($C103,'Actuals - Billing - 2025'!$B103:$B1001,0),Match(E$1,'Actuals - Billing - 2025'!$B$2:$AZ$2,0)))</f>
        <v/>
      </c>
      <c r="F103" s="11"/>
      <c r="G103" s="11"/>
      <c r="H103" s="11"/>
      <c r="I103" s="11"/>
      <c r="J103" s="11" t="str">
        <f t="shared" si="2"/>
        <v/>
      </c>
      <c r="K103" s="149" t="str">
        <f t="shared" si="3"/>
        <v/>
      </c>
      <c r="L103" s="1" t="str">
        <f t="shared" si="4"/>
        <v/>
      </c>
      <c r="M103" s="4" t="str">
        <f t="shared" si="5"/>
        <v/>
      </c>
      <c r="N103" s="17" t="str">
        <f>if(M103&lt;&gt;"",'Actuals - Billing - 2025'!BG335,"")</f>
        <v/>
      </c>
    </row>
    <row r="104">
      <c r="A104" s="7" t="str">
        <f t="shared" si="1"/>
        <v/>
      </c>
      <c r="B104" s="8" t="str">
        <f>if(and('Actuals - Billing - 2025'!E$338=True,C104&lt;&gt;""),'Actuals - Billing - 2025'!C336,"")</f>
        <v/>
      </c>
      <c r="C104" s="9" t="str">
        <f>IF(sum('Actuals - Billing - 2025'!AL336:AM336)&gt;0,'Actuals - Billing - 2025'!B336,"")</f>
        <v/>
      </c>
      <c r="D104" s="148" t="str">
        <f>if(and(sum('Actuals - Billing - 2025'!AL336)&gt;0,C104&lt;&gt;""),'Actuals - Billing - 2025'!$AM$2,"")</f>
        <v/>
      </c>
      <c r="E104" s="11" t="str">
        <f t="array" ref="E104">if($D104="","",index('Actuals - Billing - 2025'!$B104:$AZ1002,Match($C104,'Actuals - Billing - 2025'!$B104:$B1002,0),Match(E$1,'Actuals - Billing - 2025'!$B$2:$AZ$2,0)))</f>
        <v/>
      </c>
      <c r="F104" s="11"/>
      <c r="G104" s="11"/>
      <c r="H104" s="11"/>
      <c r="I104" s="11"/>
      <c r="J104" s="11" t="str">
        <f t="shared" si="2"/>
        <v/>
      </c>
      <c r="K104" s="149" t="str">
        <f t="shared" si="3"/>
        <v/>
      </c>
      <c r="L104" s="1" t="str">
        <f t="shared" si="4"/>
        <v/>
      </c>
      <c r="M104" s="4" t="str">
        <f t="shared" si="5"/>
        <v/>
      </c>
      <c r="N104" s="17" t="str">
        <f>if(M104&lt;&gt;"",'Actuals - Billing - 2025'!BG336,"")</f>
        <v/>
      </c>
    </row>
    <row r="105">
      <c r="A105" s="7" t="str">
        <f t="shared" si="1"/>
        <v/>
      </c>
      <c r="B105" s="8" t="str">
        <f>if(and('Actuals - Billing - 2025'!E$338=True,C105&lt;&gt;""),'Actuals - Billing - 2025'!C337,"")</f>
        <v/>
      </c>
      <c r="C105" s="9" t="str">
        <f>IF(sum('Actuals - Billing - 2025'!AL337:AM337)&gt;0,'Actuals - Billing - 2025'!B337,"")</f>
        <v/>
      </c>
      <c r="D105" s="148" t="str">
        <f>if(and(sum('Actuals - Billing - 2025'!AL337)&gt;0,C105&lt;&gt;""),'Actuals - Billing - 2025'!$AM$2,"")</f>
        <v/>
      </c>
      <c r="E105" s="11" t="str">
        <f t="array" ref="E105">if($D105="","",index('Actuals - Billing - 2025'!$B105:$AZ1003,Match($C105,'Actuals - Billing - 2025'!$B105:$B1003,0),Match(E$1,'Actuals - Billing - 2025'!$B$2:$AZ$2,0)))</f>
        <v/>
      </c>
      <c r="F105" s="11"/>
      <c r="G105" s="11"/>
      <c r="H105" s="11"/>
      <c r="I105" s="11"/>
      <c r="J105" s="11" t="str">
        <f t="shared" si="2"/>
        <v/>
      </c>
      <c r="K105" s="149" t="str">
        <f t="shared" si="3"/>
        <v/>
      </c>
      <c r="L105" s="1" t="str">
        <f t="shared" si="4"/>
        <v/>
      </c>
      <c r="M105" s="4" t="str">
        <f t="shared" si="5"/>
        <v/>
      </c>
      <c r="N105" s="17" t="str">
        <f>if(M105&lt;&gt;"",'Actuals - Billing - 2025'!BG337,"")</f>
        <v/>
      </c>
    </row>
    <row r="106">
      <c r="A106" s="7" t="str">
        <f t="shared" si="1"/>
        <v/>
      </c>
      <c r="B106" s="8" t="str">
        <f>if(and('Actuals - Billing - 2025'!E$338=True,C106&lt;&gt;""),'Actuals - Billing - 2025'!C338,"")</f>
        <v/>
      </c>
      <c r="C106" s="9" t="str">
        <f>IF(sum('Actuals - Billing - 2025'!AL338:AM338)&gt;0,'Actuals - Billing - 2025'!B338,"")</f>
        <v/>
      </c>
      <c r="D106" s="148" t="str">
        <f>if(and(sum('Actuals - Billing - 2025'!AL338)&gt;0,C106&lt;&gt;""),'Actuals - Billing - 2025'!$AM$2,"")</f>
        <v/>
      </c>
      <c r="E106" s="11" t="str">
        <f t="array" ref="E106">if($D106="","",index('Actuals - Billing - 2025'!$B106:$AZ1004,Match($C106,'Actuals - Billing - 2025'!$B106:$B1004,0),Match(E$1,'Actuals - Billing - 2025'!$B$2:$AZ$2,0)))</f>
        <v/>
      </c>
      <c r="F106" s="11"/>
      <c r="G106" s="11"/>
      <c r="H106" s="11"/>
      <c r="I106" s="11"/>
      <c r="J106" s="11" t="str">
        <f t="shared" si="2"/>
        <v/>
      </c>
      <c r="K106" s="149" t="str">
        <f t="shared" si="3"/>
        <v/>
      </c>
      <c r="L106" s="1" t="str">
        <f t="shared" si="4"/>
        <v/>
      </c>
      <c r="M106" s="4" t="str">
        <f t="shared" si="5"/>
        <v/>
      </c>
      <c r="N106" s="17" t="str">
        <f>if(M106&lt;&gt;"",'Actuals - Billing - 2025'!BG338,"")</f>
        <v/>
      </c>
    </row>
    <row r="107">
      <c r="A107" s="7" t="str">
        <f t="shared" si="1"/>
        <v/>
      </c>
      <c r="B107" s="8" t="str">
        <f>if(and('Actuals - Billing - 2025'!E$345=True,C107&lt;&gt;""),'Actuals - Billing - 2025'!C339,"")</f>
        <v/>
      </c>
      <c r="C107" s="9" t="str">
        <f>IF(sum('Actuals - Billing - 2025'!AL339:AM339)&gt;0,'Actuals - Billing - 2025'!B339,"")</f>
        <v/>
      </c>
      <c r="D107" s="148" t="str">
        <f>if(and(sum('Actuals - Billing - 2025'!AL339)&gt;0,C107&lt;&gt;""),'Actuals - Billing - 2025'!$AM$2,"")</f>
        <v/>
      </c>
      <c r="E107" s="11" t="str">
        <f t="array" ref="E107">if($D107="","",index('Actuals - Billing - 2025'!$B107:$AZ1005,Match($C107,'Actuals - Billing - 2025'!$B107:$B1005,0),Match(E$1,'Actuals - Billing - 2025'!$B$2:$AZ$2,0)))</f>
        <v/>
      </c>
      <c r="F107" s="11"/>
      <c r="G107" s="11"/>
      <c r="H107" s="11"/>
      <c r="I107" s="11"/>
      <c r="J107" s="11" t="str">
        <f t="shared" si="2"/>
        <v/>
      </c>
      <c r="K107" s="149" t="str">
        <f t="shared" si="3"/>
        <v/>
      </c>
      <c r="L107" s="1" t="str">
        <f t="shared" si="4"/>
        <v/>
      </c>
      <c r="M107" s="4" t="str">
        <f t="shared" si="5"/>
        <v/>
      </c>
      <c r="N107" s="17" t="str">
        <f>if(M107&lt;&gt;"",'Actuals - Billing - 2025'!BG339,"")</f>
        <v/>
      </c>
    </row>
    <row r="108">
      <c r="A108" s="7" t="str">
        <f t="shared" si="1"/>
        <v/>
      </c>
      <c r="B108" s="8" t="str">
        <f>if(and('Actuals - Billing - 2025'!E$345=True,C108&lt;&gt;""),'Actuals - Billing - 2025'!C340,"")</f>
        <v/>
      </c>
      <c r="C108" s="9" t="str">
        <f>IF(sum('Actuals - Billing - 2025'!AL340:AM340)&gt;0,'Actuals - Billing - 2025'!B340,"")</f>
        <v/>
      </c>
      <c r="D108" s="148" t="str">
        <f>if(and(sum('Actuals - Billing - 2025'!AL340)&gt;0,C108&lt;&gt;""),'Actuals - Billing - 2025'!$AM$2,"")</f>
        <v/>
      </c>
      <c r="E108" s="11" t="str">
        <f t="array" ref="E108">if($D108="","",index('Actuals - Billing - 2025'!$B108:$AZ1006,Match($C108,'Actuals - Billing - 2025'!$B108:$B1006,0),Match(E$1,'Actuals - Billing - 2025'!$B$2:$AZ$2,0)))</f>
        <v/>
      </c>
      <c r="F108" s="11"/>
      <c r="G108" s="11"/>
      <c r="H108" s="11"/>
      <c r="I108" s="11"/>
      <c r="J108" s="11" t="str">
        <f t="shared" si="2"/>
        <v/>
      </c>
      <c r="K108" s="149" t="str">
        <f t="shared" si="3"/>
        <v/>
      </c>
      <c r="L108" s="1" t="str">
        <f t="shared" si="4"/>
        <v/>
      </c>
      <c r="M108" s="4" t="str">
        <f t="shared" si="5"/>
        <v/>
      </c>
      <c r="N108" s="17" t="str">
        <f>if(M108&lt;&gt;"",'Actuals - Billing - 2025'!BG340,"")</f>
        <v/>
      </c>
    </row>
    <row r="109">
      <c r="A109" s="7" t="str">
        <f t="shared" si="1"/>
        <v/>
      </c>
      <c r="B109" s="8" t="str">
        <f>if(and('Actuals - Billing - 2025'!E$345=True,C109&lt;&gt;""),'Actuals - Billing - 2025'!C341,"")</f>
        <v/>
      </c>
      <c r="C109" s="9" t="str">
        <f>IF(sum('Actuals - Billing - 2025'!AL341:AM341)&gt;0,'Actuals - Billing - 2025'!B341,"")</f>
        <v/>
      </c>
      <c r="D109" s="148" t="str">
        <f>if(and(sum('Actuals - Billing - 2025'!AL341)&gt;0,C109&lt;&gt;""),'Actuals - Billing - 2025'!$AM$2,"")</f>
        <v/>
      </c>
      <c r="E109" s="11" t="str">
        <f t="array" ref="E109">if($D109="","",index('Actuals - Billing - 2025'!$B109:$AZ1007,Match($C109,'Actuals - Billing - 2025'!$B109:$B1007,0),Match(E$1,'Actuals - Billing - 2025'!$B$2:$AZ$2,0)))</f>
        <v/>
      </c>
      <c r="F109" s="11"/>
      <c r="G109" s="11"/>
      <c r="H109" s="11"/>
      <c r="I109" s="11"/>
      <c r="J109" s="11" t="str">
        <f t="shared" si="2"/>
        <v/>
      </c>
      <c r="K109" s="149" t="str">
        <f t="shared" si="3"/>
        <v/>
      </c>
      <c r="L109" s="1" t="str">
        <f t="shared" si="4"/>
        <v/>
      </c>
      <c r="M109" s="4" t="str">
        <f t="shared" si="5"/>
        <v/>
      </c>
      <c r="N109" s="17" t="str">
        <f>if(M109&lt;&gt;"",'Actuals - Billing - 2025'!BG341,"")</f>
        <v/>
      </c>
    </row>
    <row r="110">
      <c r="A110" s="7" t="str">
        <f t="shared" si="1"/>
        <v/>
      </c>
      <c r="B110" s="8" t="str">
        <f>if(and('Actuals - Billing - 2025'!E$345=True,C110&lt;&gt;""),'Actuals - Billing - 2025'!C342,"")</f>
        <v/>
      </c>
      <c r="C110" s="9" t="str">
        <f>IF(sum('Actuals - Billing - 2025'!AL342:AM342)&gt;0,'Actuals - Billing - 2025'!B342,"")</f>
        <v/>
      </c>
      <c r="D110" s="148" t="str">
        <f>if(and(sum('Actuals - Billing - 2025'!AL342)&gt;0,C110&lt;&gt;""),'Actuals - Billing - 2025'!$AM$2,"")</f>
        <v/>
      </c>
      <c r="E110" s="11" t="str">
        <f t="array" ref="E110">if($D110="","",index('Actuals - Billing - 2025'!$B110:$AZ1008,Match($C110,'Actuals - Billing - 2025'!$B110:$B1008,0),Match(E$1,'Actuals - Billing - 2025'!$B$2:$AZ$2,0)))</f>
        <v/>
      </c>
      <c r="F110" s="11"/>
      <c r="G110" s="11"/>
      <c r="H110" s="11"/>
      <c r="I110" s="11"/>
      <c r="J110" s="11" t="str">
        <f t="shared" si="2"/>
        <v/>
      </c>
      <c r="K110" s="149" t="str">
        <f t="shared" si="3"/>
        <v/>
      </c>
      <c r="L110" s="1" t="str">
        <f t="shared" si="4"/>
        <v/>
      </c>
      <c r="M110" s="4" t="str">
        <f t="shared" si="5"/>
        <v/>
      </c>
      <c r="N110" s="17" t="str">
        <f>if(M110&lt;&gt;"",'Actuals - Billing - 2025'!BG342,"")</f>
        <v/>
      </c>
    </row>
    <row r="111">
      <c r="A111" s="7" t="str">
        <f t="shared" si="1"/>
        <v/>
      </c>
      <c r="B111" s="8" t="str">
        <f>if(and('Actuals - Billing - 2025'!E$345=True,C111&lt;&gt;""),'Actuals - Billing - 2025'!C343,"")</f>
        <v/>
      </c>
      <c r="C111" s="9" t="str">
        <f>IF(sum('Actuals - Billing - 2025'!AL343:AM343)&gt;0,'Actuals - Billing - 2025'!B343,"")</f>
        <v/>
      </c>
      <c r="D111" s="148" t="str">
        <f>if(and(sum('Actuals - Billing - 2025'!AL343)&gt;0,C111&lt;&gt;""),'Actuals - Billing - 2025'!$AM$2,"")</f>
        <v/>
      </c>
      <c r="E111" s="11" t="str">
        <f t="array" ref="E111">if($D111="","",index('Actuals - Billing - 2025'!$B111:$AZ1009,Match($C111,'Actuals - Billing - 2025'!$B111:$B1009,0),Match(E$1,'Actuals - Billing - 2025'!$B$2:$AZ$2,0)))</f>
        <v/>
      </c>
      <c r="F111" s="11"/>
      <c r="G111" s="11"/>
      <c r="H111" s="11"/>
      <c r="I111" s="11"/>
      <c r="J111" s="11" t="str">
        <f t="shared" si="2"/>
        <v/>
      </c>
      <c r="K111" s="149" t="str">
        <f t="shared" si="3"/>
        <v/>
      </c>
      <c r="L111" s="1" t="str">
        <f t="shared" si="4"/>
        <v/>
      </c>
      <c r="M111" s="4" t="str">
        <f t="shared" si="5"/>
        <v/>
      </c>
      <c r="N111" s="17" t="str">
        <f>if(M111&lt;&gt;"",'Actuals - Billing - 2025'!BG343,"")</f>
        <v/>
      </c>
    </row>
    <row r="112">
      <c r="A112" s="7" t="str">
        <f t="shared" si="1"/>
        <v/>
      </c>
      <c r="B112" s="8" t="str">
        <f>if(and('Actuals - Billing - 2025'!E$345=True,C112&lt;&gt;""),'Actuals - Billing - 2025'!C344,"")</f>
        <v/>
      </c>
      <c r="C112" s="9" t="str">
        <f>IF(sum('Actuals - Billing - 2025'!AL344:AM344)&gt;0,'Actuals - Billing - 2025'!B344,"")</f>
        <v/>
      </c>
      <c r="D112" s="148" t="str">
        <f>if(and(sum('Actuals - Billing - 2025'!AL344)&gt;0,C112&lt;&gt;""),'Actuals - Billing - 2025'!$AM$2,"")</f>
        <v/>
      </c>
      <c r="E112" s="11" t="str">
        <f t="array" ref="E112">if($D112="","",index('Actuals - Billing - 2025'!$B112:$AZ1010,Match($C112,'Actuals - Billing - 2025'!$B112:$B1010,0),Match(E$1,'Actuals - Billing - 2025'!$B$2:$AZ$2,0)))</f>
        <v/>
      </c>
      <c r="F112" s="11"/>
      <c r="G112" s="11"/>
      <c r="H112" s="11"/>
      <c r="I112" s="11"/>
      <c r="J112" s="11" t="str">
        <f t="shared" si="2"/>
        <v/>
      </c>
      <c r="K112" s="149" t="str">
        <f t="shared" si="3"/>
        <v/>
      </c>
      <c r="L112" s="1" t="str">
        <f t="shared" si="4"/>
        <v/>
      </c>
      <c r="M112" s="4" t="str">
        <f t="shared" si="5"/>
        <v/>
      </c>
      <c r="N112" s="17" t="str">
        <f>if(M112&lt;&gt;"",'Actuals - Billing - 2025'!BG344,"")</f>
        <v/>
      </c>
    </row>
    <row r="113">
      <c r="A113" s="7" t="str">
        <f t="shared" si="1"/>
        <v/>
      </c>
      <c r="B113" s="8" t="str">
        <f>if(and('Actuals - Billing - 2025'!E$345=True,C113&lt;&gt;""),'Actuals - Billing - 2025'!C345,"")</f>
        <v/>
      </c>
      <c r="C113" s="9" t="str">
        <f>IF(sum('Actuals - Billing - 2025'!AL345:AM345)&gt;0,'Actuals - Billing - 2025'!B345,"")</f>
        <v/>
      </c>
      <c r="D113" s="148" t="str">
        <f>if(and(sum('Actuals - Billing - 2025'!AL345)&gt;0,C113&lt;&gt;""),'Actuals - Billing - 2025'!$AM$2,"")</f>
        <v/>
      </c>
      <c r="E113" s="11" t="str">
        <f t="array" ref="E113">if($D113="","",index('Actuals - Billing - 2025'!$B113:$AZ1011,Match($C113,'Actuals - Billing - 2025'!$B113:$B1011,0),Match(E$1,'Actuals - Billing - 2025'!$B$2:$AZ$2,0)))</f>
        <v/>
      </c>
      <c r="F113" s="11"/>
      <c r="G113" s="11"/>
      <c r="H113" s="11"/>
      <c r="I113" s="11"/>
      <c r="J113" s="11" t="str">
        <f t="shared" si="2"/>
        <v/>
      </c>
      <c r="K113" s="149" t="str">
        <f t="shared" si="3"/>
        <v/>
      </c>
      <c r="L113" s="1" t="str">
        <f t="shared" si="4"/>
        <v/>
      </c>
      <c r="M113" s="4" t="str">
        <f t="shared" si="5"/>
        <v/>
      </c>
      <c r="N113" s="17" t="str">
        <f>if(M113&lt;&gt;"",'Actuals - Billing - 2025'!BG345,"")</f>
        <v/>
      </c>
    </row>
    <row r="114">
      <c r="A114" s="7" t="str">
        <f t="shared" si="1"/>
        <v/>
      </c>
      <c r="B114" s="8" t="str">
        <f>if(and('Actuals - Billing - 2025'!E$352=True,C114&lt;&gt;""),'Actuals - Billing - 2025'!C346,"")</f>
        <v/>
      </c>
      <c r="C114" s="9" t="str">
        <f>IF(sum('Actuals - Billing - 2025'!AL346:AM346)&gt;0,'Actuals - Billing - 2025'!B346,"")</f>
        <v/>
      </c>
      <c r="D114" s="148" t="str">
        <f>if(and(sum('Actuals - Billing - 2025'!AL346)&gt;0,C114&lt;&gt;""),'Actuals - Billing - 2025'!$AM$2,"")</f>
        <v/>
      </c>
      <c r="E114" s="11" t="str">
        <f t="array" ref="E114">if($D114="","",index('Actuals - Billing - 2025'!$B114:$AZ1012,Match($C114,'Actuals - Billing - 2025'!$B114:$B1012,0),Match(E$1,'Actuals - Billing - 2025'!$B$2:$AZ$2,0)))</f>
        <v/>
      </c>
      <c r="F114" s="11"/>
      <c r="G114" s="11"/>
      <c r="H114" s="11"/>
      <c r="I114" s="11"/>
      <c r="J114" s="11" t="str">
        <f t="shared" si="2"/>
        <v/>
      </c>
      <c r="K114" s="149" t="str">
        <f t="shared" si="3"/>
        <v/>
      </c>
      <c r="L114" s="1" t="str">
        <f t="shared" si="4"/>
        <v/>
      </c>
      <c r="M114" s="4" t="str">
        <f t="shared" si="5"/>
        <v/>
      </c>
      <c r="N114" s="17" t="str">
        <f>if(M114&lt;&gt;"",'Actuals - Billing - 2025'!BG346,"")</f>
        <v/>
      </c>
    </row>
    <row r="115">
      <c r="A115" s="7" t="str">
        <f t="shared" si="1"/>
        <v/>
      </c>
      <c r="B115" s="8" t="str">
        <f>if(and('Actuals - Billing - 2025'!E$352=True,C115&lt;&gt;""),'Actuals - Billing - 2025'!C347,"")</f>
        <v/>
      </c>
      <c r="C115" s="9" t="str">
        <f>IF(sum('Actuals - Billing - 2025'!AL347:AM347)&gt;0,'Actuals - Billing - 2025'!B347,"")</f>
        <v/>
      </c>
      <c r="D115" s="148" t="str">
        <f>if(and(sum('Actuals - Billing - 2025'!AL347)&gt;0,C115&lt;&gt;""),'Actuals - Billing - 2025'!$AM$2,"")</f>
        <v/>
      </c>
      <c r="E115" s="11" t="str">
        <f t="array" ref="E115">if($D115="","",index('Actuals - Billing - 2025'!$B115:$AZ1013,Match($C115,'Actuals - Billing - 2025'!$B115:$B1013,0),Match(E$1,'Actuals - Billing - 2025'!$B$2:$AZ$2,0)))</f>
        <v/>
      </c>
      <c r="F115" s="11"/>
      <c r="G115" s="11"/>
      <c r="H115" s="11"/>
      <c r="I115" s="11"/>
      <c r="J115" s="11" t="str">
        <f t="shared" si="2"/>
        <v/>
      </c>
      <c r="K115" s="149" t="str">
        <f t="shared" si="3"/>
        <v/>
      </c>
      <c r="L115" s="1" t="str">
        <f t="shared" si="4"/>
        <v/>
      </c>
      <c r="M115" s="4" t="str">
        <f t="shared" si="5"/>
        <v/>
      </c>
      <c r="N115" s="17" t="str">
        <f>if(M115&lt;&gt;"",'Actuals - Billing - 2025'!BG347,"")</f>
        <v/>
      </c>
    </row>
    <row r="116">
      <c r="A116" s="7" t="str">
        <f t="shared" si="1"/>
        <v/>
      </c>
      <c r="B116" s="8" t="str">
        <f>if(and('Actuals - Billing - 2025'!E$352=True,C116&lt;&gt;""),'Actuals - Billing - 2025'!C348,"")</f>
        <v/>
      </c>
      <c r="C116" s="9" t="str">
        <f>IF(sum('Actuals - Billing - 2025'!AL348:AM348)&gt;0,'Actuals - Billing - 2025'!B348,"")</f>
        <v/>
      </c>
      <c r="D116" s="148" t="str">
        <f>if(and(sum('Actuals - Billing - 2025'!AL348)&gt;0,C116&lt;&gt;""),'Actuals - Billing - 2025'!$AM$2,"")</f>
        <v/>
      </c>
      <c r="E116" s="11" t="str">
        <f t="array" ref="E116">if($D116="","",index('Actuals - Billing - 2025'!$B116:$AZ1014,Match($C116,'Actuals - Billing - 2025'!$B116:$B1014,0),Match(E$1,'Actuals - Billing - 2025'!$B$2:$AZ$2,0)))</f>
        <v/>
      </c>
      <c r="F116" s="11"/>
      <c r="G116" s="11"/>
      <c r="H116" s="11"/>
      <c r="I116" s="11"/>
      <c r="J116" s="11" t="str">
        <f t="shared" si="2"/>
        <v/>
      </c>
      <c r="K116" s="149" t="str">
        <f t="shared" si="3"/>
        <v/>
      </c>
      <c r="L116" s="1" t="str">
        <f t="shared" si="4"/>
        <v/>
      </c>
      <c r="M116" s="4" t="str">
        <f t="shared" si="5"/>
        <v/>
      </c>
      <c r="N116" s="17" t="str">
        <f>if(M116&lt;&gt;"",'Actuals - Billing - 2025'!BG348,"")</f>
        <v/>
      </c>
    </row>
    <row r="117">
      <c r="A117" s="7" t="str">
        <f t="shared" si="1"/>
        <v/>
      </c>
      <c r="B117" s="8" t="str">
        <f>if(and('Actuals - Billing - 2025'!E$352=True,C117&lt;&gt;""),'Actuals - Billing - 2025'!C349,"")</f>
        <v/>
      </c>
      <c r="C117" s="9" t="str">
        <f>IF(sum('Actuals - Billing - 2025'!AL349:AM349)&gt;0,'Actuals - Billing - 2025'!B349,"")</f>
        <v/>
      </c>
      <c r="D117" s="148" t="str">
        <f>if(and(sum('Actuals - Billing - 2025'!AL349)&gt;0,C117&lt;&gt;""),'Actuals - Billing - 2025'!$AM$2,"")</f>
        <v/>
      </c>
      <c r="E117" s="11" t="str">
        <f t="array" ref="E117">if($D117="","",index('Actuals - Billing - 2025'!$B117:$AZ1015,Match($C117,'Actuals - Billing - 2025'!$B117:$B1015,0),Match(E$1,'Actuals - Billing - 2025'!$B$2:$AZ$2,0)))</f>
        <v/>
      </c>
      <c r="F117" s="11"/>
      <c r="G117" s="11"/>
      <c r="H117" s="11"/>
      <c r="I117" s="11"/>
      <c r="J117" s="11" t="str">
        <f t="shared" si="2"/>
        <v/>
      </c>
      <c r="K117" s="149" t="str">
        <f t="shared" si="3"/>
        <v/>
      </c>
      <c r="L117" s="1" t="str">
        <f t="shared" si="4"/>
        <v/>
      </c>
      <c r="M117" s="4" t="str">
        <f t="shared" si="5"/>
        <v/>
      </c>
      <c r="N117" s="17" t="str">
        <f>if(M117&lt;&gt;"",'Actuals - Billing - 2025'!BG349,"")</f>
        <v/>
      </c>
    </row>
    <row r="118">
      <c r="A118" s="7" t="str">
        <f t="shared" si="1"/>
        <v/>
      </c>
      <c r="B118" s="8" t="str">
        <f>if(and('Actuals - Billing - 2025'!E$352=True,C118&lt;&gt;""),'Actuals - Billing - 2025'!C350,"")</f>
        <v/>
      </c>
      <c r="C118" s="9" t="str">
        <f>IF(sum('Actuals - Billing - 2025'!AL350:AM350)&gt;0,'Actuals - Billing - 2025'!B350,"")</f>
        <v/>
      </c>
      <c r="D118" s="148" t="str">
        <f>if(and(sum('Actuals - Billing - 2025'!AL350)&gt;0,C118&lt;&gt;""),'Actuals - Billing - 2025'!$AM$2,"")</f>
        <v/>
      </c>
      <c r="E118" s="11" t="str">
        <f t="array" ref="E118">if($D118="","",index('Actuals - Billing - 2025'!$B118:$AZ1016,Match($C118,'Actuals - Billing - 2025'!$B118:$B1016,0),Match(E$1,'Actuals - Billing - 2025'!$B$2:$AZ$2,0)))</f>
        <v/>
      </c>
      <c r="F118" s="11"/>
      <c r="G118" s="11"/>
      <c r="H118" s="11"/>
      <c r="I118" s="11"/>
      <c r="J118" s="11" t="str">
        <f t="shared" si="2"/>
        <v/>
      </c>
      <c r="K118" s="149" t="str">
        <f t="shared" si="3"/>
        <v/>
      </c>
      <c r="L118" s="1" t="str">
        <f t="shared" si="4"/>
        <v/>
      </c>
      <c r="M118" s="4" t="str">
        <f t="shared" si="5"/>
        <v/>
      </c>
      <c r="N118" s="17" t="str">
        <f>if(M118&lt;&gt;"",'Actuals - Billing - 2025'!BG350,"")</f>
        <v/>
      </c>
    </row>
    <row r="119">
      <c r="A119" s="7" t="str">
        <f t="shared" si="1"/>
        <v/>
      </c>
      <c r="B119" s="8" t="str">
        <f>if(and('Actuals - Billing - 2025'!E$352=True,C119&lt;&gt;""),'Actuals - Billing - 2025'!C351,"")</f>
        <v/>
      </c>
      <c r="C119" s="9" t="str">
        <f>IF(sum('Actuals - Billing - 2025'!AL351:AM351)&gt;0,'Actuals - Billing - 2025'!B351,"")</f>
        <v/>
      </c>
      <c r="D119" s="148" t="str">
        <f>if(and(sum('Actuals - Billing - 2025'!AL351)&gt;0,C119&lt;&gt;""),'Actuals - Billing - 2025'!$AM$2,"")</f>
        <v/>
      </c>
      <c r="E119" s="11" t="str">
        <f t="array" ref="E119">if($D119="","",index('Actuals - Billing - 2025'!$B119:$AZ1017,Match($C119,'Actuals - Billing - 2025'!$B119:$B1017,0),Match(E$1,'Actuals - Billing - 2025'!$B$2:$AZ$2,0)))</f>
        <v/>
      </c>
      <c r="F119" s="11"/>
      <c r="G119" s="11"/>
      <c r="H119" s="11"/>
      <c r="I119" s="11"/>
      <c r="J119" s="11" t="str">
        <f t="shared" si="2"/>
        <v/>
      </c>
      <c r="K119" s="149" t="str">
        <f t="shared" si="3"/>
        <v/>
      </c>
      <c r="L119" s="1" t="str">
        <f t="shared" si="4"/>
        <v/>
      </c>
      <c r="M119" s="4" t="str">
        <f t="shared" si="5"/>
        <v/>
      </c>
      <c r="N119" s="17" t="str">
        <f>if(M119&lt;&gt;"",'Actuals - Billing - 2025'!BG351,"")</f>
        <v/>
      </c>
    </row>
    <row r="120">
      <c r="A120" s="7" t="str">
        <f t="shared" si="1"/>
        <v/>
      </c>
      <c r="B120" s="8" t="str">
        <f>if(and('Actuals - Billing - 2025'!E$352=True,C120&lt;&gt;""),'Actuals - Billing - 2025'!C352,"")</f>
        <v/>
      </c>
      <c r="C120" s="9" t="str">
        <f>IF(sum('Actuals - Billing - 2025'!AL352:AM352)&gt;0,'Actuals - Billing - 2025'!B352,"")</f>
        <v/>
      </c>
      <c r="D120" s="148" t="str">
        <f>if(and(sum('Actuals - Billing - 2025'!AL352)&gt;0,C120&lt;&gt;""),'Actuals - Billing - 2025'!$AM$2,"")</f>
        <v/>
      </c>
      <c r="E120" s="11" t="str">
        <f t="array" ref="E120">if($D120="","",index('Actuals - Billing - 2025'!$B120:$AZ1018,Match($C120,'Actuals - Billing - 2025'!$B120:$B1018,0),Match(E$1,'Actuals - Billing - 2025'!$B$2:$AZ$2,0)))</f>
        <v/>
      </c>
      <c r="F120" s="11"/>
      <c r="G120" s="11"/>
      <c r="H120" s="11"/>
      <c r="I120" s="11"/>
      <c r="J120" s="11" t="str">
        <f t="shared" si="2"/>
        <v/>
      </c>
      <c r="K120" s="149" t="str">
        <f t="shared" si="3"/>
        <v/>
      </c>
      <c r="L120" s="1" t="str">
        <f t="shared" si="4"/>
        <v/>
      </c>
      <c r="M120" s="4" t="str">
        <f t="shared" si="5"/>
        <v/>
      </c>
      <c r="N120" s="17" t="str">
        <f>if(M120&lt;&gt;"",'Actuals - Billing - 2025'!BG352,"")</f>
        <v/>
      </c>
    </row>
    <row r="121">
      <c r="A121" s="7" t="str">
        <f t="shared" si="1"/>
        <v/>
      </c>
      <c r="B121" s="8" t="str">
        <f>if(and('Actuals - Billing - 2025'!E$359=True,C121&lt;&gt;""),'Actuals - Billing - 2025'!C353,"")</f>
        <v/>
      </c>
      <c r="C121" s="9" t="str">
        <f>IF(sum('Actuals - Billing - 2025'!AL353:AM353)&gt;0,'Actuals - Billing - 2025'!B353,"")</f>
        <v/>
      </c>
      <c r="D121" s="148" t="str">
        <f>if(and(sum('Actuals - Billing - 2025'!AL353)&gt;0,C121&lt;&gt;""),'Actuals - Billing - 2025'!$AM$2,"")</f>
        <v/>
      </c>
      <c r="E121" s="11" t="str">
        <f t="array" ref="E121">if($D121="","",index('Actuals - Billing - 2025'!$B121:$AZ1019,Match($C121,'Actuals - Billing - 2025'!$B121:$B1019,0),Match(E$1,'Actuals - Billing - 2025'!$B$2:$AZ$2,0)))</f>
        <v/>
      </c>
      <c r="F121" s="11"/>
      <c r="G121" s="11"/>
      <c r="H121" s="11"/>
      <c r="I121" s="11"/>
      <c r="J121" s="11" t="str">
        <f t="shared" si="2"/>
        <v/>
      </c>
      <c r="K121" s="149" t="str">
        <f t="shared" si="3"/>
        <v/>
      </c>
      <c r="L121" s="1" t="str">
        <f t="shared" si="4"/>
        <v/>
      </c>
      <c r="M121" s="4" t="str">
        <f t="shared" si="5"/>
        <v/>
      </c>
      <c r="N121" s="17" t="str">
        <f>if(M121&lt;&gt;"",'Actuals - Billing - 2025'!BG353,"")</f>
        <v/>
      </c>
    </row>
    <row r="122">
      <c r="A122" s="7" t="str">
        <f t="shared" si="1"/>
        <v/>
      </c>
      <c r="B122" s="8" t="str">
        <f>if(and('Actuals - Billing - 2025'!E$359=True,C122&lt;&gt;""),'Actuals - Billing - 2025'!C354,"")</f>
        <v/>
      </c>
      <c r="C122" s="9" t="str">
        <f>IF(sum('Actuals - Billing - 2025'!AL354:AM354)&gt;0,'Actuals - Billing - 2025'!B354,"")</f>
        <v/>
      </c>
      <c r="D122" s="148" t="str">
        <f>if(and(sum('Actuals - Billing - 2025'!AL354)&gt;0,C122&lt;&gt;""),'Actuals - Billing - 2025'!$AM$2,"")</f>
        <v/>
      </c>
      <c r="E122" s="11" t="str">
        <f t="array" ref="E122">if($D122="","",index('Actuals - Billing - 2025'!$B122:$AZ1020,Match($C122,'Actuals - Billing - 2025'!$B122:$B1020,0),Match(E$1,'Actuals - Billing - 2025'!$B$2:$AZ$2,0)))</f>
        <v/>
      </c>
      <c r="F122" s="11"/>
      <c r="G122" s="11"/>
      <c r="H122" s="11"/>
      <c r="I122" s="11"/>
      <c r="J122" s="11" t="str">
        <f t="shared" si="2"/>
        <v/>
      </c>
      <c r="K122" s="149" t="str">
        <f t="shared" si="3"/>
        <v/>
      </c>
      <c r="L122" s="1" t="str">
        <f t="shared" si="4"/>
        <v/>
      </c>
      <c r="M122" s="4" t="str">
        <f t="shared" si="5"/>
        <v/>
      </c>
      <c r="N122" s="17" t="str">
        <f>if(M122&lt;&gt;"",'Actuals - Billing - 2025'!BG354,"")</f>
        <v/>
      </c>
    </row>
    <row r="123">
      <c r="A123" s="7" t="str">
        <f t="shared" si="1"/>
        <v/>
      </c>
      <c r="B123" s="8" t="str">
        <f>if(and('Actuals - Billing - 2025'!E$359=True,C123&lt;&gt;""),'Actuals - Billing - 2025'!C355,"")</f>
        <v/>
      </c>
      <c r="C123" s="9" t="str">
        <f>IF(sum('Actuals - Billing - 2025'!AL355:AM355)&gt;0,'Actuals - Billing - 2025'!B355,"")</f>
        <v/>
      </c>
      <c r="D123" s="148" t="str">
        <f>if(and(sum('Actuals - Billing - 2025'!AL355)&gt;0,C123&lt;&gt;""),'Actuals - Billing - 2025'!$AM$2,"")</f>
        <v/>
      </c>
      <c r="E123" s="11" t="str">
        <f t="array" ref="E123">if($D123="","",index('Actuals - Billing - 2025'!$B123:$AZ1021,Match($C123,'Actuals - Billing - 2025'!$B123:$B1021,0),Match(E$1,'Actuals - Billing - 2025'!$B$2:$AZ$2,0)))</f>
        <v/>
      </c>
      <c r="F123" s="11"/>
      <c r="G123" s="11"/>
      <c r="H123" s="11"/>
      <c r="I123" s="11"/>
      <c r="J123" s="11" t="str">
        <f t="shared" si="2"/>
        <v/>
      </c>
      <c r="K123" s="149" t="str">
        <f t="shared" si="3"/>
        <v/>
      </c>
      <c r="L123" s="1" t="str">
        <f t="shared" si="4"/>
        <v/>
      </c>
      <c r="M123" s="4" t="str">
        <f t="shared" si="5"/>
        <v/>
      </c>
      <c r="N123" s="17" t="str">
        <f>if(M123&lt;&gt;"",'Actuals - Billing - 2025'!BG355,"")</f>
        <v/>
      </c>
    </row>
    <row r="124">
      <c r="A124" s="7" t="str">
        <f t="shared" si="1"/>
        <v/>
      </c>
      <c r="B124" s="8" t="str">
        <f>if(and('Actuals - Billing - 2025'!E$359=True,C124&lt;&gt;""),'Actuals - Billing - 2025'!C356,"")</f>
        <v/>
      </c>
      <c r="C124" s="9" t="str">
        <f>IF(sum('Actuals - Billing - 2025'!AL356:AM356)&gt;0,'Actuals - Billing - 2025'!B356,"")</f>
        <v/>
      </c>
      <c r="D124" s="148" t="str">
        <f>if(and(sum('Actuals - Billing - 2025'!AL356)&gt;0,C124&lt;&gt;""),'Actuals - Billing - 2025'!$AM$2,"")</f>
        <v/>
      </c>
      <c r="E124" s="11" t="str">
        <f t="array" ref="E124">if($D124="","",index('Actuals - Billing - 2025'!$B124:$AZ1022,Match($C124,'Actuals - Billing - 2025'!$B124:$B1022,0),Match(E$1,'Actuals - Billing - 2025'!$B$2:$AZ$2,0)))</f>
        <v/>
      </c>
      <c r="F124" s="11"/>
      <c r="G124" s="11"/>
      <c r="H124" s="11"/>
      <c r="I124" s="11"/>
      <c r="J124" s="11" t="str">
        <f t="shared" si="2"/>
        <v/>
      </c>
      <c r="K124" s="149" t="str">
        <f t="shared" si="3"/>
        <v/>
      </c>
      <c r="L124" s="1" t="str">
        <f t="shared" si="4"/>
        <v/>
      </c>
      <c r="M124" s="4" t="str">
        <f t="shared" si="5"/>
        <v/>
      </c>
      <c r="N124" s="17" t="str">
        <f>if(M124&lt;&gt;"",'Actuals - Billing - 2025'!BG356,"")</f>
        <v/>
      </c>
    </row>
    <row r="125">
      <c r="A125" s="7" t="str">
        <f t="shared" si="1"/>
        <v/>
      </c>
      <c r="B125" s="8" t="str">
        <f>if(and('Actuals - Billing - 2025'!E$359=True,C125&lt;&gt;""),'Actuals - Billing - 2025'!C357,"")</f>
        <v/>
      </c>
      <c r="C125" s="9" t="str">
        <f>IF(sum('Actuals - Billing - 2025'!AL357:AM357)&gt;0,'Actuals - Billing - 2025'!B357,"")</f>
        <v/>
      </c>
      <c r="D125" s="148" t="str">
        <f>if(and(sum('Actuals - Billing - 2025'!AL357)&gt;0,C125&lt;&gt;""),'Actuals - Billing - 2025'!$AM$2,"")</f>
        <v/>
      </c>
      <c r="E125" s="11" t="str">
        <f t="array" ref="E125">if($D125="","",index('Actuals - Billing - 2025'!$B125:$AZ1023,Match($C125,'Actuals - Billing - 2025'!$B125:$B1023,0),Match(E$1,'Actuals - Billing - 2025'!$B$2:$AZ$2,0)))</f>
        <v/>
      </c>
      <c r="F125" s="11"/>
      <c r="G125" s="11"/>
      <c r="H125" s="11"/>
      <c r="I125" s="11"/>
      <c r="J125" s="11" t="str">
        <f t="shared" si="2"/>
        <v/>
      </c>
      <c r="K125" s="149" t="str">
        <f t="shared" si="3"/>
        <v/>
      </c>
      <c r="L125" s="1" t="str">
        <f t="shared" si="4"/>
        <v/>
      </c>
      <c r="M125" s="4" t="str">
        <f t="shared" si="5"/>
        <v/>
      </c>
      <c r="N125" s="17" t="str">
        <f>if(M125&lt;&gt;"",'Actuals - Billing - 2025'!BG357,"")</f>
        <v/>
      </c>
    </row>
    <row r="126">
      <c r="A126" s="7" t="str">
        <f t="shared" si="1"/>
        <v/>
      </c>
      <c r="B126" s="8" t="str">
        <f>if(and('Actuals - Billing - 2025'!E$359=True,C126&lt;&gt;""),'Actuals - Billing - 2025'!C358,"")</f>
        <v/>
      </c>
      <c r="C126" s="9" t="str">
        <f>IF(sum('Actuals - Billing - 2025'!AL358:AM358)&gt;0,'Actuals - Billing - 2025'!B358,"")</f>
        <v/>
      </c>
      <c r="D126" s="148" t="str">
        <f>if(and(sum('Actuals - Billing - 2025'!AL358)&gt;0,C126&lt;&gt;""),'Actuals - Billing - 2025'!$AM$2,"")</f>
        <v/>
      </c>
      <c r="E126" s="11" t="str">
        <f t="array" ref="E126">if($D126="","",index('Actuals - Billing - 2025'!$B126:$AZ1024,Match($C126,'Actuals - Billing - 2025'!$B126:$B1024,0),Match(E$1,'Actuals - Billing - 2025'!$B$2:$AZ$2,0)))</f>
        <v/>
      </c>
      <c r="F126" s="11"/>
      <c r="G126" s="11"/>
      <c r="H126" s="11"/>
      <c r="I126" s="11"/>
      <c r="J126" s="11" t="str">
        <f t="shared" si="2"/>
        <v/>
      </c>
      <c r="K126" s="149" t="str">
        <f t="shared" si="3"/>
        <v/>
      </c>
      <c r="L126" s="1" t="str">
        <f t="shared" si="4"/>
        <v/>
      </c>
      <c r="M126" s="4" t="str">
        <f t="shared" si="5"/>
        <v/>
      </c>
      <c r="N126" s="17" t="str">
        <f>if(M126&lt;&gt;"",'Actuals - Billing - 2025'!BG358,"")</f>
        <v/>
      </c>
    </row>
    <row r="127">
      <c r="A127" s="7" t="str">
        <f t="shared" si="1"/>
        <v/>
      </c>
      <c r="B127" s="8" t="str">
        <f>if(and('Actuals - Billing - 2025'!E$359=True,C127&lt;&gt;""),'Actuals - Billing - 2025'!C359,"")</f>
        <v/>
      </c>
      <c r="C127" s="9" t="str">
        <f>IF(sum('Actuals - Billing - 2025'!AL359:AM359)&gt;0,'Actuals - Billing - 2025'!B359,"")</f>
        <v/>
      </c>
      <c r="D127" s="148" t="str">
        <f>if(and(sum('Actuals - Billing - 2025'!AL359)&gt;0,C127&lt;&gt;""),'Actuals - Billing - 2025'!$AM$2,"")</f>
        <v/>
      </c>
      <c r="E127" s="11" t="str">
        <f t="array" ref="E127">if($D127="","",index('Actuals - Billing - 2025'!$B127:$AZ1025,Match($C127,'Actuals - Billing - 2025'!$B127:$B1025,0),Match(E$1,'Actuals - Billing - 2025'!$B$2:$AZ$2,0)))</f>
        <v/>
      </c>
      <c r="F127" s="11"/>
      <c r="G127" s="11"/>
      <c r="H127" s="11"/>
      <c r="I127" s="11"/>
      <c r="J127" s="11" t="str">
        <f t="shared" si="2"/>
        <v/>
      </c>
      <c r="K127" s="149" t="str">
        <f t="shared" si="3"/>
        <v/>
      </c>
      <c r="L127" s="1" t="str">
        <f t="shared" si="4"/>
        <v/>
      </c>
      <c r="M127" s="4" t="str">
        <f t="shared" si="5"/>
        <v/>
      </c>
      <c r="N127" s="17" t="str">
        <f>if(M127&lt;&gt;"",'Actuals - Billing - 2025'!BG359,"")</f>
        <v/>
      </c>
    </row>
    <row r="128">
      <c r="A128" s="7" t="str">
        <f t="shared" si="1"/>
        <v/>
      </c>
      <c r="B128" s="8" t="str">
        <f>if(and('Actuals - Billing - 2025'!E$366=True,C128&lt;&gt;""),'Actuals - Billing - 2025'!C360,"")</f>
        <v/>
      </c>
      <c r="C128" s="9" t="str">
        <f>IF(sum('Actuals - Billing - 2025'!AL360:AM360)&gt;0,'Actuals - Billing - 2025'!B360,"")</f>
        <v/>
      </c>
      <c r="D128" s="148" t="str">
        <f>if(and(sum('Actuals - Billing - 2025'!AL360)&gt;0,C128&lt;&gt;""),'Actuals - Billing - 2025'!$AM$2,"")</f>
        <v/>
      </c>
      <c r="E128" s="11" t="str">
        <f t="array" ref="E128">if($D128="","",index('Actuals - Billing - 2025'!$B128:$AZ1026,Match($C128,'Actuals - Billing - 2025'!$B128:$B1026,0),Match(E$1,'Actuals - Billing - 2025'!$B$2:$AZ$2,0)))</f>
        <v/>
      </c>
      <c r="F128" s="11"/>
      <c r="G128" s="11"/>
      <c r="H128" s="11"/>
      <c r="I128" s="11"/>
      <c r="J128" s="11" t="str">
        <f t="shared" si="2"/>
        <v/>
      </c>
      <c r="K128" s="149" t="str">
        <f t="shared" si="3"/>
        <v/>
      </c>
      <c r="L128" s="1" t="str">
        <f t="shared" si="4"/>
        <v/>
      </c>
      <c r="M128" s="4" t="str">
        <f t="shared" si="5"/>
        <v/>
      </c>
      <c r="N128" s="17" t="str">
        <f>if(M128&lt;&gt;"",'Actuals - Billing - 2025'!BG360,"")</f>
        <v/>
      </c>
    </row>
    <row r="129">
      <c r="A129" s="7" t="str">
        <f t="shared" si="1"/>
        <v/>
      </c>
      <c r="B129" s="8" t="str">
        <f>if(and('Actuals - Billing - 2025'!E$366=True,C129&lt;&gt;""),'Actuals - Billing - 2025'!C361,"")</f>
        <v/>
      </c>
      <c r="C129" s="9" t="str">
        <f>IF(sum('Actuals - Billing - 2025'!AL361:AM361)&gt;0,'Actuals - Billing - 2025'!B361,"")</f>
        <v/>
      </c>
      <c r="D129" s="148" t="str">
        <f>if(and(sum('Actuals - Billing - 2025'!AL361)&gt;0,C129&lt;&gt;""),'Actuals - Billing - 2025'!$AM$2,"")</f>
        <v/>
      </c>
      <c r="E129" s="11" t="str">
        <f t="array" ref="E129">if($D129="","",index('Actuals - Billing - 2025'!$B129:$AZ1027,Match($C129,'Actuals - Billing - 2025'!$B129:$B1027,0),Match(E$1,'Actuals - Billing - 2025'!$B$2:$AZ$2,0)))</f>
        <v/>
      </c>
      <c r="F129" s="11"/>
      <c r="G129" s="11"/>
      <c r="H129" s="11"/>
      <c r="I129" s="11"/>
      <c r="J129" s="11" t="str">
        <f t="shared" si="2"/>
        <v/>
      </c>
      <c r="K129" s="149" t="str">
        <f t="shared" si="3"/>
        <v/>
      </c>
      <c r="L129" s="1" t="str">
        <f t="shared" si="4"/>
        <v/>
      </c>
      <c r="M129" s="4" t="str">
        <f t="shared" si="5"/>
        <v/>
      </c>
      <c r="N129" s="17" t="str">
        <f>if(M129&lt;&gt;"",'Actuals - Billing - 2025'!BG361,"")</f>
        <v/>
      </c>
    </row>
    <row r="130">
      <c r="A130" s="7" t="str">
        <f t="shared" si="1"/>
        <v/>
      </c>
      <c r="B130" s="8" t="str">
        <f>if(and('Actuals - Billing - 2025'!E$366=True,C130&lt;&gt;""),'Actuals - Billing - 2025'!C362,"")</f>
        <v/>
      </c>
      <c r="C130" s="9" t="str">
        <f>IF(sum('Actuals - Billing - 2025'!AL362:AM362)&gt;0,'Actuals - Billing - 2025'!B362,"")</f>
        <v/>
      </c>
      <c r="D130" s="148" t="str">
        <f>if(and(sum('Actuals - Billing - 2025'!AL362)&gt;0,C130&lt;&gt;""),'Actuals - Billing - 2025'!$AM$2,"")</f>
        <v/>
      </c>
      <c r="E130" s="11" t="str">
        <f t="array" ref="E130">if($D130="","",index('Actuals - Billing - 2025'!$B130:$AZ1028,Match($C130,'Actuals - Billing - 2025'!$B130:$B1028,0),Match(E$1,'Actuals - Billing - 2025'!$B$2:$AZ$2,0)))</f>
        <v/>
      </c>
      <c r="F130" s="11"/>
      <c r="G130" s="11"/>
      <c r="H130" s="11"/>
      <c r="I130" s="11"/>
      <c r="J130" s="11" t="str">
        <f t="shared" si="2"/>
        <v/>
      </c>
      <c r="K130" s="149" t="str">
        <f t="shared" si="3"/>
        <v/>
      </c>
      <c r="L130" s="1" t="str">
        <f t="shared" si="4"/>
        <v/>
      </c>
      <c r="M130" s="4" t="str">
        <f t="shared" si="5"/>
        <v/>
      </c>
      <c r="N130" s="17" t="str">
        <f>if(M130&lt;&gt;"",'Actuals - Billing - 2025'!BG362,"")</f>
        <v/>
      </c>
    </row>
    <row r="131">
      <c r="A131" s="7" t="str">
        <f t="shared" si="1"/>
        <v/>
      </c>
      <c r="B131" s="8" t="str">
        <f>if(and('Actuals - Billing - 2025'!E$366=True,C131&lt;&gt;""),'Actuals - Billing - 2025'!C363,"")</f>
        <v/>
      </c>
      <c r="C131" s="9" t="str">
        <f>IF(sum('Actuals - Billing - 2025'!AL363:AM363)&gt;0,'Actuals - Billing - 2025'!B363,"")</f>
        <v/>
      </c>
      <c r="D131" s="148" t="str">
        <f>if(and(sum('Actuals - Billing - 2025'!AL363)&gt;0,C131&lt;&gt;""),'Actuals - Billing - 2025'!$AM$2,"")</f>
        <v/>
      </c>
      <c r="E131" s="11" t="str">
        <f t="array" ref="E131">if($D131="","",index('Actuals - Billing - 2025'!$B131:$AZ1029,Match($C131,'Actuals - Billing - 2025'!$B131:$B1029,0),Match(E$1,'Actuals - Billing - 2025'!$B$2:$AZ$2,0)))</f>
        <v/>
      </c>
      <c r="F131" s="11"/>
      <c r="G131" s="11"/>
      <c r="H131" s="11"/>
      <c r="I131" s="11"/>
      <c r="J131" s="11" t="str">
        <f t="shared" si="2"/>
        <v/>
      </c>
      <c r="K131" s="149" t="str">
        <f t="shared" si="3"/>
        <v/>
      </c>
      <c r="L131" s="1" t="str">
        <f t="shared" si="4"/>
        <v/>
      </c>
      <c r="M131" s="4" t="str">
        <f t="shared" si="5"/>
        <v/>
      </c>
      <c r="N131" s="17" t="str">
        <f>if(M131&lt;&gt;"",'Actuals - Billing - 2025'!BG363,"")</f>
        <v/>
      </c>
    </row>
    <row r="132">
      <c r="A132" s="7" t="str">
        <f t="shared" si="1"/>
        <v/>
      </c>
      <c r="B132" s="8" t="str">
        <f>if(and('Actuals - Billing - 2025'!E$366=True,C132&lt;&gt;""),'Actuals - Billing - 2025'!C364,"")</f>
        <v/>
      </c>
      <c r="C132" s="9" t="str">
        <f>IF(sum('Actuals - Billing - 2025'!AL364:AM364)&gt;0,'Actuals - Billing - 2025'!B364,"")</f>
        <v/>
      </c>
      <c r="D132" s="148" t="str">
        <f>if(and(sum('Actuals - Billing - 2025'!AL364)&gt;0,C132&lt;&gt;""),'Actuals - Billing - 2025'!$AM$2,"")</f>
        <v/>
      </c>
      <c r="E132" s="11" t="str">
        <f t="array" ref="E132">if($D132="","",index('Actuals - Billing - 2025'!$B132:$AZ1030,Match($C132,'Actuals - Billing - 2025'!$B132:$B1030,0),Match(E$1,'Actuals - Billing - 2025'!$B$2:$AZ$2,0)))</f>
        <v/>
      </c>
      <c r="F132" s="11"/>
      <c r="G132" s="11"/>
      <c r="H132" s="11"/>
      <c r="I132" s="11"/>
      <c r="J132" s="11" t="str">
        <f t="shared" si="2"/>
        <v/>
      </c>
      <c r="K132" s="149" t="str">
        <f t="shared" si="3"/>
        <v/>
      </c>
      <c r="L132" s="1" t="str">
        <f t="shared" si="4"/>
        <v/>
      </c>
      <c r="M132" s="4" t="str">
        <f t="shared" si="5"/>
        <v/>
      </c>
      <c r="N132" s="17" t="str">
        <f>if(M132&lt;&gt;"",'Actuals - Billing - 2025'!BG364,"")</f>
        <v/>
      </c>
    </row>
    <row r="133">
      <c r="A133" s="7" t="str">
        <f t="shared" si="1"/>
        <v/>
      </c>
      <c r="B133" s="8" t="str">
        <f>if(and('Actuals - Billing - 2025'!E$366=True,C133&lt;&gt;""),'Actuals - Billing - 2025'!C365,"")</f>
        <v/>
      </c>
      <c r="C133" s="9" t="str">
        <f>IF(sum('Actuals - Billing - 2025'!AL365:AM365)&gt;0,'Actuals - Billing - 2025'!B365,"")</f>
        <v/>
      </c>
      <c r="D133" s="148" t="str">
        <f>if(and(sum('Actuals - Billing - 2025'!AL365)&gt;0,C133&lt;&gt;""),'Actuals - Billing - 2025'!$AM$2,"")</f>
        <v/>
      </c>
      <c r="E133" s="11" t="str">
        <f t="array" ref="E133">if($D133="","",index('Actuals - Billing - 2025'!$B133:$AZ1031,Match($C133,'Actuals - Billing - 2025'!$B133:$B1031,0),Match(E$1,'Actuals - Billing - 2025'!$B$2:$AZ$2,0)))</f>
        <v/>
      </c>
      <c r="F133" s="11"/>
      <c r="G133" s="11"/>
      <c r="H133" s="11"/>
      <c r="I133" s="11"/>
      <c r="J133" s="11" t="str">
        <f t="shared" si="2"/>
        <v/>
      </c>
      <c r="K133" s="149" t="str">
        <f t="shared" si="3"/>
        <v/>
      </c>
      <c r="L133" s="1" t="str">
        <f t="shared" si="4"/>
        <v/>
      </c>
      <c r="M133" s="4" t="str">
        <f t="shared" si="5"/>
        <v/>
      </c>
      <c r="N133" s="17" t="str">
        <f>if(M133&lt;&gt;"",'Actuals - Billing - 2025'!BG365,"")</f>
        <v/>
      </c>
    </row>
    <row r="134">
      <c r="A134" s="7" t="str">
        <f t="shared" si="1"/>
        <v/>
      </c>
      <c r="B134" s="8" t="str">
        <f>if(and('Actuals - Billing - 2025'!E$366=True,C134&lt;&gt;""),'Actuals - Billing - 2025'!C366,"")</f>
        <v/>
      </c>
      <c r="C134" s="9" t="str">
        <f>IF(sum('Actuals - Billing - 2025'!AL366:AM366)&gt;0,'Actuals - Billing - 2025'!B366,"")</f>
        <v/>
      </c>
      <c r="D134" s="148" t="str">
        <f>if(and(sum('Actuals - Billing - 2025'!AL366)&gt;0,C134&lt;&gt;""),'Actuals - Billing - 2025'!$AM$2,"")</f>
        <v/>
      </c>
      <c r="E134" s="11" t="str">
        <f t="array" ref="E134">if($D134="","",index('Actuals - Billing - 2025'!$B134:$AZ1032,Match($C134,'Actuals - Billing - 2025'!$B134:$B1032,0),Match(E$1,'Actuals - Billing - 2025'!$B$2:$AZ$2,0)))</f>
        <v/>
      </c>
      <c r="F134" s="11"/>
      <c r="G134" s="11"/>
      <c r="H134" s="11"/>
      <c r="I134" s="11"/>
      <c r="J134" s="11" t="str">
        <f t="shared" si="2"/>
        <v/>
      </c>
      <c r="K134" s="149" t="str">
        <f t="shared" si="3"/>
        <v/>
      </c>
      <c r="L134" s="1" t="str">
        <f t="shared" si="4"/>
        <v/>
      </c>
      <c r="M134" s="4" t="str">
        <f t="shared" si="5"/>
        <v/>
      </c>
      <c r="N134" s="17" t="str">
        <f>if(M134&lt;&gt;"",'Actuals - Billing - 2025'!BG366,"")</f>
        <v/>
      </c>
    </row>
    <row r="135">
      <c r="A135" s="7"/>
      <c r="B135" s="8"/>
      <c r="C135" s="9" t="str">
        <f>IF(sum('Actuals - Billing - 2025'!AL367:AM367)&gt;0,'Actuals - Billing - 2025'!B367,"")</f>
        <v/>
      </c>
      <c r="D135" s="148" t="str">
        <f>if(and(sum('Actuals - Billing - 2025'!AL367)&gt;0,C135&lt;&gt;""),'Actuals - Billing - 2025'!$AM$2,"")</f>
        <v/>
      </c>
      <c r="E135" s="11" t="str">
        <f t="array" ref="E135">if($D135="","",index('Actuals - Billing - 2025'!$B135:$AZ1033,Match($C135,'Actuals - Billing - 2025'!$B135:$B1033,0),Match(E$1,'Actuals - Billing - 2025'!$B$2:$AZ$2,0)))</f>
        <v/>
      </c>
      <c r="F135" s="11"/>
      <c r="G135" s="11"/>
      <c r="H135" s="11"/>
      <c r="I135" s="11"/>
      <c r="J135" s="11" t="str">
        <f t="shared" si="2"/>
        <v/>
      </c>
      <c r="K135" s="149" t="str">
        <f t="shared" si="3"/>
        <v/>
      </c>
      <c r="L135" s="1" t="str">
        <f t="shared" si="4"/>
        <v/>
      </c>
      <c r="M135" s="4" t="str">
        <f t="shared" si="5"/>
        <v/>
      </c>
      <c r="N135" s="17" t="str">
        <f>if(M135&lt;&gt;"",'Actuals - Billing - 2025'!BG367,"")</f>
        <v/>
      </c>
    </row>
    <row r="136">
      <c r="A136" s="7"/>
      <c r="B136" s="8"/>
      <c r="C136" s="9" t="str">
        <f>IF(sum('Actuals - Billing - 2025'!AL368:AM368)&gt;0,'Actuals - Billing - 2025'!B368,"")</f>
        <v/>
      </c>
      <c r="D136" s="148" t="str">
        <f>if(and(sum('Actuals - Billing - 2025'!AL368)&gt;0,C136&lt;&gt;""),'Actuals - Billing - 2025'!$AM$2,"")</f>
        <v/>
      </c>
      <c r="E136" s="11" t="str">
        <f t="array" ref="E136">if($D136="","",index('Actuals - Billing - 2025'!$B136:$AZ1034,Match($C136,'Actuals - Billing - 2025'!$B136:$B1034,0),Match(E$1,'Actuals - Billing - 2025'!$B$2:$AZ$2,0)))</f>
        <v/>
      </c>
      <c r="F136" s="11"/>
      <c r="G136" s="11"/>
      <c r="H136" s="11"/>
      <c r="I136" s="11"/>
      <c r="J136" s="11" t="str">
        <f t="shared" si="2"/>
        <v/>
      </c>
      <c r="K136" s="149" t="str">
        <f t="shared" si="3"/>
        <v/>
      </c>
      <c r="L136" s="1" t="str">
        <f t="shared" si="4"/>
        <v/>
      </c>
      <c r="M136" s="4" t="str">
        <f t="shared" si="5"/>
        <v/>
      </c>
      <c r="N136" s="17" t="str">
        <f>if(M136&lt;&gt;"",'Actuals - Billing - 2025'!BG368,"")</f>
        <v/>
      </c>
    </row>
    <row r="137">
      <c r="A137" s="7"/>
      <c r="B137" s="8"/>
      <c r="C137" s="9" t="str">
        <f>IF(sum('Actuals - Billing - 2025'!AL369:AM369)&gt;0,'Actuals - Billing - 2025'!B369,"")</f>
        <v/>
      </c>
      <c r="D137" s="148" t="str">
        <f>if(and(sum('Actuals - Billing - 2025'!AL369)&gt;0,C137&lt;&gt;""),'Actuals - Billing - 2025'!$AM$2,"")</f>
        <v/>
      </c>
      <c r="E137" s="11" t="str">
        <f t="array" ref="E137">if($D137="","",index('Actuals - Billing - 2025'!$B137:$AZ1035,Match($C137,'Actuals - Billing - 2025'!$B137:$B1035,0),Match(E$1,'Actuals - Billing - 2025'!$B$2:$AZ$2,0)))</f>
        <v/>
      </c>
      <c r="F137" s="11"/>
      <c r="G137" s="11"/>
      <c r="H137" s="11"/>
      <c r="I137" s="11"/>
      <c r="J137" s="11" t="str">
        <f t="shared" si="2"/>
        <v/>
      </c>
      <c r="K137" s="149" t="str">
        <f t="shared" si="3"/>
        <v/>
      </c>
      <c r="L137" s="1" t="str">
        <f t="shared" si="4"/>
        <v/>
      </c>
      <c r="M137" s="4" t="str">
        <f t="shared" si="5"/>
        <v/>
      </c>
      <c r="N137" s="17" t="str">
        <f>if(M137&lt;&gt;"",'Actuals - Billing - 2025'!BG369,"")</f>
        <v/>
      </c>
    </row>
    <row r="138">
      <c r="A138" s="7"/>
      <c r="B138" s="8"/>
      <c r="C138" s="9" t="str">
        <f>IF(sum('Actuals - Billing - 2025'!AL370:AM370)&gt;0,'Actuals - Billing - 2025'!B370,"")</f>
        <v/>
      </c>
      <c r="D138" s="148" t="str">
        <f>if(and(sum('Actuals - Billing - 2025'!AL370)&gt;0,C138&lt;&gt;""),'Actuals - Billing - 2025'!$AM$2,"")</f>
        <v/>
      </c>
      <c r="E138" s="11" t="str">
        <f t="array" ref="E138">if($D138="","",index('Actuals - Billing - 2025'!$B138:$AZ1036,Match($C138,'Actuals - Billing - 2025'!$B138:$B1036,0),Match(E$1,'Actuals - Billing - 2025'!$B$2:$AZ$2,0)))</f>
        <v/>
      </c>
      <c r="F138" s="11"/>
      <c r="G138" s="11"/>
      <c r="H138" s="11"/>
      <c r="I138" s="11"/>
      <c r="J138" s="11" t="str">
        <f t="shared" si="2"/>
        <v/>
      </c>
      <c r="K138" s="149" t="str">
        <f t="shared" si="3"/>
        <v/>
      </c>
      <c r="L138" s="1" t="str">
        <f t="shared" si="4"/>
        <v/>
      </c>
      <c r="M138" s="4" t="str">
        <f t="shared" si="5"/>
        <v/>
      </c>
      <c r="N138" s="17" t="str">
        <f>if(M138&lt;&gt;"",'Actuals - Billing - 2025'!BG370,"")</f>
        <v/>
      </c>
    </row>
    <row r="139">
      <c r="A139" s="7"/>
      <c r="B139" s="8"/>
      <c r="C139" s="9" t="str">
        <f>IF(sum('Actuals - Billing - 2025'!AL371:AM371)&gt;0,'Actuals - Billing - 2025'!B371,"")</f>
        <v/>
      </c>
      <c r="D139" s="148" t="str">
        <f>if(and(sum('Actuals - Billing - 2025'!AL371)&gt;0,C139&lt;&gt;""),'Actuals - Billing - 2025'!$AM$2,"")</f>
        <v/>
      </c>
      <c r="E139" s="11" t="str">
        <f t="array" ref="E139">if($D139="","",index('Actuals - Billing - 2025'!$B139:$AZ1037,Match($C139,'Actuals - Billing - 2025'!$B139:$B1037,0),Match(E$1,'Actuals - Billing - 2025'!$B$2:$AZ$2,0)))</f>
        <v/>
      </c>
      <c r="F139" s="11"/>
      <c r="G139" s="11"/>
      <c r="H139" s="11"/>
      <c r="I139" s="11"/>
      <c r="J139" s="11" t="str">
        <f t="shared" si="2"/>
        <v/>
      </c>
      <c r="K139" s="149" t="str">
        <f t="shared" si="3"/>
        <v/>
      </c>
      <c r="L139" s="1" t="str">
        <f t="shared" si="4"/>
        <v/>
      </c>
      <c r="M139" s="4" t="str">
        <f t="shared" si="5"/>
        <v/>
      </c>
      <c r="N139" s="17" t="str">
        <f>if(M139&lt;&gt;"",'Actuals - Billing - 2025'!BG371,"")</f>
        <v/>
      </c>
    </row>
    <row r="140">
      <c r="A140" s="7"/>
      <c r="B140" s="8"/>
      <c r="C140" s="9" t="str">
        <f>IF(sum('Actuals - Billing - 2025'!AL372:AM372)&gt;0,'Actuals - Billing - 2025'!B372,"")</f>
        <v/>
      </c>
      <c r="D140" s="148" t="str">
        <f>if(and(sum('Actuals - Billing - 2025'!AL372)&gt;0,C140&lt;&gt;""),'Actuals - Billing - 2025'!$AM$2,"")</f>
        <v/>
      </c>
      <c r="E140" s="11" t="str">
        <f t="array" ref="E140">if($D140="","",index('Actuals - Billing - 2025'!$B140:$AZ1038,Match($C140,'Actuals - Billing - 2025'!$B140:$B1038,0),Match(E$1,'Actuals - Billing - 2025'!$B$2:$AZ$2,0)))</f>
        <v/>
      </c>
      <c r="F140" s="11"/>
      <c r="G140" s="11"/>
      <c r="H140" s="11"/>
      <c r="I140" s="11"/>
      <c r="J140" s="11" t="str">
        <f t="shared" si="2"/>
        <v/>
      </c>
      <c r="K140" s="149" t="str">
        <f t="shared" si="3"/>
        <v/>
      </c>
      <c r="L140" s="1" t="str">
        <f t="shared" si="4"/>
        <v/>
      </c>
      <c r="M140" s="4" t="str">
        <f t="shared" si="5"/>
        <v/>
      </c>
      <c r="N140" s="17" t="str">
        <f>if(M140&lt;&gt;"",'Actuals - Billing - 2025'!BG372,"")</f>
        <v/>
      </c>
    </row>
    <row r="141">
      <c r="A141" s="7"/>
      <c r="B141" s="8"/>
      <c r="C141" s="9" t="str">
        <f>IF(sum('Actuals - Billing - 2025'!AL373:AM373)&gt;0,'Actuals - Billing - 2025'!B373,"")</f>
        <v/>
      </c>
      <c r="D141" s="148" t="str">
        <f>if(and(sum('Actuals - Billing - 2025'!AL373)&gt;0,C141&lt;&gt;""),'Actuals - Billing - 2025'!$AM$2,"")</f>
        <v/>
      </c>
      <c r="E141" s="11" t="str">
        <f t="array" ref="E141">if($D141="","",index('Actuals - Billing - 2025'!$B141:$AZ1039,Match($C141,'Actuals - Billing - 2025'!$B141:$B1039,0),Match(E$1,'Actuals - Billing - 2025'!$B$2:$AZ$2,0)))</f>
        <v/>
      </c>
      <c r="F141" s="11"/>
      <c r="G141" s="11"/>
      <c r="H141" s="11"/>
      <c r="I141" s="11"/>
      <c r="J141" s="11" t="str">
        <f t="shared" si="2"/>
        <v/>
      </c>
      <c r="K141" s="149" t="str">
        <f t="shared" si="3"/>
        <v/>
      </c>
      <c r="L141" s="1" t="str">
        <f t="shared" si="4"/>
        <v/>
      </c>
      <c r="M141" s="4" t="str">
        <f t="shared" si="5"/>
        <v/>
      </c>
      <c r="N141" s="17" t="str">
        <f>if(M141&lt;&gt;"",'Actuals - Billing - 2025'!BG373,"")</f>
        <v/>
      </c>
    </row>
    <row r="142">
      <c r="A142" s="7"/>
      <c r="B142" s="8"/>
      <c r="C142" s="9" t="str">
        <f>IF(sum('Actuals - Billing - 2025'!AL374:AM374)&gt;0,'Actuals - Billing - 2025'!B374,"")</f>
        <v/>
      </c>
      <c r="D142" s="148" t="str">
        <f>if(and(sum('Actuals - Billing - 2025'!AL374)&gt;0,C142&lt;&gt;""),'Actuals - Billing - 2025'!$AM$2,"")</f>
        <v/>
      </c>
      <c r="E142" s="11" t="str">
        <f t="array" ref="E142">if($D142="","",index('Actuals - Billing - 2025'!$B142:$AZ1040,Match($C142,'Actuals - Billing - 2025'!$B142:$B1040,0),Match(E$1,'Actuals - Billing - 2025'!$B$2:$AZ$2,0)))</f>
        <v/>
      </c>
      <c r="F142" s="11"/>
      <c r="G142" s="11"/>
      <c r="H142" s="11"/>
      <c r="I142" s="11"/>
      <c r="J142" s="11" t="str">
        <f t="shared" si="2"/>
        <v/>
      </c>
      <c r="K142" s="149" t="str">
        <f t="shared" si="3"/>
        <v/>
      </c>
      <c r="L142" s="1" t="str">
        <f t="shared" si="4"/>
        <v/>
      </c>
      <c r="M142" s="4" t="str">
        <f t="shared" si="5"/>
        <v/>
      </c>
      <c r="N142" s="17" t="str">
        <f>if(M142&lt;&gt;"",'Actuals - Billing - 2025'!BG374,"")</f>
        <v/>
      </c>
    </row>
    <row r="143">
      <c r="A143" s="7"/>
      <c r="B143" s="8"/>
      <c r="C143" s="9" t="str">
        <f>IF(sum('Actuals - Billing - 2025'!AL375:AM375)&gt;0,'Actuals - Billing - 2025'!B375,"")</f>
        <v/>
      </c>
      <c r="D143" s="148" t="str">
        <f>if(and(sum('Actuals - Billing - 2025'!AL375)&gt;0,C143&lt;&gt;""),'Actuals - Billing - 2025'!$AM$2,"")</f>
        <v/>
      </c>
      <c r="E143" s="11" t="str">
        <f t="array" ref="E143">if($D143="","",index('Actuals - Billing - 2025'!$B143:$AZ1041,Match($C143,'Actuals - Billing - 2025'!$B143:$B1041,0),Match(E$1,'Actuals - Billing - 2025'!$B$2:$AZ$2,0)))</f>
        <v/>
      </c>
      <c r="F143" s="11"/>
      <c r="G143" s="11"/>
      <c r="H143" s="11"/>
      <c r="I143" s="11"/>
      <c r="J143" s="11" t="str">
        <f t="shared" si="2"/>
        <v/>
      </c>
      <c r="K143" s="149" t="str">
        <f t="shared" si="3"/>
        <v/>
      </c>
      <c r="L143" s="1" t="str">
        <f t="shared" si="4"/>
        <v/>
      </c>
      <c r="M143" s="4" t="str">
        <f t="shared" si="5"/>
        <v/>
      </c>
      <c r="N143" s="17" t="str">
        <f>if(M143&lt;&gt;"",'Actuals - Billing - 2025'!BG375,"")</f>
        <v/>
      </c>
    </row>
    <row r="144">
      <c r="A144" s="7"/>
      <c r="B144" s="8"/>
      <c r="C144" s="9" t="str">
        <f>IF(sum('Actuals - Billing - 2025'!AL376:AM376)&gt;0,'Actuals - Billing - 2025'!B376,"")</f>
        <v/>
      </c>
      <c r="D144" s="148" t="str">
        <f>if(and(sum('Actuals - Billing - 2025'!AL376)&gt;0,C144&lt;&gt;""),'Actuals - Billing - 2025'!$AM$2,"")</f>
        <v/>
      </c>
      <c r="E144" s="11" t="str">
        <f t="array" ref="E144">if($D144="","",index('Actuals - Billing - 2025'!$B144:$AZ1042,Match($C144,'Actuals - Billing - 2025'!$B144:$B1042,0),Match(E$1,'Actuals - Billing - 2025'!$B$2:$AZ$2,0)))</f>
        <v/>
      </c>
      <c r="F144" s="11"/>
      <c r="G144" s="11"/>
      <c r="H144" s="11"/>
      <c r="I144" s="11"/>
      <c r="J144" s="11" t="str">
        <f t="shared" si="2"/>
        <v/>
      </c>
      <c r="K144" s="149" t="str">
        <f t="shared" si="3"/>
        <v/>
      </c>
      <c r="L144" s="1" t="str">
        <f t="shared" si="4"/>
        <v/>
      </c>
      <c r="M144" s="4" t="str">
        <f t="shared" si="5"/>
        <v/>
      </c>
      <c r="N144" s="17" t="str">
        <f>if(M144&lt;&gt;"",'Actuals - Billing - 2025'!BG376,"")</f>
        <v/>
      </c>
    </row>
    <row r="145">
      <c r="A145" s="7"/>
      <c r="B145" s="8"/>
      <c r="C145" s="9" t="str">
        <f>IF(sum('Actuals - Billing - 2025'!AL377:AM377)&gt;0,'Actuals - Billing - 2025'!B377,"")</f>
        <v/>
      </c>
      <c r="D145" s="148" t="str">
        <f>if(and(sum('Actuals - Billing - 2025'!AL377)&gt;0,C145&lt;&gt;""),'Actuals - Billing - 2025'!$AM$2,"")</f>
        <v/>
      </c>
      <c r="E145" s="11" t="str">
        <f t="array" ref="E145">if($D145="","",index('Actuals - Billing - 2025'!$B145:$AZ1043,Match($C145,'Actuals - Billing - 2025'!$B145:$B1043,0),Match(E$1,'Actuals - Billing - 2025'!$B$2:$AZ$2,0)))</f>
        <v/>
      </c>
      <c r="F145" s="11"/>
      <c r="G145" s="11"/>
      <c r="H145" s="11"/>
      <c r="I145" s="11"/>
      <c r="J145" s="11" t="str">
        <f t="shared" si="2"/>
        <v/>
      </c>
      <c r="K145" s="149" t="str">
        <f t="shared" si="3"/>
        <v/>
      </c>
      <c r="L145" s="1" t="str">
        <f t="shared" si="4"/>
        <v/>
      </c>
      <c r="M145" s="4" t="str">
        <f t="shared" si="5"/>
        <v/>
      </c>
      <c r="N145" s="17" t="str">
        <f>if(M145&lt;&gt;"",'Actuals - Billing - 2025'!BG377,"")</f>
        <v/>
      </c>
    </row>
    <row r="146">
      <c r="A146" s="7"/>
      <c r="B146" s="8"/>
      <c r="C146" s="9" t="str">
        <f>IF(sum('Actuals - Billing - 2025'!AL378:AM378)&gt;0,'Actuals - Billing - 2025'!B378,"")</f>
        <v/>
      </c>
      <c r="D146" s="148" t="str">
        <f>if(and(sum('Actuals - Billing - 2025'!AL378)&gt;0,C146&lt;&gt;""),'Actuals - Billing - 2025'!$AM$2,"")</f>
        <v/>
      </c>
      <c r="E146" s="11" t="str">
        <f t="array" ref="E146">if($D146="","",index('Actuals - Billing - 2025'!$B146:$AZ1044,Match($C146,'Actuals - Billing - 2025'!$B146:$B1044,0),Match(E$1,'Actuals - Billing - 2025'!$B$2:$AZ$2,0)))</f>
        <v/>
      </c>
      <c r="F146" s="11"/>
      <c r="G146" s="11"/>
      <c r="H146" s="11"/>
      <c r="I146" s="11"/>
      <c r="J146" s="11" t="str">
        <f t="shared" si="2"/>
        <v/>
      </c>
      <c r="K146" s="149" t="str">
        <f t="shared" si="3"/>
        <v/>
      </c>
      <c r="L146" s="1" t="str">
        <f t="shared" si="4"/>
        <v/>
      </c>
      <c r="M146" s="4" t="str">
        <f t="shared" si="5"/>
        <v/>
      </c>
      <c r="N146" s="17" t="str">
        <f>if(M146&lt;&gt;"",'Actuals - Billing - 2025'!BG378,"")</f>
        <v/>
      </c>
    </row>
    <row r="147">
      <c r="A147" s="7"/>
      <c r="B147" s="8"/>
      <c r="C147" s="9" t="str">
        <f>IF(sum('Actuals - Billing - 2025'!AL379:AM379)&gt;0,'Actuals - Billing - 2025'!B379,"")</f>
        <v/>
      </c>
      <c r="D147" s="148" t="str">
        <f>if(and(sum('Actuals - Billing - 2025'!AL379)&gt;0,C147&lt;&gt;""),'Actuals - Billing - 2025'!$AM$2,"")</f>
        <v/>
      </c>
      <c r="E147" s="11" t="str">
        <f t="array" ref="E147">if($D147="","",index('Actuals - Billing - 2025'!$B147:$AZ1045,Match($C147,'Actuals - Billing - 2025'!$B147:$B1045,0),Match(E$1,'Actuals - Billing - 2025'!$B$2:$AZ$2,0)))</f>
        <v/>
      </c>
      <c r="F147" s="11"/>
      <c r="G147" s="11"/>
      <c r="H147" s="11"/>
      <c r="I147" s="11"/>
      <c r="J147" s="11" t="str">
        <f t="shared" si="2"/>
        <v/>
      </c>
      <c r="K147" s="149" t="str">
        <f t="shared" si="3"/>
        <v/>
      </c>
      <c r="L147" s="1" t="str">
        <f t="shared" si="4"/>
        <v/>
      </c>
      <c r="M147" s="4" t="str">
        <f t="shared" si="5"/>
        <v/>
      </c>
      <c r="N147" s="17" t="str">
        <f>if(M147&lt;&gt;"",'Actuals - Billing - 2025'!BG379,"")</f>
        <v/>
      </c>
    </row>
    <row r="148">
      <c r="A148" s="7"/>
      <c r="B148" s="8"/>
      <c r="C148" s="9" t="str">
        <f>IF(sum('Actuals - Billing - 2025'!AL380:AM380)&gt;0,'Actuals - Billing - 2025'!B380,"")</f>
        <v/>
      </c>
      <c r="D148" s="148" t="str">
        <f>if(and(sum('Actuals - Billing - 2025'!AL380)&gt;0,C148&lt;&gt;""),'Actuals - Billing - 2025'!$AM$2,"")</f>
        <v/>
      </c>
      <c r="E148" s="11" t="str">
        <f t="array" ref="E148">if($D148="","",index('Actuals - Billing - 2025'!$B148:$AZ1046,Match($C148,'Actuals - Billing - 2025'!$B148:$B1046,0),Match(E$1,'Actuals - Billing - 2025'!$B$2:$AZ$2,0)))</f>
        <v/>
      </c>
      <c r="F148" s="11"/>
      <c r="G148" s="11"/>
      <c r="H148" s="11"/>
      <c r="I148" s="11"/>
      <c r="J148" s="11" t="str">
        <f t="shared" si="2"/>
        <v/>
      </c>
      <c r="K148" s="149" t="str">
        <f t="shared" si="3"/>
        <v/>
      </c>
      <c r="L148" s="1" t="str">
        <f t="shared" si="4"/>
        <v/>
      </c>
      <c r="M148" s="4" t="str">
        <f t="shared" si="5"/>
        <v/>
      </c>
      <c r="N148" s="17" t="str">
        <f>if(M148&lt;&gt;"",'Actuals - Billing - 2025'!BG380,"")</f>
        <v/>
      </c>
    </row>
    <row r="149">
      <c r="A149" s="7"/>
      <c r="B149" s="8"/>
      <c r="C149" s="9" t="str">
        <f>IF(sum('Actuals - Billing - 2025'!AL381:AM381)&gt;0,'Actuals - Billing - 2025'!B381,"")</f>
        <v/>
      </c>
      <c r="D149" s="148" t="str">
        <f>if(and(sum('Actuals - Billing - 2025'!AL381)&gt;0,C149&lt;&gt;""),'Actuals - Billing - 2025'!$AM$2,"")</f>
        <v/>
      </c>
      <c r="E149" s="11" t="str">
        <f t="array" ref="E149">if($D149="","",index('Actuals - Billing - 2025'!$B149:$AZ1047,Match($C149,'Actuals - Billing - 2025'!$B149:$B1047,0),Match(E$1,'Actuals - Billing - 2025'!$B$2:$AZ$2,0)))</f>
        <v/>
      </c>
      <c r="F149" s="11"/>
      <c r="G149" s="11"/>
      <c r="H149" s="11"/>
      <c r="I149" s="11"/>
      <c r="J149" s="11" t="str">
        <f t="shared" si="2"/>
        <v/>
      </c>
      <c r="K149" s="149" t="str">
        <f t="shared" si="3"/>
        <v/>
      </c>
      <c r="L149" s="1" t="str">
        <f t="shared" si="4"/>
        <v/>
      </c>
      <c r="M149" s="4" t="str">
        <f t="shared" si="5"/>
        <v/>
      </c>
      <c r="N149" s="17" t="str">
        <f>if(M149&lt;&gt;"",'Actuals - Billing - 2025'!BG381,"")</f>
        <v/>
      </c>
    </row>
    <row r="150">
      <c r="A150" s="7"/>
      <c r="B150" s="8"/>
      <c r="C150" s="9" t="str">
        <f>IF(sum('Actuals - Billing - 2025'!AL382:AM382)&gt;0,'Actuals - Billing - 2025'!B382,"")</f>
        <v/>
      </c>
      <c r="D150" s="148" t="str">
        <f>if(and(sum('Actuals - Billing - 2025'!AL382)&gt;0,C150&lt;&gt;""),'Actuals - Billing - 2025'!$AM$2,"")</f>
        <v/>
      </c>
      <c r="E150" s="11" t="str">
        <f t="array" ref="E150">if($D150="","",index('Actuals - Billing - 2025'!$B150:$AZ1048,Match($C150,'Actuals - Billing - 2025'!$B150:$B1048,0),Match(E$1,'Actuals - Billing - 2025'!$B$2:$AZ$2,0)))</f>
        <v/>
      </c>
      <c r="F150" s="11"/>
      <c r="G150" s="11"/>
      <c r="H150" s="11"/>
      <c r="I150" s="11"/>
      <c r="J150" s="11" t="str">
        <f t="shared" si="2"/>
        <v/>
      </c>
      <c r="K150" s="149" t="str">
        <f t="shared" si="3"/>
        <v/>
      </c>
      <c r="L150" s="1" t="str">
        <f t="shared" si="4"/>
        <v/>
      </c>
      <c r="M150" s="4" t="str">
        <f t="shared" si="5"/>
        <v/>
      </c>
      <c r="N150" s="17" t="str">
        <f>if(M150&lt;&gt;"",'Actuals - Billing - 2025'!BG382,"")</f>
        <v/>
      </c>
    </row>
    <row r="151">
      <c r="A151" s="7"/>
      <c r="B151" s="8"/>
      <c r="C151" s="9" t="str">
        <f>IF(sum('Actuals - Billing - 2025'!AL383:AM383)&gt;0,'Actuals - Billing - 2025'!B383,"")</f>
        <v/>
      </c>
      <c r="D151" s="148" t="str">
        <f>if(and(sum('Actuals - Billing - 2025'!AL383)&gt;0,C151&lt;&gt;""),'Actuals - Billing - 2025'!$AM$2,"")</f>
        <v/>
      </c>
      <c r="E151" s="11" t="str">
        <f t="array" ref="E151">if($D151="","",index('Actuals - Billing - 2025'!$B151:$AZ1049,Match($C151,'Actuals - Billing - 2025'!$B151:$B1049,0),Match(E$1,'Actuals - Billing - 2025'!$B$2:$AZ$2,0)))</f>
        <v/>
      </c>
      <c r="F151" s="11"/>
      <c r="G151" s="11"/>
      <c r="H151" s="11"/>
      <c r="I151" s="11"/>
      <c r="J151" s="11" t="str">
        <f t="shared" si="2"/>
        <v/>
      </c>
      <c r="K151" s="149" t="str">
        <f t="shared" si="3"/>
        <v/>
      </c>
      <c r="L151" s="1" t="str">
        <f t="shared" si="4"/>
        <v/>
      </c>
      <c r="M151" s="4" t="str">
        <f t="shared" si="5"/>
        <v/>
      </c>
      <c r="N151" s="17" t="str">
        <f>if(M151&lt;&gt;"",'Actuals - Billing - 2025'!BG383,"")</f>
        <v/>
      </c>
    </row>
    <row r="152">
      <c r="A152" s="7"/>
      <c r="B152" s="8"/>
      <c r="C152" s="9" t="str">
        <f>IF(sum('Actuals - Billing - 2025'!AL384:AM384)&gt;0,'Actuals - Billing - 2025'!B384,"")</f>
        <v/>
      </c>
      <c r="D152" s="148" t="str">
        <f>if(and(sum('Actuals - Billing - 2025'!AL384)&gt;0,C152&lt;&gt;""),'Actuals - Billing - 2025'!$AM$2,"")</f>
        <v/>
      </c>
      <c r="E152" s="11" t="str">
        <f t="array" ref="E152">if($D152="","",index('Actuals - Billing - 2025'!$B152:$AZ1050,Match($C152,'Actuals - Billing - 2025'!$B152:$B1050,0),Match(E$1,'Actuals - Billing - 2025'!$B$2:$AZ$2,0)))</f>
        <v/>
      </c>
      <c r="F152" s="11"/>
      <c r="G152" s="11"/>
      <c r="H152" s="11"/>
      <c r="I152" s="11"/>
      <c r="J152" s="11" t="str">
        <f t="shared" si="2"/>
        <v/>
      </c>
      <c r="K152" s="149" t="str">
        <f t="shared" si="3"/>
        <v/>
      </c>
      <c r="L152" s="1" t="str">
        <f t="shared" si="4"/>
        <v/>
      </c>
      <c r="M152" s="4" t="str">
        <f t="shared" si="5"/>
        <v/>
      </c>
      <c r="N152" s="17" t="str">
        <f>if(M152&lt;&gt;"",'Actuals - Billing - 2025'!BG384,"")</f>
        <v/>
      </c>
    </row>
    <row r="153">
      <c r="A153" s="7"/>
      <c r="B153" s="8"/>
      <c r="C153" s="9" t="str">
        <f>IF(sum('Actuals - Billing - 2025'!AL385:AM385)&gt;0,'Actuals - Billing - 2025'!B385,"")</f>
        <v/>
      </c>
      <c r="D153" s="148" t="str">
        <f>if(and(sum('Actuals - Billing - 2025'!AL385)&gt;0,C153&lt;&gt;""),'Actuals - Billing - 2025'!$AM$2,"")</f>
        <v/>
      </c>
      <c r="E153" s="11" t="str">
        <f t="array" ref="E153">if($D153="","",index('Actuals - Billing - 2025'!$B153:$AZ1051,Match($C153,'Actuals - Billing - 2025'!$B153:$B1051,0),Match(E$1,'Actuals - Billing - 2025'!$B$2:$AZ$2,0)))</f>
        <v/>
      </c>
      <c r="F153" s="11"/>
      <c r="G153" s="11"/>
      <c r="H153" s="11"/>
      <c r="I153" s="11"/>
      <c r="J153" s="11" t="str">
        <f t="shared" si="2"/>
        <v/>
      </c>
      <c r="K153" s="149" t="str">
        <f t="shared" si="3"/>
        <v/>
      </c>
      <c r="L153" s="1" t="str">
        <f t="shared" si="4"/>
        <v/>
      </c>
      <c r="M153" s="4" t="str">
        <f t="shared" si="5"/>
        <v/>
      </c>
      <c r="N153" s="17" t="str">
        <f>if(M153&lt;&gt;"",'Actuals - Billing - 2025'!BG385,"")</f>
        <v/>
      </c>
    </row>
    <row r="154">
      <c r="A154" s="7"/>
      <c r="B154" s="8"/>
      <c r="C154" s="9" t="str">
        <f>IF(sum('Actuals - Billing - 2025'!AL386:AM386)&gt;0,'Actuals - Billing - 2025'!B386,"")</f>
        <v/>
      </c>
      <c r="D154" s="148" t="str">
        <f>if(and(sum('Actuals - Billing - 2025'!AL386)&gt;0,C154&lt;&gt;""),'Actuals - Billing - 2025'!$AM$2,"")</f>
        <v/>
      </c>
      <c r="E154" s="11" t="str">
        <f t="array" ref="E154">if($D154="","",index('Actuals - Billing - 2025'!$B154:$AZ1052,Match($C154,'Actuals - Billing - 2025'!$B154:$B1052,0),Match(E$1,'Actuals - Billing - 2025'!$B$2:$AZ$2,0)))</f>
        <v/>
      </c>
      <c r="F154" s="11"/>
      <c r="G154" s="11"/>
      <c r="H154" s="11"/>
      <c r="I154" s="11"/>
      <c r="J154" s="11" t="str">
        <f t="shared" si="2"/>
        <v/>
      </c>
      <c r="K154" s="149" t="str">
        <f t="shared" si="3"/>
        <v/>
      </c>
      <c r="L154" s="1" t="str">
        <f t="shared" si="4"/>
        <v/>
      </c>
      <c r="M154" s="4" t="str">
        <f t="shared" si="5"/>
        <v/>
      </c>
      <c r="N154" s="17" t="str">
        <f>if(M154&lt;&gt;"",'Actuals - Billing - 2025'!BG386,"")</f>
        <v/>
      </c>
    </row>
    <row r="155">
      <c r="A155" s="7"/>
      <c r="B155" s="8"/>
      <c r="C155" s="9" t="str">
        <f>IF(sum('Actuals - Billing - 2025'!AL387:AM387)&gt;0,'Actuals - Billing - 2025'!B387,"")</f>
        <v/>
      </c>
      <c r="D155" s="148" t="str">
        <f>if(and(sum('Actuals - Billing - 2025'!AL387)&gt;0,C155&lt;&gt;""),'Actuals - Billing - 2025'!$AM$2,"")</f>
        <v/>
      </c>
      <c r="E155" s="11" t="str">
        <f t="array" ref="E155">if($D155="","",index('Actuals - Billing - 2025'!$B155:$AZ1053,Match($C155,'Actuals - Billing - 2025'!$B155:$B1053,0),Match(E$1,'Actuals - Billing - 2025'!$B$2:$AZ$2,0)))</f>
        <v/>
      </c>
      <c r="F155" s="11"/>
      <c r="G155" s="11"/>
      <c r="H155" s="11"/>
      <c r="I155" s="11"/>
      <c r="J155" s="11" t="str">
        <f t="shared" si="2"/>
        <v/>
      </c>
      <c r="K155" s="149" t="str">
        <f t="shared" si="3"/>
        <v/>
      </c>
      <c r="L155" s="1" t="str">
        <f t="shared" si="4"/>
        <v/>
      </c>
      <c r="M155" s="4" t="str">
        <f t="shared" si="5"/>
        <v/>
      </c>
      <c r="N155" s="17" t="str">
        <f>if(M155&lt;&gt;"",'Actuals - Billing - 2025'!BG387,"")</f>
        <v/>
      </c>
    </row>
    <row r="156">
      <c r="A156" s="7"/>
      <c r="B156" s="8"/>
      <c r="C156" s="9" t="str">
        <f>IF(sum('Actuals - Billing - 2025'!AL388:AM388)&gt;0,'Actuals - Billing - 2025'!B388,"")</f>
        <v/>
      </c>
      <c r="D156" s="148" t="str">
        <f>if(and(sum('Actuals - Billing - 2025'!AL388)&gt;0,C156&lt;&gt;""),'Actuals - Billing - 2025'!$AM$2,"")</f>
        <v/>
      </c>
      <c r="E156" s="11" t="str">
        <f t="array" ref="E156">if($D156="","",index('Actuals - Billing - 2025'!$B156:$AZ1054,Match($C156,'Actuals - Billing - 2025'!$B156:$B1054,0),Match(E$1,'Actuals - Billing - 2025'!$B$2:$AZ$2,0)))</f>
        <v/>
      </c>
      <c r="F156" s="11"/>
      <c r="G156" s="11"/>
      <c r="H156" s="11"/>
      <c r="I156" s="11"/>
      <c r="J156" s="11" t="str">
        <f t="shared" si="2"/>
        <v/>
      </c>
      <c r="K156" s="149" t="str">
        <f t="shared" si="3"/>
        <v/>
      </c>
      <c r="L156" s="1" t="str">
        <f t="shared" si="4"/>
        <v/>
      </c>
      <c r="M156" s="4" t="str">
        <f t="shared" si="5"/>
        <v/>
      </c>
      <c r="N156" s="17" t="str">
        <f>if(M156&lt;&gt;"",'Actuals - Billing - 2025'!BG388,"")</f>
        <v/>
      </c>
    </row>
    <row r="157">
      <c r="A157" s="7"/>
      <c r="B157" s="8"/>
      <c r="C157" s="9" t="str">
        <f>IF(sum('Actuals - Billing - 2025'!AL389:AM389)&gt;0,'Actuals - Billing - 2025'!B389,"")</f>
        <v/>
      </c>
      <c r="D157" s="148" t="str">
        <f>if(and(sum('Actuals - Billing - 2025'!AL389)&gt;0,C157&lt;&gt;""),'Actuals - Billing - 2025'!$AM$2,"")</f>
        <v/>
      </c>
      <c r="E157" s="11" t="str">
        <f t="array" ref="E157">if($D157="","",index('Actuals - Billing - 2025'!$B157:$AZ1055,Match($C157,'Actuals - Billing - 2025'!$B157:$B1055,0),Match(E$1,'Actuals - Billing - 2025'!$B$2:$AZ$2,0)))</f>
        <v/>
      </c>
      <c r="F157" s="11"/>
      <c r="G157" s="11"/>
      <c r="H157" s="11"/>
      <c r="I157" s="11"/>
      <c r="J157" s="11" t="str">
        <f t="shared" si="2"/>
        <v/>
      </c>
      <c r="K157" s="149" t="str">
        <f t="shared" si="3"/>
        <v/>
      </c>
      <c r="L157" s="1" t="str">
        <f t="shared" si="4"/>
        <v/>
      </c>
      <c r="M157" s="4" t="str">
        <f t="shared" si="5"/>
        <v/>
      </c>
      <c r="N157" s="17" t="str">
        <f>if(M157&lt;&gt;"",'Actuals - Billing - 2025'!BG389,"")</f>
        <v/>
      </c>
    </row>
    <row r="158">
      <c r="A158" s="7"/>
      <c r="B158" s="8"/>
      <c r="C158" s="9" t="str">
        <f>IF(sum('Actuals - Billing - 2025'!AL390:AM390)&gt;0,'Actuals - Billing - 2025'!B390,"")</f>
        <v/>
      </c>
      <c r="D158" s="148" t="str">
        <f>if(and(sum('Actuals - Billing - 2025'!AL390)&gt;0,C158&lt;&gt;""),'Actuals - Billing - 2025'!$AM$2,"")</f>
        <v/>
      </c>
      <c r="E158" s="11" t="str">
        <f t="array" ref="E158">if($D158="","",index('Actuals - Billing - 2025'!$B158:$AZ1056,Match($C158,'Actuals - Billing - 2025'!$B158:$B1056,0),Match(E$1,'Actuals - Billing - 2025'!$B$2:$AZ$2,0)))</f>
        <v/>
      </c>
      <c r="F158" s="11"/>
      <c r="G158" s="11"/>
      <c r="H158" s="11"/>
      <c r="I158" s="11"/>
      <c r="J158" s="11" t="str">
        <f t="shared" si="2"/>
        <v/>
      </c>
      <c r="K158" s="149" t="str">
        <f t="shared" si="3"/>
        <v/>
      </c>
      <c r="L158" s="1" t="str">
        <f t="shared" si="4"/>
        <v/>
      </c>
      <c r="M158" s="4" t="str">
        <f t="shared" si="5"/>
        <v/>
      </c>
      <c r="N158" s="17" t="str">
        <f>if(M158&lt;&gt;"",'Actuals - Billing - 2025'!BG390,"")</f>
        <v/>
      </c>
    </row>
    <row r="159">
      <c r="A159" s="7"/>
      <c r="B159" s="8"/>
      <c r="C159" s="9" t="str">
        <f>IF(sum('Actuals - Billing - 2025'!AL391:AM391)&gt;0,'Actuals - Billing - 2025'!B391,"")</f>
        <v/>
      </c>
      <c r="D159" s="148" t="str">
        <f>if(and(sum('Actuals - Billing - 2025'!AL391)&gt;0,C159&lt;&gt;""),'Actuals - Billing - 2025'!$AM$2,"")</f>
        <v/>
      </c>
      <c r="E159" s="11" t="str">
        <f t="array" ref="E159">if($D159="","",index('Actuals - Billing - 2025'!$B159:$AZ1057,Match($C159,'Actuals - Billing - 2025'!$B159:$B1057,0),Match(E$1,'Actuals - Billing - 2025'!$B$2:$AZ$2,0)))</f>
        <v/>
      </c>
      <c r="F159" s="11"/>
      <c r="G159" s="11"/>
      <c r="H159" s="11"/>
      <c r="I159" s="11"/>
      <c r="J159" s="11" t="str">
        <f t="shared" si="2"/>
        <v/>
      </c>
      <c r="K159" s="149" t="str">
        <f t="shared" si="3"/>
        <v/>
      </c>
      <c r="L159" s="1" t="str">
        <f t="shared" si="4"/>
        <v/>
      </c>
      <c r="M159" s="4" t="str">
        <f t="shared" si="5"/>
        <v/>
      </c>
      <c r="N159" s="17" t="str">
        <f>if(M159&lt;&gt;"",'Actuals - Billing - 2025'!BG391,"")</f>
        <v/>
      </c>
    </row>
    <row r="160">
      <c r="A160" s="7"/>
      <c r="B160" s="8"/>
      <c r="C160" s="9" t="str">
        <f>IF(sum('Actuals - Billing - 2025'!AL392:AM392)&gt;0,'Actuals - Billing - 2025'!B392,"")</f>
        <v/>
      </c>
      <c r="D160" s="148" t="str">
        <f>if(and(sum('Actuals - Billing - 2025'!AL392)&gt;0,C160&lt;&gt;""),'Actuals - Billing - 2025'!$AM$2,"")</f>
        <v/>
      </c>
      <c r="E160" s="11" t="str">
        <f t="array" ref="E160">if($D160="","",index('Actuals - Billing - 2025'!$B160:$AZ1058,Match($C160,'Actuals - Billing - 2025'!$B160:$B1058,0),Match(E$1,'Actuals - Billing - 2025'!$B$2:$AZ$2,0)))</f>
        <v/>
      </c>
      <c r="F160" s="11"/>
      <c r="G160" s="11"/>
      <c r="H160" s="11"/>
      <c r="I160" s="11"/>
      <c r="J160" s="11" t="str">
        <f t="shared" si="2"/>
        <v/>
      </c>
      <c r="K160" s="149" t="str">
        <f t="shared" si="3"/>
        <v/>
      </c>
      <c r="L160" s="1" t="str">
        <f t="shared" si="4"/>
        <v/>
      </c>
      <c r="M160" s="4" t="str">
        <f t="shared" si="5"/>
        <v/>
      </c>
      <c r="N160" s="17" t="str">
        <f>if(M160&lt;&gt;"",'Actuals - Billing - 2025'!BG392,"")</f>
        <v/>
      </c>
    </row>
    <row r="161">
      <c r="A161" s="7"/>
      <c r="B161" s="8"/>
      <c r="C161" s="9" t="str">
        <f>IF(sum('Actuals - Billing - 2025'!AL393:AM393)&gt;0,'Actuals - Billing - 2025'!B393,"")</f>
        <v/>
      </c>
      <c r="D161" s="148" t="str">
        <f>if(and(sum('Actuals - Billing - 2025'!AL393)&gt;0,C161&lt;&gt;""),'Actuals - Billing - 2025'!$AM$2,"")</f>
        <v/>
      </c>
      <c r="E161" s="11" t="str">
        <f t="array" ref="E161">if($D161="","",index('Actuals - Billing - 2025'!$B161:$AZ1059,Match($C161,'Actuals - Billing - 2025'!$B161:$B1059,0),Match(E$1,'Actuals - Billing - 2025'!$B$2:$AZ$2,0)))</f>
        <v/>
      </c>
      <c r="F161" s="11"/>
      <c r="G161" s="11"/>
      <c r="H161" s="11"/>
      <c r="I161" s="11"/>
      <c r="J161" s="11" t="str">
        <f t="shared" si="2"/>
        <v/>
      </c>
      <c r="K161" s="149" t="str">
        <f t="shared" si="3"/>
        <v/>
      </c>
      <c r="L161" s="1" t="str">
        <f t="shared" si="4"/>
        <v/>
      </c>
      <c r="M161" s="4" t="str">
        <f t="shared" si="5"/>
        <v/>
      </c>
      <c r="N161" s="17" t="str">
        <f>if(M161&lt;&gt;"",'Actuals - Billing - 2025'!BG393,"")</f>
        <v/>
      </c>
    </row>
    <row r="162">
      <c r="A162" s="7"/>
      <c r="B162" s="8"/>
      <c r="C162" s="9" t="str">
        <f>IF(sum('Actuals - Billing - 2025'!AL394:AM394)&gt;0,'Actuals - Billing - 2025'!B394,"")</f>
        <v/>
      </c>
      <c r="D162" s="148" t="str">
        <f>if(and(sum('Actuals - Billing - 2025'!AL394)&gt;0,C162&lt;&gt;""),'Actuals - Billing - 2025'!$AM$2,"")</f>
        <v/>
      </c>
      <c r="E162" s="11" t="str">
        <f t="array" ref="E162">if($D162="","",index('Actuals - Billing - 2025'!$B162:$AZ1060,Match($C162,'Actuals - Billing - 2025'!$B162:$B1060,0),Match(E$1,'Actuals - Billing - 2025'!$B$2:$AZ$2,0)))</f>
        <v/>
      </c>
      <c r="F162" s="11"/>
      <c r="G162" s="11"/>
      <c r="H162" s="11"/>
      <c r="I162" s="11"/>
      <c r="J162" s="11" t="str">
        <f t="shared" si="2"/>
        <v/>
      </c>
      <c r="K162" s="149" t="str">
        <f t="shared" si="3"/>
        <v/>
      </c>
      <c r="L162" s="1" t="str">
        <f t="shared" si="4"/>
        <v/>
      </c>
      <c r="M162" s="4" t="str">
        <f t="shared" si="5"/>
        <v/>
      </c>
      <c r="N162" s="17" t="str">
        <f>if(M162&lt;&gt;"",'Actuals - Billing - 2025'!BG394,"")</f>
        <v/>
      </c>
    </row>
    <row r="163">
      <c r="A163" s="7"/>
      <c r="B163" s="8"/>
      <c r="C163" s="9" t="str">
        <f>IF(sum('Actuals - Billing - 2025'!AL395:AM395)&gt;0,'Actuals - Billing - 2025'!B395,"")</f>
        <v/>
      </c>
      <c r="D163" s="148" t="str">
        <f>if(and(sum('Actuals - Billing - 2025'!AL395)&gt;0,C163&lt;&gt;""),'Actuals - Billing - 2025'!$AM$2,"")</f>
        <v/>
      </c>
      <c r="E163" s="11" t="str">
        <f t="array" ref="E163">if($D163="","",index('Actuals - Billing - 2025'!$B163:$AZ1061,Match($C163,'Actuals - Billing - 2025'!$B163:$B1061,0),Match(E$1,'Actuals - Billing - 2025'!$B$2:$AZ$2,0)))</f>
        <v/>
      </c>
      <c r="F163" s="11"/>
      <c r="G163" s="11"/>
      <c r="H163" s="11"/>
      <c r="I163" s="11"/>
      <c r="J163" s="11" t="str">
        <f t="shared" si="2"/>
        <v/>
      </c>
      <c r="K163" s="149" t="str">
        <f t="shared" si="3"/>
        <v/>
      </c>
      <c r="L163" s="1" t="str">
        <f t="shared" si="4"/>
        <v/>
      </c>
      <c r="M163" s="4" t="str">
        <f t="shared" si="5"/>
        <v/>
      </c>
      <c r="N163" s="17" t="str">
        <f>if(M163&lt;&gt;"",'Actuals - Billing - 2025'!BG395,"")</f>
        <v/>
      </c>
    </row>
    <row r="164">
      <c r="A164" s="7"/>
      <c r="B164" s="8"/>
      <c r="C164" s="9" t="str">
        <f>IF(sum('Actuals - Billing - 2025'!AL396:AM396)&gt;0,'Actuals - Billing - 2025'!B396,"")</f>
        <v/>
      </c>
      <c r="D164" s="148" t="str">
        <f>if(and(sum('Actuals - Billing - 2025'!AL396)&gt;0,C164&lt;&gt;""),'Actuals - Billing - 2025'!$AM$2,"")</f>
        <v/>
      </c>
      <c r="E164" s="11" t="str">
        <f t="array" ref="E164">if($D164="","",index('Actuals - Billing - 2025'!$B164:$AZ1062,Match($C164,'Actuals - Billing - 2025'!$B164:$B1062,0),Match(E$1,'Actuals - Billing - 2025'!$B$2:$AZ$2,0)))</f>
        <v/>
      </c>
      <c r="F164" s="11"/>
      <c r="G164" s="11"/>
      <c r="H164" s="11"/>
      <c r="I164" s="11"/>
      <c r="J164" s="11" t="str">
        <f t="shared" si="2"/>
        <v/>
      </c>
      <c r="K164" s="149" t="str">
        <f t="shared" si="3"/>
        <v/>
      </c>
      <c r="L164" s="1" t="str">
        <f t="shared" si="4"/>
        <v/>
      </c>
      <c r="M164" s="4" t="str">
        <f t="shared" si="5"/>
        <v/>
      </c>
      <c r="N164" s="17" t="str">
        <f>if(M164&lt;&gt;"",'Actuals - Billing - 2025'!BG396,"")</f>
        <v/>
      </c>
    </row>
    <row r="165">
      <c r="A165" s="7"/>
      <c r="B165" s="8"/>
      <c r="C165" s="9" t="str">
        <f>IF(sum('Actuals - Billing - 2025'!AL397:AM397)&gt;0,'Actuals - Billing - 2025'!B397,"")</f>
        <v/>
      </c>
      <c r="D165" s="148" t="str">
        <f>if(and(sum('Actuals - Billing - 2025'!AL397)&gt;0,C165&lt;&gt;""),'Actuals - Billing - 2025'!$AM$2,"")</f>
        <v/>
      </c>
      <c r="E165" s="11" t="str">
        <f t="array" ref="E165">if($D165="","",index('Actuals - Billing - 2025'!$B165:$AZ1063,Match($C165,'Actuals - Billing - 2025'!$B165:$B1063,0),Match(E$1,'Actuals - Billing - 2025'!$B$2:$AZ$2,0)))</f>
        <v/>
      </c>
      <c r="F165" s="11"/>
      <c r="G165" s="11"/>
      <c r="H165" s="11"/>
      <c r="I165" s="11"/>
      <c r="J165" s="11" t="str">
        <f t="shared" si="2"/>
        <v/>
      </c>
      <c r="K165" s="149" t="str">
        <f t="shared" si="3"/>
        <v/>
      </c>
      <c r="L165" s="1" t="str">
        <f t="shared" si="4"/>
        <v/>
      </c>
      <c r="M165" s="4" t="str">
        <f t="shared" si="5"/>
        <v/>
      </c>
      <c r="N165" s="17" t="str">
        <f>if(M165&lt;&gt;"",'Actuals - Billing - 2025'!BG397,"")</f>
        <v/>
      </c>
    </row>
    <row r="166">
      <c r="A166" s="7"/>
      <c r="B166" s="8"/>
      <c r="C166" s="9" t="str">
        <f>IF(sum('Actuals - Billing - 2025'!AL398:AM398)&gt;0,'Actuals - Billing - 2025'!B398,"")</f>
        <v/>
      </c>
      <c r="D166" s="148" t="str">
        <f>if(and(sum('Actuals - Billing - 2025'!AL398)&gt;0,C166&lt;&gt;""),'Actuals - Billing - 2025'!$AM$2,"")</f>
        <v/>
      </c>
      <c r="E166" s="11" t="str">
        <f t="array" ref="E166">if($D166="","",index('Actuals - Billing - 2025'!$B166:$AZ1064,Match($C166,'Actuals - Billing - 2025'!$B166:$B1064,0),Match(E$1,'Actuals - Billing - 2025'!$B$2:$AZ$2,0)))</f>
        <v/>
      </c>
      <c r="F166" s="11"/>
      <c r="G166" s="11"/>
      <c r="H166" s="11"/>
      <c r="I166" s="11"/>
      <c r="J166" s="11" t="str">
        <f t="shared" si="2"/>
        <v/>
      </c>
      <c r="K166" s="149" t="str">
        <f t="shared" si="3"/>
        <v/>
      </c>
      <c r="L166" s="1" t="str">
        <f t="shared" si="4"/>
        <v/>
      </c>
      <c r="M166" s="4" t="str">
        <f t="shared" si="5"/>
        <v/>
      </c>
      <c r="N166" s="17" t="str">
        <f>if(M166&lt;&gt;"",'Actuals - Billing - 2025'!BG398,"")</f>
        <v/>
      </c>
    </row>
    <row r="167">
      <c r="A167" s="7"/>
      <c r="B167" s="8"/>
      <c r="C167" s="9" t="str">
        <f>IF(sum('Actuals - Billing - 2025'!AL399:AM399)&gt;0,'Actuals - Billing - 2025'!B399,"")</f>
        <v/>
      </c>
      <c r="D167" s="148" t="str">
        <f>if(and(sum('Actuals - Billing - 2025'!AL399)&gt;0,C167&lt;&gt;""),'Actuals - Billing - 2025'!$AM$2,"")</f>
        <v/>
      </c>
      <c r="E167" s="11" t="str">
        <f t="array" ref="E167">if($D167="","",index('Actuals - Billing - 2025'!$B167:$AZ1065,Match($C167,'Actuals - Billing - 2025'!$B167:$B1065,0),Match(E$1,'Actuals - Billing - 2025'!$B$2:$AZ$2,0)))</f>
        <v/>
      </c>
      <c r="F167" s="11"/>
      <c r="G167" s="11"/>
      <c r="H167" s="11"/>
      <c r="I167" s="11"/>
      <c r="J167" s="11" t="str">
        <f t="shared" si="2"/>
        <v/>
      </c>
      <c r="K167" s="149" t="str">
        <f t="shared" si="3"/>
        <v/>
      </c>
      <c r="L167" s="1" t="str">
        <f t="shared" si="4"/>
        <v/>
      </c>
      <c r="M167" s="4" t="str">
        <f t="shared" si="5"/>
        <v/>
      </c>
      <c r="N167" s="17" t="str">
        <f>if(M167&lt;&gt;"",'Actuals - Billing - 2025'!BG399,"")</f>
        <v/>
      </c>
    </row>
    <row r="168">
      <c r="A168" s="7"/>
      <c r="B168" s="8"/>
      <c r="C168" s="9" t="str">
        <f>IF(sum('Actuals - Billing - 2025'!AL400:AM400)&gt;0,'Actuals - Billing - 2025'!B400,"")</f>
        <v/>
      </c>
      <c r="D168" s="148" t="str">
        <f>if(and(sum('Actuals - Billing - 2025'!AL400)&gt;0,C168&lt;&gt;""),'Actuals - Billing - 2025'!$AM$2,"")</f>
        <v/>
      </c>
      <c r="E168" s="11" t="str">
        <f t="array" ref="E168">if($D168="","",index('Actuals - Billing - 2025'!$B168:$AZ1066,Match($C168,'Actuals - Billing - 2025'!$B168:$B1066,0),Match(E$1,'Actuals - Billing - 2025'!$B$2:$AZ$2,0)))</f>
        <v/>
      </c>
      <c r="F168" s="11"/>
      <c r="G168" s="11"/>
      <c r="H168" s="11"/>
      <c r="I168" s="11"/>
      <c r="J168" s="11" t="str">
        <f t="shared" si="2"/>
        <v/>
      </c>
      <c r="K168" s="149" t="str">
        <f t="shared" si="3"/>
        <v/>
      </c>
      <c r="L168" s="1" t="str">
        <f t="shared" si="4"/>
        <v/>
      </c>
      <c r="M168" s="4" t="str">
        <f t="shared" si="5"/>
        <v/>
      </c>
      <c r="N168" s="17" t="str">
        <f>if(M168&lt;&gt;"",'Actuals - Billing - 2025'!BG400,"")</f>
        <v/>
      </c>
    </row>
    <row r="169">
      <c r="A169" s="7"/>
      <c r="B169" s="8"/>
      <c r="C169" s="9" t="str">
        <f>IF(sum('Actuals - Billing - 2025'!AL401:AM401)&gt;0,'Actuals - Billing - 2025'!B401,"")</f>
        <v/>
      </c>
      <c r="D169" s="148" t="str">
        <f>if(and(sum('Actuals - Billing - 2025'!AL401)&gt;0,C169&lt;&gt;""),'Actuals - Billing - 2025'!$AM$2,"")</f>
        <v/>
      </c>
      <c r="E169" s="11" t="str">
        <f t="array" ref="E169">if($D169="","",index('Actuals - Billing - 2025'!$B169:$AZ1067,Match($C169,'Actuals - Billing - 2025'!$B169:$B1067,0),Match(E$1,'Actuals - Billing - 2025'!$B$2:$AZ$2,0)))</f>
        <v/>
      </c>
      <c r="F169" s="11"/>
      <c r="G169" s="11"/>
      <c r="H169" s="11"/>
      <c r="I169" s="11"/>
      <c r="J169" s="11" t="str">
        <f t="shared" si="2"/>
        <v/>
      </c>
      <c r="K169" s="149" t="str">
        <f t="shared" si="3"/>
        <v/>
      </c>
      <c r="L169" s="1" t="str">
        <f t="shared" si="4"/>
        <v/>
      </c>
      <c r="M169" s="4" t="str">
        <f t="shared" si="5"/>
        <v/>
      </c>
      <c r="N169" s="17" t="str">
        <f>if(M169&lt;&gt;"",'Actuals - Billing - 2025'!BG401,"")</f>
        <v/>
      </c>
    </row>
    <row r="170">
      <c r="A170" s="7"/>
      <c r="B170" s="8"/>
      <c r="C170" s="9" t="str">
        <f>IF(sum('Actuals - Billing - 2025'!AL402:AM402)&gt;0,'Actuals - Billing - 2025'!B402,"")</f>
        <v/>
      </c>
      <c r="D170" s="148" t="str">
        <f>if(and(sum('Actuals - Billing - 2025'!AL402)&gt;0,C170&lt;&gt;""),'Actuals - Billing - 2025'!$AM$2,"")</f>
        <v/>
      </c>
      <c r="E170" s="11" t="str">
        <f t="array" ref="E170">if($D170="","",index('Actuals - Billing - 2025'!$B170:$AZ1068,Match($C170,'Actuals - Billing - 2025'!$B170:$B1068,0),Match(E$1,'Actuals - Billing - 2025'!$B$2:$AZ$2,0)))</f>
        <v/>
      </c>
      <c r="F170" s="11"/>
      <c r="G170" s="11"/>
      <c r="H170" s="11"/>
      <c r="I170" s="11"/>
      <c r="J170" s="11" t="str">
        <f t="shared" si="2"/>
        <v/>
      </c>
      <c r="K170" s="149" t="str">
        <f t="shared" si="3"/>
        <v/>
      </c>
      <c r="L170" s="1" t="str">
        <f t="shared" si="4"/>
        <v/>
      </c>
      <c r="M170" s="4" t="str">
        <f t="shared" si="5"/>
        <v/>
      </c>
      <c r="N170" s="17" t="str">
        <f>if(M170&lt;&gt;"",'Actuals - Billing - 2025'!BG402,"")</f>
        <v/>
      </c>
    </row>
    <row r="171">
      <c r="A171" s="7"/>
      <c r="B171" s="8"/>
      <c r="C171" s="9" t="str">
        <f>IF(sum('Actuals - Billing - 2025'!AL403:AM403)&gt;0,'Actuals - Billing - 2025'!B403,"")</f>
        <v/>
      </c>
      <c r="D171" s="148" t="str">
        <f>if(and(sum('Actuals - Billing - 2025'!AL403)&gt;0,C171&lt;&gt;""),'Actuals - Billing - 2025'!$AM$2,"")</f>
        <v/>
      </c>
      <c r="E171" s="11" t="str">
        <f t="array" ref="E171">if($D171="","",index('Actuals - Billing - 2025'!$B171:$AZ1069,Match($C171,'Actuals - Billing - 2025'!$B171:$B1069,0),Match(E$1,'Actuals - Billing - 2025'!$B$2:$AZ$2,0)))</f>
        <v/>
      </c>
      <c r="F171" s="11"/>
      <c r="G171" s="11"/>
      <c r="H171" s="11"/>
      <c r="I171" s="11"/>
      <c r="J171" s="11" t="str">
        <f t="shared" si="2"/>
        <v/>
      </c>
      <c r="K171" s="149" t="str">
        <f t="shared" si="3"/>
        <v/>
      </c>
      <c r="L171" s="1" t="str">
        <f t="shared" si="4"/>
        <v/>
      </c>
      <c r="M171" s="4" t="str">
        <f t="shared" si="5"/>
        <v/>
      </c>
      <c r="N171" s="17" t="str">
        <f>if(M171&lt;&gt;"",'Actuals - Billing - 2025'!BG403,"")</f>
        <v/>
      </c>
    </row>
    <row r="172">
      <c r="A172" s="7"/>
      <c r="B172" s="8"/>
      <c r="C172" s="9" t="str">
        <f>IF(sum('Actuals - Billing - 2025'!AL404:AM404)&gt;0,'Actuals - Billing - 2025'!B404,"")</f>
        <v/>
      </c>
      <c r="D172" s="148" t="str">
        <f>if(and(sum('Actuals - Billing - 2025'!AL404)&gt;0,C172&lt;&gt;""),'Actuals - Billing - 2025'!$AM$2,"")</f>
        <v/>
      </c>
      <c r="E172" s="11" t="str">
        <f t="array" ref="E172">if($D172="","",index('Actuals - Billing - 2025'!$B172:$AZ1070,Match($C172,'Actuals - Billing - 2025'!$B172:$B1070,0),Match(E$1,'Actuals - Billing - 2025'!$B$2:$AZ$2,0)))</f>
        <v/>
      </c>
      <c r="F172" s="11"/>
      <c r="G172" s="11"/>
      <c r="H172" s="11"/>
      <c r="I172" s="11"/>
      <c r="J172" s="11" t="str">
        <f t="shared" si="2"/>
        <v/>
      </c>
      <c r="K172" s="149" t="str">
        <f t="shared" si="3"/>
        <v/>
      </c>
      <c r="L172" s="1" t="str">
        <f t="shared" si="4"/>
        <v/>
      </c>
      <c r="M172" s="4" t="str">
        <f t="shared" si="5"/>
        <v/>
      </c>
      <c r="N172" s="17" t="str">
        <f>if(M172&lt;&gt;"",'Actuals - Billing - 2025'!BG404,"")</f>
        <v/>
      </c>
    </row>
    <row r="173">
      <c r="A173" s="7"/>
      <c r="B173" s="8"/>
      <c r="C173" s="9" t="str">
        <f>IF(sum('Actuals - Billing - 2025'!AL405:AM405)&gt;0,'Actuals - Billing - 2025'!B405,"")</f>
        <v/>
      </c>
      <c r="D173" s="148" t="str">
        <f>if(and(sum('Actuals - Billing - 2025'!AL405)&gt;0,C173&lt;&gt;""),'Actuals - Billing - 2025'!$AM$2,"")</f>
        <v/>
      </c>
      <c r="E173" s="11" t="str">
        <f t="array" ref="E173">if($D173="","",index('Actuals - Billing - 2025'!$B173:$AZ1071,Match($C173,'Actuals - Billing - 2025'!$B173:$B1071,0),Match(E$1,'Actuals - Billing - 2025'!$B$2:$AZ$2,0)))</f>
        <v/>
      </c>
      <c r="F173" s="11"/>
      <c r="G173" s="11"/>
      <c r="H173" s="11"/>
      <c r="I173" s="11"/>
      <c r="J173" s="11" t="str">
        <f t="shared" si="2"/>
        <v/>
      </c>
      <c r="K173" s="149" t="str">
        <f t="shared" si="3"/>
        <v/>
      </c>
      <c r="L173" s="1" t="str">
        <f t="shared" si="4"/>
        <v/>
      </c>
      <c r="M173" s="4" t="str">
        <f t="shared" si="5"/>
        <v/>
      </c>
      <c r="N173" s="17" t="str">
        <f>if(M173&lt;&gt;"",'Actuals - Billing - 2025'!BG405,"")</f>
        <v/>
      </c>
    </row>
    <row r="174">
      <c r="A174" s="7"/>
      <c r="B174" s="8"/>
      <c r="C174" s="9" t="str">
        <f>IF(sum('Actuals - Billing - 2025'!AL406:AM406)&gt;0,'Actuals - Billing - 2025'!B406,"")</f>
        <v/>
      </c>
      <c r="D174" s="148" t="str">
        <f>if(and(sum('Actuals - Billing - 2025'!AL406)&gt;0,C174&lt;&gt;""),'Actuals - Billing - 2025'!$AM$2,"")</f>
        <v/>
      </c>
      <c r="E174" s="11" t="str">
        <f t="array" ref="E174">if($D174="","",index('Actuals - Billing - 2025'!$B174:$AZ1072,Match($C174,'Actuals - Billing - 2025'!$B174:$B1072,0),Match(E$1,'Actuals - Billing - 2025'!$B$2:$AZ$2,0)))</f>
        <v/>
      </c>
      <c r="F174" s="11"/>
      <c r="G174" s="11"/>
      <c r="H174" s="11"/>
      <c r="I174" s="11"/>
      <c r="J174" s="11" t="str">
        <f t="shared" si="2"/>
        <v/>
      </c>
      <c r="K174" s="149" t="str">
        <f t="shared" si="3"/>
        <v/>
      </c>
      <c r="L174" s="1" t="str">
        <f t="shared" si="4"/>
        <v/>
      </c>
      <c r="M174" s="4" t="str">
        <f t="shared" si="5"/>
        <v/>
      </c>
      <c r="N174" s="17" t="str">
        <f>if(M174&lt;&gt;"",'Actuals - Billing - 2025'!BG406,"")</f>
        <v/>
      </c>
    </row>
    <row r="175">
      <c r="A175" s="7"/>
      <c r="B175" s="8"/>
      <c r="C175" s="9" t="str">
        <f>IF(sum('Actuals - Billing - 2025'!AL407:AM407)&gt;0,'Actuals - Billing - 2025'!B407,"")</f>
        <v/>
      </c>
      <c r="D175" s="148" t="str">
        <f>if(and(sum('Actuals - Billing - 2025'!AL407)&gt;0,C175&lt;&gt;""),'Actuals - Billing - 2025'!$AM$2,"")</f>
        <v/>
      </c>
      <c r="E175" s="11" t="str">
        <f t="array" ref="E175">if($D175="","",index('Actuals - Billing - 2025'!$B175:$AZ1073,Match($C175,'Actuals - Billing - 2025'!$B175:$B1073,0),Match(E$1,'Actuals - Billing - 2025'!$B$2:$AZ$2,0)))</f>
        <v/>
      </c>
      <c r="F175" s="11"/>
      <c r="G175" s="11"/>
      <c r="H175" s="11"/>
      <c r="I175" s="11"/>
      <c r="J175" s="11" t="str">
        <f t="shared" si="2"/>
        <v/>
      </c>
      <c r="K175" s="149" t="str">
        <f t="shared" si="3"/>
        <v/>
      </c>
      <c r="L175" s="1" t="str">
        <f t="shared" si="4"/>
        <v/>
      </c>
      <c r="M175" s="4" t="str">
        <f t="shared" si="5"/>
        <v/>
      </c>
      <c r="N175" s="17" t="str">
        <f>if(M175&lt;&gt;"",'Actuals - Billing - 2025'!BG407,"")</f>
        <v/>
      </c>
    </row>
    <row r="176">
      <c r="A176" s="7"/>
      <c r="B176" s="8"/>
      <c r="C176" s="9" t="str">
        <f>IF(sum('Actuals - Billing - 2025'!AL408:AM408)&gt;0,'Actuals - Billing - 2025'!B408,"")</f>
        <v/>
      </c>
      <c r="D176" s="148" t="str">
        <f>if(and(sum('Actuals - Billing - 2025'!AL408)&gt;0,C176&lt;&gt;""),'Actuals - Billing - 2025'!$AM$2,"")</f>
        <v/>
      </c>
      <c r="E176" s="11" t="str">
        <f t="array" ref="E176">if($D176="","",index('Actuals - Billing - 2025'!$B176:$AZ1074,Match($C176,'Actuals - Billing - 2025'!$B176:$B1074,0),Match(E$1,'Actuals - Billing - 2025'!$B$2:$AZ$2,0)))</f>
        <v/>
      </c>
      <c r="F176" s="11"/>
      <c r="G176" s="11"/>
      <c r="H176" s="11"/>
      <c r="I176" s="11"/>
      <c r="J176" s="11" t="str">
        <f t="shared" si="2"/>
        <v/>
      </c>
      <c r="K176" s="149" t="str">
        <f t="shared" si="3"/>
        <v/>
      </c>
      <c r="L176" s="1" t="str">
        <f t="shared" si="4"/>
        <v/>
      </c>
      <c r="M176" s="4" t="str">
        <f t="shared" si="5"/>
        <v/>
      </c>
      <c r="N176" s="17" t="str">
        <f>if(M176&lt;&gt;"",'Actuals - Billing - 2025'!BG408,"")</f>
        <v/>
      </c>
    </row>
    <row r="177">
      <c r="A177" s="7"/>
      <c r="B177" s="8"/>
      <c r="C177" s="9" t="str">
        <f>IF(sum('Actuals - Billing - 2025'!AL409:AM409)&gt;0,'Actuals - Billing - 2025'!B409,"")</f>
        <v/>
      </c>
      <c r="D177" s="148" t="str">
        <f>if(and(sum('Actuals - Billing - 2025'!AL409)&gt;0,C177&lt;&gt;""),'Actuals - Billing - 2025'!$AM$2,"")</f>
        <v/>
      </c>
      <c r="E177" s="11" t="str">
        <f t="array" ref="E177">if($D177="","",index('Actuals - Billing - 2025'!$B177:$AZ1075,Match($C177,'Actuals - Billing - 2025'!$B177:$B1075,0),Match(E$1,'Actuals - Billing - 2025'!$B$2:$AZ$2,0)))</f>
        <v/>
      </c>
      <c r="F177" s="11"/>
      <c r="G177" s="11"/>
      <c r="H177" s="11"/>
      <c r="I177" s="11"/>
      <c r="J177" s="11" t="str">
        <f t="shared" si="2"/>
        <v/>
      </c>
      <c r="K177" s="149" t="str">
        <f t="shared" si="3"/>
        <v/>
      </c>
      <c r="L177" s="1" t="str">
        <f t="shared" si="4"/>
        <v/>
      </c>
      <c r="M177" s="4" t="str">
        <f t="shared" si="5"/>
        <v/>
      </c>
      <c r="N177" s="17" t="str">
        <f>if(M177&lt;&gt;"",'Actuals - Billing - 2025'!BG409,"")</f>
        <v/>
      </c>
    </row>
    <row r="178">
      <c r="A178" s="7"/>
      <c r="B178" s="8"/>
      <c r="C178" s="9" t="str">
        <f>IF(sum('Actuals - Billing - 2025'!AL410:AM410)&gt;0,'Actuals - Billing - 2025'!B410,"")</f>
        <v/>
      </c>
      <c r="D178" s="148" t="str">
        <f>if(and(sum('Actuals - Billing - 2025'!AL410)&gt;0,C178&lt;&gt;""),'Actuals - Billing - 2025'!$AM$2,"")</f>
        <v/>
      </c>
      <c r="E178" s="11" t="str">
        <f t="array" ref="E178">if($D178="","",index('Actuals - Billing - 2025'!$B178:$AZ1076,Match($C178,'Actuals - Billing - 2025'!$B178:$B1076,0),Match(E$1,'Actuals - Billing - 2025'!$B$2:$AZ$2,0)))</f>
        <v/>
      </c>
      <c r="F178" s="11"/>
      <c r="G178" s="11"/>
      <c r="H178" s="11"/>
      <c r="I178" s="11"/>
      <c r="J178" s="11" t="str">
        <f t="shared" si="2"/>
        <v/>
      </c>
      <c r="K178" s="149" t="str">
        <f t="shared" si="3"/>
        <v/>
      </c>
      <c r="L178" s="1" t="str">
        <f t="shared" si="4"/>
        <v/>
      </c>
      <c r="M178" s="4" t="str">
        <f t="shared" si="5"/>
        <v/>
      </c>
      <c r="N178" s="17" t="str">
        <f>if(M178&lt;&gt;"",'Actuals - Billing - 2025'!BG410,"")</f>
        <v/>
      </c>
    </row>
    <row r="179">
      <c r="A179" s="7"/>
      <c r="B179" s="8"/>
      <c r="C179" s="9" t="str">
        <f>IF(sum('Actuals - Billing - 2025'!AL411:AM411)&gt;0,'Actuals - Billing - 2025'!B411,"")</f>
        <v/>
      </c>
      <c r="D179" s="148" t="str">
        <f>if(and(sum('Actuals - Billing - 2025'!AL411)&gt;0,C179&lt;&gt;""),'Actuals - Billing - 2025'!$AM$2,"")</f>
        <v/>
      </c>
      <c r="E179" s="11" t="str">
        <f t="array" ref="E179">if($D179="","",index('Actuals - Billing - 2025'!$B179:$AZ1077,Match($C179,'Actuals - Billing - 2025'!$B179:$B1077,0),Match(E$1,'Actuals - Billing - 2025'!$B$2:$AZ$2,0)))</f>
        <v/>
      </c>
      <c r="F179" s="11"/>
      <c r="G179" s="11"/>
      <c r="H179" s="11"/>
      <c r="I179" s="11"/>
      <c r="J179" s="11" t="str">
        <f t="shared" si="2"/>
        <v/>
      </c>
      <c r="K179" s="149" t="str">
        <f t="shared" si="3"/>
        <v/>
      </c>
      <c r="L179" s="1" t="str">
        <f t="shared" si="4"/>
        <v/>
      </c>
      <c r="M179" s="4" t="str">
        <f t="shared" si="5"/>
        <v/>
      </c>
      <c r="N179" s="17" t="str">
        <f>if(M179&lt;&gt;"",'Actuals - Billing - 2025'!BG411,"")</f>
        <v/>
      </c>
    </row>
    <row r="180">
      <c r="A180" s="7"/>
      <c r="B180" s="8"/>
      <c r="C180" s="9" t="str">
        <f>IF(sum('Actuals - Billing - 2025'!AL412:AM412)&gt;0,'Actuals - Billing - 2025'!B412,"")</f>
        <v/>
      </c>
      <c r="D180" s="148" t="str">
        <f>if(and(sum('Actuals - Billing - 2025'!AL412)&gt;0,C180&lt;&gt;""),'Actuals - Billing - 2025'!$AM$2,"")</f>
        <v/>
      </c>
      <c r="E180" s="11" t="str">
        <f t="array" ref="E180">if($D180="","",index('Actuals - Billing - 2025'!$B180:$AZ1078,Match($C180,'Actuals - Billing - 2025'!$B180:$B1078,0),Match(E$1,'Actuals - Billing - 2025'!$B$2:$AZ$2,0)))</f>
        <v/>
      </c>
      <c r="F180" s="11"/>
      <c r="G180" s="11"/>
      <c r="H180" s="11"/>
      <c r="I180" s="11"/>
      <c r="J180" s="11" t="str">
        <f t="shared" si="2"/>
        <v/>
      </c>
      <c r="K180" s="149" t="str">
        <f t="shared" si="3"/>
        <v/>
      </c>
      <c r="L180" s="1" t="str">
        <f t="shared" si="4"/>
        <v/>
      </c>
      <c r="M180" s="4" t="str">
        <f t="shared" si="5"/>
        <v/>
      </c>
      <c r="N180" s="17" t="str">
        <f>if(M180&lt;&gt;"",'Actuals - Billing - 2025'!BG412,"")</f>
        <v/>
      </c>
    </row>
    <row r="181">
      <c r="A181" s="7"/>
      <c r="B181" s="8"/>
      <c r="C181" s="9" t="str">
        <f>IF(sum('Actuals - Billing - 2025'!AL413:AM413)&gt;0,'Actuals - Billing - 2025'!B413,"")</f>
        <v/>
      </c>
      <c r="D181" s="148" t="str">
        <f>if(and(sum('Actuals - Billing - 2025'!AL413)&gt;0,C181&lt;&gt;""),'Actuals - Billing - 2025'!$AM$2,"")</f>
        <v/>
      </c>
      <c r="E181" s="11" t="str">
        <f t="array" ref="E181">if($D181="","",index('Actuals - Billing - 2025'!$B181:$AZ1079,Match($C181,'Actuals - Billing - 2025'!$B181:$B1079,0),Match(E$1,'Actuals - Billing - 2025'!$B$2:$AZ$2,0)))</f>
        <v/>
      </c>
      <c r="F181" s="11"/>
      <c r="G181" s="11"/>
      <c r="H181" s="11"/>
      <c r="I181" s="11"/>
      <c r="J181" s="11" t="str">
        <f t="shared" si="2"/>
        <v/>
      </c>
      <c r="K181" s="149" t="str">
        <f t="shared" si="3"/>
        <v/>
      </c>
      <c r="L181" s="1" t="str">
        <f t="shared" si="4"/>
        <v/>
      </c>
      <c r="M181" s="4" t="str">
        <f t="shared" si="5"/>
        <v/>
      </c>
      <c r="N181" s="17" t="str">
        <f>if(M181&lt;&gt;"",'Actuals - Billing - 2025'!BG413,"")</f>
        <v/>
      </c>
    </row>
    <row r="182">
      <c r="A182" s="7"/>
      <c r="B182" s="8"/>
      <c r="C182" s="9" t="str">
        <f>IF(sum('Actuals - Billing - 2025'!AL414:AM414)&gt;0,'Actuals - Billing - 2025'!B414,"")</f>
        <v/>
      </c>
      <c r="D182" s="148" t="str">
        <f>if(and(sum('Actuals - Billing - 2025'!AL414)&gt;0,C182&lt;&gt;""),'Actuals - Billing - 2025'!$AM$2,"")</f>
        <v/>
      </c>
      <c r="E182" s="11" t="str">
        <f t="array" ref="E182">if($D182="","",index('Actuals - Billing - 2025'!$B182:$AZ1080,Match($C182,'Actuals - Billing - 2025'!$B182:$B1080,0),Match(E$1,'Actuals - Billing - 2025'!$B$2:$AZ$2,0)))</f>
        <v/>
      </c>
      <c r="F182" s="11"/>
      <c r="G182" s="11"/>
      <c r="H182" s="11"/>
      <c r="I182" s="11"/>
      <c r="J182" s="11" t="str">
        <f t="shared" si="2"/>
        <v/>
      </c>
      <c r="K182" s="149" t="str">
        <f t="shared" si="3"/>
        <v/>
      </c>
      <c r="L182" s="1" t="str">
        <f t="shared" si="4"/>
        <v/>
      </c>
      <c r="M182" s="4" t="str">
        <f t="shared" si="5"/>
        <v/>
      </c>
      <c r="N182" s="17" t="str">
        <f>if(M182&lt;&gt;"",'Actuals - Billing - 2025'!BG414,"")</f>
        <v/>
      </c>
    </row>
    <row r="183">
      <c r="A183" s="7"/>
      <c r="B183" s="8"/>
      <c r="C183" s="9" t="str">
        <f>IF(sum('Actuals - Billing - 2025'!AL415:AM415)&gt;0,'Actuals - Billing - 2025'!B415,"")</f>
        <v/>
      </c>
      <c r="D183" s="148" t="str">
        <f>if(and(sum('Actuals - Billing - 2025'!AL415)&gt;0,C183&lt;&gt;""),'Actuals - Billing - 2025'!$AM$2,"")</f>
        <v/>
      </c>
      <c r="E183" s="11" t="str">
        <f t="array" ref="E183">if($D183="","",index('Actuals - Billing - 2025'!$B183:$AZ1081,Match($C183,'Actuals - Billing - 2025'!$B183:$B1081,0),Match(E$1,'Actuals - Billing - 2025'!$B$2:$AZ$2,0)))</f>
        <v/>
      </c>
      <c r="F183" s="11"/>
      <c r="G183" s="11"/>
      <c r="H183" s="11"/>
      <c r="I183" s="11"/>
      <c r="J183" s="11" t="str">
        <f t="shared" si="2"/>
        <v/>
      </c>
      <c r="K183" s="149" t="str">
        <f t="shared" si="3"/>
        <v/>
      </c>
      <c r="L183" s="1" t="str">
        <f t="shared" si="4"/>
        <v/>
      </c>
      <c r="M183" s="4" t="str">
        <f t="shared" si="5"/>
        <v/>
      </c>
      <c r="N183" s="17" t="str">
        <f>if(M183&lt;&gt;"",'Actuals - Billing - 2025'!BG415,"")</f>
        <v/>
      </c>
    </row>
    <row r="184">
      <c r="A184" s="7"/>
      <c r="B184" s="8"/>
      <c r="C184" s="9" t="str">
        <f>IF(sum('Actuals - Billing - 2025'!AL416:AM416)&gt;0,'Actuals - Billing - 2025'!B416,"")</f>
        <v/>
      </c>
      <c r="D184" s="148" t="str">
        <f>if(and(sum('Actuals - Billing - 2025'!AL416)&gt;0,C184&lt;&gt;""),'Actuals - Billing - 2025'!$AM$2,"")</f>
        <v/>
      </c>
      <c r="E184" s="11" t="str">
        <f t="array" ref="E184">if($D184="","",index('Actuals - Billing - 2025'!$B184:$AZ1082,Match($C184,'Actuals - Billing - 2025'!$B184:$B1082,0),Match(E$1,'Actuals - Billing - 2025'!$B$2:$AZ$2,0)))</f>
        <v/>
      </c>
      <c r="F184" s="11"/>
      <c r="G184" s="11"/>
      <c r="H184" s="11"/>
      <c r="I184" s="11"/>
      <c r="J184" s="11" t="str">
        <f t="shared" si="2"/>
        <v/>
      </c>
      <c r="K184" s="149" t="str">
        <f t="shared" si="3"/>
        <v/>
      </c>
      <c r="L184" s="1" t="str">
        <f t="shared" si="4"/>
        <v/>
      </c>
      <c r="M184" s="4" t="str">
        <f t="shared" si="5"/>
        <v/>
      </c>
      <c r="N184" s="17" t="str">
        <f>if(M184&lt;&gt;"",'Actuals - Billing - 2025'!BG416,"")</f>
        <v/>
      </c>
    </row>
    <row r="185">
      <c r="A185" s="7"/>
      <c r="B185" s="8"/>
      <c r="C185" s="9" t="str">
        <f>IF(sum('Actuals - Billing - 2025'!AL417:AM417)&gt;0,'Actuals - Billing - 2025'!B417,"")</f>
        <v/>
      </c>
      <c r="D185" s="148" t="str">
        <f>if(and(sum('Actuals - Billing - 2025'!AL417)&gt;0,C185&lt;&gt;""),'Actuals - Billing - 2025'!$AM$2,"")</f>
        <v/>
      </c>
      <c r="E185" s="11" t="str">
        <f t="array" ref="E185">if($D185="","",index('Actuals - Billing - 2025'!$B185:$AZ1083,Match($C185,'Actuals - Billing - 2025'!$B185:$B1083,0),Match(E$1,'Actuals - Billing - 2025'!$B$2:$AZ$2,0)))</f>
        <v/>
      </c>
      <c r="F185" s="11"/>
      <c r="G185" s="11"/>
      <c r="H185" s="11"/>
      <c r="I185" s="11"/>
      <c r="J185" s="11" t="str">
        <f t="shared" si="2"/>
        <v/>
      </c>
      <c r="K185" s="149" t="str">
        <f t="shared" si="3"/>
        <v/>
      </c>
      <c r="L185" s="1" t="str">
        <f t="shared" si="4"/>
        <v/>
      </c>
      <c r="M185" s="4" t="str">
        <f t="shared" si="5"/>
        <v/>
      </c>
      <c r="N185" s="17" t="str">
        <f>if(M185&lt;&gt;"",'Actuals - Billing - 2025'!BG417,"")</f>
        <v/>
      </c>
    </row>
    <row r="186">
      <c r="A186" s="7"/>
      <c r="B186" s="8"/>
      <c r="C186" s="9" t="str">
        <f>IF(sum('Actuals - Billing - 2025'!AL418:AM418)&gt;0,'Actuals - Billing - 2025'!B418,"")</f>
        <v/>
      </c>
      <c r="D186" s="148" t="str">
        <f>if(and(sum('Actuals - Billing - 2025'!AL418)&gt;0,C186&lt;&gt;""),'Actuals - Billing - 2025'!$AM$2,"")</f>
        <v/>
      </c>
      <c r="E186" s="11" t="str">
        <f t="array" ref="E186">if($D186="","",index('Actuals - Billing - 2025'!$B186:$AZ1084,Match($C186,'Actuals - Billing - 2025'!$B186:$B1084,0),Match(E$1,'Actuals - Billing - 2025'!$B$2:$AZ$2,0)))</f>
        <v/>
      </c>
      <c r="F186" s="11"/>
      <c r="G186" s="11"/>
      <c r="H186" s="11"/>
      <c r="I186" s="11"/>
      <c r="J186" s="11" t="str">
        <f t="shared" si="2"/>
        <v/>
      </c>
      <c r="K186" s="149" t="str">
        <f t="shared" si="3"/>
        <v/>
      </c>
      <c r="L186" s="1" t="str">
        <f t="shared" si="4"/>
        <v/>
      </c>
      <c r="M186" s="4" t="str">
        <f t="shared" si="5"/>
        <v/>
      </c>
      <c r="N186" s="17" t="str">
        <f>if(M186&lt;&gt;"",'Actuals - Billing - 2025'!BG418,"")</f>
        <v/>
      </c>
    </row>
    <row r="187">
      <c r="A187" s="7"/>
      <c r="B187" s="8"/>
      <c r="C187" s="9" t="str">
        <f>IF(sum('Actuals - Billing - 2025'!AL419:AM419)&gt;0,'Actuals - Billing - 2025'!B419,"")</f>
        <v/>
      </c>
      <c r="D187" s="148" t="str">
        <f>if(and(sum('Actuals - Billing - 2025'!AL419)&gt;0,C187&lt;&gt;""),'Actuals - Billing - 2025'!$AM$2,"")</f>
        <v/>
      </c>
      <c r="E187" s="11" t="str">
        <f t="array" ref="E187">if($D187="","",index('Actuals - Billing - 2025'!$B187:$AZ1085,Match($C187,'Actuals - Billing - 2025'!$B187:$B1085,0),Match(E$1,'Actuals - Billing - 2025'!$B$2:$AZ$2,0)))</f>
        <v/>
      </c>
      <c r="F187" s="11"/>
      <c r="G187" s="11"/>
      <c r="H187" s="11"/>
      <c r="I187" s="11"/>
      <c r="J187" s="11" t="str">
        <f t="shared" si="2"/>
        <v/>
      </c>
      <c r="K187" s="149" t="str">
        <f t="shared" si="3"/>
        <v/>
      </c>
      <c r="L187" s="1" t="str">
        <f t="shared" si="4"/>
        <v/>
      </c>
      <c r="M187" s="4" t="str">
        <f t="shared" si="5"/>
        <v/>
      </c>
      <c r="N187" s="17" t="str">
        <f>if(M187&lt;&gt;"",'Actuals - Billing - 2025'!BG419,"")</f>
        <v/>
      </c>
    </row>
    <row r="188">
      <c r="A188" s="7"/>
      <c r="B188" s="8"/>
      <c r="C188" s="9" t="str">
        <f>IF(sum('Actuals - Billing - 2025'!AL420:AM420)&gt;0,'Actuals - Billing - 2025'!B420,"")</f>
        <v/>
      </c>
      <c r="D188" s="148" t="str">
        <f>if(and(sum('Actuals - Billing - 2025'!AL420)&gt;0,C188&lt;&gt;""),'Actuals - Billing - 2025'!$AM$2,"")</f>
        <v/>
      </c>
      <c r="E188" s="11" t="str">
        <f t="array" ref="E188">if($D188="","",index('Actuals - Billing - 2025'!$B188:$AZ1086,Match($C188,'Actuals - Billing - 2025'!$B188:$B1086,0),Match(E$1,'Actuals - Billing - 2025'!$B$2:$AZ$2,0)))</f>
        <v/>
      </c>
      <c r="F188" s="11"/>
      <c r="G188" s="11"/>
      <c r="H188" s="11"/>
      <c r="I188" s="11"/>
      <c r="J188" s="11" t="str">
        <f t="shared" si="2"/>
        <v/>
      </c>
      <c r="K188" s="149" t="str">
        <f t="shared" si="3"/>
        <v/>
      </c>
      <c r="L188" s="1" t="str">
        <f t="shared" si="4"/>
        <v/>
      </c>
      <c r="M188" s="4" t="str">
        <f t="shared" si="5"/>
        <v/>
      </c>
      <c r="N188" s="17" t="str">
        <f>if(M188&lt;&gt;"",'Actuals - Billing - 2025'!BG420,"")</f>
        <v/>
      </c>
    </row>
    <row r="189">
      <c r="A189" s="7"/>
      <c r="B189" s="8"/>
      <c r="C189" s="9" t="str">
        <f>IF(sum('Actuals - Billing - 2025'!AL421:AM421)&gt;0,'Actuals - Billing - 2025'!B421,"")</f>
        <v/>
      </c>
      <c r="D189" s="148" t="str">
        <f>if(and(sum('Actuals - Billing - 2025'!AL421)&gt;0,C189&lt;&gt;""),'Actuals - Billing - 2025'!$AM$2,"")</f>
        <v/>
      </c>
      <c r="E189" s="11" t="str">
        <f t="array" ref="E189">if($D189="","",index('Actuals - Billing - 2025'!$B189:$AZ1087,Match($C189,'Actuals - Billing - 2025'!$B189:$B1087,0),Match(E$1,'Actuals - Billing - 2025'!$B$2:$AZ$2,0)))</f>
        <v/>
      </c>
      <c r="F189" s="11"/>
      <c r="G189" s="11"/>
      <c r="H189" s="11"/>
      <c r="I189" s="11"/>
      <c r="J189" s="11" t="str">
        <f t="shared" si="2"/>
        <v/>
      </c>
      <c r="K189" s="149" t="str">
        <f t="shared" si="3"/>
        <v/>
      </c>
      <c r="L189" s="1" t="str">
        <f t="shared" si="4"/>
        <v/>
      </c>
      <c r="M189" s="4" t="str">
        <f t="shared" si="5"/>
        <v/>
      </c>
      <c r="N189" s="17" t="str">
        <f>if(M189&lt;&gt;"",'Actuals - Billing - 2025'!BG421,"")</f>
        <v/>
      </c>
    </row>
    <row r="190">
      <c r="A190" s="7"/>
      <c r="B190" s="8"/>
      <c r="C190" s="9" t="str">
        <f>IF(sum('Actuals - Billing - 2025'!AL422:AM422)&gt;0,'Actuals - Billing - 2025'!B422,"")</f>
        <v/>
      </c>
      <c r="D190" s="148" t="str">
        <f>if(and(sum('Actuals - Billing - 2025'!AL422)&gt;0,C190&lt;&gt;""),'Actuals - Billing - 2025'!$AM$2,"")</f>
        <v/>
      </c>
      <c r="E190" s="11" t="str">
        <f t="array" ref="E190">if($D190="","",index('Actuals - Billing - 2025'!$B190:$AZ1088,Match($C190,'Actuals - Billing - 2025'!$B190:$B1088,0),Match(E$1,'Actuals - Billing - 2025'!$B$2:$AZ$2,0)))</f>
        <v/>
      </c>
      <c r="F190" s="11"/>
      <c r="G190" s="11"/>
      <c r="H190" s="11"/>
      <c r="I190" s="11"/>
      <c r="J190" s="11" t="str">
        <f t="shared" si="2"/>
        <v/>
      </c>
      <c r="K190" s="149" t="str">
        <f t="shared" si="3"/>
        <v/>
      </c>
      <c r="L190" s="1" t="str">
        <f t="shared" si="4"/>
        <v/>
      </c>
      <c r="M190" s="4" t="str">
        <f t="shared" si="5"/>
        <v/>
      </c>
      <c r="N190" s="17" t="str">
        <f>if(M190&lt;&gt;"",'Actuals - Billing - 2025'!BG422,"")</f>
        <v/>
      </c>
    </row>
    <row r="191">
      <c r="A191" s="7"/>
      <c r="B191" s="8"/>
      <c r="C191" s="9" t="str">
        <f>IF(sum('Actuals - Billing - 2025'!AL423:AM423)&gt;0,'Actuals - Billing - 2025'!B423,"")</f>
        <v/>
      </c>
      <c r="D191" s="148" t="str">
        <f>if(and(sum('Actuals - Billing - 2025'!AL423)&gt;0,C191&lt;&gt;""),'Actuals - Billing - 2025'!$AM$2,"")</f>
        <v/>
      </c>
      <c r="E191" s="11" t="str">
        <f t="array" ref="E191">if($D191="","",index('Actuals - Billing - 2025'!$B191:$AZ1089,Match($C191,'Actuals - Billing - 2025'!$B191:$B1089,0),Match(E$1,'Actuals - Billing - 2025'!$B$2:$AZ$2,0)))</f>
        <v/>
      </c>
      <c r="F191" s="11"/>
      <c r="G191" s="11"/>
      <c r="H191" s="11"/>
      <c r="I191" s="11"/>
      <c r="J191" s="11" t="str">
        <f t="shared" si="2"/>
        <v/>
      </c>
      <c r="K191" s="149" t="str">
        <f t="shared" si="3"/>
        <v/>
      </c>
      <c r="L191" s="1" t="str">
        <f t="shared" si="4"/>
        <v/>
      </c>
      <c r="M191" s="4" t="str">
        <f t="shared" si="5"/>
        <v/>
      </c>
      <c r="N191" s="17" t="str">
        <f>if(M191&lt;&gt;"",'Actuals - Billing - 2025'!BG423,"")</f>
        <v/>
      </c>
    </row>
    <row r="192">
      <c r="A192" s="7"/>
      <c r="B192" s="8"/>
      <c r="C192" s="9" t="str">
        <f>IF(sum('Actuals - Billing - 2025'!AL424:AM424)&gt;0,'Actuals - Billing - 2025'!B424,"")</f>
        <v/>
      </c>
      <c r="D192" s="148" t="str">
        <f>if(and(sum('Actuals - Billing - 2025'!AL424)&gt;0,C192&lt;&gt;""),'Actuals - Billing - 2025'!$AM$2,"")</f>
        <v/>
      </c>
      <c r="E192" s="11" t="str">
        <f t="array" ref="E192">if($D192="","",index('Actuals - Billing - 2025'!$B192:$AZ1090,Match($C192,'Actuals - Billing - 2025'!$B192:$B1090,0),Match(E$1,'Actuals - Billing - 2025'!$B$2:$AZ$2,0)))</f>
        <v/>
      </c>
      <c r="F192" s="11"/>
      <c r="G192" s="11"/>
      <c r="H192" s="11"/>
      <c r="I192" s="11"/>
      <c r="J192" s="11" t="str">
        <f t="shared" si="2"/>
        <v/>
      </c>
      <c r="K192" s="149" t="str">
        <f t="shared" si="3"/>
        <v/>
      </c>
      <c r="L192" s="1" t="str">
        <f t="shared" si="4"/>
        <v/>
      </c>
      <c r="M192" s="4" t="str">
        <f t="shared" si="5"/>
        <v/>
      </c>
      <c r="N192" s="17" t="str">
        <f>if(M192&lt;&gt;"",'Actuals - Billing - 2025'!BG424,"")</f>
        <v/>
      </c>
    </row>
    <row r="193">
      <c r="A193" s="7"/>
      <c r="B193" s="8"/>
      <c r="C193" s="9"/>
      <c r="D193" s="148"/>
      <c r="E193" s="11"/>
      <c r="F193" s="11"/>
      <c r="G193" s="11"/>
      <c r="H193" s="11"/>
      <c r="I193" s="11"/>
      <c r="J193" s="11"/>
      <c r="K193" s="149"/>
      <c r="L193" s="1"/>
      <c r="M193" s="4"/>
      <c r="N193" s="17" t="str">
        <f>if(M193&lt;&gt;"",'Actuals - Billing - 2025'!BG425,"")</f>
        <v/>
      </c>
    </row>
    <row r="194">
      <c r="A194" s="7"/>
      <c r="B194" s="8"/>
      <c r="C194" s="9"/>
      <c r="D194" s="148"/>
      <c r="E194" s="11"/>
      <c r="F194" s="11"/>
      <c r="G194" s="11"/>
      <c r="H194" s="11"/>
      <c r="I194" s="11"/>
      <c r="J194" s="11"/>
      <c r="K194" s="149"/>
      <c r="L194" s="1"/>
      <c r="M194" s="4"/>
      <c r="N194" s="17" t="str">
        <f>if(M194&lt;&gt;"",'Actuals - Billing - 2025'!BG426,"")</f>
        <v/>
      </c>
    </row>
    <row r="195">
      <c r="A195" s="7"/>
      <c r="B195" s="8"/>
      <c r="C195" s="9"/>
      <c r="D195" s="148"/>
      <c r="E195" s="11"/>
      <c r="F195" s="11"/>
      <c r="G195" s="11"/>
      <c r="H195" s="11"/>
      <c r="I195" s="11"/>
      <c r="J195" s="11"/>
      <c r="K195" s="149"/>
      <c r="L195" s="1"/>
      <c r="M195" s="4"/>
      <c r="N195" s="17" t="str">
        <f>if(M195&lt;&gt;"",'Actuals - Billing - 2025'!BG427,"")</f>
        <v/>
      </c>
    </row>
    <row r="196">
      <c r="A196" s="7"/>
      <c r="B196" s="8"/>
      <c r="C196" s="9"/>
      <c r="D196" s="148"/>
      <c r="E196" s="11"/>
      <c r="F196" s="11"/>
      <c r="G196" s="11"/>
      <c r="H196" s="11"/>
      <c r="I196" s="11"/>
      <c r="J196" s="11"/>
      <c r="K196" s="149"/>
      <c r="L196" s="1"/>
      <c r="M196" s="4"/>
      <c r="N196" s="17" t="str">
        <f>if(M196&lt;&gt;"",'Actuals - Billing - 2025'!BG428,"")</f>
        <v/>
      </c>
    </row>
    <row r="197">
      <c r="A197" s="7"/>
      <c r="B197" s="8"/>
      <c r="C197" s="9"/>
      <c r="D197" s="148"/>
      <c r="E197" s="11"/>
      <c r="F197" s="11"/>
      <c r="G197" s="11"/>
      <c r="H197" s="11"/>
      <c r="I197" s="11"/>
      <c r="J197" s="11"/>
      <c r="K197" s="149"/>
      <c r="L197" s="1"/>
      <c r="M197" s="4"/>
      <c r="N197" s="17" t="str">
        <f>if(M197&lt;&gt;"",'Actuals - Billing - 2025'!BG429,"")</f>
        <v/>
      </c>
    </row>
    <row r="198">
      <c r="A198" s="7"/>
      <c r="B198" s="8"/>
      <c r="C198" s="9"/>
      <c r="D198" s="148"/>
      <c r="E198" s="11"/>
      <c r="F198" s="11"/>
      <c r="G198" s="11"/>
      <c r="H198" s="11"/>
      <c r="I198" s="11"/>
      <c r="J198" s="11"/>
      <c r="K198" s="149"/>
      <c r="L198" s="1"/>
      <c r="M198" s="4"/>
      <c r="N198" s="17" t="str">
        <f>if(M198&lt;&gt;"",'Actuals - Billing - 2025'!BG430,"")</f>
        <v/>
      </c>
    </row>
    <row r="199">
      <c r="A199" s="7"/>
      <c r="B199" s="8"/>
      <c r="C199" s="9"/>
      <c r="D199" s="148"/>
      <c r="E199" s="11"/>
      <c r="F199" s="11"/>
      <c r="G199" s="11"/>
      <c r="H199" s="11"/>
      <c r="I199" s="11"/>
      <c r="J199" s="11"/>
      <c r="K199" s="149"/>
      <c r="L199" s="1"/>
      <c r="M199" s="4"/>
      <c r="N199" s="17" t="str">
        <f>if(M199&lt;&gt;"",'Actuals - Billing - 2025'!BG431,"")</f>
        <v/>
      </c>
    </row>
    <row r="200">
      <c r="A200" s="7"/>
      <c r="B200" s="8"/>
      <c r="C200" s="9"/>
      <c r="D200" s="148"/>
      <c r="E200" s="11"/>
      <c r="F200" s="11"/>
      <c r="G200" s="11"/>
      <c r="H200" s="11"/>
      <c r="I200" s="11"/>
      <c r="J200" s="11"/>
      <c r="K200" s="149"/>
      <c r="L200" s="1"/>
      <c r="M200" s="4"/>
      <c r="N200" s="17" t="str">
        <f>if(M200&lt;&gt;"",'Actuals - Billing - 2025'!BG432,"")</f>
        <v/>
      </c>
    </row>
    <row r="201">
      <c r="A201" s="7"/>
      <c r="B201" s="8"/>
      <c r="C201" s="9"/>
      <c r="D201" s="148"/>
      <c r="E201" s="11"/>
      <c r="F201" s="11"/>
      <c r="G201" s="11"/>
      <c r="H201" s="11"/>
      <c r="I201" s="11"/>
      <c r="J201" s="11"/>
      <c r="K201" s="149"/>
      <c r="L201" s="1"/>
      <c r="M201" s="4"/>
      <c r="N201" s="17" t="str">
        <f>if(M201&lt;&gt;"",'Actuals - Billing - 2025'!BG433,"")</f>
        <v/>
      </c>
    </row>
    <row r="202">
      <c r="A202" s="7"/>
      <c r="B202" s="8"/>
      <c r="C202" s="9"/>
      <c r="D202" s="148"/>
      <c r="E202" s="11"/>
      <c r="F202" s="11"/>
      <c r="G202" s="11"/>
      <c r="H202" s="11"/>
      <c r="I202" s="11"/>
      <c r="J202" s="11"/>
      <c r="K202" s="149"/>
      <c r="L202" s="1"/>
      <c r="M202" s="4"/>
      <c r="N202" s="17" t="str">
        <f>if(M202&lt;&gt;"",'Actuals - Billing - 2025'!BG434,"")</f>
        <v/>
      </c>
    </row>
    <row r="203">
      <c r="A203" s="7"/>
      <c r="B203" s="8"/>
      <c r="C203" s="9"/>
      <c r="D203" s="148"/>
      <c r="E203" s="11"/>
      <c r="F203" s="11"/>
      <c r="G203" s="11"/>
      <c r="H203" s="11"/>
      <c r="I203" s="11"/>
      <c r="J203" s="11"/>
      <c r="K203" s="149"/>
      <c r="L203" s="1"/>
      <c r="M203" s="4"/>
      <c r="N203" s="17" t="str">
        <f>if(M203&lt;&gt;"",'Actuals - Billing - 2025'!BG435,"")</f>
        <v/>
      </c>
    </row>
    <row r="204">
      <c r="A204" s="7"/>
      <c r="B204" s="8"/>
      <c r="C204" s="9"/>
      <c r="D204" s="148"/>
      <c r="E204" s="11"/>
      <c r="F204" s="11"/>
      <c r="G204" s="11"/>
      <c r="H204" s="11"/>
      <c r="I204" s="11"/>
      <c r="J204" s="11"/>
      <c r="K204" s="149"/>
      <c r="L204" s="1"/>
      <c r="M204" s="4"/>
      <c r="N204" s="17" t="str">
        <f>if(M204&lt;&gt;"",'Actuals - Billing - 2025'!BG436,"")</f>
        <v/>
      </c>
    </row>
    <row r="205">
      <c r="A205" s="7"/>
      <c r="B205" s="8"/>
      <c r="C205" s="9"/>
      <c r="D205" s="148"/>
      <c r="E205" s="11"/>
      <c r="F205" s="11"/>
      <c r="G205" s="11"/>
      <c r="H205" s="11"/>
      <c r="I205" s="11"/>
      <c r="J205" s="11"/>
      <c r="K205" s="149"/>
      <c r="L205" s="1"/>
      <c r="M205" s="4"/>
      <c r="N205" s="17" t="str">
        <f>if(M205&lt;&gt;"",'Actuals - Billing - 2025'!BG437,"")</f>
        <v/>
      </c>
    </row>
    <row r="206">
      <c r="A206" s="7"/>
      <c r="B206" s="8"/>
      <c r="C206" s="9"/>
      <c r="D206" s="148"/>
      <c r="E206" s="11"/>
      <c r="F206" s="11"/>
      <c r="G206" s="11"/>
      <c r="H206" s="11"/>
      <c r="I206" s="11"/>
      <c r="J206" s="11"/>
      <c r="K206" s="149"/>
      <c r="L206" s="1"/>
      <c r="M206" s="4"/>
      <c r="N206" s="17" t="str">
        <f>if(M206&lt;&gt;"",'Actuals - Billing - 2025'!BG438,"")</f>
        <v/>
      </c>
    </row>
    <row r="207">
      <c r="A207" s="7"/>
      <c r="B207" s="8"/>
      <c r="C207" s="9"/>
      <c r="D207" s="148"/>
      <c r="E207" s="11"/>
      <c r="F207" s="11"/>
      <c r="G207" s="11"/>
      <c r="H207" s="11"/>
      <c r="I207" s="11"/>
      <c r="J207" s="11"/>
      <c r="K207" s="149"/>
      <c r="L207" s="1"/>
      <c r="M207" s="4"/>
      <c r="N207" s="17" t="str">
        <f>if(M207&lt;&gt;"",'Actuals - Billing - 2025'!BG439,"")</f>
        <v/>
      </c>
    </row>
    <row r="208">
      <c r="A208" s="7"/>
      <c r="B208" s="8"/>
      <c r="C208" s="9"/>
      <c r="D208" s="148"/>
      <c r="E208" s="11"/>
      <c r="F208" s="11"/>
      <c r="G208" s="11"/>
      <c r="H208" s="11"/>
      <c r="I208" s="11"/>
      <c r="J208" s="11"/>
      <c r="K208" s="149"/>
      <c r="L208" s="1"/>
      <c r="M208" s="4"/>
      <c r="N208" s="17" t="str">
        <f>if(M208&lt;&gt;"",'Actuals - Billing - 2025'!BG440,"")</f>
        <v/>
      </c>
    </row>
    <row r="209">
      <c r="A209" s="7"/>
      <c r="B209" s="8"/>
      <c r="C209" s="9"/>
      <c r="D209" s="148"/>
      <c r="E209" s="11"/>
      <c r="F209" s="11"/>
      <c r="G209" s="11"/>
      <c r="H209" s="11"/>
      <c r="I209" s="11"/>
      <c r="J209" s="11"/>
      <c r="K209" s="149"/>
      <c r="L209" s="1"/>
      <c r="M209" s="4"/>
      <c r="N209" s="17" t="str">
        <f>if(M209&lt;&gt;"",'Actuals - Billing - 2025'!BG441,"")</f>
        <v/>
      </c>
    </row>
    <row r="210">
      <c r="A210" s="7"/>
      <c r="B210" s="8"/>
      <c r="C210" s="9"/>
      <c r="D210" s="148"/>
      <c r="E210" s="11"/>
      <c r="F210" s="11"/>
      <c r="G210" s="11"/>
      <c r="H210" s="11"/>
      <c r="I210" s="11"/>
      <c r="J210" s="11"/>
      <c r="K210" s="149"/>
      <c r="L210" s="1"/>
      <c r="M210" s="4"/>
      <c r="N210" s="17" t="str">
        <f>if(M210&lt;&gt;"",'Actuals - Billing - 2025'!BG442,"")</f>
        <v/>
      </c>
    </row>
    <row r="211">
      <c r="A211" s="7"/>
      <c r="B211" s="8"/>
      <c r="C211" s="9"/>
      <c r="D211" s="148"/>
      <c r="E211" s="11"/>
      <c r="F211" s="11"/>
      <c r="G211" s="11"/>
      <c r="H211" s="11"/>
      <c r="I211" s="11"/>
      <c r="J211" s="11"/>
      <c r="K211" s="149"/>
      <c r="L211" s="1"/>
      <c r="M211" s="4"/>
      <c r="N211" s="17" t="str">
        <f>if(M211&lt;&gt;"",'Actuals - Billing - 2025'!BG443,"")</f>
        <v/>
      </c>
    </row>
    <row r="212">
      <c r="A212" s="7"/>
      <c r="B212" s="8"/>
      <c r="C212" s="9"/>
      <c r="D212" s="148"/>
      <c r="E212" s="11"/>
      <c r="F212" s="11"/>
      <c r="G212" s="11"/>
      <c r="H212" s="11"/>
      <c r="I212" s="11"/>
      <c r="J212" s="11"/>
      <c r="K212" s="149"/>
      <c r="L212" s="1"/>
      <c r="M212" s="4"/>
      <c r="N212" s="17" t="str">
        <f>if(M212&lt;&gt;"",'Actuals - Billing - 2025'!BG444,"")</f>
        <v/>
      </c>
    </row>
    <row r="213">
      <c r="A213" s="7"/>
      <c r="B213" s="8"/>
      <c r="C213" s="9"/>
      <c r="D213" s="148"/>
      <c r="E213" s="11"/>
      <c r="F213" s="11"/>
      <c r="G213" s="11"/>
      <c r="H213" s="11"/>
      <c r="I213" s="11"/>
      <c r="J213" s="11"/>
      <c r="K213" s="149"/>
      <c r="L213" s="1"/>
      <c r="M213" s="4"/>
      <c r="N213" s="17" t="str">
        <f>if(M213&lt;&gt;"",'Actuals - Billing - 2025'!BG445,"")</f>
        <v/>
      </c>
    </row>
    <row r="214">
      <c r="A214" s="7"/>
      <c r="B214" s="8"/>
      <c r="C214" s="9"/>
      <c r="D214" s="148"/>
      <c r="E214" s="11"/>
      <c r="F214" s="11"/>
      <c r="G214" s="11"/>
      <c r="H214" s="11"/>
      <c r="I214" s="11"/>
      <c r="J214" s="11"/>
      <c r="K214" s="149"/>
      <c r="L214" s="1"/>
      <c r="M214" s="4"/>
      <c r="N214" s="17" t="str">
        <f>if(M214&lt;&gt;"",'Actuals - Billing - 2025'!BG446,"")</f>
        <v/>
      </c>
    </row>
    <row r="215">
      <c r="A215" s="7"/>
      <c r="B215" s="8"/>
      <c r="C215" s="9"/>
      <c r="D215" s="148"/>
      <c r="E215" s="11"/>
      <c r="F215" s="11"/>
      <c r="G215" s="11"/>
      <c r="H215" s="11"/>
      <c r="I215" s="11"/>
      <c r="J215" s="11"/>
      <c r="K215" s="149"/>
      <c r="L215" s="1"/>
      <c r="M215" s="4"/>
      <c r="N215" s="17" t="str">
        <f>if(M215&lt;&gt;"",'Actuals - Billing - 2025'!BG447,"")</f>
        <v/>
      </c>
    </row>
    <row r="216">
      <c r="A216" s="7"/>
      <c r="B216" s="8"/>
      <c r="C216" s="9"/>
      <c r="D216" s="148"/>
      <c r="E216" s="11"/>
      <c r="F216" s="11"/>
      <c r="G216" s="11"/>
      <c r="H216" s="11"/>
      <c r="I216" s="11"/>
      <c r="J216" s="11"/>
      <c r="K216" s="149"/>
      <c r="L216" s="1"/>
      <c r="M216" s="4"/>
      <c r="N216" s="17" t="str">
        <f>if(M216&lt;&gt;"",'Actuals - Billing - 2025'!BG448,"")</f>
        <v/>
      </c>
    </row>
    <row r="217">
      <c r="A217" s="7"/>
      <c r="B217" s="8"/>
      <c r="C217" s="9"/>
      <c r="D217" s="148"/>
      <c r="E217" s="11"/>
      <c r="F217" s="11"/>
      <c r="G217" s="11"/>
      <c r="H217" s="11"/>
      <c r="I217" s="11"/>
      <c r="J217" s="11"/>
      <c r="K217" s="149"/>
      <c r="L217" s="1"/>
      <c r="M217" s="4"/>
      <c r="N217" s="17" t="str">
        <f>if(M217&lt;&gt;"",'Actuals - Billing - 2025'!BG449,"")</f>
        <v/>
      </c>
    </row>
    <row r="218">
      <c r="A218" s="7"/>
      <c r="B218" s="8"/>
      <c r="C218" s="9"/>
      <c r="D218" s="148"/>
      <c r="E218" s="11"/>
      <c r="F218" s="11"/>
      <c r="G218" s="11"/>
      <c r="H218" s="11"/>
      <c r="I218" s="11"/>
      <c r="J218" s="11"/>
      <c r="K218" s="149"/>
      <c r="L218" s="1"/>
      <c r="M218" s="4"/>
      <c r="N218" s="17" t="str">
        <f>if(M218&lt;&gt;"",'Actuals - Billing - 2025'!BG450,"")</f>
        <v/>
      </c>
    </row>
    <row r="219">
      <c r="A219" s="7"/>
      <c r="B219" s="8"/>
      <c r="C219" s="9"/>
      <c r="D219" s="148"/>
      <c r="E219" s="11"/>
      <c r="F219" s="11"/>
      <c r="G219" s="11"/>
      <c r="H219" s="11"/>
      <c r="I219" s="11"/>
      <c r="J219" s="11"/>
      <c r="K219" s="149"/>
      <c r="L219" s="1"/>
      <c r="M219" s="4"/>
      <c r="N219" s="17" t="str">
        <f>if(M219&lt;&gt;"",'Actuals - Billing - 2025'!BG451,"")</f>
        <v/>
      </c>
    </row>
    <row r="220">
      <c r="A220" s="7"/>
      <c r="B220" s="8"/>
      <c r="C220" s="9"/>
      <c r="D220" s="148"/>
      <c r="E220" s="11"/>
      <c r="F220" s="11"/>
      <c r="G220" s="11"/>
      <c r="H220" s="11"/>
      <c r="I220" s="11"/>
      <c r="J220" s="11"/>
      <c r="K220" s="149"/>
      <c r="L220" s="1"/>
      <c r="M220" s="4"/>
      <c r="N220" s="17" t="str">
        <f>if(M220&lt;&gt;"",'Actuals - Billing - 2025'!BG452,"")</f>
        <v/>
      </c>
    </row>
    <row r="221">
      <c r="A221" s="7"/>
      <c r="B221" s="8"/>
      <c r="C221" s="9"/>
      <c r="D221" s="148"/>
      <c r="E221" s="11"/>
      <c r="F221" s="11"/>
      <c r="G221" s="11"/>
      <c r="H221" s="11"/>
      <c r="I221" s="11"/>
      <c r="J221" s="11"/>
      <c r="K221" s="149"/>
      <c r="L221" s="1"/>
      <c r="M221" s="4"/>
      <c r="N221" s="17" t="str">
        <f>if(M221&lt;&gt;"",'Actuals - Billing - 2025'!BG453,"")</f>
        <v/>
      </c>
    </row>
    <row r="222">
      <c r="A222" s="7"/>
      <c r="B222" s="8"/>
      <c r="C222" s="9"/>
      <c r="D222" s="148"/>
      <c r="E222" s="11"/>
      <c r="F222" s="11"/>
      <c r="G222" s="11"/>
      <c r="H222" s="11"/>
      <c r="I222" s="11"/>
      <c r="J222" s="11"/>
      <c r="K222" s="149"/>
      <c r="L222" s="1"/>
      <c r="M222" s="4"/>
      <c r="N222" s="17" t="str">
        <f>if(M222&lt;&gt;"",'Actuals - Billing - 2025'!BG454,"")</f>
        <v/>
      </c>
    </row>
    <row r="223">
      <c r="A223" s="7"/>
      <c r="B223" s="8"/>
      <c r="C223" s="9"/>
      <c r="D223" s="148"/>
      <c r="E223" s="11"/>
      <c r="F223" s="11"/>
      <c r="G223" s="11"/>
      <c r="H223" s="11"/>
      <c r="I223" s="11"/>
      <c r="J223" s="11"/>
      <c r="K223" s="149"/>
      <c r="L223" s="1"/>
      <c r="M223" s="4"/>
      <c r="N223" s="17" t="str">
        <f>if(M223&lt;&gt;"",'Actuals - Billing - 2025'!BG455,"")</f>
        <v/>
      </c>
    </row>
    <row r="224">
      <c r="A224" s="7"/>
      <c r="B224" s="8"/>
      <c r="C224" s="9"/>
      <c r="D224" s="148"/>
      <c r="E224" s="11"/>
      <c r="F224" s="11"/>
      <c r="G224" s="11"/>
      <c r="H224" s="11"/>
      <c r="I224" s="11"/>
      <c r="J224" s="11"/>
      <c r="K224" s="149"/>
      <c r="L224" s="1"/>
      <c r="M224" s="4"/>
      <c r="N224" s="17" t="str">
        <f>if(M224&lt;&gt;"",'Actuals - Billing - 2025'!BG456,"")</f>
        <v/>
      </c>
    </row>
    <row r="225">
      <c r="A225" s="7"/>
      <c r="B225" s="8"/>
      <c r="C225" s="9"/>
      <c r="D225" s="148"/>
      <c r="E225" s="11"/>
      <c r="F225" s="11"/>
      <c r="G225" s="11"/>
      <c r="H225" s="11"/>
      <c r="I225" s="11"/>
      <c r="J225" s="11"/>
      <c r="K225" s="149"/>
      <c r="L225" s="1"/>
      <c r="M225" s="4"/>
      <c r="N225" s="17" t="str">
        <f>if(M225&lt;&gt;"",'Actuals - Billing - 2025'!BG457,"")</f>
        <v/>
      </c>
    </row>
    <row r="226">
      <c r="A226" s="7"/>
      <c r="B226" s="8"/>
      <c r="C226" s="9"/>
      <c r="D226" s="148"/>
      <c r="E226" s="11"/>
      <c r="F226" s="11"/>
      <c r="G226" s="11"/>
      <c r="H226" s="11"/>
      <c r="I226" s="11"/>
      <c r="J226" s="11"/>
      <c r="K226" s="149"/>
      <c r="L226" s="1"/>
      <c r="M226" s="4"/>
      <c r="N226" s="17" t="str">
        <f>if(M226&lt;&gt;"",'Actuals - Billing - 2025'!BG458,"")</f>
        <v/>
      </c>
    </row>
    <row r="227">
      <c r="A227" s="7"/>
      <c r="B227" s="8"/>
      <c r="C227" s="9"/>
      <c r="D227" s="148"/>
      <c r="E227" s="11"/>
      <c r="F227" s="11"/>
      <c r="G227" s="11"/>
      <c r="H227" s="11"/>
      <c r="I227" s="11"/>
      <c r="J227" s="11"/>
      <c r="K227" s="149"/>
      <c r="L227" s="1"/>
      <c r="M227" s="4"/>
      <c r="N227" s="17" t="str">
        <f>if(M227&lt;&gt;"",'Actuals - Billing - 2025'!BG459,"")</f>
        <v/>
      </c>
    </row>
    <row r="228">
      <c r="A228" s="7"/>
      <c r="B228" s="8"/>
      <c r="C228" s="9"/>
      <c r="D228" s="148"/>
      <c r="E228" s="11"/>
      <c r="F228" s="11"/>
      <c r="G228" s="11"/>
      <c r="H228" s="11"/>
      <c r="I228" s="11"/>
      <c r="J228" s="11"/>
      <c r="K228" s="149"/>
      <c r="L228" s="1"/>
      <c r="M228" s="4"/>
      <c r="N228" s="17" t="str">
        <f>if(M228&lt;&gt;"",'Actuals - Billing - 2025'!BG460,"")</f>
        <v/>
      </c>
    </row>
    <row r="229">
      <c r="A229" s="7"/>
      <c r="B229" s="8"/>
      <c r="C229" s="9"/>
      <c r="D229" s="148"/>
      <c r="E229" s="11"/>
      <c r="F229" s="11"/>
      <c r="G229" s="11"/>
      <c r="H229" s="11"/>
      <c r="I229" s="11"/>
      <c r="J229" s="11"/>
      <c r="K229" s="149"/>
      <c r="L229" s="1"/>
      <c r="M229" s="4"/>
      <c r="N229" s="17" t="str">
        <f>if(M229&lt;&gt;"",'Actuals - Billing - 2025'!BG461,"")</f>
        <v/>
      </c>
    </row>
    <row r="230">
      <c r="A230" s="7"/>
      <c r="B230" s="8"/>
      <c r="C230" s="9"/>
      <c r="D230" s="148"/>
      <c r="E230" s="11"/>
      <c r="F230" s="11"/>
      <c r="G230" s="11"/>
      <c r="H230" s="11"/>
      <c r="I230" s="11"/>
      <c r="J230" s="11"/>
      <c r="K230" s="149"/>
      <c r="L230" s="1"/>
      <c r="M230" s="4"/>
      <c r="N230" s="17" t="str">
        <f>if(M230&lt;&gt;"",'Actuals - Billing - 2025'!BG462,"")</f>
        <v/>
      </c>
    </row>
    <row r="231">
      <c r="A231" s="7"/>
      <c r="B231" s="8"/>
      <c r="C231" s="9"/>
      <c r="D231" s="148"/>
      <c r="E231" s="11"/>
      <c r="F231" s="11"/>
      <c r="G231" s="11"/>
      <c r="H231" s="11"/>
      <c r="I231" s="11"/>
      <c r="J231" s="11"/>
      <c r="K231" s="149"/>
      <c r="L231" s="1"/>
      <c r="M231" s="4"/>
      <c r="N231" s="17" t="str">
        <f>if(M231&lt;&gt;"",'Actuals - Billing - 2025'!BG463,"")</f>
        <v/>
      </c>
    </row>
    <row r="232">
      <c r="A232" s="7"/>
      <c r="B232" s="8"/>
      <c r="C232" s="9"/>
      <c r="D232" s="148"/>
      <c r="E232" s="11"/>
      <c r="F232" s="11"/>
      <c r="G232" s="11"/>
      <c r="H232" s="11"/>
      <c r="I232" s="11"/>
      <c r="J232" s="11"/>
      <c r="K232" s="149"/>
      <c r="L232" s="1"/>
      <c r="M232" s="4"/>
      <c r="N232" s="17" t="str">
        <f>if(M232&lt;&gt;"",'Actuals - Billing - 2025'!BG464,"")</f>
        <v/>
      </c>
    </row>
    <row r="233">
      <c r="A233" s="7"/>
      <c r="B233" s="8"/>
      <c r="C233" s="9"/>
      <c r="D233" s="148"/>
      <c r="E233" s="11"/>
      <c r="F233" s="11"/>
      <c r="G233" s="11"/>
      <c r="H233" s="11"/>
      <c r="I233" s="11"/>
      <c r="J233" s="11"/>
      <c r="K233" s="149"/>
      <c r="L233" s="1"/>
      <c r="M233" s="4"/>
      <c r="N233" s="17" t="str">
        <f>if(M233&lt;&gt;"",'Actuals - Billing - 2025'!BG465,"")</f>
        <v/>
      </c>
    </row>
    <row r="234">
      <c r="A234" s="7"/>
      <c r="B234" s="8"/>
      <c r="C234" s="9"/>
      <c r="D234" s="148"/>
      <c r="E234" s="11"/>
      <c r="F234" s="11"/>
      <c r="G234" s="11"/>
      <c r="H234" s="11"/>
      <c r="I234" s="11"/>
      <c r="J234" s="11"/>
      <c r="K234" s="149"/>
      <c r="L234" s="1"/>
      <c r="M234" s="4"/>
      <c r="N234" s="17" t="str">
        <f>if(M234&lt;&gt;"",'Actuals - Billing - 2025'!BG466,"")</f>
        <v/>
      </c>
    </row>
    <row r="235">
      <c r="A235" s="7"/>
      <c r="B235" s="8"/>
      <c r="C235" s="9"/>
      <c r="D235" s="148"/>
      <c r="E235" s="11"/>
      <c r="F235" s="11"/>
      <c r="G235" s="11"/>
      <c r="H235" s="11"/>
      <c r="I235" s="11"/>
      <c r="J235" s="11"/>
      <c r="K235" s="149"/>
      <c r="L235" s="1"/>
      <c r="M235" s="4"/>
      <c r="N235" s="17" t="str">
        <f>if(M235&lt;&gt;"",'Actuals - Billing - 2025'!BG467,"")</f>
        <v/>
      </c>
    </row>
    <row r="236">
      <c r="A236" s="7"/>
      <c r="B236" s="8"/>
      <c r="C236" s="9"/>
      <c r="D236" s="148"/>
      <c r="E236" s="11"/>
      <c r="F236" s="11"/>
      <c r="G236" s="11"/>
      <c r="H236" s="11"/>
      <c r="I236" s="11"/>
      <c r="J236" s="11"/>
      <c r="K236" s="149"/>
      <c r="L236" s="1"/>
      <c r="M236" s="4"/>
      <c r="N236" s="17" t="str">
        <f>if(M236&lt;&gt;"",'Actuals - Billing - 2025'!BG468,"")</f>
        <v/>
      </c>
    </row>
    <row r="237">
      <c r="A237" s="7"/>
      <c r="B237" s="8"/>
      <c r="C237" s="9"/>
      <c r="D237" s="148"/>
      <c r="E237" s="11"/>
      <c r="F237" s="11"/>
      <c r="G237" s="11"/>
      <c r="H237" s="11"/>
      <c r="I237" s="11"/>
      <c r="J237" s="11"/>
      <c r="K237" s="149"/>
      <c r="L237" s="1"/>
      <c r="M237" s="4"/>
      <c r="N237" s="17" t="str">
        <f>if(M237&lt;&gt;"",'Actuals - Billing - 2025'!BG469,"")</f>
        <v/>
      </c>
    </row>
    <row r="238">
      <c r="A238" s="7"/>
      <c r="B238" s="8"/>
      <c r="C238" s="9"/>
      <c r="D238" s="148"/>
      <c r="E238" s="11"/>
      <c r="F238" s="11"/>
      <c r="G238" s="11"/>
      <c r="H238" s="11"/>
      <c r="I238" s="11"/>
      <c r="J238" s="11"/>
      <c r="K238" s="149"/>
      <c r="L238" s="1"/>
      <c r="M238" s="4"/>
      <c r="N238" s="17" t="str">
        <f>if(M238&lt;&gt;"",'Actuals - Billing - 2025'!BG470,"")</f>
        <v/>
      </c>
    </row>
    <row r="239">
      <c r="A239" s="7"/>
      <c r="B239" s="8"/>
      <c r="C239" s="9"/>
      <c r="D239" s="148"/>
      <c r="E239" s="11"/>
      <c r="F239" s="11"/>
      <c r="G239" s="11"/>
      <c r="H239" s="11"/>
      <c r="I239" s="11"/>
      <c r="J239" s="11"/>
      <c r="K239" s="149"/>
      <c r="L239" s="1"/>
      <c r="M239" s="4"/>
      <c r="N239" s="17" t="str">
        <f>if(M239&lt;&gt;"",'Actuals - Billing - 2025'!BG471,"")</f>
        <v/>
      </c>
    </row>
    <row r="240">
      <c r="A240" s="7"/>
      <c r="B240" s="8"/>
      <c r="C240" s="9"/>
      <c r="D240" s="148"/>
      <c r="E240" s="11"/>
      <c r="F240" s="11"/>
      <c r="G240" s="11"/>
      <c r="H240" s="11"/>
      <c r="I240" s="11"/>
      <c r="J240" s="11"/>
      <c r="K240" s="149"/>
      <c r="L240" s="1"/>
      <c r="M240" s="4"/>
      <c r="N240" s="17" t="str">
        <f>if(M240&lt;&gt;"",'Actuals - Billing - 2025'!BG472,"")</f>
        <v/>
      </c>
    </row>
    <row r="241">
      <c r="A241" s="7"/>
      <c r="B241" s="8"/>
      <c r="C241" s="9"/>
      <c r="D241" s="148"/>
      <c r="E241" s="11"/>
      <c r="F241" s="11"/>
      <c r="G241" s="11"/>
      <c r="H241" s="11"/>
      <c r="I241" s="11"/>
      <c r="J241" s="11"/>
      <c r="K241" s="149"/>
      <c r="L241" s="1"/>
      <c r="M241" s="4"/>
      <c r="N241" s="17" t="str">
        <f>if(M241&lt;&gt;"",'Actuals - Billing - 2025'!BG473,"")</f>
        <v/>
      </c>
    </row>
    <row r="242">
      <c r="A242" s="7"/>
      <c r="B242" s="8"/>
      <c r="C242" s="9"/>
      <c r="D242" s="148"/>
      <c r="E242" s="11"/>
      <c r="F242" s="11"/>
      <c r="G242" s="11"/>
      <c r="H242" s="11"/>
      <c r="I242" s="11"/>
      <c r="J242" s="11"/>
      <c r="K242" s="149"/>
      <c r="L242" s="1"/>
      <c r="M242" s="4"/>
      <c r="N242" s="17" t="str">
        <f>if(M242&lt;&gt;"",'Actuals - Billing - 2025'!BG474,"")</f>
        <v/>
      </c>
    </row>
    <row r="243">
      <c r="A243" s="7"/>
      <c r="B243" s="8"/>
      <c r="C243" s="9"/>
      <c r="D243" s="148"/>
      <c r="E243" s="11"/>
      <c r="F243" s="11"/>
      <c r="G243" s="11"/>
      <c r="H243" s="11"/>
      <c r="I243" s="11"/>
      <c r="J243" s="11"/>
      <c r="K243" s="149"/>
      <c r="L243" s="1"/>
      <c r="M243" s="4"/>
      <c r="N243" s="17" t="str">
        <f>if(M243&lt;&gt;"",'Actuals - Billing - 2025'!BG475,"")</f>
        <v/>
      </c>
    </row>
    <row r="244">
      <c r="A244" s="7"/>
      <c r="B244" s="8"/>
      <c r="C244" s="9"/>
      <c r="D244" s="148"/>
      <c r="E244" s="11"/>
      <c r="F244" s="11"/>
      <c r="G244" s="11"/>
      <c r="H244" s="11"/>
      <c r="I244" s="11"/>
      <c r="J244" s="11"/>
      <c r="K244" s="149"/>
      <c r="L244" s="1"/>
      <c r="M244" s="4"/>
      <c r="N244" s="17" t="str">
        <f>if(M244&lt;&gt;"",'Actuals - Billing - 2025'!BG476,"")</f>
        <v/>
      </c>
    </row>
    <row r="245">
      <c r="A245" s="7"/>
      <c r="B245" s="8"/>
      <c r="C245" s="9"/>
      <c r="D245" s="148"/>
      <c r="E245" s="11"/>
      <c r="F245" s="11"/>
      <c r="G245" s="11"/>
      <c r="H245" s="11"/>
      <c r="I245" s="11"/>
      <c r="J245" s="11"/>
      <c r="K245" s="149"/>
      <c r="L245" s="1"/>
      <c r="M245" s="4"/>
      <c r="N245" s="17" t="str">
        <f>if(M245&lt;&gt;"",'Actuals - Billing - 2025'!BG477,"")</f>
        <v/>
      </c>
    </row>
    <row r="246">
      <c r="A246" s="7"/>
      <c r="B246" s="8"/>
      <c r="C246" s="9"/>
      <c r="D246" s="148"/>
      <c r="E246" s="11"/>
      <c r="F246" s="11"/>
      <c r="G246" s="11"/>
      <c r="H246" s="11"/>
      <c r="I246" s="11"/>
      <c r="J246" s="11"/>
      <c r="K246" s="149"/>
      <c r="L246" s="1"/>
      <c r="M246" s="4"/>
      <c r="N246" s="17" t="str">
        <f>if(M246&lt;&gt;"",'Actuals - Billing - 2025'!BG478,"")</f>
        <v/>
      </c>
    </row>
    <row r="247">
      <c r="A247" s="7"/>
      <c r="B247" s="8"/>
      <c r="C247" s="9"/>
      <c r="D247" s="148"/>
      <c r="E247" s="11"/>
      <c r="F247" s="11"/>
      <c r="G247" s="11"/>
      <c r="H247" s="11"/>
      <c r="I247" s="11"/>
      <c r="J247" s="11"/>
      <c r="K247" s="149"/>
      <c r="L247" s="1"/>
      <c r="M247" s="4"/>
      <c r="N247" s="17" t="str">
        <f>if(M247&lt;&gt;"",'Actuals - Billing - 2025'!BG479,"")</f>
        <v/>
      </c>
    </row>
    <row r="248">
      <c r="A248" s="7"/>
      <c r="B248" s="8"/>
      <c r="C248" s="9"/>
      <c r="D248" s="148"/>
      <c r="E248" s="11"/>
      <c r="F248" s="11"/>
      <c r="G248" s="11"/>
      <c r="H248" s="11"/>
      <c r="I248" s="11"/>
      <c r="J248" s="11"/>
      <c r="K248" s="149"/>
      <c r="L248" s="1"/>
      <c r="M248" s="4"/>
      <c r="N248" s="17" t="str">
        <f>if(M248&lt;&gt;"",'Actuals - Billing - 2025'!BG480,"")</f>
        <v/>
      </c>
    </row>
    <row r="249">
      <c r="A249" s="7"/>
      <c r="B249" s="8"/>
      <c r="C249" s="9"/>
      <c r="D249" s="148"/>
      <c r="E249" s="11"/>
      <c r="F249" s="11"/>
      <c r="G249" s="11"/>
      <c r="H249" s="11"/>
      <c r="I249" s="11"/>
      <c r="J249" s="11"/>
      <c r="K249" s="149"/>
      <c r="L249" s="1"/>
      <c r="M249" s="4"/>
      <c r="N249" s="17" t="str">
        <f>if(M249&lt;&gt;"",'Actuals - Billing - 2025'!BG481,"")</f>
        <v/>
      </c>
    </row>
    <row r="250">
      <c r="A250" s="7"/>
      <c r="B250" s="8"/>
      <c r="C250" s="9"/>
      <c r="D250" s="148"/>
      <c r="E250" s="11"/>
      <c r="F250" s="11"/>
      <c r="G250" s="11"/>
      <c r="H250" s="11"/>
      <c r="I250" s="11"/>
      <c r="J250" s="11"/>
      <c r="K250" s="149"/>
      <c r="L250" s="1"/>
      <c r="M250" s="4"/>
      <c r="N250" s="17" t="str">
        <f>if(M250&lt;&gt;"",'Actuals - Billing - 2025'!BG482,"")</f>
        <v/>
      </c>
    </row>
    <row r="251">
      <c r="A251" s="7"/>
      <c r="B251" s="8"/>
      <c r="C251" s="9"/>
      <c r="D251" s="148"/>
      <c r="E251" s="11"/>
      <c r="F251" s="11"/>
      <c r="G251" s="11"/>
      <c r="H251" s="11"/>
      <c r="I251" s="11"/>
      <c r="J251" s="11"/>
      <c r="K251" s="149"/>
      <c r="L251" s="1"/>
      <c r="M251" s="4"/>
      <c r="N251" s="17" t="str">
        <f>if(M251&lt;&gt;"",'Actuals - Billing - 2025'!BG483,"")</f>
        <v/>
      </c>
    </row>
    <row r="252">
      <c r="A252" s="7"/>
      <c r="B252" s="8"/>
      <c r="C252" s="9"/>
      <c r="D252" s="148"/>
      <c r="E252" s="11"/>
      <c r="F252" s="11"/>
      <c r="G252" s="11"/>
      <c r="H252" s="11"/>
      <c r="I252" s="11"/>
      <c r="J252" s="11"/>
      <c r="K252" s="149"/>
      <c r="L252" s="1"/>
      <c r="M252" s="4"/>
      <c r="N252" s="17" t="str">
        <f>if(M252&lt;&gt;"",'Actuals - Billing - 2025'!BG484,"")</f>
        <v/>
      </c>
    </row>
    <row r="253">
      <c r="A253" s="7"/>
      <c r="B253" s="8"/>
      <c r="C253" s="9"/>
      <c r="D253" s="148"/>
      <c r="E253" s="11"/>
      <c r="F253" s="11"/>
      <c r="G253" s="11"/>
      <c r="H253" s="11"/>
      <c r="I253" s="11"/>
      <c r="J253" s="11"/>
      <c r="K253" s="149"/>
      <c r="L253" s="1"/>
      <c r="M253" s="4"/>
      <c r="N253" s="17" t="str">
        <f>if(M253&lt;&gt;"",'Actuals - Billing - 2025'!BG485,"")</f>
        <v/>
      </c>
    </row>
    <row r="254">
      <c r="A254" s="7"/>
      <c r="B254" s="8"/>
      <c r="C254" s="9"/>
      <c r="D254" s="148"/>
      <c r="E254" s="11"/>
      <c r="F254" s="11"/>
      <c r="G254" s="11"/>
      <c r="H254" s="11"/>
      <c r="I254" s="11"/>
      <c r="J254" s="11"/>
      <c r="K254" s="149"/>
      <c r="L254" s="1"/>
      <c r="M254" s="4"/>
      <c r="N254" s="17" t="str">
        <f>if(M254&lt;&gt;"",'Actuals - Billing - 2025'!BG486,"")</f>
        <v/>
      </c>
    </row>
    <row r="255">
      <c r="A255" s="7"/>
      <c r="B255" s="8"/>
      <c r="C255" s="9"/>
      <c r="D255" s="148"/>
      <c r="E255" s="11"/>
      <c r="F255" s="11"/>
      <c r="G255" s="11"/>
      <c r="H255" s="11"/>
      <c r="I255" s="11"/>
      <c r="J255" s="11"/>
      <c r="K255" s="149"/>
      <c r="L255" s="1"/>
      <c r="M255" s="4"/>
      <c r="N255" s="17" t="str">
        <f>if(M255&lt;&gt;"",'Actuals - Billing - 2025'!BG487,"")</f>
        <v/>
      </c>
    </row>
    <row r="256">
      <c r="A256" s="7"/>
      <c r="B256" s="8"/>
      <c r="C256" s="9"/>
      <c r="D256" s="148"/>
      <c r="E256" s="11"/>
      <c r="F256" s="11"/>
      <c r="G256" s="11"/>
      <c r="H256" s="11"/>
      <c r="I256" s="11"/>
      <c r="J256" s="11"/>
      <c r="K256" s="149"/>
      <c r="L256" s="1"/>
      <c r="M256" s="4"/>
      <c r="N256" s="17" t="str">
        <f>if(M256&lt;&gt;"",'Actuals - Billing - 2025'!BG488,"")</f>
        <v/>
      </c>
    </row>
    <row r="257">
      <c r="A257" s="7"/>
      <c r="B257" s="8"/>
      <c r="C257" s="9"/>
      <c r="D257" s="148"/>
      <c r="E257" s="11"/>
      <c r="F257" s="11"/>
      <c r="G257" s="11"/>
      <c r="H257" s="11"/>
      <c r="I257" s="11"/>
      <c r="J257" s="11"/>
      <c r="K257" s="149"/>
      <c r="L257" s="1"/>
      <c r="M257" s="4"/>
      <c r="N257" s="17" t="str">
        <f>if(M257&lt;&gt;"",'Actuals - Billing - 2025'!BG489,"")</f>
        <v/>
      </c>
    </row>
    <row r="258">
      <c r="A258" s="7"/>
      <c r="B258" s="8"/>
      <c r="C258" s="9"/>
      <c r="D258" s="148"/>
      <c r="E258" s="11"/>
      <c r="F258" s="11"/>
      <c r="G258" s="11"/>
      <c r="H258" s="11"/>
      <c r="I258" s="11"/>
      <c r="J258" s="11"/>
      <c r="K258" s="149"/>
      <c r="L258" s="1"/>
      <c r="M258" s="4"/>
      <c r="N258" s="17" t="str">
        <f>if(M258&lt;&gt;"",'Actuals - Billing - 2025'!BG490,"")</f>
        <v/>
      </c>
    </row>
    <row r="259">
      <c r="A259" s="7"/>
      <c r="B259" s="8"/>
      <c r="C259" s="9"/>
      <c r="D259" s="148"/>
      <c r="E259" s="11"/>
      <c r="F259" s="11"/>
      <c r="G259" s="11"/>
      <c r="H259" s="11"/>
      <c r="I259" s="11"/>
      <c r="J259" s="11"/>
      <c r="K259" s="149"/>
      <c r="L259" s="1"/>
      <c r="M259" s="4"/>
      <c r="N259" s="17" t="str">
        <f>if(M259&lt;&gt;"",'Actuals - Billing - 2025'!BG491,"")</f>
        <v/>
      </c>
    </row>
    <row r="260">
      <c r="A260" s="7"/>
      <c r="B260" s="8"/>
      <c r="C260" s="9"/>
      <c r="D260" s="148"/>
      <c r="E260" s="11"/>
      <c r="F260" s="11"/>
      <c r="G260" s="11"/>
      <c r="H260" s="11"/>
      <c r="I260" s="11"/>
      <c r="J260" s="11"/>
      <c r="K260" s="149"/>
      <c r="L260" s="1"/>
      <c r="M260" s="4"/>
      <c r="N260" s="17" t="str">
        <f>if(M260&lt;&gt;"",'Actuals - Billing - 2025'!BG492,"")</f>
        <v/>
      </c>
    </row>
    <row r="261">
      <c r="A261" s="7"/>
      <c r="B261" s="8"/>
      <c r="C261" s="9"/>
      <c r="D261" s="148"/>
      <c r="E261" s="11"/>
      <c r="F261" s="11"/>
      <c r="G261" s="11"/>
      <c r="H261" s="11"/>
      <c r="I261" s="11"/>
      <c r="J261" s="11"/>
      <c r="K261" s="149"/>
      <c r="L261" s="1"/>
      <c r="M261" s="4"/>
      <c r="N261" s="17" t="str">
        <f>if(M261&lt;&gt;"",'Actuals - Billing - 2025'!BG493,"")</f>
        <v/>
      </c>
    </row>
    <row r="262">
      <c r="A262" s="7"/>
      <c r="B262" s="8"/>
      <c r="C262" s="9"/>
      <c r="D262" s="148"/>
      <c r="E262" s="11"/>
      <c r="F262" s="11"/>
      <c r="G262" s="11"/>
      <c r="H262" s="11"/>
      <c r="I262" s="11"/>
      <c r="J262" s="11"/>
      <c r="K262" s="149"/>
      <c r="L262" s="1"/>
      <c r="M262" s="4"/>
      <c r="N262" s="17" t="str">
        <f>if(M262&lt;&gt;"",'Actuals - Billing - 2025'!BG494,"")</f>
        <v/>
      </c>
    </row>
    <row r="263">
      <c r="A263" s="7"/>
      <c r="B263" s="8"/>
      <c r="C263" s="9"/>
      <c r="D263" s="148"/>
      <c r="E263" s="11"/>
      <c r="F263" s="11"/>
      <c r="G263" s="11"/>
      <c r="H263" s="11"/>
      <c r="I263" s="11"/>
      <c r="J263" s="11"/>
      <c r="K263" s="149"/>
      <c r="L263" s="1"/>
      <c r="M263" s="4"/>
      <c r="N263" s="17" t="str">
        <f>if(M263&lt;&gt;"",'Actuals - Billing - 2025'!BG495,"")</f>
        <v/>
      </c>
    </row>
    <row r="264">
      <c r="A264" s="7"/>
      <c r="B264" s="8"/>
      <c r="C264" s="9"/>
      <c r="D264" s="148"/>
      <c r="E264" s="11"/>
      <c r="F264" s="11"/>
      <c r="G264" s="11"/>
      <c r="H264" s="11"/>
      <c r="I264" s="11"/>
      <c r="J264" s="11"/>
      <c r="K264" s="149"/>
      <c r="L264" s="1"/>
      <c r="M264" s="4"/>
      <c r="N264" s="17" t="str">
        <f>if(M264&lt;&gt;"",'Actuals - Billing - 2025'!BG496,"")</f>
        <v/>
      </c>
    </row>
    <row r="265">
      <c r="A265" s="7"/>
      <c r="B265" s="8"/>
      <c r="C265" s="9"/>
      <c r="D265" s="148"/>
      <c r="E265" s="11"/>
      <c r="F265" s="11"/>
      <c r="G265" s="11"/>
      <c r="H265" s="11"/>
      <c r="I265" s="11"/>
      <c r="J265" s="11"/>
      <c r="K265" s="149"/>
      <c r="L265" s="1"/>
      <c r="M265" s="4"/>
      <c r="N265" s="17" t="str">
        <f>if(M265&lt;&gt;"",'Actuals - Billing - 2025'!BG497,"")</f>
        <v/>
      </c>
    </row>
    <row r="266">
      <c r="A266" s="7"/>
      <c r="B266" s="8"/>
      <c r="C266" s="9"/>
      <c r="D266" s="148"/>
      <c r="E266" s="11"/>
      <c r="F266" s="11"/>
      <c r="G266" s="11"/>
      <c r="H266" s="11"/>
      <c r="I266" s="11"/>
      <c r="J266" s="11"/>
      <c r="K266" s="149"/>
      <c r="L266" s="1"/>
      <c r="M266" s="4"/>
      <c r="N266" s="17" t="str">
        <f>if(M266&lt;&gt;"",'Actuals - Billing - 2025'!BG498,"")</f>
        <v/>
      </c>
    </row>
    <row r="267">
      <c r="A267" s="7"/>
      <c r="B267" s="8"/>
      <c r="C267" s="9"/>
      <c r="D267" s="148"/>
      <c r="E267" s="11"/>
      <c r="F267" s="11"/>
      <c r="G267" s="11"/>
      <c r="H267" s="11"/>
      <c r="I267" s="11"/>
      <c r="J267" s="11"/>
      <c r="K267" s="149"/>
      <c r="L267" s="1"/>
      <c r="M267" s="4"/>
      <c r="N267" s="17" t="str">
        <f>if(M267&lt;&gt;"",'Actuals - Billing - 2025'!BG499,"")</f>
        <v/>
      </c>
    </row>
    <row r="268">
      <c r="A268" s="7"/>
      <c r="B268" s="8"/>
      <c r="C268" s="9"/>
      <c r="D268" s="148"/>
      <c r="E268" s="11"/>
      <c r="F268" s="11"/>
      <c r="G268" s="11"/>
      <c r="H268" s="11"/>
      <c r="I268" s="11"/>
      <c r="J268" s="11"/>
      <c r="K268" s="149"/>
      <c r="L268" s="1"/>
      <c r="M268" s="4"/>
      <c r="N268" s="17" t="str">
        <f>if(M268&lt;&gt;"",'Actuals - Billing - 2025'!BG500,"")</f>
        <v/>
      </c>
    </row>
    <row r="269">
      <c r="A269" s="7"/>
      <c r="B269" s="8"/>
      <c r="C269" s="9"/>
      <c r="D269" s="148"/>
      <c r="E269" s="11"/>
      <c r="F269" s="11"/>
      <c r="G269" s="11"/>
      <c r="H269" s="11"/>
      <c r="I269" s="11"/>
      <c r="J269" s="11"/>
      <c r="K269" s="149"/>
      <c r="L269" s="1"/>
      <c r="M269" s="4"/>
      <c r="N269" s="17" t="str">
        <f>if(M269&lt;&gt;"",'Actuals - Billing - 2025'!BG501,"")</f>
        <v/>
      </c>
    </row>
    <row r="270">
      <c r="A270" s="7"/>
      <c r="B270" s="8"/>
      <c r="C270" s="9"/>
      <c r="D270" s="148"/>
      <c r="E270" s="11"/>
      <c r="F270" s="11"/>
      <c r="G270" s="11"/>
      <c r="H270" s="11"/>
      <c r="I270" s="11"/>
      <c r="J270" s="11"/>
      <c r="K270" s="149"/>
      <c r="L270" s="1"/>
      <c r="M270" s="4"/>
      <c r="N270" s="17" t="str">
        <f>if(M270&lt;&gt;"",'Actuals - Billing - 2025'!BG502,"")</f>
        <v/>
      </c>
    </row>
    <row r="271">
      <c r="A271" s="7"/>
      <c r="B271" s="8"/>
      <c r="C271" s="9"/>
      <c r="D271" s="148"/>
      <c r="E271" s="11"/>
      <c r="F271" s="11"/>
      <c r="G271" s="11"/>
      <c r="H271" s="11"/>
      <c r="I271" s="11"/>
      <c r="J271" s="11"/>
      <c r="K271" s="149"/>
      <c r="L271" s="1"/>
      <c r="M271" s="4"/>
      <c r="N271" s="17" t="str">
        <f>if(M271&lt;&gt;"",'Actuals - Billing - 2025'!BG503,"")</f>
        <v/>
      </c>
    </row>
    <row r="272">
      <c r="A272" s="7"/>
      <c r="B272" s="8"/>
      <c r="C272" s="9"/>
      <c r="D272" s="148"/>
      <c r="E272" s="11"/>
      <c r="F272" s="11"/>
      <c r="G272" s="11"/>
      <c r="H272" s="11"/>
      <c r="I272" s="11"/>
      <c r="J272" s="11"/>
      <c r="K272" s="149"/>
      <c r="L272" s="1"/>
      <c r="M272" s="4"/>
      <c r="N272" s="17" t="str">
        <f>if(M272&lt;&gt;"",'Actuals - Billing - 2025'!BG504,"")</f>
        <v/>
      </c>
    </row>
    <row r="273">
      <c r="A273" s="7"/>
      <c r="B273" s="8"/>
      <c r="C273" s="9"/>
      <c r="D273" s="148"/>
      <c r="E273" s="11"/>
      <c r="F273" s="11"/>
      <c r="G273" s="11"/>
      <c r="H273" s="11"/>
      <c r="I273" s="11"/>
      <c r="J273" s="11"/>
      <c r="K273" s="149"/>
      <c r="L273" s="1"/>
      <c r="M273" s="4"/>
      <c r="N273" s="17" t="str">
        <f>if(M273&lt;&gt;"",'Actuals - Billing - 2025'!BG505,"")</f>
        <v/>
      </c>
    </row>
    <row r="274">
      <c r="A274" s="7"/>
      <c r="B274" s="8"/>
      <c r="C274" s="9"/>
      <c r="D274" s="148"/>
      <c r="E274" s="11"/>
      <c r="F274" s="11"/>
      <c r="G274" s="11"/>
      <c r="H274" s="11"/>
      <c r="I274" s="11"/>
      <c r="J274" s="11"/>
      <c r="K274" s="149"/>
      <c r="L274" s="1"/>
      <c r="M274" s="4"/>
      <c r="N274" s="17" t="str">
        <f>if(M274&lt;&gt;"",'Actuals - Billing - 2025'!BG506,"")</f>
        <v/>
      </c>
    </row>
    <row r="275">
      <c r="A275" s="7"/>
      <c r="B275" s="8"/>
      <c r="C275" s="9"/>
      <c r="D275" s="148"/>
      <c r="E275" s="11"/>
      <c r="F275" s="11"/>
      <c r="G275" s="11"/>
      <c r="H275" s="11"/>
      <c r="I275" s="11"/>
      <c r="J275" s="11"/>
      <c r="K275" s="149"/>
      <c r="L275" s="1"/>
      <c r="M275" s="4"/>
      <c r="N275" s="17" t="str">
        <f>if(M275&lt;&gt;"",'Actuals - Billing - 2025'!BG507,"")</f>
        <v/>
      </c>
    </row>
    <row r="276">
      <c r="A276" s="7"/>
      <c r="B276" s="8"/>
      <c r="C276" s="9"/>
      <c r="D276" s="148"/>
      <c r="E276" s="11"/>
      <c r="F276" s="11"/>
      <c r="G276" s="11"/>
      <c r="H276" s="11"/>
      <c r="I276" s="11"/>
      <c r="J276" s="11"/>
      <c r="K276" s="149"/>
      <c r="L276" s="1"/>
      <c r="M276" s="4"/>
      <c r="N276" s="17" t="str">
        <f>if(M276&lt;&gt;"",'Actuals - Billing - 2025'!BG508,"")</f>
        <v/>
      </c>
    </row>
    <row r="277">
      <c r="A277" s="7"/>
      <c r="B277" s="8"/>
      <c r="C277" s="9"/>
      <c r="D277" s="148"/>
      <c r="E277" s="11"/>
      <c r="F277" s="11"/>
      <c r="G277" s="11"/>
      <c r="H277" s="11"/>
      <c r="I277" s="11"/>
      <c r="J277" s="11"/>
      <c r="K277" s="149"/>
      <c r="L277" s="1"/>
      <c r="M277" s="4"/>
      <c r="N277" s="17" t="str">
        <f>if(M277&lt;&gt;"",'Actuals - Billing - 2025'!BG509,"")</f>
        <v/>
      </c>
    </row>
    <row r="278">
      <c r="A278" s="7"/>
      <c r="B278" s="8"/>
      <c r="C278" s="9"/>
      <c r="D278" s="148"/>
      <c r="E278" s="11"/>
      <c r="F278" s="11"/>
      <c r="G278" s="11"/>
      <c r="H278" s="11"/>
      <c r="I278" s="11"/>
      <c r="J278" s="11"/>
      <c r="K278" s="149"/>
      <c r="L278" s="1"/>
      <c r="M278" s="4"/>
      <c r="N278" s="17" t="str">
        <f>if(M278&lt;&gt;"",'Actuals - Billing - 2025'!BG510,"")</f>
        <v/>
      </c>
    </row>
    <row r="279">
      <c r="A279" s="7"/>
      <c r="B279" s="8"/>
      <c r="C279" s="9"/>
      <c r="D279" s="148"/>
      <c r="E279" s="11"/>
      <c r="F279" s="11"/>
      <c r="G279" s="11"/>
      <c r="H279" s="11"/>
      <c r="I279" s="11"/>
      <c r="J279" s="11"/>
      <c r="K279" s="149"/>
      <c r="L279" s="1"/>
      <c r="M279" s="4"/>
      <c r="N279" s="17" t="str">
        <f>if(M279&lt;&gt;"",'Actuals - Billing - 2025'!BG511,"")</f>
        <v/>
      </c>
    </row>
    <row r="280">
      <c r="A280" s="7"/>
      <c r="B280" s="8"/>
      <c r="C280" s="9"/>
      <c r="D280" s="148"/>
      <c r="E280" s="11"/>
      <c r="F280" s="11"/>
      <c r="G280" s="11"/>
      <c r="H280" s="11"/>
      <c r="I280" s="11"/>
      <c r="J280" s="11"/>
      <c r="K280" s="149"/>
      <c r="L280" s="1"/>
      <c r="M280" s="4"/>
      <c r="N280" s="17" t="str">
        <f>if(M280&lt;&gt;"",'Actuals - Billing - 2025'!BG512,"")</f>
        <v/>
      </c>
    </row>
    <row r="281">
      <c r="A281" s="7"/>
      <c r="B281" s="8"/>
      <c r="C281" s="9"/>
      <c r="D281" s="148"/>
      <c r="E281" s="11"/>
      <c r="F281" s="11"/>
      <c r="G281" s="11"/>
      <c r="H281" s="11"/>
      <c r="I281" s="11"/>
      <c r="J281" s="11"/>
      <c r="K281" s="149"/>
      <c r="L281" s="1"/>
      <c r="M281" s="4"/>
      <c r="N281" s="17" t="str">
        <f>if(M281&lt;&gt;"",'Actuals - Billing - 2025'!BG513,"")</f>
        <v/>
      </c>
    </row>
    <row r="282">
      <c r="A282" s="7"/>
      <c r="B282" s="8"/>
      <c r="C282" s="9"/>
      <c r="D282" s="148"/>
      <c r="E282" s="11"/>
      <c r="F282" s="11"/>
      <c r="G282" s="11"/>
      <c r="H282" s="11"/>
      <c r="I282" s="11"/>
      <c r="J282" s="11"/>
      <c r="K282" s="149"/>
      <c r="L282" s="1"/>
      <c r="M282" s="4"/>
      <c r="N282" s="17" t="str">
        <f>if(M282&lt;&gt;"",'Actuals - Billing - 2025'!BG514,"")</f>
        <v/>
      </c>
    </row>
    <row r="283">
      <c r="A283" s="7" t="str">
        <f t="shared" ref="A283:A291" si="6">if(B283&lt;&gt;"","Rogers Blue Jays Baseball Partnership","")</f>
        <v/>
      </c>
      <c r="B283" s="8" t="str">
        <f>if(and('Actuals - Billing - 2025'!E$261=True,C283&lt;&gt;""),'Actuals - Billing - 2025'!C515,"")</f>
        <v/>
      </c>
      <c r="C283" s="9" t="str">
        <f>IF(and('Actuals - Billing - 2025'!E$261=True,sum('Actuals - Billing - 2025'!T515:Y515)&gt;0),'Actuals - Billing - 2025'!B515,"")</f>
        <v/>
      </c>
      <c r="D283" s="148" t="str">
        <f>if(and(sum('Actuals - Billing - 2025'!T515:Y515)&gt;0,C283&lt;&gt;""),'Actuals - Billing - 2025'!$U$2,"")</f>
        <v/>
      </c>
      <c r="E283" s="11" t="str">
        <f t="array" ref="E283">if($D283="","",index('Actuals - Billing - 2025'!$B283:$AE1181,Match($C283,'Actuals - Billing - 2025'!$B283:$B1181,0),Match(E$1,'Actuals - Billing - 2025'!$B$2:$AE$2,0)))</f>
        <v/>
      </c>
      <c r="F283" s="11" t="str">
        <f t="array" ref="F283">if($D283="","",index('Actuals - Billing - 2025'!$B283:$AE1181,Match($C283,'Actuals - Billing - 2025'!$B283:$B1181,0),Match(F$1,'Actuals - Billing - 2025'!$B$2:$AE$2,0)))</f>
        <v/>
      </c>
      <c r="G283" s="11" t="str">
        <f t="array" ref="G283">if($D283="","",index('Actuals - Billing - 2025'!$B283:$AE1181,Match($C283,'Actuals - Billing - 2025'!$B283:$B1181,0),Match(G$1,'Actuals - Billing - 2025'!$B$2:$AE$2,0)))</f>
        <v/>
      </c>
      <c r="H283" s="11" t="str">
        <f t="array" ref="H283">if($D283="","",index('Actuals - Billing - 2025'!$B283:$AE1181,Match($C283,'Actuals - Billing - 2025'!$B283:$B1181,0),Match(H$1,'Actuals - Billing - 2025'!$B$2:$AE$2,0)))</f>
        <v/>
      </c>
      <c r="I283" s="11"/>
      <c r="J283" s="11" t="str">
        <f t="shared" ref="J283:J291" si="7">if(sum(E283:I283)&gt;0,sum(E283:I283),"")</f>
        <v/>
      </c>
      <c r="K283" s="149" t="str">
        <f t="shared" ref="K283:K291" si="8">if(J283&lt;&gt;"",J283*D283,"")</f>
        <v/>
      </c>
      <c r="L283" s="1" t="str">
        <f t="shared" ref="L283:L291" si="9">iferror(if(E283&gt;0,$E$1&amp;" "&amp;E283,"")&amp;IF(F283&gt;0," "&amp;$F$1&amp;" "&amp;F283,"")&amp;IF(G283&gt;0," "&amp;$G$1&amp;" "&amp;G283,"")&amp;If(H283&gt;0," "&amp;#REF!&amp;" "&amp;H283,"")&amp;if(I283&gt;0," "&amp;#REF!&amp;" "&amp;I283,""),"")</f>
        <v/>
      </c>
      <c r="M283" s="4" t="str">
        <f t="shared" ref="M283:M291" si="10">if(B283&lt;&gt;"","TBJ MiLB - Breakfast/Lunch/Dinner","")</f>
        <v/>
      </c>
      <c r="N283" s="17" t="str">
        <f>if(M283&lt;&gt;"",'Actuals - Billing - 2025'!BG515,"")</f>
        <v/>
      </c>
    </row>
    <row r="284">
      <c r="A284" s="7" t="str">
        <f t="shared" si="6"/>
        <v/>
      </c>
      <c r="B284" s="8" t="str">
        <f>if(and('Actuals - Billing - 2025'!E$261=True,C284&lt;&gt;""),'Actuals - Billing - 2025'!C516,"")</f>
        <v/>
      </c>
      <c r="C284" s="9" t="str">
        <f>IF(and('Actuals - Billing - 2025'!E$261=True,sum('Actuals - Billing - 2025'!T516:Y516)&gt;0),'Actuals - Billing - 2025'!B516,"")</f>
        <v/>
      </c>
      <c r="D284" s="148" t="str">
        <f>if(and(sum('Actuals - Billing - 2025'!T516:Y516)&gt;0,C284&lt;&gt;""),'Actuals - Billing - 2025'!$U$2,"")</f>
        <v/>
      </c>
      <c r="E284" s="11" t="str">
        <f t="array" ref="E284">if($D284="","",index('Actuals - Billing - 2025'!$B284:$AE1182,Match($C284,'Actuals - Billing - 2025'!$B284:$B1182,0),Match(E$1,'Actuals - Billing - 2025'!$B$2:$AE$2,0)))</f>
        <v/>
      </c>
      <c r="F284" s="11" t="str">
        <f t="array" ref="F284">if($D284="","",index('Actuals - Billing - 2025'!$B284:$AE1182,Match($C284,'Actuals - Billing - 2025'!$B284:$B1182,0),Match(F$1,'Actuals - Billing - 2025'!$B$2:$AE$2,0)))</f>
        <v/>
      </c>
      <c r="G284" s="11" t="str">
        <f t="array" ref="G284">if($D284="","",index('Actuals - Billing - 2025'!$B284:$AE1182,Match($C284,'Actuals - Billing - 2025'!$B284:$B1182,0),Match(G$1,'Actuals - Billing - 2025'!$B$2:$AE$2,0)))</f>
        <v/>
      </c>
      <c r="H284" s="11" t="str">
        <f t="array" ref="H284">if($D284="","",index('Actuals - Billing - 2025'!$B284:$AE1182,Match($C284,'Actuals - Billing - 2025'!$B284:$B1182,0),Match(H$1,'Actuals - Billing - 2025'!$B$2:$AE$2,0)))</f>
        <v/>
      </c>
      <c r="I284" s="11"/>
      <c r="J284" s="11" t="str">
        <f t="shared" si="7"/>
        <v/>
      </c>
      <c r="K284" s="149" t="str">
        <f t="shared" si="8"/>
        <v/>
      </c>
      <c r="L284" s="1" t="str">
        <f t="shared" si="9"/>
        <v/>
      </c>
      <c r="M284" s="4" t="str">
        <f t="shared" si="10"/>
        <v/>
      </c>
      <c r="N284" s="17" t="str">
        <f>if(M284&lt;&gt;"",'Actuals - Billing - 2025'!BG516,"")</f>
        <v/>
      </c>
    </row>
    <row r="285">
      <c r="A285" s="7" t="str">
        <f t="shared" si="6"/>
        <v/>
      </c>
      <c r="B285" s="8" t="str">
        <f>if(and('Actuals - Billing - 2025'!E$261=True,C285&lt;&gt;""),'Actuals - Billing - 2025'!C517,"")</f>
        <v/>
      </c>
      <c r="C285" s="9" t="str">
        <f>IF(and('Actuals - Billing - 2025'!E$261=True,sum('Actuals - Billing - 2025'!T517:Y517)&gt;0),'Actuals - Billing - 2025'!B517,"")</f>
        <v/>
      </c>
      <c r="D285" s="148" t="str">
        <f>if(and(sum('Actuals - Billing - 2025'!T517:Y517)&gt;0,C285&lt;&gt;""),'Actuals - Billing - 2025'!$U$2,"")</f>
        <v/>
      </c>
      <c r="E285" s="11" t="str">
        <f t="array" ref="E285">if($D285="","",index('Actuals - Billing - 2025'!$B285:$AE1183,Match($C285,'Actuals - Billing - 2025'!$B285:$B1183,0),Match(E$1,'Actuals - Billing - 2025'!$B$2:$AE$2,0)))</f>
        <v/>
      </c>
      <c r="F285" s="11" t="str">
        <f t="array" ref="F285">if($D285="","",index('Actuals - Billing - 2025'!$B285:$AE1183,Match($C285,'Actuals - Billing - 2025'!$B285:$B1183,0),Match(F$1,'Actuals - Billing - 2025'!$B$2:$AE$2,0)))</f>
        <v/>
      </c>
      <c r="G285" s="11" t="str">
        <f t="array" ref="G285">if($D285="","",index('Actuals - Billing - 2025'!$B285:$AE1183,Match($C285,'Actuals - Billing - 2025'!$B285:$B1183,0),Match(G$1,'Actuals - Billing - 2025'!$B$2:$AE$2,0)))</f>
        <v/>
      </c>
      <c r="H285" s="11" t="str">
        <f t="array" ref="H285">if($D285="","",index('Actuals - Billing - 2025'!$B285:$AE1183,Match($C285,'Actuals - Billing - 2025'!$B285:$B1183,0),Match(H$1,'Actuals - Billing - 2025'!$B$2:$AE$2,0)))</f>
        <v/>
      </c>
      <c r="I285" s="11"/>
      <c r="J285" s="11" t="str">
        <f t="shared" si="7"/>
        <v/>
      </c>
      <c r="K285" s="149" t="str">
        <f t="shared" si="8"/>
        <v/>
      </c>
      <c r="L285" s="1" t="str">
        <f t="shared" si="9"/>
        <v/>
      </c>
      <c r="M285" s="4" t="str">
        <f t="shared" si="10"/>
        <v/>
      </c>
      <c r="N285" s="17" t="str">
        <f>if(M285&lt;&gt;"",'Actuals - Billing - 2025'!BG517,"")</f>
        <v/>
      </c>
    </row>
    <row r="286">
      <c r="A286" s="7" t="str">
        <f t="shared" si="6"/>
        <v/>
      </c>
      <c r="B286" s="8" t="str">
        <f>if(and('Actuals - Billing - 2025'!E$261=True,C286&lt;&gt;""),'Actuals - Billing - 2025'!C518,"")</f>
        <v/>
      </c>
      <c r="C286" s="9" t="str">
        <f>IF(and('Actuals - Billing - 2025'!E$261=True,sum('Actuals - Billing - 2025'!T518:Y518)&gt;0),'Actuals - Billing - 2025'!B518,"")</f>
        <v/>
      </c>
      <c r="D286" s="148" t="str">
        <f>if(and(sum('Actuals - Billing - 2025'!T518:Y518)&gt;0,C286&lt;&gt;""),'Actuals - Billing - 2025'!$U$2,"")</f>
        <v/>
      </c>
      <c r="E286" s="11" t="str">
        <f t="array" ref="E286">if($D286="","",index('Actuals - Billing - 2025'!$B286:$AE1184,Match($C286,'Actuals - Billing - 2025'!$B286:$B1184,0),Match(E$1,'Actuals - Billing - 2025'!$B$2:$AE$2,0)))</f>
        <v/>
      </c>
      <c r="F286" s="11" t="str">
        <f t="array" ref="F286">if($D286="","",index('Actuals - Billing - 2025'!$B286:$AE1184,Match($C286,'Actuals - Billing - 2025'!$B286:$B1184,0),Match(F$1,'Actuals - Billing - 2025'!$B$2:$AE$2,0)))</f>
        <v/>
      </c>
      <c r="G286" s="11" t="str">
        <f t="array" ref="G286">if($D286="","",index('Actuals - Billing - 2025'!$B286:$AE1184,Match($C286,'Actuals - Billing - 2025'!$B286:$B1184,0),Match(G$1,'Actuals - Billing - 2025'!$B$2:$AE$2,0)))</f>
        <v/>
      </c>
      <c r="H286" s="11" t="str">
        <f t="array" ref="H286">if($D286="","",index('Actuals - Billing - 2025'!$B286:$AE1184,Match($C286,'Actuals - Billing - 2025'!$B286:$B1184,0),Match(H$1,'Actuals - Billing - 2025'!$B$2:$AE$2,0)))</f>
        <v/>
      </c>
      <c r="I286" s="11"/>
      <c r="J286" s="11" t="str">
        <f t="shared" si="7"/>
        <v/>
      </c>
      <c r="K286" s="149" t="str">
        <f t="shared" si="8"/>
        <v/>
      </c>
      <c r="L286" s="1" t="str">
        <f t="shared" si="9"/>
        <v/>
      </c>
      <c r="M286" s="4" t="str">
        <f t="shared" si="10"/>
        <v/>
      </c>
      <c r="N286" s="17" t="str">
        <f>if(M286&lt;&gt;"",'Actuals - Billing - 2025'!BG518,"")</f>
        <v/>
      </c>
    </row>
    <row r="287">
      <c r="A287" s="7" t="str">
        <f t="shared" si="6"/>
        <v/>
      </c>
      <c r="B287" s="8" t="str">
        <f>if(and('Actuals - Billing - 2025'!E$261=True,C287&lt;&gt;""),'Actuals - Billing - 2025'!C519,"")</f>
        <v/>
      </c>
      <c r="C287" s="9" t="str">
        <f>IF(and('Actuals - Billing - 2025'!E$261=True,sum('Actuals - Billing - 2025'!T519:Y519)&gt;0),'Actuals - Billing - 2025'!B519,"")</f>
        <v/>
      </c>
      <c r="D287" s="148" t="str">
        <f>if(and(sum('Actuals - Billing - 2025'!T519:Y519)&gt;0,C287&lt;&gt;""),'Actuals - Billing - 2025'!$U$2,"")</f>
        <v/>
      </c>
      <c r="E287" s="11" t="str">
        <f t="array" ref="E287">if($D287="","",index('Actuals - Billing - 2025'!$B287:$AE1185,Match($C287,'Actuals - Billing - 2025'!$B287:$B1185,0),Match(E$1,'Actuals - Billing - 2025'!$B$2:$AE$2,0)))</f>
        <v/>
      </c>
      <c r="F287" s="11" t="str">
        <f t="array" ref="F287">if($D287="","",index('Actuals - Billing - 2025'!$B287:$AE1185,Match($C287,'Actuals - Billing - 2025'!$B287:$B1185,0),Match(F$1,'Actuals - Billing - 2025'!$B$2:$AE$2,0)))</f>
        <v/>
      </c>
      <c r="G287" s="11" t="str">
        <f t="array" ref="G287">if($D287="","",index('Actuals - Billing - 2025'!$B287:$AE1185,Match($C287,'Actuals - Billing - 2025'!$B287:$B1185,0),Match(G$1,'Actuals - Billing - 2025'!$B$2:$AE$2,0)))</f>
        <v/>
      </c>
      <c r="H287" s="11" t="str">
        <f t="array" ref="H287">if($D287="","",index('Actuals - Billing - 2025'!$B287:$AE1185,Match($C287,'Actuals - Billing - 2025'!$B287:$B1185,0),Match(H$1,'Actuals - Billing - 2025'!$B$2:$AE$2,0)))</f>
        <v/>
      </c>
      <c r="I287" s="11"/>
      <c r="J287" s="11" t="str">
        <f t="shared" si="7"/>
        <v/>
      </c>
      <c r="K287" s="149" t="str">
        <f t="shared" si="8"/>
        <v/>
      </c>
      <c r="L287" s="1" t="str">
        <f t="shared" si="9"/>
        <v/>
      </c>
      <c r="M287" s="4" t="str">
        <f t="shared" si="10"/>
        <v/>
      </c>
      <c r="N287" s="17" t="str">
        <f>if(M287&lt;&gt;"",'Actuals - Billing - 2025'!BG519,"")</f>
        <v/>
      </c>
    </row>
    <row r="288">
      <c r="A288" s="7" t="str">
        <f t="shared" si="6"/>
        <v/>
      </c>
      <c r="B288" s="8" t="str">
        <f>if(and('Actuals - Billing - 2025'!E$261=True,C288&lt;&gt;""),'Actuals - Billing - 2025'!C520,"")</f>
        <v/>
      </c>
      <c r="C288" s="9" t="str">
        <f>IF(and('Actuals - Billing - 2025'!E$261=True,sum('Actuals - Billing - 2025'!T520:Y520)&gt;0),'Actuals - Billing - 2025'!B520,"")</f>
        <v/>
      </c>
      <c r="D288" s="148" t="str">
        <f>if(and(sum('Actuals - Billing - 2025'!T520:Y520)&gt;0,C288&lt;&gt;""),'Actuals - Billing - 2025'!$U$2,"")</f>
        <v/>
      </c>
      <c r="E288" s="11" t="str">
        <f t="array" ref="E288">if($D288="","",index('Actuals - Billing - 2025'!$B288:$AE1186,Match($C288,'Actuals - Billing - 2025'!$B288:$B1186,0),Match(E$1,'Actuals - Billing - 2025'!$B$2:$AE$2,0)))</f>
        <v/>
      </c>
      <c r="F288" s="11" t="str">
        <f t="array" ref="F288">if($D288="","",index('Actuals - Billing - 2025'!$B288:$AE1186,Match($C288,'Actuals - Billing - 2025'!$B288:$B1186,0),Match(F$1,'Actuals - Billing - 2025'!$B$2:$AE$2,0)))</f>
        <v/>
      </c>
      <c r="G288" s="11" t="str">
        <f t="array" ref="G288">if($D288="","",index('Actuals - Billing - 2025'!$B288:$AE1186,Match($C288,'Actuals - Billing - 2025'!$B288:$B1186,0),Match(G$1,'Actuals - Billing - 2025'!$B$2:$AE$2,0)))</f>
        <v/>
      </c>
      <c r="H288" s="11" t="str">
        <f t="array" ref="H288">if($D288="","",index('Actuals - Billing - 2025'!$B288:$AE1186,Match($C288,'Actuals - Billing - 2025'!$B288:$B1186,0),Match(H$1,'Actuals - Billing - 2025'!$B$2:$AE$2,0)))</f>
        <v/>
      </c>
      <c r="I288" s="11"/>
      <c r="J288" s="11" t="str">
        <f t="shared" si="7"/>
        <v/>
      </c>
      <c r="K288" s="149" t="str">
        <f t="shared" si="8"/>
        <v/>
      </c>
      <c r="L288" s="1" t="str">
        <f t="shared" si="9"/>
        <v/>
      </c>
      <c r="M288" s="4" t="str">
        <f t="shared" si="10"/>
        <v/>
      </c>
      <c r="N288" s="17" t="str">
        <f>if(M288&lt;&gt;"",'Actuals - Billing - 2025'!BG520,"")</f>
        <v/>
      </c>
    </row>
    <row r="289">
      <c r="A289" s="7" t="str">
        <f t="shared" si="6"/>
        <v/>
      </c>
      <c r="B289" s="8" t="str">
        <f>if(and('Actuals - Billing - 2025'!E$261=True,C289&lt;&gt;""),'Actuals - Billing - 2025'!C521,"")</f>
        <v/>
      </c>
      <c r="C289" s="9" t="str">
        <f>IF(and('Actuals - Billing - 2025'!E$261=True,sum('Actuals - Billing - 2025'!T521:Y521)&gt;0),'Actuals - Billing - 2025'!B521,"")</f>
        <v/>
      </c>
      <c r="D289" s="148" t="str">
        <f>if(and(sum('Actuals - Billing - 2025'!T521:Y521)&gt;0,C289&lt;&gt;""),'Actuals - Billing - 2025'!$U$2,"")</f>
        <v/>
      </c>
      <c r="E289" s="11" t="str">
        <f t="array" ref="E289">if($D289="","",index('Actuals - Billing - 2025'!$B289:$AE1187,Match($C289,'Actuals - Billing - 2025'!$B289:$B1187,0),Match(E$1,'Actuals - Billing - 2025'!$B$2:$AE$2,0)))</f>
        <v/>
      </c>
      <c r="F289" s="11" t="str">
        <f t="array" ref="F289">if($D289="","",index('Actuals - Billing - 2025'!$B289:$AE1187,Match($C289,'Actuals - Billing - 2025'!$B289:$B1187,0),Match(F$1,'Actuals - Billing - 2025'!$B$2:$AE$2,0)))</f>
        <v/>
      </c>
      <c r="G289" s="11" t="str">
        <f t="array" ref="G289">if($D289="","",index('Actuals - Billing - 2025'!$B289:$AE1187,Match($C289,'Actuals - Billing - 2025'!$B289:$B1187,0),Match(G$1,'Actuals - Billing - 2025'!$B$2:$AE$2,0)))</f>
        <v/>
      </c>
      <c r="H289" s="11" t="str">
        <f t="array" ref="H289">if($D289="","",index('Actuals - Billing - 2025'!$B289:$AE1187,Match($C289,'Actuals - Billing - 2025'!$B289:$B1187,0),Match(H$1,'Actuals - Billing - 2025'!$B$2:$AE$2,0)))</f>
        <v/>
      </c>
      <c r="I289" s="11"/>
      <c r="J289" s="11" t="str">
        <f t="shared" si="7"/>
        <v/>
      </c>
      <c r="K289" s="149" t="str">
        <f t="shared" si="8"/>
        <v/>
      </c>
      <c r="L289" s="1" t="str">
        <f t="shared" si="9"/>
        <v/>
      </c>
      <c r="M289" s="4" t="str">
        <f t="shared" si="10"/>
        <v/>
      </c>
      <c r="N289" s="17" t="str">
        <f>if(M289&lt;&gt;"",'Actuals - Billing - 2025'!BG521,"")</f>
        <v/>
      </c>
    </row>
    <row r="290">
      <c r="A290" s="7" t="str">
        <f t="shared" si="6"/>
        <v/>
      </c>
      <c r="B290" s="8" t="str">
        <f>if(and('Actuals - Billing - 2025'!E$261=True,C290&lt;&gt;""),'Actuals - Billing - 2025'!C522,"")</f>
        <v/>
      </c>
      <c r="C290" s="9" t="str">
        <f>IF(and('Actuals - Billing - 2025'!E$261=True,sum('Actuals - Billing - 2025'!T522:Y522)&gt;0),'Actuals - Billing - 2025'!B522,"")</f>
        <v/>
      </c>
      <c r="D290" s="148" t="str">
        <f>if(and(sum('Actuals - Billing - 2025'!T522:Y522)&gt;0,C290&lt;&gt;""),'Actuals - Billing - 2025'!$U$2,"")</f>
        <v/>
      </c>
      <c r="E290" s="11" t="str">
        <f t="array" ref="E290">if($D290="","",index('Actuals - Billing - 2025'!$B290:$AE1188,Match($C290,'Actuals - Billing - 2025'!$B290:$B1188,0),Match(E$1,'Actuals - Billing - 2025'!$B$2:$AE$2,0)))</f>
        <v/>
      </c>
      <c r="F290" s="11" t="str">
        <f t="array" ref="F290">if($D290="","",index('Actuals - Billing - 2025'!$B290:$AE1188,Match($C290,'Actuals - Billing - 2025'!$B290:$B1188,0),Match(F$1,'Actuals - Billing - 2025'!$B$2:$AE$2,0)))</f>
        <v/>
      </c>
      <c r="G290" s="11" t="str">
        <f t="array" ref="G290">if($D290="","",index('Actuals - Billing - 2025'!$B290:$AE1188,Match($C290,'Actuals - Billing - 2025'!$B290:$B1188,0),Match(G$1,'Actuals - Billing - 2025'!$B$2:$AE$2,0)))</f>
        <v/>
      </c>
      <c r="H290" s="11" t="str">
        <f t="array" ref="H290">if($D290="","",index('Actuals - Billing - 2025'!$B290:$AE1188,Match($C290,'Actuals - Billing - 2025'!$B290:$B1188,0),Match(H$1,'Actuals - Billing - 2025'!$B$2:$AE$2,0)))</f>
        <v/>
      </c>
      <c r="I290" s="11"/>
      <c r="J290" s="11" t="str">
        <f t="shared" si="7"/>
        <v/>
      </c>
      <c r="K290" s="149" t="str">
        <f t="shared" si="8"/>
        <v/>
      </c>
      <c r="L290" s="1" t="str">
        <f t="shared" si="9"/>
        <v/>
      </c>
      <c r="M290" s="4" t="str">
        <f t="shared" si="10"/>
        <v/>
      </c>
      <c r="N290" s="17" t="str">
        <f>if(M290&lt;&gt;"",'Actuals - Billing - 2025'!BG522,"")</f>
        <v/>
      </c>
    </row>
    <row r="291">
      <c r="A291" s="7" t="str">
        <f t="shared" si="6"/>
        <v/>
      </c>
      <c r="B291" s="8" t="str">
        <f>if(and('Actuals - Billing - 2025'!E$261=True,C291&lt;&gt;""),'Actuals - Billing - 2025'!C523,"")</f>
        <v/>
      </c>
      <c r="C291" s="9" t="str">
        <f>IF(and('Actuals - Billing - 2025'!E$261=True,sum('Actuals - Billing - 2025'!T523:Y523)&gt;0),'Actuals - Billing - 2025'!B523,"")</f>
        <v/>
      </c>
      <c r="D291" s="148" t="str">
        <f>if(and(sum('Actuals - Billing - 2025'!T523:Y523)&gt;0,C291&lt;&gt;""),'Actuals - Billing - 2025'!$U$2,"")</f>
        <v/>
      </c>
      <c r="E291" s="11" t="str">
        <f t="array" ref="E291">if($D291="","",index('Actuals - Billing - 2025'!$B291:$AE1189,Match($C291,'Actuals - Billing - 2025'!$B291:$B1189,0),Match(E$1,'Actuals - Billing - 2025'!$B$2:$AE$2,0)))</f>
        <v/>
      </c>
      <c r="F291" s="11" t="str">
        <f t="array" ref="F291">if($D291="","",index('Actuals - Billing - 2025'!$B291:$AE1189,Match($C291,'Actuals - Billing - 2025'!$B291:$B1189,0),Match(F$1,'Actuals - Billing - 2025'!$B$2:$AE$2,0)))</f>
        <v/>
      </c>
      <c r="G291" s="11" t="str">
        <f t="array" ref="G291">if($D291="","",index('Actuals - Billing - 2025'!$B291:$AE1189,Match($C291,'Actuals - Billing - 2025'!$B291:$B1189,0),Match(G$1,'Actuals - Billing - 2025'!$B$2:$AE$2,0)))</f>
        <v/>
      </c>
      <c r="H291" s="11" t="str">
        <f t="array" ref="H291">if($D291="","",index('Actuals - Billing - 2025'!$B291:$AE1189,Match($C291,'Actuals - Billing - 2025'!$B291:$B1189,0),Match(H$1,'Actuals - Billing - 2025'!$B$2:$AE$2,0)))</f>
        <v/>
      </c>
      <c r="I291" s="11"/>
      <c r="J291" s="11" t="str">
        <f t="shared" si="7"/>
        <v/>
      </c>
      <c r="K291" s="149" t="str">
        <f t="shared" si="8"/>
        <v/>
      </c>
      <c r="L291" s="1" t="str">
        <f t="shared" si="9"/>
        <v/>
      </c>
      <c r="M291" s="4" t="str">
        <f t="shared" si="10"/>
        <v/>
      </c>
      <c r="N291" s="17" t="str">
        <f>if(M291&lt;&gt;"",'Actuals - Billing - 2025'!BG523,"")</f>
        <v/>
      </c>
    </row>
    <row r="292">
      <c r="N292" s="17" t="str">
        <f>if(M292&lt;&gt;"",'Actuals - Billing - 2025'!BG524,"")</f>
        <v/>
      </c>
    </row>
    <row r="293">
      <c r="N293" s="17" t="str">
        <f>if(M293&lt;&gt;"",'Actuals - Billing - 2025'!BG525,"")</f>
        <v/>
      </c>
    </row>
    <row r="294">
      <c r="N294" s="17" t="str">
        <f>if(M294&lt;&gt;"",'Actuals - Billing - 2025'!BG526,"")</f>
        <v/>
      </c>
    </row>
    <row r="295">
      <c r="N295" s="17" t="str">
        <f>if(M295&lt;&gt;"",'Actuals - Billing - 2025'!BG527,"")</f>
        <v/>
      </c>
    </row>
    <row r="296">
      <c r="N296" s="17" t="str">
        <f>if(M296&lt;&gt;"",'Actuals - Billing - 2025'!BG528,"")</f>
        <v/>
      </c>
    </row>
    <row r="297">
      <c r="N297" s="17" t="str">
        <f>if(M297&lt;&gt;"",'Actuals - Billing - 2025'!BG529,"")</f>
        <v/>
      </c>
    </row>
    <row r="298">
      <c r="N298" s="17" t="str">
        <f>if(M298&lt;&gt;"",'Actuals - Billing - 2025'!BG530,"")</f>
        <v/>
      </c>
    </row>
    <row r="299">
      <c r="N299" s="17" t="str">
        <f>if(M299&lt;&gt;"",'Actuals - Billing - 2025'!BG531,"")</f>
        <v/>
      </c>
    </row>
    <row r="300">
      <c r="N300" s="17" t="str">
        <f>if(M300&lt;&gt;"",'Actuals - Billing - 2025'!BG532,"")</f>
        <v/>
      </c>
    </row>
    <row r="301">
      <c r="N301" s="17" t="str">
        <f>if(M301&lt;&gt;"",'Actuals - Billing - 2025'!BG533,"")</f>
        <v/>
      </c>
    </row>
    <row r="302">
      <c r="N302" s="17" t="str">
        <f>if(M302&lt;&gt;"",'Actuals - Billing - 2025'!BG534,"")</f>
        <v/>
      </c>
    </row>
    <row r="303">
      <c r="N303" s="17" t="str">
        <f>if(M303&lt;&gt;"",'Actuals - Billing - 2025'!BG535,"")</f>
        <v/>
      </c>
    </row>
    <row r="304">
      <c r="N304" s="17" t="str">
        <f>if(M304&lt;&gt;"",'Actuals - Billing - 2025'!BG536,"")</f>
        <v/>
      </c>
    </row>
    <row r="305">
      <c r="N305" s="17" t="str">
        <f>if(M305&lt;&gt;"",'Actuals - Billing - 2025'!BG537,"")</f>
        <v/>
      </c>
    </row>
    <row r="306">
      <c r="N306" s="17" t="str">
        <f>if(M306&lt;&gt;"",'Actuals - Billing - 2025'!BG538,"")</f>
        <v/>
      </c>
    </row>
    <row r="307">
      <c r="N307" s="17" t="str">
        <f>if(M307&lt;&gt;"",'Actuals - Billing - 2025'!BG539,"")</f>
        <v/>
      </c>
    </row>
    <row r="308">
      <c r="N308" s="17" t="str">
        <f>if(M308&lt;&gt;"",'Actuals - Billing - 2025'!BG540,"")</f>
        <v/>
      </c>
    </row>
    <row r="309">
      <c r="N309" s="17" t="str">
        <f>if(M309&lt;&gt;"",'Actuals - Billing - 2025'!BG541,"")</f>
        <v/>
      </c>
    </row>
    <row r="310">
      <c r="N310" s="17" t="str">
        <f>if(M310&lt;&gt;"",'Actuals - Billing - 2025'!BG542,"")</f>
        <v/>
      </c>
    </row>
    <row r="311">
      <c r="N311" s="17" t="str">
        <f>if(M311&lt;&gt;"",'Actuals - Billing - 2025'!BG543,"")</f>
        <v/>
      </c>
    </row>
    <row r="312">
      <c r="N312" s="17" t="str">
        <f>if(M312&lt;&gt;"",'Actuals - Billing - 2025'!BG544,"")</f>
        <v/>
      </c>
    </row>
    <row r="313">
      <c r="N313" s="17" t="str">
        <f>if(M313&lt;&gt;"",'Actuals - Billing - 2025'!BG545,"")</f>
        <v/>
      </c>
    </row>
    <row r="314">
      <c r="N314" s="17" t="str">
        <f>if(M314&lt;&gt;"",'Actuals - Billing - 2025'!BG546,"")</f>
        <v/>
      </c>
    </row>
    <row r="315">
      <c r="N315" s="17" t="str">
        <f>if(M315&lt;&gt;"",'Actuals - Billing - 2025'!BG547,"")</f>
        <v/>
      </c>
    </row>
    <row r="316">
      <c r="N316" s="17" t="str">
        <f>if(M316&lt;&gt;"",'Actuals - Billing - 2025'!BG548,"")</f>
        <v/>
      </c>
    </row>
    <row r="317">
      <c r="N317" s="17" t="str">
        <f>if(M317&lt;&gt;"",'Actuals - Billing - 2025'!BG549,"")</f>
        <v/>
      </c>
    </row>
    <row r="318">
      <c r="N318" s="17" t="str">
        <f>if(M318&lt;&gt;"",'Actuals - Billing - 2025'!BG550,"")</f>
        <v/>
      </c>
    </row>
    <row r="319">
      <c r="N319" s="17" t="str">
        <f>if(M319&lt;&gt;"",'Actuals - Billing - 2025'!BG551,"")</f>
        <v/>
      </c>
    </row>
    <row r="320">
      <c r="N320" s="17" t="str">
        <f>if(M320&lt;&gt;"",'Actuals - Billing - 2025'!BG552,"")</f>
        <v/>
      </c>
    </row>
    <row r="321">
      <c r="N321" s="17" t="str">
        <f>if(M321&lt;&gt;"",'Actuals - Billing - 2025'!BG553,"")</f>
        <v/>
      </c>
    </row>
    <row r="322">
      <c r="N322" s="17" t="str">
        <f>if(M322&lt;&gt;"",'Actuals - Billing - 2025'!BG554,"")</f>
        <v/>
      </c>
    </row>
    <row r="323">
      <c r="N323" s="17" t="str">
        <f>if(M323&lt;&gt;"",'Actuals - Billing - 2025'!BG555,"")</f>
        <v/>
      </c>
    </row>
    <row r="324">
      <c r="N324" s="17" t="str">
        <f>if(M324&lt;&gt;"",'Actuals - Billing - 2025'!BG556,"")</f>
        <v/>
      </c>
    </row>
    <row r="325">
      <c r="N325" s="17" t="str">
        <f>if(M325&lt;&gt;"",'Actuals - Billing - 2025'!BG557,"")</f>
        <v/>
      </c>
    </row>
    <row r="326">
      <c r="N326" s="17" t="str">
        <f>if(M326&lt;&gt;"",'Actuals - Billing - 2025'!BG558,"")</f>
        <v/>
      </c>
    </row>
    <row r="327">
      <c r="N327" s="17" t="str">
        <f>if(M327&lt;&gt;"",'Actuals - Billing - 2025'!BG559,"")</f>
        <v/>
      </c>
    </row>
    <row r="328">
      <c r="N328" s="17" t="str">
        <f>if(M328&lt;&gt;"",'Actuals - Billing - 2025'!BG560,"")</f>
        <v/>
      </c>
    </row>
    <row r="329">
      <c r="N329" s="17" t="str">
        <f>if(M329&lt;&gt;"",'Actuals - Billing - 2025'!BG561,"")</f>
        <v/>
      </c>
    </row>
    <row r="330">
      <c r="N330" s="17" t="str">
        <f>if(M330&lt;&gt;"",'Actuals - Billing - 2025'!BG562,"")</f>
        <v/>
      </c>
    </row>
    <row r="331">
      <c r="N331" s="17" t="str">
        <f>if(M331&lt;&gt;"",'Actuals - Billing - 2025'!BG563,"")</f>
        <v/>
      </c>
    </row>
    <row r="332">
      <c r="N332" s="17" t="str">
        <f>if(M332&lt;&gt;"",'Actuals - Billing - 2025'!BG564,"")</f>
        <v/>
      </c>
    </row>
    <row r="333">
      <c r="N333" s="17" t="str">
        <f>if(M333&lt;&gt;"",'Actuals - Billing - 2025'!BG565,"")</f>
        <v/>
      </c>
    </row>
    <row r="334">
      <c r="N334" s="17" t="str">
        <f>if(M334&lt;&gt;"",'Actuals - Billing - 2025'!BG566,"")</f>
        <v/>
      </c>
    </row>
    <row r="335">
      <c r="N335" s="17" t="str">
        <f>if(M335&lt;&gt;"",'Actuals - Billing - 2025'!BG567,"")</f>
        <v/>
      </c>
    </row>
    <row r="336">
      <c r="N336" s="17" t="str">
        <f>if(M336&lt;&gt;"",'Actuals - Billing - 2025'!BG568,"")</f>
        <v/>
      </c>
    </row>
    <row r="337">
      <c r="N337" s="17" t="str">
        <f>if(M337&lt;&gt;"",'Actuals - Billing - 2025'!BG569,"")</f>
        <v/>
      </c>
    </row>
    <row r="338">
      <c r="N338" s="17" t="str">
        <f>if(M338&lt;&gt;"",'Actuals - Billing - 2025'!BG570,"")</f>
        <v/>
      </c>
    </row>
    <row r="339">
      <c r="N339" s="17" t="str">
        <f>if(M339&lt;&gt;"",'Actuals - Billing - 2025'!BG571,"")</f>
        <v/>
      </c>
    </row>
    <row r="340">
      <c r="N340" s="17" t="str">
        <f>if(M340&lt;&gt;"",'Actuals - Billing - 2025'!BG572,"")</f>
        <v/>
      </c>
    </row>
    <row r="341">
      <c r="N341" s="17" t="str">
        <f>if(M341&lt;&gt;"",'Actuals - Billing - 2025'!BG573,"")</f>
        <v/>
      </c>
    </row>
    <row r="342">
      <c r="N342" s="17" t="str">
        <f>if(M342&lt;&gt;"",'Actuals - Billing - 2025'!BG574,"")</f>
        <v/>
      </c>
    </row>
    <row r="343">
      <c r="N343" s="17" t="str">
        <f>if(M343&lt;&gt;"",'Actuals - Billing - 2025'!BG575,"")</f>
        <v/>
      </c>
    </row>
    <row r="344">
      <c r="N344" s="17" t="str">
        <f>if(M344&lt;&gt;"",'Actuals - Billing - 2025'!BG576,"")</f>
        <v/>
      </c>
    </row>
    <row r="345">
      <c r="N345" s="17" t="str">
        <f>if(M345&lt;&gt;"",'Actuals - Billing - 2025'!BG577,"")</f>
        <v/>
      </c>
    </row>
    <row r="346">
      <c r="N346" s="17" t="str">
        <f>if(M346&lt;&gt;"",'Actuals - Billing - 2025'!BG578,"")</f>
        <v/>
      </c>
    </row>
    <row r="347">
      <c r="N347" s="17" t="str">
        <f>if(M347&lt;&gt;"",'Actuals - Billing - 2025'!BG579,"")</f>
        <v/>
      </c>
    </row>
    <row r="348">
      <c r="N348" s="17" t="str">
        <f>if(M348&lt;&gt;"",'Actuals - Billing - 2025'!BG580,"")</f>
        <v/>
      </c>
    </row>
    <row r="349">
      <c r="N349" s="17" t="str">
        <f>if(M349&lt;&gt;"",'Actuals - Billing - 2025'!BG581,"")</f>
        <v/>
      </c>
    </row>
    <row r="350">
      <c r="N350" s="17" t="str">
        <f>if(M350&lt;&gt;"",'Actuals - Billing - 2025'!BG582,"")</f>
        <v/>
      </c>
    </row>
    <row r="351">
      <c r="N351" s="17" t="str">
        <f>if(M351&lt;&gt;"",'Actuals - Billing - 2025'!BG583,"")</f>
        <v/>
      </c>
    </row>
    <row r="352">
      <c r="N352" s="17" t="str">
        <f>if(M352&lt;&gt;"",'Actuals - Billing - 2025'!BG584,"")</f>
        <v/>
      </c>
    </row>
    <row r="353">
      <c r="N353" s="17" t="str">
        <f>if(M353&lt;&gt;"",'Actuals - Billing - 2025'!BG585,"")</f>
        <v/>
      </c>
    </row>
    <row r="354">
      <c r="N354" s="17" t="str">
        <f>if(M354&lt;&gt;"",'Actuals - Billing - 2025'!BG586,"")</f>
        <v/>
      </c>
    </row>
    <row r="355">
      <c r="N355" s="17" t="str">
        <f>if(M355&lt;&gt;"",'Actuals - Billing - 2025'!BG587,"")</f>
        <v/>
      </c>
    </row>
    <row r="356">
      <c r="N356" s="17" t="str">
        <f>if(M356&lt;&gt;"",'Actuals - Billing - 2025'!BG588,"")</f>
        <v/>
      </c>
    </row>
    <row r="357">
      <c r="N357" s="17" t="str">
        <f>if(M357&lt;&gt;"",'Actuals - Billing - 2025'!BG589,"")</f>
        <v/>
      </c>
    </row>
    <row r="358">
      <c r="N358" s="17" t="str">
        <f>if(M358&lt;&gt;"",'Actuals - Billing - 2025'!BG590,"")</f>
        <v/>
      </c>
    </row>
    <row r="359">
      <c r="N359" s="17" t="str">
        <f>if(M359&lt;&gt;"",'Actuals - Billing - 2025'!BG591,"")</f>
        <v/>
      </c>
    </row>
    <row r="360">
      <c r="N360" s="17" t="str">
        <f>if(M360&lt;&gt;"",'Actuals - Billing - 2025'!BG592,"")</f>
        <v/>
      </c>
    </row>
    <row r="361">
      <c r="N361" s="17" t="str">
        <f>if(M361&lt;&gt;"",'Actuals - Billing - 2025'!BG593,"")</f>
        <v/>
      </c>
    </row>
    <row r="362">
      <c r="N362" s="17" t="str">
        <f>if(M362&lt;&gt;"",'Actuals - Billing - 2025'!BG594,"")</f>
        <v/>
      </c>
    </row>
    <row r="363">
      <c r="N363" s="17" t="str">
        <f>if(M363&lt;&gt;"",'Actuals - Billing - 2025'!BG595,"")</f>
        <v/>
      </c>
    </row>
    <row r="364">
      <c r="N364" s="17" t="str">
        <f>if(M364&lt;&gt;"",'Actuals - Billing - 2025'!BG596,"")</f>
        <v/>
      </c>
    </row>
    <row r="365">
      <c r="N365" s="17" t="str">
        <f>if(M365&lt;&gt;"",'Actuals - Billing - 2025'!BG597,"")</f>
        <v/>
      </c>
    </row>
    <row r="366">
      <c r="N366" s="17" t="str">
        <f>if(M366&lt;&gt;"",'Actuals - Billing - 2025'!BG598,"")</f>
        <v/>
      </c>
    </row>
    <row r="367">
      <c r="N367" s="17" t="str">
        <f>if(M367&lt;&gt;"",'Actuals - Billing - 2025'!BG599,"")</f>
        <v/>
      </c>
    </row>
    <row r="368">
      <c r="N368" s="17" t="str">
        <f>if(M368&lt;&gt;"",'Actuals - Billing - 2025'!BG600,"")</f>
        <v/>
      </c>
    </row>
    <row r="369">
      <c r="N369" s="17" t="str">
        <f>if(M369&lt;&gt;"",'Actuals - Billing - 2025'!BG601,"")</f>
        <v/>
      </c>
    </row>
    <row r="370">
      <c r="N370" s="17" t="str">
        <f>if(M370&lt;&gt;"",'Actuals - Billing - 2025'!BG602,"")</f>
        <v/>
      </c>
    </row>
    <row r="371">
      <c r="N371" s="17" t="str">
        <f>if(M371&lt;&gt;"",'Actuals - Billing - 2025'!BG603,"")</f>
        <v/>
      </c>
    </row>
    <row r="372">
      <c r="N372" s="17" t="str">
        <f>if(M372&lt;&gt;"",'Actuals - Billing - 2025'!BG604,"")</f>
        <v/>
      </c>
    </row>
    <row r="373">
      <c r="N373" s="17" t="str">
        <f>if(M373&lt;&gt;"",'Actuals - Billing - 2025'!BG605,"")</f>
        <v/>
      </c>
    </row>
    <row r="374">
      <c r="N374" s="17" t="str">
        <f>if(M374&lt;&gt;"",'Actuals - Billing - 2025'!BG606,"")</f>
        <v/>
      </c>
    </row>
    <row r="375">
      <c r="N375" s="17" t="str">
        <f>if(M375&lt;&gt;"",'Actuals - Billing - 2025'!BG607,"")</f>
        <v/>
      </c>
    </row>
    <row r="376">
      <c r="N376" s="17" t="str">
        <f>if(M376&lt;&gt;"",'Actuals - Billing - 2025'!BG608,"")</f>
        <v/>
      </c>
    </row>
    <row r="377">
      <c r="N377" s="17" t="str">
        <f>if(M377&lt;&gt;"",'Actuals - Billing - 2025'!BG609,"")</f>
        <v/>
      </c>
    </row>
    <row r="378">
      <c r="N378" s="17" t="str">
        <f>if(M378&lt;&gt;"",'Actuals - Billing - 2025'!BG610,"")</f>
        <v/>
      </c>
    </row>
    <row r="379">
      <c r="N379" s="17" t="str">
        <f>if(M379&lt;&gt;"",'Actuals - Billing - 2025'!BG611,"")</f>
        <v/>
      </c>
    </row>
    <row r="380">
      <c r="N380" s="17" t="str">
        <f>if(M380&lt;&gt;"",'Actuals - Billing - 2025'!BG612,"")</f>
        <v/>
      </c>
    </row>
    <row r="381">
      <c r="N381" s="17" t="str">
        <f>if(M381&lt;&gt;"",'Actuals - Billing - 2025'!BG613,"")</f>
        <v/>
      </c>
    </row>
    <row r="382">
      <c r="N382" s="17" t="str">
        <f>if(M382&lt;&gt;"",'Actuals - Billing - 2025'!BG614,"")</f>
        <v/>
      </c>
    </row>
    <row r="383">
      <c r="N383" s="17" t="str">
        <f>if(M383&lt;&gt;"",'Actuals - Billing - 2025'!BG615,"")</f>
        <v/>
      </c>
    </row>
    <row r="384">
      <c r="N384" s="17" t="str">
        <f>if(M384&lt;&gt;"",'Actuals - Billing - 2025'!BG616,"")</f>
        <v/>
      </c>
    </row>
    <row r="385">
      <c r="N385" s="17" t="str">
        <f>if(M385&lt;&gt;"",'Actuals - Billing - 2025'!BG617,"")</f>
        <v/>
      </c>
    </row>
    <row r="386">
      <c r="N386" s="17" t="str">
        <f>if(M386&lt;&gt;"",'Actuals - Billing - 2025'!BG618,"")</f>
        <v/>
      </c>
    </row>
    <row r="387">
      <c r="N387" s="17" t="str">
        <f>if(M387&lt;&gt;"",'Actuals - Billing - 2025'!BG619,"")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6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4" t="s">
        <v>37</v>
      </c>
      <c r="F1" s="4" t="s">
        <v>38</v>
      </c>
      <c r="G1" s="4" t="s">
        <v>39</v>
      </c>
      <c r="H1" s="4" t="s">
        <v>62</v>
      </c>
      <c r="I1" s="4" t="s">
        <v>63</v>
      </c>
      <c r="J1" s="1" t="s">
        <v>8</v>
      </c>
      <c r="K1" s="147" t="s">
        <v>9</v>
      </c>
      <c r="L1" s="1" t="s">
        <v>10</v>
      </c>
      <c r="M1" s="1" t="s">
        <v>11</v>
      </c>
      <c r="N1" s="4" t="s">
        <v>12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 t="str">
        <f t="shared" ref="A2:A212" si="1">if(B2&lt;&gt;"","Rogers Blue Jays Baseball Partnership","")</f>
        <v/>
      </c>
      <c r="B2" s="8" t="str">
        <f>if(and('Actuals - Billing - 2025'!E$240=True,C2&lt;&gt;""),'Actuals - Billing - 2025'!C234,"")</f>
        <v/>
      </c>
      <c r="C2" s="9" t="str">
        <f>IF(sum('Actuals - Billing - 2025'!AR234:BA234)&gt;0,'Actuals - Billing - 2025'!B234,"")</f>
        <v/>
      </c>
      <c r="D2" s="148" t="str">
        <f>if(or(E2&lt;&gt;"",F2&lt;&gt;""),'Actuals - Billing - 2025'!AU2,if(G2&lt;&gt;"",35,if(H2&lt;&gt;"",'Actuals - Billing - 2025'!AY2,if(I2&lt;&gt;"",'Actuals - Billing - 2025'!BA2,""))))</f>
        <v/>
      </c>
      <c r="E2" s="11" t="str">
        <f t="array" ref="E2">if($C2="","",index('Actuals - Billing - 2025'!$B2:$BA900,Match($C2,'Actuals - Billing - 2025'!$B2:$B900,0),Match(E$1,'Actuals - Billing - 2025'!$B$2:$BA$2,0)))</f>
        <v/>
      </c>
      <c r="F2" s="11" t="str">
        <f t="array" ref="F2">if($C2="","",index('Actuals - Billing - 2025'!$B2:$BA900,Match($C2,'Actuals - Billing - 2025'!$B2:$B900,0),Match(F$1,'Actuals - Billing - 2025'!$B$2:$BA$2,0)))</f>
        <v/>
      </c>
      <c r="G2" s="11" t="str">
        <f t="array" ref="G2">if($C2="","",index('Actuals - Billing - 2025'!$B2:$BA900,Match($C2,'Actuals - Billing - 2025'!$B2:$B900,0),Match(G$1,'Actuals - Billing - 2025'!$B$2:$BA$2,0)))</f>
        <v/>
      </c>
      <c r="H2" s="11" t="str">
        <f t="array" ref="H2">if($C2="","",index('Actuals - Billing - 2025'!$B2:$BA900,Match($C2,'Actuals - Billing - 2025'!$B2:$B900,0),Match(H$1,'Actuals - Billing - 2025'!$B$2:$BA$2,0)))</f>
        <v/>
      </c>
      <c r="I2" s="11" t="str">
        <f t="array" ref="I2">if($C2="","",index('Actuals - Billing - 2025'!$B2:$BA900,Match($C2,'Actuals - Billing - 2025'!$B2:$B900,0),Match(I$1,'Actuals - Billing - 2025'!$B$2:$BA$2,0)))</f>
        <v/>
      </c>
      <c r="J2" s="11" t="str">
        <f t="shared" ref="J2:J210" si="2">if(sum(E2:I2)&gt;0,sum(E2:I2),"")</f>
        <v/>
      </c>
      <c r="K2" s="149" t="str">
        <f t="shared" ref="K2:K210" si="3">if(J2&lt;&gt;"",J2*D2,"")</f>
        <v/>
      </c>
      <c r="L2" s="1" t="str">
        <f t="shared" ref="L2:L210" si="4">if(K2&lt;&gt;"",if(E2&gt;0,$E$1&amp;" "&amp;E2,"")&amp;IF(F2&gt;0," "&amp;$F$1&amp;" "&amp;F2,"")&amp;IF(G2&gt;0," "&amp;$G$1&amp;" "&amp;G2,"")&amp;If(H2&gt;0," "&amp;H1&amp;" "&amp;H2,"")&amp;if(I2&gt;0," "&amp;I1&amp;" "&amp;I2,""),"")</f>
        <v/>
      </c>
      <c r="M2" s="4" t="str">
        <f t="shared" ref="M2:M246" si="5">if(and(B2&lt;&gt;"",E2&lt;&gt;""),"MLB G&amp;G - Pantry",if(and(B2&lt;&gt;"",F2&lt;&gt;""),"MiLB G&amp;G - Pantry",if(and(B2&lt;&gt;"",G2&lt;&gt;""),"MLB - Catering","")))</f>
        <v/>
      </c>
      <c r="N2" s="6"/>
    </row>
    <row r="3">
      <c r="A3" s="7" t="str">
        <f t="shared" si="1"/>
        <v/>
      </c>
      <c r="B3" s="8" t="str">
        <f>if(and('Actuals - Billing - 2025'!E$240=True,C3&lt;&gt;""),'Actuals - Billing - 2025'!C235,"")</f>
        <v/>
      </c>
      <c r="C3" s="9" t="str">
        <f>IF(sum('Actuals - Billing - 2025'!AR235:BA235)&gt;0,'Actuals - Billing - 2025'!B235,"")</f>
        <v/>
      </c>
      <c r="D3" s="148" t="str">
        <f>if(or(E3&lt;&gt;"",F3&lt;&gt;""),'Actuals - Billing - 2025'!AU3,if(G3&lt;&gt;"",35,if(H3&lt;&gt;"",'Actuals - Billing - 2025'!AY3,if(I3&lt;&gt;"",'Actuals - Billing - 2025'!BA3,""))))</f>
        <v/>
      </c>
      <c r="E3" s="11" t="str">
        <f t="array" ref="E3">if($C3="","",index('Actuals - Billing - 2025'!$B3:$BA901,Match($C3,'Actuals - Billing - 2025'!$B3:$B901,0),Match(E$1,'Actuals - Billing - 2025'!$B$2:$BA$2,0)))</f>
        <v/>
      </c>
      <c r="F3" s="11" t="str">
        <f t="array" ref="F3">if($C3="","",index('Actuals - Billing - 2025'!$B3:$BA901,Match($C3,'Actuals - Billing - 2025'!$B3:$B901,0),Match(F$1,'Actuals - Billing - 2025'!$B$2:$BA$2,0)))</f>
        <v/>
      </c>
      <c r="G3" s="11" t="str">
        <f t="array" ref="G3">if($C3="","",index('Actuals - Billing - 2025'!$B3:$BA901,Match($C3,'Actuals - Billing - 2025'!$B3:$B901,0),Match(G$1,'Actuals - Billing - 2025'!$B$2:$BA$2,0)))</f>
        <v/>
      </c>
      <c r="H3" s="11" t="str">
        <f t="array" ref="H3">if($C3="","",index('Actuals - Billing - 2025'!$B3:$BA901,Match($C3,'Actuals - Billing - 2025'!$B3:$B901,0),Match(H$1,'Actuals - Billing - 2025'!$B$2:$BA$2,0)))</f>
        <v/>
      </c>
      <c r="I3" s="11" t="str">
        <f t="array" ref="I3">if($C3="","",index('Actuals - Billing - 2025'!$B3:$BA901,Match($C3,'Actuals - Billing - 2025'!$B3:$B901,0),Match(I$1,'Actuals - Billing - 2025'!$B$2:$BA$2,0)))</f>
        <v/>
      </c>
      <c r="J3" s="11" t="str">
        <f t="shared" si="2"/>
        <v/>
      </c>
      <c r="K3" s="149" t="str">
        <f t="shared" si="3"/>
        <v/>
      </c>
      <c r="L3" s="1" t="str">
        <f t="shared" si="4"/>
        <v/>
      </c>
      <c r="M3" s="4" t="str">
        <f t="shared" si="5"/>
        <v/>
      </c>
      <c r="N3" s="6"/>
    </row>
    <row r="4">
      <c r="A4" s="7" t="str">
        <f t="shared" si="1"/>
        <v/>
      </c>
      <c r="B4" s="8" t="str">
        <f>if(and('Actuals - Billing - 2025'!E$240=True,C4&lt;&gt;""),'Actuals - Billing - 2025'!C236,"")</f>
        <v/>
      </c>
      <c r="C4" s="9" t="str">
        <f>IF(sum('Actuals - Billing - 2025'!AR236:BA236)&gt;0,'Actuals - Billing - 2025'!B236,"")</f>
        <v/>
      </c>
      <c r="D4" s="148" t="str">
        <f>if(or(E4&lt;&gt;"",F4&lt;&gt;""),'Actuals - Billing - 2025'!AU4,if(G4&lt;&gt;"",35,if(H4&lt;&gt;"",'Actuals - Billing - 2025'!AY4,if(I4&lt;&gt;"",'Actuals - Billing - 2025'!BA4,""))))</f>
        <v/>
      </c>
      <c r="E4" s="11" t="str">
        <f t="array" ref="E4">if($C4="","",index('Actuals - Billing - 2025'!$B4:$BA902,Match($C4,'Actuals - Billing - 2025'!$B4:$B902,0),Match(E$1,'Actuals - Billing - 2025'!$B$2:$BA$2,0)))</f>
        <v/>
      </c>
      <c r="F4" s="11" t="str">
        <f t="array" ref="F4">if($C4="","",index('Actuals - Billing - 2025'!$B4:$BA902,Match($C4,'Actuals - Billing - 2025'!$B4:$B902,0),Match(F$1,'Actuals - Billing - 2025'!$B$2:$BA$2,0)))</f>
        <v/>
      </c>
      <c r="G4" s="11" t="str">
        <f t="array" ref="G4">if($C4="","",index('Actuals - Billing - 2025'!$B4:$BA902,Match($C4,'Actuals - Billing - 2025'!$B4:$B902,0),Match(G$1,'Actuals - Billing - 2025'!$B$2:$BA$2,0)))</f>
        <v/>
      </c>
      <c r="H4" s="11" t="str">
        <f t="array" ref="H4">if($C4="","",index('Actuals - Billing - 2025'!$B4:$BA902,Match($C4,'Actuals - Billing - 2025'!$B4:$B902,0),Match(H$1,'Actuals - Billing - 2025'!$B$2:$BA$2,0)))</f>
        <v/>
      </c>
      <c r="I4" s="11" t="str">
        <f t="array" ref="I4">if($C4="","",index('Actuals - Billing - 2025'!$B4:$BA902,Match($C4,'Actuals - Billing - 2025'!$B4:$B902,0),Match(I$1,'Actuals - Billing - 2025'!$B$2:$BA$2,0)))</f>
        <v/>
      </c>
      <c r="J4" s="11" t="str">
        <f t="shared" si="2"/>
        <v/>
      </c>
      <c r="K4" s="149" t="str">
        <f t="shared" si="3"/>
        <v/>
      </c>
      <c r="L4" s="1" t="str">
        <f t="shared" si="4"/>
        <v/>
      </c>
      <c r="M4" s="4" t="str">
        <f t="shared" si="5"/>
        <v/>
      </c>
      <c r="N4" s="6"/>
    </row>
    <row r="5">
      <c r="A5" s="7" t="str">
        <f t="shared" si="1"/>
        <v/>
      </c>
      <c r="B5" s="8" t="str">
        <f>if(and('Actuals - Billing - 2025'!E$240=True,C5&lt;&gt;""),'Actuals - Billing - 2025'!C237,"")</f>
        <v/>
      </c>
      <c r="C5" s="9" t="str">
        <f>IF(sum('Actuals - Billing - 2025'!AR237:BA237)&gt;0,'Actuals - Billing - 2025'!B237,"")</f>
        <v/>
      </c>
      <c r="D5" s="148" t="str">
        <f>if(or(E5&lt;&gt;"",F5&lt;&gt;""),'Actuals - Billing - 2025'!AU5,if(G5&lt;&gt;"",35,if(H5&lt;&gt;"",'Actuals - Billing - 2025'!AY5,if(I5&lt;&gt;"",'Actuals - Billing - 2025'!BA5,""))))</f>
        <v/>
      </c>
      <c r="E5" s="11" t="str">
        <f t="array" ref="E5">if($C5="","",index('Actuals - Billing - 2025'!$B5:$BA903,Match($C5,'Actuals - Billing - 2025'!$B5:$B903,0),Match(E$1,'Actuals - Billing - 2025'!$B$2:$BA$2,0)))</f>
        <v/>
      </c>
      <c r="F5" s="11" t="str">
        <f t="array" ref="F5">if($C5="","",index('Actuals - Billing - 2025'!$B5:$BA903,Match($C5,'Actuals - Billing - 2025'!$B5:$B903,0),Match(F$1,'Actuals - Billing - 2025'!$B$2:$BA$2,0)))</f>
        <v/>
      </c>
      <c r="G5" s="11" t="str">
        <f t="array" ref="G5">if($C5="","",index('Actuals - Billing - 2025'!$B5:$BA903,Match($C5,'Actuals - Billing - 2025'!$B5:$B903,0),Match(G$1,'Actuals - Billing - 2025'!$B$2:$BA$2,0)))</f>
        <v/>
      </c>
      <c r="H5" s="11" t="str">
        <f t="array" ref="H5">if($C5="","",index('Actuals - Billing - 2025'!$B5:$BA903,Match($C5,'Actuals - Billing - 2025'!$B5:$B903,0),Match(H$1,'Actuals - Billing - 2025'!$B$2:$BA$2,0)))</f>
        <v/>
      </c>
      <c r="I5" s="11" t="str">
        <f t="array" ref="I5">if($C5="","",index('Actuals - Billing - 2025'!$B5:$BA903,Match($C5,'Actuals - Billing - 2025'!$B5:$B903,0),Match(I$1,'Actuals - Billing - 2025'!$B$2:$BA$2,0)))</f>
        <v/>
      </c>
      <c r="J5" s="11" t="str">
        <f t="shared" si="2"/>
        <v/>
      </c>
      <c r="K5" s="149" t="str">
        <f t="shared" si="3"/>
        <v/>
      </c>
      <c r="L5" s="1" t="str">
        <f t="shared" si="4"/>
        <v/>
      </c>
      <c r="M5" s="4" t="str">
        <f t="shared" si="5"/>
        <v/>
      </c>
      <c r="N5" s="6"/>
    </row>
    <row r="6">
      <c r="A6" s="7" t="str">
        <f t="shared" si="1"/>
        <v/>
      </c>
      <c r="B6" s="8" t="str">
        <f>if(and('Actuals - Billing - 2025'!E$240=True,C6&lt;&gt;""),'Actuals - Billing - 2025'!C238,"")</f>
        <v/>
      </c>
      <c r="C6" s="9" t="str">
        <f>IF(sum('Actuals - Billing - 2025'!AR238:BA238)&gt;0,'Actuals - Billing - 2025'!B238,"")</f>
        <v/>
      </c>
      <c r="D6" s="148" t="str">
        <f>if(or(E6&lt;&gt;"",F6&lt;&gt;""),'Actuals - Billing - 2025'!AU6,if(G6&lt;&gt;"",35,if(H6&lt;&gt;"",'Actuals - Billing - 2025'!AY6,if(I6&lt;&gt;"",'Actuals - Billing - 2025'!BA6,""))))</f>
        <v/>
      </c>
      <c r="E6" s="11" t="str">
        <f t="array" ref="E6">if($C6="","",index('Actuals - Billing - 2025'!$B6:$BA904,Match($C6,'Actuals - Billing - 2025'!$B6:$B904,0),Match(E$1,'Actuals - Billing - 2025'!$B$2:$BA$2,0)))</f>
        <v/>
      </c>
      <c r="F6" s="11" t="str">
        <f t="array" ref="F6">if($C6="","",index('Actuals - Billing - 2025'!$B6:$BA904,Match($C6,'Actuals - Billing - 2025'!$B6:$B904,0),Match(F$1,'Actuals - Billing - 2025'!$B$2:$BA$2,0)))</f>
        <v/>
      </c>
      <c r="G6" s="11" t="str">
        <f t="array" ref="G6">if($C6="","",index('Actuals - Billing - 2025'!$B6:$BA904,Match($C6,'Actuals - Billing - 2025'!$B6:$B904,0),Match(G$1,'Actuals - Billing - 2025'!$B$2:$BA$2,0)))</f>
        <v/>
      </c>
      <c r="H6" s="11" t="str">
        <f t="array" ref="H6">if($C6="","",index('Actuals - Billing - 2025'!$B6:$BA904,Match($C6,'Actuals - Billing - 2025'!$B6:$B904,0),Match(H$1,'Actuals - Billing - 2025'!$B$2:$BA$2,0)))</f>
        <v/>
      </c>
      <c r="I6" s="11" t="str">
        <f t="array" ref="I6">if($C6="","",index('Actuals - Billing - 2025'!$B6:$BA904,Match($C6,'Actuals - Billing - 2025'!$B6:$B904,0),Match(I$1,'Actuals - Billing - 2025'!$B$2:$BA$2,0)))</f>
        <v/>
      </c>
      <c r="J6" s="11" t="str">
        <f t="shared" si="2"/>
        <v/>
      </c>
      <c r="K6" s="149" t="str">
        <f t="shared" si="3"/>
        <v/>
      </c>
      <c r="L6" s="1" t="str">
        <f t="shared" si="4"/>
        <v/>
      </c>
      <c r="M6" s="4" t="str">
        <f t="shared" si="5"/>
        <v/>
      </c>
      <c r="N6" s="6"/>
    </row>
    <row r="7">
      <c r="A7" s="7" t="str">
        <f t="shared" si="1"/>
        <v/>
      </c>
      <c r="B7" s="8" t="str">
        <f>if(and('Actuals - Billing - 2025'!E$240=True,C7&lt;&gt;""),'Actuals - Billing - 2025'!C239,"")</f>
        <v/>
      </c>
      <c r="C7" s="9" t="str">
        <f>IF(sum('Actuals - Billing - 2025'!AR239:BA239)&gt;0,'Actuals - Billing - 2025'!B239,"")</f>
        <v/>
      </c>
      <c r="D7" s="148" t="str">
        <f>if(or(E7&lt;&gt;"",F7&lt;&gt;""),'Actuals - Billing - 2025'!AU7,if(G7&lt;&gt;"",35,if(H7&lt;&gt;"",'Actuals - Billing - 2025'!AY7,if(I7&lt;&gt;"",'Actuals - Billing - 2025'!BA7,""))))</f>
        <v/>
      </c>
      <c r="E7" s="11" t="str">
        <f t="array" ref="E7">if($C7="","",index('Actuals - Billing - 2025'!$B7:$BA905,Match($C7,'Actuals - Billing - 2025'!$B7:$B905,0),Match(E$1,'Actuals - Billing - 2025'!$B$2:$BA$2,0)))</f>
        <v/>
      </c>
      <c r="F7" s="11" t="str">
        <f t="array" ref="F7">if($C7="","",index('Actuals - Billing - 2025'!$B7:$BA905,Match($C7,'Actuals - Billing - 2025'!$B7:$B905,0),Match(F$1,'Actuals - Billing - 2025'!$B$2:$BA$2,0)))</f>
        <v/>
      </c>
      <c r="G7" s="11" t="str">
        <f t="array" ref="G7">if($C7="","",index('Actuals - Billing - 2025'!$B7:$BA905,Match($C7,'Actuals - Billing - 2025'!$B7:$B905,0),Match(G$1,'Actuals - Billing - 2025'!$B$2:$BA$2,0)))</f>
        <v/>
      </c>
      <c r="H7" s="11" t="str">
        <f t="array" ref="H7">if($C7="","",index('Actuals - Billing - 2025'!$B7:$BA905,Match($C7,'Actuals - Billing - 2025'!$B7:$B905,0),Match(H$1,'Actuals - Billing - 2025'!$B$2:$BA$2,0)))</f>
        <v/>
      </c>
      <c r="I7" s="11" t="str">
        <f t="array" ref="I7">if($C7="","",index('Actuals - Billing - 2025'!$B7:$BA905,Match($C7,'Actuals - Billing - 2025'!$B7:$B905,0),Match(I$1,'Actuals - Billing - 2025'!$B$2:$BA$2,0)))</f>
        <v/>
      </c>
      <c r="J7" s="11" t="str">
        <f t="shared" si="2"/>
        <v/>
      </c>
      <c r="K7" s="149" t="str">
        <f t="shared" si="3"/>
        <v/>
      </c>
      <c r="L7" s="1" t="str">
        <f t="shared" si="4"/>
        <v/>
      </c>
      <c r="M7" s="4" t="str">
        <f t="shared" si="5"/>
        <v/>
      </c>
      <c r="N7" s="6"/>
    </row>
    <row r="8">
      <c r="A8" s="7" t="str">
        <f t="shared" si="1"/>
        <v/>
      </c>
      <c r="B8" s="8" t="str">
        <f>if(and('Actuals - Billing - 2025'!E$240=True,C8&lt;&gt;""),'Actuals - Billing - 2025'!C240,"")</f>
        <v/>
      </c>
      <c r="C8" s="9" t="str">
        <f>IF(sum('Actuals - Billing - 2025'!AR240:BA240)&gt;0,'Actuals - Billing - 2025'!B240,"")</f>
        <v/>
      </c>
      <c r="D8" s="148" t="str">
        <f>if(or(E8&lt;&gt;"",F8&lt;&gt;""),'Actuals - Billing - 2025'!AU8,if(G8&lt;&gt;"",35,if(H8&lt;&gt;"",'Actuals - Billing - 2025'!AY8,if(I8&lt;&gt;"",'Actuals - Billing - 2025'!BA8,""))))</f>
        <v/>
      </c>
      <c r="E8" s="11" t="str">
        <f t="array" ref="E8">if($C8="","",index('Actuals - Billing - 2025'!$B8:$BA906,Match($C8,'Actuals - Billing - 2025'!$B8:$B906,0),Match(E$1,'Actuals - Billing - 2025'!$B$2:$BA$2,0)))</f>
        <v/>
      </c>
      <c r="F8" s="11" t="str">
        <f t="array" ref="F8">if($C8="","",index('Actuals - Billing - 2025'!$B8:$BA906,Match($C8,'Actuals - Billing - 2025'!$B8:$B906,0),Match(F$1,'Actuals - Billing - 2025'!$B$2:$BA$2,0)))</f>
        <v/>
      </c>
      <c r="G8" s="11" t="str">
        <f t="array" ref="G8">if($C8="","",index('Actuals - Billing - 2025'!$B8:$BA906,Match($C8,'Actuals - Billing - 2025'!$B8:$B906,0),Match(G$1,'Actuals - Billing - 2025'!$B$2:$BA$2,0)))</f>
        <v/>
      </c>
      <c r="H8" s="11" t="str">
        <f t="array" ref="H8">if($C8="","",index('Actuals - Billing - 2025'!$B8:$BA906,Match($C8,'Actuals - Billing - 2025'!$B8:$B906,0),Match(H$1,'Actuals - Billing - 2025'!$B$2:$BA$2,0)))</f>
        <v/>
      </c>
      <c r="I8" s="11" t="str">
        <f t="array" ref="I8">if($C8="","",index('Actuals - Billing - 2025'!$B8:$BA906,Match($C8,'Actuals - Billing - 2025'!$B8:$B906,0),Match(I$1,'Actuals - Billing - 2025'!$B$2:$BA$2,0)))</f>
        <v/>
      </c>
      <c r="J8" s="11" t="str">
        <f t="shared" si="2"/>
        <v/>
      </c>
      <c r="K8" s="149" t="str">
        <f t="shared" si="3"/>
        <v/>
      </c>
      <c r="L8" s="1" t="str">
        <f t="shared" si="4"/>
        <v/>
      </c>
      <c r="M8" s="4" t="str">
        <f t="shared" si="5"/>
        <v/>
      </c>
      <c r="N8" s="6"/>
    </row>
    <row r="9">
      <c r="A9" s="7" t="str">
        <f t="shared" si="1"/>
        <v/>
      </c>
      <c r="B9" s="8" t="str">
        <f>if(and('Actuals - Billing - 2025'!E$247=True,C9&lt;&gt;""),'Actuals - Billing - 2025'!C241,"")</f>
        <v/>
      </c>
      <c r="C9" s="9" t="str">
        <f>IF(sum('Actuals - Billing - 2025'!AR241:BA241)&gt;0,'Actuals - Billing - 2025'!B241,"")</f>
        <v/>
      </c>
      <c r="D9" s="148" t="str">
        <f>if(or(E9&lt;&gt;"",F9&lt;&gt;""),'Actuals - Billing - 2025'!AU9,if(G9&lt;&gt;"",35,if(H9&lt;&gt;"",'Actuals - Billing - 2025'!AY9,if(I9&lt;&gt;"",'Actuals - Billing - 2025'!BA9,""))))</f>
        <v/>
      </c>
      <c r="E9" s="11" t="str">
        <f t="array" ref="E9">if($C9="","",index('Actuals - Billing - 2025'!$B9:$BA907,Match($C9,'Actuals - Billing - 2025'!$B9:$B907,0),Match(E$1,'Actuals - Billing - 2025'!$B$2:$BA$2,0)))</f>
        <v/>
      </c>
      <c r="F9" s="11" t="str">
        <f t="array" ref="F9">if($C9="","",index('Actuals - Billing - 2025'!$B9:$BA907,Match($C9,'Actuals - Billing - 2025'!$B9:$B907,0),Match(F$1,'Actuals - Billing - 2025'!$B$2:$BA$2,0)))</f>
        <v/>
      </c>
      <c r="G9" s="11" t="str">
        <f t="array" ref="G9">if($C9="","",index('Actuals - Billing - 2025'!$B9:$BA907,Match($C9,'Actuals - Billing - 2025'!$B9:$B907,0),Match(G$1,'Actuals - Billing - 2025'!$B$2:$BA$2,0)))</f>
        <v/>
      </c>
      <c r="H9" s="11" t="str">
        <f t="array" ref="H9">if($C9="","",index('Actuals - Billing - 2025'!$B9:$BA907,Match($C9,'Actuals - Billing - 2025'!$B9:$B907,0),Match(H$1,'Actuals - Billing - 2025'!$B$2:$BA$2,0)))</f>
        <v/>
      </c>
      <c r="I9" s="11" t="str">
        <f t="array" ref="I9">if($C9="","",index('Actuals - Billing - 2025'!$B9:$BA907,Match($C9,'Actuals - Billing - 2025'!$B9:$B907,0),Match(I$1,'Actuals - Billing - 2025'!$B$2:$BA$2,0)))</f>
        <v/>
      </c>
      <c r="J9" s="11" t="str">
        <f t="shared" si="2"/>
        <v/>
      </c>
      <c r="K9" s="149" t="str">
        <f t="shared" si="3"/>
        <v/>
      </c>
      <c r="L9" s="1" t="str">
        <f t="shared" si="4"/>
        <v/>
      </c>
      <c r="M9" s="4" t="str">
        <f t="shared" si="5"/>
        <v/>
      </c>
      <c r="N9" s="6"/>
    </row>
    <row r="10">
      <c r="A10" s="7" t="str">
        <f t="shared" si="1"/>
        <v/>
      </c>
      <c r="B10" s="8" t="str">
        <f>if(and('Actuals - Billing - 2025'!E$247=True,C10&lt;&gt;""),'Actuals - Billing - 2025'!C242,"")</f>
        <v/>
      </c>
      <c r="C10" s="9" t="str">
        <f>IF(sum('Actuals - Billing - 2025'!AR242:BA242)&gt;0,'Actuals - Billing - 2025'!B242,"")</f>
        <v/>
      </c>
      <c r="D10" s="148" t="str">
        <f>if(or(E10&lt;&gt;"",F10&lt;&gt;""),'Actuals - Billing - 2025'!AU10,if(G10&lt;&gt;"",35,if(H10&lt;&gt;"",'Actuals - Billing - 2025'!AY10,if(I10&lt;&gt;"",'Actuals - Billing - 2025'!BA10,""))))</f>
        <v/>
      </c>
      <c r="E10" s="11" t="str">
        <f t="array" ref="E10">if($C10="","",index('Actuals - Billing - 2025'!$B10:$BA908,Match($C10,'Actuals - Billing - 2025'!$B10:$B908,0),Match(E$1,'Actuals - Billing - 2025'!$B$2:$BA$2,0)))</f>
        <v/>
      </c>
      <c r="F10" s="11" t="str">
        <f t="array" ref="F10">if($C10="","",index('Actuals - Billing - 2025'!$B10:$BA908,Match($C10,'Actuals - Billing - 2025'!$B10:$B908,0),Match(F$1,'Actuals - Billing - 2025'!$B$2:$BA$2,0)))</f>
        <v/>
      </c>
      <c r="G10" s="11" t="str">
        <f t="array" ref="G10">if($C10="","",index('Actuals - Billing - 2025'!$B10:$BA908,Match($C10,'Actuals - Billing - 2025'!$B10:$B908,0),Match(G$1,'Actuals - Billing - 2025'!$B$2:$BA$2,0)))</f>
        <v/>
      </c>
      <c r="H10" s="11" t="str">
        <f t="array" ref="H10">if($C10="","",index('Actuals - Billing - 2025'!$B10:$BA908,Match($C10,'Actuals - Billing - 2025'!$B10:$B908,0),Match(H$1,'Actuals - Billing - 2025'!$B$2:$BA$2,0)))</f>
        <v/>
      </c>
      <c r="I10" s="11" t="str">
        <f t="array" ref="I10">if($C10="","",index('Actuals - Billing - 2025'!$B10:$BA908,Match($C10,'Actuals - Billing - 2025'!$B10:$B908,0),Match(I$1,'Actuals - Billing - 2025'!$B$2:$BA$2,0)))</f>
        <v/>
      </c>
      <c r="J10" s="11" t="str">
        <f t="shared" si="2"/>
        <v/>
      </c>
      <c r="K10" s="149" t="str">
        <f t="shared" si="3"/>
        <v/>
      </c>
      <c r="L10" s="1" t="str">
        <f t="shared" si="4"/>
        <v/>
      </c>
      <c r="M10" s="4" t="str">
        <f t="shared" si="5"/>
        <v/>
      </c>
      <c r="N10" s="6"/>
    </row>
    <row r="11">
      <c r="A11" s="7" t="str">
        <f t="shared" si="1"/>
        <v/>
      </c>
      <c r="B11" s="8" t="str">
        <f>if(and('Actuals - Billing - 2025'!E$247=True,C11&lt;&gt;""),'Actuals - Billing - 2025'!C243,"")</f>
        <v/>
      </c>
      <c r="C11" s="9" t="str">
        <f>IF(sum('Actuals - Billing - 2025'!AR243:BA243)&gt;0,'Actuals - Billing - 2025'!B243,"")</f>
        <v/>
      </c>
      <c r="D11" s="148" t="str">
        <f>if(or(E11&lt;&gt;"",F11&lt;&gt;""),'Actuals - Billing - 2025'!AU11,if(G11&lt;&gt;"",35,if(H11&lt;&gt;"",'Actuals - Billing - 2025'!AY11,if(I11&lt;&gt;"",'Actuals - Billing - 2025'!BA11,""))))</f>
        <v/>
      </c>
      <c r="E11" s="11" t="str">
        <f t="array" ref="E11">if($C11="","",index('Actuals - Billing - 2025'!$B11:$BA909,Match($C11,'Actuals - Billing - 2025'!$B11:$B909,0),Match(E$1,'Actuals - Billing - 2025'!$B$2:$BA$2,0)))</f>
        <v/>
      </c>
      <c r="F11" s="11" t="str">
        <f t="array" ref="F11">if($C11="","",index('Actuals - Billing - 2025'!$B11:$BA909,Match($C11,'Actuals - Billing - 2025'!$B11:$B909,0),Match(F$1,'Actuals - Billing - 2025'!$B$2:$BA$2,0)))</f>
        <v/>
      </c>
      <c r="G11" s="11" t="str">
        <f t="array" ref="G11">if($C11="","",index('Actuals - Billing - 2025'!$B11:$BA909,Match($C11,'Actuals - Billing - 2025'!$B11:$B909,0),Match(G$1,'Actuals - Billing - 2025'!$B$2:$BA$2,0)))</f>
        <v/>
      </c>
      <c r="H11" s="11" t="str">
        <f t="array" ref="H11">if($C11="","",index('Actuals - Billing - 2025'!$B11:$BA909,Match($C11,'Actuals - Billing - 2025'!$B11:$B909,0),Match(H$1,'Actuals - Billing - 2025'!$B$2:$BA$2,0)))</f>
        <v/>
      </c>
      <c r="I11" s="11" t="str">
        <f t="array" ref="I11">if($C11="","",index('Actuals - Billing - 2025'!$B11:$BA909,Match($C11,'Actuals - Billing - 2025'!$B11:$B909,0),Match(I$1,'Actuals - Billing - 2025'!$B$2:$BA$2,0)))</f>
        <v/>
      </c>
      <c r="J11" s="11" t="str">
        <f t="shared" si="2"/>
        <v/>
      </c>
      <c r="K11" s="149" t="str">
        <f t="shared" si="3"/>
        <v/>
      </c>
      <c r="L11" s="1" t="str">
        <f t="shared" si="4"/>
        <v/>
      </c>
      <c r="M11" s="4" t="str">
        <f t="shared" si="5"/>
        <v/>
      </c>
      <c r="N11" s="6"/>
    </row>
    <row r="12">
      <c r="A12" s="7" t="str">
        <f t="shared" si="1"/>
        <v/>
      </c>
      <c r="B12" s="8" t="str">
        <f>if(and('Actuals - Billing - 2025'!E$247=True,C12&lt;&gt;""),'Actuals - Billing - 2025'!C244,"")</f>
        <v/>
      </c>
      <c r="C12" s="9" t="str">
        <f>IF(sum('Actuals - Billing - 2025'!AR244:BA244)&gt;0,'Actuals - Billing - 2025'!B244,"")</f>
        <v/>
      </c>
      <c r="D12" s="148" t="str">
        <f>if(or(E12&lt;&gt;"",F12&lt;&gt;""),'Actuals - Billing - 2025'!AU12,if(G12&lt;&gt;"",35,if(H12&lt;&gt;"",'Actuals - Billing - 2025'!AY12,if(I12&lt;&gt;"",'Actuals - Billing - 2025'!BA12,""))))</f>
        <v/>
      </c>
      <c r="E12" s="11" t="str">
        <f t="array" ref="E12">if($C12="","",index('Actuals - Billing - 2025'!$B12:$BA910,Match($C12,'Actuals - Billing - 2025'!$B12:$B910,0),Match(E$1,'Actuals - Billing - 2025'!$B$2:$BA$2,0)))</f>
        <v/>
      </c>
      <c r="F12" s="11" t="str">
        <f t="array" ref="F12">if($C12="","",index('Actuals - Billing - 2025'!$B12:$BA910,Match($C12,'Actuals - Billing - 2025'!$B12:$B910,0),Match(F$1,'Actuals - Billing - 2025'!$B$2:$BA$2,0)))</f>
        <v/>
      </c>
      <c r="G12" s="11" t="str">
        <f t="array" ref="G12">if($C12="","",index('Actuals - Billing - 2025'!$B12:$BA910,Match($C12,'Actuals - Billing - 2025'!$B12:$B910,0),Match(G$1,'Actuals - Billing - 2025'!$B$2:$BA$2,0)))</f>
        <v/>
      </c>
      <c r="H12" s="11" t="str">
        <f t="array" ref="H12">if($C12="","",index('Actuals - Billing - 2025'!$B12:$BA910,Match($C12,'Actuals - Billing - 2025'!$B12:$B910,0),Match(H$1,'Actuals - Billing - 2025'!$B$2:$BA$2,0)))</f>
        <v/>
      </c>
      <c r="I12" s="11" t="str">
        <f t="array" ref="I12">if($C12="","",index('Actuals - Billing - 2025'!$B12:$BA910,Match($C12,'Actuals - Billing - 2025'!$B12:$B910,0),Match(I$1,'Actuals - Billing - 2025'!$B$2:$BA$2,0)))</f>
        <v/>
      </c>
      <c r="J12" s="11" t="str">
        <f t="shared" si="2"/>
        <v/>
      </c>
      <c r="K12" s="149" t="str">
        <f t="shared" si="3"/>
        <v/>
      </c>
      <c r="L12" s="1" t="str">
        <f t="shared" si="4"/>
        <v/>
      </c>
      <c r="M12" s="4" t="str">
        <f t="shared" si="5"/>
        <v/>
      </c>
      <c r="N12" s="6"/>
    </row>
    <row r="13">
      <c r="A13" s="7" t="str">
        <f t="shared" si="1"/>
        <v/>
      </c>
      <c r="B13" s="8" t="str">
        <f>if(and('Actuals - Billing - 2025'!E$247=True,C13&lt;&gt;""),'Actuals - Billing - 2025'!C245,"")</f>
        <v/>
      </c>
      <c r="C13" s="9" t="str">
        <f>IF(sum('Actuals - Billing - 2025'!AR245:BA245)&gt;0,'Actuals - Billing - 2025'!B245,"")</f>
        <v/>
      </c>
      <c r="D13" s="148" t="str">
        <f>if(or(E13&lt;&gt;"",F13&lt;&gt;""),'Actuals - Billing - 2025'!AU13,if(G13&lt;&gt;"",35,if(H13&lt;&gt;"",'Actuals - Billing - 2025'!AY13,if(I13&lt;&gt;"",'Actuals - Billing - 2025'!BA13,""))))</f>
        <v/>
      </c>
      <c r="E13" s="11" t="str">
        <f t="array" ref="E13">if($C13="","",index('Actuals - Billing - 2025'!$B13:$BA911,Match($C13,'Actuals - Billing - 2025'!$B13:$B911,0),Match(E$1,'Actuals - Billing - 2025'!$B$2:$BA$2,0)))</f>
        <v/>
      </c>
      <c r="F13" s="11" t="str">
        <f t="array" ref="F13">if($C13="","",index('Actuals - Billing - 2025'!$B13:$BA911,Match($C13,'Actuals - Billing - 2025'!$B13:$B911,0),Match(F$1,'Actuals - Billing - 2025'!$B$2:$BA$2,0)))</f>
        <v/>
      </c>
      <c r="G13" s="11" t="str">
        <f t="array" ref="G13">if($C13="","",index('Actuals - Billing - 2025'!$B13:$BA911,Match($C13,'Actuals - Billing - 2025'!$B13:$B911,0),Match(G$1,'Actuals - Billing - 2025'!$B$2:$BA$2,0)))</f>
        <v/>
      </c>
      <c r="H13" s="11" t="str">
        <f t="array" ref="H13">if($C13="","",index('Actuals - Billing - 2025'!$B13:$BA911,Match($C13,'Actuals - Billing - 2025'!$B13:$B911,0),Match(H$1,'Actuals - Billing - 2025'!$B$2:$BA$2,0)))</f>
        <v/>
      </c>
      <c r="I13" s="11" t="str">
        <f t="array" ref="I13">if($C13="","",index('Actuals - Billing - 2025'!$B13:$BA911,Match($C13,'Actuals - Billing - 2025'!$B13:$B911,0),Match(I$1,'Actuals - Billing - 2025'!$B$2:$BA$2,0)))</f>
        <v/>
      </c>
      <c r="J13" s="11" t="str">
        <f t="shared" si="2"/>
        <v/>
      </c>
      <c r="K13" s="149" t="str">
        <f t="shared" si="3"/>
        <v/>
      </c>
      <c r="L13" s="1" t="str">
        <f t="shared" si="4"/>
        <v/>
      </c>
      <c r="M13" s="4" t="str">
        <f t="shared" si="5"/>
        <v/>
      </c>
      <c r="N13" s="6"/>
    </row>
    <row r="14">
      <c r="A14" s="7" t="str">
        <f t="shared" si="1"/>
        <v/>
      </c>
      <c r="B14" s="8" t="str">
        <f>if(and('Actuals - Billing - 2025'!E$247=True,C14&lt;&gt;""),'Actuals - Billing - 2025'!C246,"")</f>
        <v/>
      </c>
      <c r="C14" s="9" t="str">
        <f>IF(sum('Actuals - Billing - 2025'!AR246:BA246)&gt;0,'Actuals - Billing - 2025'!B246,"")</f>
        <v/>
      </c>
      <c r="D14" s="148" t="str">
        <f>if(or(E14&lt;&gt;"",F14&lt;&gt;""),'Actuals - Billing - 2025'!AU14,if(G14&lt;&gt;"",35,if(H14&lt;&gt;"",'Actuals - Billing - 2025'!AY14,if(I14&lt;&gt;"",'Actuals - Billing - 2025'!BA14,""))))</f>
        <v/>
      </c>
      <c r="E14" s="11" t="str">
        <f t="array" ref="E14">if($C14="","",index('Actuals - Billing - 2025'!$B14:$BA912,Match($C14,'Actuals - Billing - 2025'!$B14:$B912,0),Match(E$1,'Actuals - Billing - 2025'!$B$2:$BA$2,0)))</f>
        <v/>
      </c>
      <c r="F14" s="11" t="str">
        <f t="array" ref="F14">if($C14="","",index('Actuals - Billing - 2025'!$B14:$BA912,Match($C14,'Actuals - Billing - 2025'!$B14:$B912,0),Match(F$1,'Actuals - Billing - 2025'!$B$2:$BA$2,0)))</f>
        <v/>
      </c>
      <c r="G14" s="11" t="str">
        <f t="array" ref="G14">if($C14="","",index('Actuals - Billing - 2025'!$B14:$BA912,Match($C14,'Actuals - Billing - 2025'!$B14:$B912,0),Match(G$1,'Actuals - Billing - 2025'!$B$2:$BA$2,0)))</f>
        <v/>
      </c>
      <c r="H14" s="11" t="str">
        <f t="array" ref="H14">if($C14="","",index('Actuals - Billing - 2025'!$B14:$BA912,Match($C14,'Actuals - Billing - 2025'!$B14:$B912,0),Match(H$1,'Actuals - Billing - 2025'!$B$2:$BA$2,0)))</f>
        <v/>
      </c>
      <c r="I14" s="11" t="str">
        <f t="array" ref="I14">if($C14="","",index('Actuals - Billing - 2025'!$B14:$BA912,Match($C14,'Actuals - Billing - 2025'!$B14:$B912,0),Match(I$1,'Actuals - Billing - 2025'!$B$2:$BA$2,0)))</f>
        <v/>
      </c>
      <c r="J14" s="11" t="str">
        <f t="shared" si="2"/>
        <v/>
      </c>
      <c r="K14" s="149" t="str">
        <f t="shared" si="3"/>
        <v/>
      </c>
      <c r="L14" s="1" t="str">
        <f t="shared" si="4"/>
        <v/>
      </c>
      <c r="M14" s="4" t="str">
        <f t="shared" si="5"/>
        <v/>
      </c>
      <c r="N14" s="6"/>
    </row>
    <row r="15">
      <c r="A15" s="7" t="str">
        <f t="shared" si="1"/>
        <v/>
      </c>
      <c r="B15" s="8" t="str">
        <f>if(and('Actuals - Billing - 2025'!E$247=True,C15&lt;&gt;""),'Actuals - Billing - 2025'!C247,"")</f>
        <v/>
      </c>
      <c r="C15" s="9" t="str">
        <f>IF(sum('Actuals - Billing - 2025'!AR247:BA247)&gt;0,'Actuals - Billing - 2025'!B247,"")</f>
        <v/>
      </c>
      <c r="D15" s="148" t="str">
        <f>if(or(E15&lt;&gt;"",F15&lt;&gt;""),'Actuals - Billing - 2025'!AU15,if(G15&lt;&gt;"",35,if(H15&lt;&gt;"",'Actuals - Billing - 2025'!AY15,if(I15&lt;&gt;"",'Actuals - Billing - 2025'!BA15,""))))</f>
        <v/>
      </c>
      <c r="E15" s="11" t="str">
        <f t="array" ref="E15">if($C15="","",index('Actuals - Billing - 2025'!$B15:$BA913,Match($C15,'Actuals - Billing - 2025'!$B15:$B913,0),Match(E$1,'Actuals - Billing - 2025'!$B$2:$BA$2,0)))</f>
        <v/>
      </c>
      <c r="F15" s="11" t="str">
        <f t="array" ref="F15">if($C15="","",index('Actuals - Billing - 2025'!$B15:$BA913,Match($C15,'Actuals - Billing - 2025'!$B15:$B913,0),Match(F$1,'Actuals - Billing - 2025'!$B$2:$BA$2,0)))</f>
        <v/>
      </c>
      <c r="G15" s="11" t="str">
        <f t="array" ref="G15">if($C15="","",index('Actuals - Billing - 2025'!$B15:$BA913,Match($C15,'Actuals - Billing - 2025'!$B15:$B913,0),Match(G$1,'Actuals - Billing - 2025'!$B$2:$BA$2,0)))</f>
        <v/>
      </c>
      <c r="H15" s="11" t="str">
        <f t="array" ref="H15">if($C15="","",index('Actuals - Billing - 2025'!$B15:$BA913,Match($C15,'Actuals - Billing - 2025'!$B15:$B913,0),Match(H$1,'Actuals - Billing - 2025'!$B$2:$BA$2,0)))</f>
        <v/>
      </c>
      <c r="I15" s="11" t="str">
        <f t="array" ref="I15">if($C15="","",index('Actuals - Billing - 2025'!$B15:$BA913,Match($C15,'Actuals - Billing - 2025'!$B15:$B913,0),Match(I$1,'Actuals - Billing - 2025'!$B$2:$BA$2,0)))</f>
        <v/>
      </c>
      <c r="J15" s="11" t="str">
        <f t="shared" si="2"/>
        <v/>
      </c>
      <c r="K15" s="149" t="str">
        <f t="shared" si="3"/>
        <v/>
      </c>
      <c r="L15" s="1" t="str">
        <f t="shared" si="4"/>
        <v/>
      </c>
      <c r="M15" s="4" t="str">
        <f t="shared" si="5"/>
        <v/>
      </c>
      <c r="N15" s="6"/>
    </row>
    <row r="16">
      <c r="A16" s="7" t="str">
        <f t="shared" si="1"/>
        <v/>
      </c>
      <c r="B16" s="8" t="str">
        <f>if(and('Actuals - Billing - 2025'!E$254=True,C16&lt;&gt;""),'Actuals - Billing - 2025'!C248,"")</f>
        <v/>
      </c>
      <c r="C16" s="9" t="str">
        <f>IF(sum('Actuals - Billing - 2025'!AR248:BA248)&gt;0,'Actuals - Billing - 2025'!B248,"")</f>
        <v/>
      </c>
      <c r="D16" s="148" t="str">
        <f>if(or(E16&lt;&gt;"",F16&lt;&gt;""),'Actuals - Billing - 2025'!AU16,if(G16&lt;&gt;"",35,if(H16&lt;&gt;"",'Actuals - Billing - 2025'!AY16,if(I16&lt;&gt;"",'Actuals - Billing - 2025'!BA16,""))))</f>
        <v/>
      </c>
      <c r="E16" s="11" t="str">
        <f t="array" ref="E16">if($C16="","",index('Actuals - Billing - 2025'!$B16:$BA914,Match($C16,'Actuals - Billing - 2025'!$B16:$B914,0),Match(E$1,'Actuals - Billing - 2025'!$B$2:$BA$2,0)))</f>
        <v/>
      </c>
      <c r="F16" s="11" t="str">
        <f t="array" ref="F16">if($C16="","",index('Actuals - Billing - 2025'!$B16:$BA914,Match($C16,'Actuals - Billing - 2025'!$B16:$B914,0),Match(F$1,'Actuals - Billing - 2025'!$B$2:$BA$2,0)))</f>
        <v/>
      </c>
      <c r="G16" s="11" t="str">
        <f t="array" ref="G16">if($C16="","",index('Actuals - Billing - 2025'!$B16:$BA914,Match($C16,'Actuals - Billing - 2025'!$B16:$B914,0),Match(G$1,'Actuals - Billing - 2025'!$B$2:$BA$2,0)))</f>
        <v/>
      </c>
      <c r="H16" s="11" t="str">
        <f t="array" ref="H16">if($C16="","",index('Actuals - Billing - 2025'!$B16:$BA914,Match($C16,'Actuals - Billing - 2025'!$B16:$B914,0),Match(H$1,'Actuals - Billing - 2025'!$B$2:$BA$2,0)))</f>
        <v/>
      </c>
      <c r="I16" s="11" t="str">
        <f t="array" ref="I16">if($C16="","",index('Actuals - Billing - 2025'!$B16:$BA914,Match($C16,'Actuals - Billing - 2025'!$B16:$B914,0),Match(I$1,'Actuals - Billing - 2025'!$B$2:$BA$2,0)))</f>
        <v/>
      </c>
      <c r="J16" s="11" t="str">
        <f t="shared" si="2"/>
        <v/>
      </c>
      <c r="K16" s="149" t="str">
        <f t="shared" si="3"/>
        <v/>
      </c>
      <c r="L16" s="1" t="str">
        <f t="shared" si="4"/>
        <v/>
      </c>
      <c r="M16" s="4" t="str">
        <f t="shared" si="5"/>
        <v/>
      </c>
    </row>
    <row r="17">
      <c r="A17" s="7" t="str">
        <f t="shared" si="1"/>
        <v>Rogers Blue Jays Baseball Partnership</v>
      </c>
      <c r="B17" s="8">
        <f>if(and('Actuals - Billing - 2025'!E$254=True,C17&lt;&gt;""),'Actuals - Billing - 2025'!C249,"")</f>
        <v>9.4</v>
      </c>
      <c r="C17" s="9">
        <f>IF(sum('Actuals - Billing - 2025'!AR249:BA249)&gt;0,'Actuals - Billing - 2025'!B249,"")</f>
        <v>45902</v>
      </c>
      <c r="D17" s="148">
        <f>if(or(E17&lt;&gt;"",F17&lt;&gt;""),'Actuals - Billing - 2025'!AU$2,if(G17&lt;&gt;"",35,if(H17&lt;&gt;"",'Actuals - Billing - 2025'!AY17,if(I17&lt;&gt;"",'Actuals - Billing - 2025'!BA17,""))))</f>
        <v>1.64</v>
      </c>
      <c r="E17" s="11" t="str">
        <f t="array" ref="E17">if($C17="","",index('Actuals - Billing - 2025'!$B17:$BA915,Match($C17,'Actuals - Billing - 2025'!$B17:$B915,0),Match(E$1,'Actuals - Billing - 2025'!$B$2:$BA$2,0)))</f>
        <v/>
      </c>
      <c r="F17" s="11">
        <f t="array" ref="F17">if($C17="","",index('Actuals - Billing - 2025'!$B17:$BA915,Match($C17,'Actuals - Billing - 2025'!$B17:$B915,0),Match(F$1,'Actuals - Billing - 2025'!$B$2:$BA$2,0)))</f>
        <v>180</v>
      </c>
      <c r="G17" s="11" t="str">
        <f t="array" ref="G17">if($C17="","",index('Actuals - Billing - 2025'!$B17:$BA915,Match($C17,'Actuals - Billing - 2025'!$B17:$B915,0),Match(G$1,'Actuals - Billing - 2025'!$B$2:$BA$2,0)))</f>
        <v/>
      </c>
      <c r="H17" s="11" t="str">
        <f t="array" ref="H17">if($C17="","",index('Actuals - Billing - 2025'!$B17:$BA915,Match($C17,'Actuals - Billing - 2025'!$B17:$B915,0),Match(H$1,'Actuals - Billing - 2025'!$B$2:$BA$2,0)))</f>
        <v/>
      </c>
      <c r="I17" s="11" t="str">
        <f t="array" ref="I17">if($C17="","",index('Actuals - Billing - 2025'!$B17:$BA915,Match($C17,'Actuals - Billing - 2025'!$B17:$B915,0),Match(I$1,'Actuals - Billing - 2025'!$B$2:$BA$2,0)))</f>
        <v/>
      </c>
      <c r="J17" s="11">
        <f t="shared" si="2"/>
        <v>180</v>
      </c>
      <c r="K17" s="149">
        <f t="shared" si="3"/>
        <v>295.2</v>
      </c>
      <c r="L17" s="1" t="str">
        <f t="shared" si="4"/>
        <v> MiLB G&amp;G - Pantry 180</v>
      </c>
      <c r="M17" s="4" t="str">
        <f t="shared" si="5"/>
        <v>MiLB G&amp;G - Pantry</v>
      </c>
    </row>
    <row r="18">
      <c r="A18" s="7" t="str">
        <f t="shared" si="1"/>
        <v/>
      </c>
      <c r="B18" s="8" t="str">
        <f>if(and('Actuals - Billing - 2025'!E$254=True,C18&lt;&gt;""),'Actuals - Billing - 2025'!C250,"")</f>
        <v/>
      </c>
      <c r="C18" s="9" t="str">
        <f>IF(sum('Actuals - Billing - 2025'!AR250:BA250)&gt;0,'Actuals - Billing - 2025'!B250,"")</f>
        <v/>
      </c>
      <c r="D18" s="148" t="str">
        <f>if(or(E18&lt;&gt;"",F18&lt;&gt;""),'Actuals - Billing - 2025'!AU18,if(G18&lt;&gt;"",35,if(H18&lt;&gt;"",'Actuals - Billing - 2025'!AY18,if(I18&lt;&gt;"",'Actuals - Billing - 2025'!BA18,""))))</f>
        <v/>
      </c>
      <c r="E18" s="11" t="str">
        <f t="array" ref="E18">if($C18="","",index('Actuals - Billing - 2025'!$B18:$BA916,Match($C18,'Actuals - Billing - 2025'!$B18:$B916,0),Match(E$1,'Actuals - Billing - 2025'!$B$2:$BA$2,0)))</f>
        <v/>
      </c>
      <c r="F18" s="11" t="str">
        <f t="array" ref="F18">if($C18="","",index('Actuals - Billing - 2025'!$B18:$BA916,Match($C18,'Actuals - Billing - 2025'!$B18:$B916,0),Match(F$1,'Actuals - Billing - 2025'!$B$2:$BA$2,0)))</f>
        <v/>
      </c>
      <c r="G18" s="11" t="str">
        <f t="array" ref="G18">if($C18="","",index('Actuals - Billing - 2025'!$B18:$BA916,Match($C18,'Actuals - Billing - 2025'!$B18:$B916,0),Match(G$1,'Actuals - Billing - 2025'!$B$2:$BA$2,0)))</f>
        <v/>
      </c>
      <c r="H18" s="11" t="str">
        <f t="array" ref="H18">if($C18="","",index('Actuals - Billing - 2025'!$B18:$BA916,Match($C18,'Actuals - Billing - 2025'!$B18:$B916,0),Match(H$1,'Actuals - Billing - 2025'!$B$2:$BA$2,0)))</f>
        <v/>
      </c>
      <c r="I18" s="11" t="str">
        <f t="array" ref="I18">if($C18="","",index('Actuals - Billing - 2025'!$B18:$BA916,Match($C18,'Actuals - Billing - 2025'!$B18:$B916,0),Match(I$1,'Actuals - Billing - 2025'!$B$2:$BA$2,0)))</f>
        <v/>
      </c>
      <c r="J18" s="11" t="str">
        <f t="shared" si="2"/>
        <v/>
      </c>
      <c r="K18" s="149" t="str">
        <f t="shared" si="3"/>
        <v/>
      </c>
      <c r="L18" s="1" t="str">
        <f t="shared" si="4"/>
        <v/>
      </c>
      <c r="M18" s="4" t="str">
        <f t="shared" si="5"/>
        <v/>
      </c>
    </row>
    <row r="19">
      <c r="A19" s="7" t="str">
        <f t="shared" si="1"/>
        <v/>
      </c>
      <c r="B19" s="8" t="str">
        <f>if(and('Actuals - Billing - 2025'!E$254=True,C19&lt;&gt;""),'Actuals - Billing - 2025'!C251,"")</f>
        <v/>
      </c>
      <c r="C19" s="9" t="str">
        <f>IF(sum('Actuals - Billing - 2025'!AR251:BA251)&gt;0,'Actuals - Billing - 2025'!B251,"")</f>
        <v/>
      </c>
      <c r="D19" s="148" t="str">
        <f>if(or(E19&lt;&gt;"",F19&lt;&gt;""),'Actuals - Billing - 2025'!AU19,if(G19&lt;&gt;"",35,if(H19&lt;&gt;"",'Actuals - Billing - 2025'!AY19,if(I19&lt;&gt;"",'Actuals - Billing - 2025'!BA19,""))))</f>
        <v/>
      </c>
      <c r="E19" s="11" t="str">
        <f t="array" ref="E19">if($C19="","",index('Actuals - Billing - 2025'!$B19:$BA917,Match($C19,'Actuals - Billing - 2025'!$B19:$B917,0),Match(E$1,'Actuals - Billing - 2025'!$B$2:$BA$2,0)))</f>
        <v/>
      </c>
      <c r="F19" s="11" t="str">
        <f t="array" ref="F19">if($C19="","",index('Actuals - Billing - 2025'!$B19:$BA917,Match($C19,'Actuals - Billing - 2025'!$B19:$B917,0),Match(F$1,'Actuals - Billing - 2025'!$B$2:$BA$2,0)))</f>
        <v/>
      </c>
      <c r="G19" s="11" t="str">
        <f t="array" ref="G19">if($C19="","",index('Actuals - Billing - 2025'!$B19:$BA917,Match($C19,'Actuals - Billing - 2025'!$B19:$B917,0),Match(G$1,'Actuals - Billing - 2025'!$B$2:$BA$2,0)))</f>
        <v/>
      </c>
      <c r="H19" s="11" t="str">
        <f t="array" ref="H19">if($C19="","",index('Actuals - Billing - 2025'!$B19:$BA917,Match($C19,'Actuals - Billing - 2025'!$B19:$B917,0),Match(H$1,'Actuals - Billing - 2025'!$B$2:$BA$2,0)))</f>
        <v/>
      </c>
      <c r="I19" s="11" t="str">
        <f t="array" ref="I19">if($C19="","",index('Actuals - Billing - 2025'!$B19:$BA917,Match($C19,'Actuals - Billing - 2025'!$B19:$B917,0),Match(I$1,'Actuals - Billing - 2025'!$B$2:$BA$2,0)))</f>
        <v/>
      </c>
      <c r="J19" s="11" t="str">
        <f t="shared" si="2"/>
        <v/>
      </c>
      <c r="K19" s="149" t="str">
        <f t="shared" si="3"/>
        <v/>
      </c>
      <c r="L19" s="1" t="str">
        <f t="shared" si="4"/>
        <v/>
      </c>
      <c r="M19" s="4" t="str">
        <f t="shared" si="5"/>
        <v/>
      </c>
    </row>
    <row r="20">
      <c r="A20" s="7" t="str">
        <f t="shared" si="1"/>
        <v/>
      </c>
      <c r="B20" s="8" t="str">
        <f>if(and('Actuals - Billing - 2025'!E$254=True,C20&lt;&gt;""),'Actuals - Billing - 2025'!C252,"")</f>
        <v/>
      </c>
      <c r="C20" s="9" t="str">
        <f>IF(sum('Actuals - Billing - 2025'!AR252:BA252)&gt;0,'Actuals - Billing - 2025'!B252,"")</f>
        <v/>
      </c>
      <c r="D20" s="148" t="str">
        <f>if(or(E20&lt;&gt;"",F20&lt;&gt;""),'Actuals - Billing - 2025'!AU20,if(G20&lt;&gt;"",35,if(H20&lt;&gt;"",'Actuals - Billing - 2025'!AY20,if(I20&lt;&gt;"",'Actuals - Billing - 2025'!BA20,""))))</f>
        <v/>
      </c>
      <c r="E20" s="11" t="str">
        <f t="array" ref="E20">if($C20="","",index('Actuals - Billing - 2025'!$B20:$BA918,Match($C20,'Actuals - Billing - 2025'!$B20:$B918,0),Match(E$1,'Actuals - Billing - 2025'!$B$2:$BA$2,0)))</f>
        <v/>
      </c>
      <c r="F20" s="11" t="str">
        <f t="array" ref="F20">if($C20="","",index('Actuals - Billing - 2025'!$B20:$BA918,Match($C20,'Actuals - Billing - 2025'!$B20:$B918,0),Match(F$1,'Actuals - Billing - 2025'!$B$2:$BA$2,0)))</f>
        <v/>
      </c>
      <c r="G20" s="11" t="str">
        <f t="array" ref="G20">if($C20="","",index('Actuals - Billing - 2025'!$B20:$BA918,Match($C20,'Actuals - Billing - 2025'!$B20:$B918,0),Match(G$1,'Actuals - Billing - 2025'!$B$2:$BA$2,0)))</f>
        <v/>
      </c>
      <c r="H20" s="11" t="str">
        <f t="array" ref="H20">if($C20="","",index('Actuals - Billing - 2025'!$B20:$BA918,Match($C20,'Actuals - Billing - 2025'!$B20:$B918,0),Match(H$1,'Actuals - Billing - 2025'!$B$2:$BA$2,0)))</f>
        <v/>
      </c>
      <c r="I20" s="11" t="str">
        <f t="array" ref="I20">if($C20="","",index('Actuals - Billing - 2025'!$B20:$BA918,Match($C20,'Actuals - Billing - 2025'!$B20:$B918,0),Match(I$1,'Actuals - Billing - 2025'!$B$2:$BA$2,0)))</f>
        <v/>
      </c>
      <c r="J20" s="11" t="str">
        <f t="shared" si="2"/>
        <v/>
      </c>
      <c r="K20" s="149" t="str">
        <f t="shared" si="3"/>
        <v/>
      </c>
      <c r="L20" s="1" t="str">
        <f t="shared" si="4"/>
        <v/>
      </c>
      <c r="M20" s="4" t="str">
        <f t="shared" si="5"/>
        <v/>
      </c>
    </row>
    <row r="21">
      <c r="A21" s="7" t="str">
        <f t="shared" si="1"/>
        <v/>
      </c>
      <c r="B21" s="8" t="str">
        <f>if(and('Actuals - Billing - 2025'!E$254=True,C21&lt;&gt;""),'Actuals - Billing - 2025'!C253,"")</f>
        <v/>
      </c>
      <c r="C21" s="9" t="str">
        <f>IF(sum('Actuals - Billing - 2025'!AR253:BA253)&gt;0,'Actuals - Billing - 2025'!B253,"")</f>
        <v/>
      </c>
      <c r="D21" s="148" t="str">
        <f>if(or(E21&lt;&gt;"",F21&lt;&gt;""),'Actuals - Billing - 2025'!AU21,if(G21&lt;&gt;"",35,if(H21&lt;&gt;"",'Actuals - Billing - 2025'!AY21,if(I21&lt;&gt;"",'Actuals - Billing - 2025'!BA21,""))))</f>
        <v/>
      </c>
      <c r="E21" s="11" t="str">
        <f t="array" ref="E21">if($C21="","",index('Actuals - Billing - 2025'!$B21:$BA919,Match($C21,'Actuals - Billing - 2025'!$B21:$B919,0),Match(E$1,'Actuals - Billing - 2025'!$B$2:$BA$2,0)))</f>
        <v/>
      </c>
      <c r="F21" s="11" t="str">
        <f t="array" ref="F21">if($C21="","",index('Actuals - Billing - 2025'!$B21:$BA919,Match($C21,'Actuals - Billing - 2025'!$B21:$B919,0),Match(F$1,'Actuals - Billing - 2025'!$B$2:$BA$2,0)))</f>
        <v/>
      </c>
      <c r="G21" s="11" t="str">
        <f t="array" ref="G21">if($C21="","",index('Actuals - Billing - 2025'!$B21:$BA919,Match($C21,'Actuals - Billing - 2025'!$B21:$B919,0),Match(G$1,'Actuals - Billing - 2025'!$B$2:$BA$2,0)))</f>
        <v/>
      </c>
      <c r="H21" s="11" t="str">
        <f t="array" ref="H21">if($C21="","",index('Actuals - Billing - 2025'!$B21:$BA919,Match($C21,'Actuals - Billing - 2025'!$B21:$B919,0),Match(H$1,'Actuals - Billing - 2025'!$B$2:$BA$2,0)))</f>
        <v/>
      </c>
      <c r="I21" s="11" t="str">
        <f t="array" ref="I21">if($C21="","",index('Actuals - Billing - 2025'!$B21:$BA919,Match($C21,'Actuals - Billing - 2025'!$B21:$B919,0),Match(I$1,'Actuals - Billing - 2025'!$B$2:$BA$2,0)))</f>
        <v/>
      </c>
      <c r="J21" s="11" t="str">
        <f t="shared" si="2"/>
        <v/>
      </c>
      <c r="K21" s="149" t="str">
        <f t="shared" si="3"/>
        <v/>
      </c>
      <c r="L21" s="1" t="str">
        <f t="shared" si="4"/>
        <v/>
      </c>
      <c r="M21" s="4" t="str">
        <f t="shared" si="5"/>
        <v/>
      </c>
    </row>
    <row r="22">
      <c r="A22" s="7" t="str">
        <f t="shared" si="1"/>
        <v/>
      </c>
      <c r="B22" s="8" t="str">
        <f>if(and('Actuals - Billing - 2025'!E$254=True,C22&lt;&gt;""),'Actuals - Billing - 2025'!C254,"")</f>
        <v/>
      </c>
      <c r="C22" s="9" t="str">
        <f>IF(sum('Actuals - Billing - 2025'!AR254:BA254)&gt;0,'Actuals - Billing - 2025'!B254,"")</f>
        <v/>
      </c>
      <c r="D22" s="148" t="str">
        <f>if(or(E22&lt;&gt;"",F22&lt;&gt;""),'Actuals - Billing - 2025'!AU22,if(G22&lt;&gt;"",35,if(H22&lt;&gt;"",'Actuals - Billing - 2025'!AY22,if(I22&lt;&gt;"",'Actuals - Billing - 2025'!BA22,""))))</f>
        <v/>
      </c>
      <c r="E22" s="11" t="str">
        <f t="array" ref="E22">if($C22="","",index('Actuals - Billing - 2025'!$B22:$BA920,Match($C22,'Actuals - Billing - 2025'!$B22:$B920,0),Match(E$1,'Actuals - Billing - 2025'!$B$2:$BA$2,0)))</f>
        <v/>
      </c>
      <c r="F22" s="11" t="str">
        <f t="array" ref="F22">if($C22="","",index('Actuals - Billing - 2025'!$B22:$BA920,Match($C22,'Actuals - Billing - 2025'!$B22:$B920,0),Match(F$1,'Actuals - Billing - 2025'!$B$2:$BA$2,0)))</f>
        <v/>
      </c>
      <c r="G22" s="11" t="str">
        <f t="array" ref="G22">if($C22="","",index('Actuals - Billing - 2025'!$B22:$BA920,Match($C22,'Actuals - Billing - 2025'!$B22:$B920,0),Match(G$1,'Actuals - Billing - 2025'!$B$2:$BA$2,0)))</f>
        <v/>
      </c>
      <c r="H22" s="11" t="str">
        <f t="array" ref="H22">if($C22="","",index('Actuals - Billing - 2025'!$B22:$BA920,Match($C22,'Actuals - Billing - 2025'!$B22:$B920,0),Match(H$1,'Actuals - Billing - 2025'!$B$2:$BA$2,0)))</f>
        <v/>
      </c>
      <c r="I22" s="11" t="str">
        <f t="array" ref="I22">if($C22="","",index('Actuals - Billing - 2025'!$B22:$BA920,Match($C22,'Actuals - Billing - 2025'!$B22:$B920,0),Match(I$1,'Actuals - Billing - 2025'!$B$2:$BA$2,0)))</f>
        <v/>
      </c>
      <c r="J22" s="11" t="str">
        <f t="shared" si="2"/>
        <v/>
      </c>
      <c r="K22" s="149" t="str">
        <f t="shared" si="3"/>
        <v/>
      </c>
      <c r="L22" s="1" t="str">
        <f t="shared" si="4"/>
        <v/>
      </c>
      <c r="M22" s="4" t="str">
        <f t="shared" si="5"/>
        <v/>
      </c>
      <c r="N22" s="6"/>
    </row>
    <row r="23">
      <c r="A23" s="7" t="str">
        <f t="shared" si="1"/>
        <v/>
      </c>
      <c r="B23" s="8" t="str">
        <f>if(and('Actuals - Billing - 2025'!E$261=True,C23&lt;&gt;""),'Actuals - Billing - 2025'!C255,"")</f>
        <v/>
      </c>
      <c r="C23" s="9" t="str">
        <f>IF(sum('Actuals - Billing - 2025'!AR255:BA255)&gt;0,'Actuals - Billing - 2025'!B255,"")</f>
        <v/>
      </c>
      <c r="D23" s="148" t="str">
        <f>if(or(E23&lt;&gt;"",F23&lt;&gt;""),'Actuals - Billing - 2025'!AU23,if(G23&lt;&gt;"",35,if(H23&lt;&gt;"",'Actuals - Billing - 2025'!AY23,if(I23&lt;&gt;"",'Actuals - Billing - 2025'!BA23,""))))</f>
        <v/>
      </c>
      <c r="E23" s="11" t="str">
        <f t="array" ref="E23">if($C23="","",index('Actuals - Billing - 2025'!$B23:$BA921,Match($C23,'Actuals - Billing - 2025'!$B23:$B921,0),Match(E$1,'Actuals - Billing - 2025'!$B$2:$BA$2,0)))</f>
        <v/>
      </c>
      <c r="F23" s="11" t="str">
        <f t="array" ref="F23">if($C23="","",index('Actuals - Billing - 2025'!$B23:$BA921,Match($C23,'Actuals - Billing - 2025'!$B23:$B921,0),Match(F$1,'Actuals - Billing - 2025'!$B$2:$BA$2,0)))</f>
        <v/>
      </c>
      <c r="G23" s="11" t="str">
        <f t="array" ref="G23">if($C23="","",index('Actuals - Billing - 2025'!$B23:$BA921,Match($C23,'Actuals - Billing - 2025'!$B23:$B921,0),Match(G$1,'Actuals - Billing - 2025'!$B$2:$BA$2,0)))</f>
        <v/>
      </c>
      <c r="H23" s="11" t="str">
        <f t="array" ref="H23">if($C23="","",index('Actuals - Billing - 2025'!$B23:$BA921,Match($C23,'Actuals - Billing - 2025'!$B23:$B921,0),Match(H$1,'Actuals - Billing - 2025'!$B$2:$BA$2,0)))</f>
        <v/>
      </c>
      <c r="I23" s="11" t="str">
        <f t="array" ref="I23">if($C23="","",index('Actuals - Billing - 2025'!$B23:$BA921,Match($C23,'Actuals - Billing - 2025'!$B23:$B921,0),Match(I$1,'Actuals - Billing - 2025'!$B$2:$BA$2,0)))</f>
        <v/>
      </c>
      <c r="J23" s="11" t="str">
        <f t="shared" si="2"/>
        <v/>
      </c>
      <c r="K23" s="149" t="str">
        <f t="shared" si="3"/>
        <v/>
      </c>
      <c r="L23" s="1" t="str">
        <f t="shared" si="4"/>
        <v/>
      </c>
      <c r="M23" s="4" t="str">
        <f t="shared" si="5"/>
        <v/>
      </c>
      <c r="N23" s="16"/>
    </row>
    <row r="24">
      <c r="A24" s="7" t="str">
        <f t="shared" si="1"/>
        <v/>
      </c>
      <c r="B24" s="8" t="str">
        <f>if(and('Actuals - Billing - 2025'!E$261=True,C24&lt;&gt;""),'Actuals - Billing - 2025'!C256,"")</f>
        <v/>
      </c>
      <c r="C24" s="9" t="str">
        <f>IF(sum('Actuals - Billing - 2025'!AR256:BA256)&gt;0,'Actuals - Billing - 2025'!B256,"")</f>
        <v/>
      </c>
      <c r="D24" s="148" t="str">
        <f>if(or(E24&lt;&gt;"",F24&lt;&gt;""),'Actuals - Billing - 2025'!AU24,if(G24&lt;&gt;"",35,if(H24&lt;&gt;"",'Actuals - Billing - 2025'!AY24,if(I24&lt;&gt;"",'Actuals - Billing - 2025'!BA24,""))))</f>
        <v/>
      </c>
      <c r="E24" s="11" t="str">
        <f t="array" ref="E24">if($C24="","",index('Actuals - Billing - 2025'!$B24:$BA922,Match($C24,'Actuals - Billing - 2025'!$B24:$B922,0),Match(E$1,'Actuals - Billing - 2025'!$B$2:$BA$2,0)))</f>
        <v/>
      </c>
      <c r="F24" s="11" t="str">
        <f t="array" ref="F24">if($C24="","",index('Actuals - Billing - 2025'!$B24:$BA922,Match($C24,'Actuals - Billing - 2025'!$B24:$B922,0),Match(F$1,'Actuals - Billing - 2025'!$B$2:$BA$2,0)))</f>
        <v/>
      </c>
      <c r="G24" s="11" t="str">
        <f t="array" ref="G24">if($C24="","",index('Actuals - Billing - 2025'!$B24:$BA922,Match($C24,'Actuals - Billing - 2025'!$B24:$B922,0),Match(G$1,'Actuals - Billing - 2025'!$B$2:$BA$2,0)))</f>
        <v/>
      </c>
      <c r="H24" s="11" t="str">
        <f t="array" ref="H24">if($C24="","",index('Actuals - Billing - 2025'!$B24:$BA922,Match($C24,'Actuals - Billing - 2025'!$B24:$B922,0),Match(H$1,'Actuals - Billing - 2025'!$B$2:$BA$2,0)))</f>
        <v/>
      </c>
      <c r="I24" s="11" t="str">
        <f t="array" ref="I24">if($C24="","",index('Actuals - Billing - 2025'!$B24:$BA922,Match($C24,'Actuals - Billing - 2025'!$B24:$B922,0),Match(I$1,'Actuals - Billing - 2025'!$B$2:$BA$2,0)))</f>
        <v/>
      </c>
      <c r="J24" s="11" t="str">
        <f t="shared" si="2"/>
        <v/>
      </c>
      <c r="K24" s="149" t="str">
        <f t="shared" si="3"/>
        <v/>
      </c>
      <c r="L24" s="1" t="str">
        <f t="shared" si="4"/>
        <v/>
      </c>
      <c r="M24" s="4" t="str">
        <f t="shared" si="5"/>
        <v/>
      </c>
      <c r="N24" s="16"/>
    </row>
    <row r="25">
      <c r="A25" s="7" t="str">
        <f t="shared" si="1"/>
        <v/>
      </c>
      <c r="B25" s="8" t="str">
        <f>if(and('Actuals - Billing - 2025'!E$261=True,C25&lt;&gt;""),'Actuals - Billing - 2025'!C257,"")</f>
        <v/>
      </c>
      <c r="C25" s="9" t="str">
        <f>IF(sum('Actuals - Billing - 2025'!AR257:BA257)&gt;0,'Actuals - Billing - 2025'!B257,"")</f>
        <v/>
      </c>
      <c r="D25" s="148" t="str">
        <f>if(or(E25&lt;&gt;"",F25&lt;&gt;""),'Actuals - Billing - 2025'!AU25,if(G25&lt;&gt;"",35,if(H25&lt;&gt;"",'Actuals - Billing - 2025'!AY25,if(I25&lt;&gt;"",'Actuals - Billing - 2025'!BA25,""))))</f>
        <v/>
      </c>
      <c r="E25" s="11" t="str">
        <f t="array" ref="E25">if($C25="","",index('Actuals - Billing - 2025'!$B25:$BA923,Match($C25,'Actuals - Billing - 2025'!$B25:$B923,0),Match(E$1,'Actuals - Billing - 2025'!$B$2:$BA$2,0)))</f>
        <v/>
      </c>
      <c r="F25" s="11" t="str">
        <f t="array" ref="F25">if($C25="","",index('Actuals - Billing - 2025'!$B25:$BA923,Match($C25,'Actuals - Billing - 2025'!$B25:$B923,0),Match(F$1,'Actuals - Billing - 2025'!$B$2:$BA$2,0)))</f>
        <v/>
      </c>
      <c r="G25" s="11" t="str">
        <f t="array" ref="G25">if($C25="","",index('Actuals - Billing - 2025'!$B25:$BA923,Match($C25,'Actuals - Billing - 2025'!$B25:$B923,0),Match(G$1,'Actuals - Billing - 2025'!$B$2:$BA$2,0)))</f>
        <v/>
      </c>
      <c r="H25" s="11" t="str">
        <f t="array" ref="H25">if($C25="","",index('Actuals - Billing - 2025'!$B25:$BA923,Match($C25,'Actuals - Billing - 2025'!$B25:$B923,0),Match(H$1,'Actuals - Billing - 2025'!$B$2:$BA$2,0)))</f>
        <v/>
      </c>
      <c r="I25" s="11" t="str">
        <f t="array" ref="I25">if($C25="","",index('Actuals - Billing - 2025'!$B25:$BA923,Match($C25,'Actuals - Billing - 2025'!$B25:$B923,0),Match(I$1,'Actuals - Billing - 2025'!$B$2:$BA$2,0)))</f>
        <v/>
      </c>
      <c r="J25" s="11" t="str">
        <f t="shared" si="2"/>
        <v/>
      </c>
      <c r="K25" s="149" t="str">
        <f t="shared" si="3"/>
        <v/>
      </c>
      <c r="L25" s="1" t="str">
        <f t="shared" si="4"/>
        <v/>
      </c>
      <c r="M25" s="4" t="str">
        <f t="shared" si="5"/>
        <v/>
      </c>
      <c r="N25" s="16"/>
    </row>
    <row r="26">
      <c r="A26" s="7" t="str">
        <f t="shared" si="1"/>
        <v/>
      </c>
      <c r="B26" s="8" t="str">
        <f>if(and('Actuals - Billing - 2025'!E$261=True,C26&lt;&gt;""),'Actuals - Billing - 2025'!C258,"")</f>
        <v/>
      </c>
      <c r="C26" s="9" t="str">
        <f>IF(sum('Actuals - Billing - 2025'!AR258:BA258)&gt;0,'Actuals - Billing - 2025'!B258,"")</f>
        <v/>
      </c>
      <c r="D26" s="148" t="str">
        <f>if(or(E26&lt;&gt;"",F26&lt;&gt;""),'Actuals - Billing - 2025'!AU26,if(G26&lt;&gt;"",35,if(H26&lt;&gt;"",'Actuals - Billing - 2025'!AY26,if(I26&lt;&gt;"",'Actuals - Billing - 2025'!BA26,""))))</f>
        <v/>
      </c>
      <c r="E26" s="11" t="str">
        <f t="array" ref="E26">if($C26="","",index('Actuals - Billing - 2025'!$B26:$BA924,Match($C26,'Actuals - Billing - 2025'!$B26:$B924,0),Match(E$1,'Actuals - Billing - 2025'!$B$2:$BA$2,0)))</f>
        <v/>
      </c>
      <c r="F26" s="11" t="str">
        <f t="array" ref="F26">if($C26="","",index('Actuals - Billing - 2025'!$B26:$BA924,Match($C26,'Actuals - Billing - 2025'!$B26:$B924,0),Match(F$1,'Actuals - Billing - 2025'!$B$2:$BA$2,0)))</f>
        <v/>
      </c>
      <c r="G26" s="11" t="str">
        <f t="array" ref="G26">if($C26="","",index('Actuals - Billing - 2025'!$B26:$BA924,Match($C26,'Actuals - Billing - 2025'!$B26:$B924,0),Match(G$1,'Actuals - Billing - 2025'!$B$2:$BA$2,0)))</f>
        <v/>
      </c>
      <c r="H26" s="11" t="str">
        <f t="array" ref="H26">if($C26="","",index('Actuals - Billing - 2025'!$B26:$BA924,Match($C26,'Actuals - Billing - 2025'!$B26:$B924,0),Match(H$1,'Actuals - Billing - 2025'!$B$2:$BA$2,0)))</f>
        <v/>
      </c>
      <c r="I26" s="11" t="str">
        <f t="array" ref="I26">if($C26="","",index('Actuals - Billing - 2025'!$B26:$BA924,Match($C26,'Actuals - Billing - 2025'!$B26:$B924,0),Match(I$1,'Actuals - Billing - 2025'!$B$2:$BA$2,0)))</f>
        <v/>
      </c>
      <c r="J26" s="11" t="str">
        <f t="shared" si="2"/>
        <v/>
      </c>
      <c r="K26" s="149" t="str">
        <f t="shared" si="3"/>
        <v/>
      </c>
      <c r="L26" s="1" t="str">
        <f t="shared" si="4"/>
        <v/>
      </c>
      <c r="M26" s="4" t="str">
        <f t="shared" si="5"/>
        <v/>
      </c>
      <c r="N26" s="16"/>
    </row>
    <row r="27">
      <c r="A27" s="7" t="str">
        <f t="shared" si="1"/>
        <v/>
      </c>
      <c r="B27" s="8" t="str">
        <f>if(and('Actuals - Billing - 2025'!E$261=True,C27&lt;&gt;""),'Actuals - Billing - 2025'!C259,"")</f>
        <v/>
      </c>
      <c r="C27" s="9" t="str">
        <f>IF(sum('Actuals - Billing - 2025'!AR259:BA259)&gt;0,'Actuals - Billing - 2025'!B259,"")</f>
        <v/>
      </c>
      <c r="D27" s="148" t="str">
        <f>if(or(E27&lt;&gt;"",F27&lt;&gt;""),'Actuals - Billing - 2025'!AU27,if(G27&lt;&gt;"",35,if(H27&lt;&gt;"",'Actuals - Billing - 2025'!AY27,if(I27&lt;&gt;"",'Actuals - Billing - 2025'!BA27,""))))</f>
        <v/>
      </c>
      <c r="E27" s="11" t="str">
        <f t="array" ref="E27">if($C27="","",index('Actuals - Billing - 2025'!$B27:$BA925,Match($C27,'Actuals - Billing - 2025'!$B27:$B925,0),Match(E$1,'Actuals - Billing - 2025'!$B$2:$BA$2,0)))</f>
        <v/>
      </c>
      <c r="F27" s="11" t="str">
        <f t="array" ref="F27">if($C27="","",index('Actuals - Billing - 2025'!$B27:$BA925,Match($C27,'Actuals - Billing - 2025'!$B27:$B925,0),Match(F$1,'Actuals - Billing - 2025'!$B$2:$BA$2,0)))</f>
        <v/>
      </c>
      <c r="G27" s="11" t="str">
        <f t="array" ref="G27">if($C27="","",index('Actuals - Billing - 2025'!$B27:$BA925,Match($C27,'Actuals - Billing - 2025'!$B27:$B925,0),Match(G$1,'Actuals - Billing - 2025'!$B$2:$BA$2,0)))</f>
        <v/>
      </c>
      <c r="H27" s="11" t="str">
        <f t="array" ref="H27">if($C27="","",index('Actuals - Billing - 2025'!$B27:$BA925,Match($C27,'Actuals - Billing - 2025'!$B27:$B925,0),Match(H$1,'Actuals - Billing - 2025'!$B$2:$BA$2,0)))</f>
        <v/>
      </c>
      <c r="I27" s="11" t="str">
        <f t="array" ref="I27">if($C27="","",index('Actuals - Billing - 2025'!$B27:$BA925,Match($C27,'Actuals - Billing - 2025'!$B27:$B925,0),Match(I$1,'Actuals - Billing - 2025'!$B$2:$BA$2,0)))</f>
        <v/>
      </c>
      <c r="J27" s="11" t="str">
        <f t="shared" si="2"/>
        <v/>
      </c>
      <c r="K27" s="149" t="str">
        <f t="shared" si="3"/>
        <v/>
      </c>
      <c r="L27" s="1" t="str">
        <f t="shared" si="4"/>
        <v/>
      </c>
      <c r="M27" s="4" t="str">
        <f t="shared" si="5"/>
        <v/>
      </c>
      <c r="N27" s="16"/>
    </row>
    <row r="28">
      <c r="A28" s="7" t="str">
        <f t="shared" si="1"/>
        <v/>
      </c>
      <c r="B28" s="8" t="str">
        <f>if(and('Actuals - Billing - 2025'!E$261=True,C28&lt;&gt;""),'Actuals - Billing - 2025'!C260,"")</f>
        <v/>
      </c>
      <c r="C28" s="9" t="str">
        <f>IF(sum('Actuals - Billing - 2025'!AR260:BA260)&gt;0,'Actuals - Billing - 2025'!B260,"")</f>
        <v/>
      </c>
      <c r="D28" s="148" t="str">
        <f>if(or(E28&lt;&gt;"",F28&lt;&gt;""),'Actuals - Billing - 2025'!AU28,if(G28&lt;&gt;"",35,if(H28&lt;&gt;"",'Actuals - Billing - 2025'!AY28,if(I28&lt;&gt;"",'Actuals - Billing - 2025'!BA28,""))))</f>
        <v/>
      </c>
      <c r="E28" s="11" t="str">
        <f t="array" ref="E28">if($C28="","",index('Actuals - Billing - 2025'!$B28:$BA926,Match($C28,'Actuals - Billing - 2025'!$B28:$B926,0),Match(E$1,'Actuals - Billing - 2025'!$B$2:$BA$2,0)))</f>
        <v/>
      </c>
      <c r="F28" s="11" t="str">
        <f t="array" ref="F28">if($C28="","",index('Actuals - Billing - 2025'!$B28:$BA926,Match($C28,'Actuals - Billing - 2025'!$B28:$B926,0),Match(F$1,'Actuals - Billing - 2025'!$B$2:$BA$2,0)))</f>
        <v/>
      </c>
      <c r="G28" s="11" t="str">
        <f t="array" ref="G28">if($C28="","",index('Actuals - Billing - 2025'!$B28:$BA926,Match($C28,'Actuals - Billing - 2025'!$B28:$B926,0),Match(G$1,'Actuals - Billing - 2025'!$B$2:$BA$2,0)))</f>
        <v/>
      </c>
      <c r="H28" s="11" t="str">
        <f t="array" ref="H28">if($C28="","",index('Actuals - Billing - 2025'!$B28:$BA926,Match($C28,'Actuals - Billing - 2025'!$B28:$B926,0),Match(H$1,'Actuals - Billing - 2025'!$B$2:$BA$2,0)))</f>
        <v/>
      </c>
      <c r="I28" s="11" t="str">
        <f t="array" ref="I28">if($C28="","",index('Actuals - Billing - 2025'!$B28:$BA926,Match($C28,'Actuals - Billing - 2025'!$B28:$B926,0),Match(I$1,'Actuals - Billing - 2025'!$B$2:$BA$2,0)))</f>
        <v/>
      </c>
      <c r="J28" s="11" t="str">
        <f t="shared" si="2"/>
        <v/>
      </c>
      <c r="K28" s="149" t="str">
        <f t="shared" si="3"/>
        <v/>
      </c>
      <c r="L28" s="1" t="str">
        <f t="shared" si="4"/>
        <v/>
      </c>
      <c r="M28" s="4" t="str">
        <f t="shared" si="5"/>
        <v/>
      </c>
      <c r="N28" s="16"/>
    </row>
    <row r="29">
      <c r="A29" s="7" t="str">
        <f t="shared" si="1"/>
        <v/>
      </c>
      <c r="B29" s="8" t="str">
        <f>if(and('Actuals - Billing - 2025'!E$261=True,C29&lt;&gt;""),'Actuals - Billing - 2025'!C261,"")</f>
        <v/>
      </c>
      <c r="C29" s="9" t="str">
        <f>IF(sum('Actuals - Billing - 2025'!AR261:BA261)&gt;0,'Actuals - Billing - 2025'!B261,"")</f>
        <v/>
      </c>
      <c r="D29" s="148" t="str">
        <f>if(or(E29&lt;&gt;"",F29&lt;&gt;""),'Actuals - Billing - 2025'!AU29,if(G29&lt;&gt;"",35,if(H29&lt;&gt;"",'Actuals - Billing - 2025'!AY29,if(I29&lt;&gt;"",'Actuals - Billing - 2025'!BA29,""))))</f>
        <v/>
      </c>
      <c r="E29" s="11" t="str">
        <f t="array" ref="E29">if($C29="","",index('Actuals - Billing - 2025'!$B29:$BA927,Match($C29,'Actuals - Billing - 2025'!$B29:$B927,0),Match(E$1,'Actuals - Billing - 2025'!$B$2:$BA$2,0)))</f>
        <v/>
      </c>
      <c r="F29" s="11" t="str">
        <f t="array" ref="F29">if($C29="","",index('Actuals - Billing - 2025'!$B29:$BA927,Match($C29,'Actuals - Billing - 2025'!$B29:$B927,0),Match(F$1,'Actuals - Billing - 2025'!$B$2:$BA$2,0)))</f>
        <v/>
      </c>
      <c r="G29" s="11" t="str">
        <f t="array" ref="G29">if($C29="","",index('Actuals - Billing - 2025'!$B29:$BA927,Match($C29,'Actuals - Billing - 2025'!$B29:$B927,0),Match(G$1,'Actuals - Billing - 2025'!$B$2:$BA$2,0)))</f>
        <v/>
      </c>
      <c r="H29" s="11" t="str">
        <f t="array" ref="H29">if($C29="","",index('Actuals - Billing - 2025'!$B29:$BA927,Match($C29,'Actuals - Billing - 2025'!$B29:$B927,0),Match(H$1,'Actuals - Billing - 2025'!$B$2:$BA$2,0)))</f>
        <v/>
      </c>
      <c r="I29" s="11" t="str">
        <f t="array" ref="I29">if($C29="","",index('Actuals - Billing - 2025'!$B29:$BA927,Match($C29,'Actuals - Billing - 2025'!$B29:$B927,0),Match(I$1,'Actuals - Billing - 2025'!$B$2:$BA$2,0)))</f>
        <v/>
      </c>
      <c r="J29" s="11" t="str">
        <f t="shared" si="2"/>
        <v/>
      </c>
      <c r="K29" s="149" t="str">
        <f t="shared" si="3"/>
        <v/>
      </c>
      <c r="L29" s="1" t="str">
        <f t="shared" si="4"/>
        <v/>
      </c>
      <c r="M29" s="4" t="str">
        <f t="shared" si="5"/>
        <v/>
      </c>
      <c r="N29" s="6"/>
    </row>
    <row r="30">
      <c r="A30" s="7" t="str">
        <f t="shared" si="1"/>
        <v/>
      </c>
      <c r="B30" s="8" t="str">
        <f>if(and('Actuals - Billing - 2025'!E$268=True,C30&lt;&gt;""),'Actuals - Billing - 2025'!C262,"")</f>
        <v/>
      </c>
      <c r="C30" s="9" t="str">
        <f>IF(sum('Actuals - Billing - 2025'!AR262:BA262)&gt;0,'Actuals - Billing - 2025'!B262,"")</f>
        <v/>
      </c>
      <c r="D30" s="148" t="str">
        <f>if(or(E30&lt;&gt;"",F30&lt;&gt;""),'Actuals - Billing - 2025'!AU30,if(G30&lt;&gt;"",35,if(H30&lt;&gt;"",'Actuals - Billing - 2025'!AY30,if(I30&lt;&gt;"",'Actuals - Billing - 2025'!BA30,""))))</f>
        <v/>
      </c>
      <c r="E30" s="11" t="str">
        <f t="array" ref="E30">if($C30="","",index('Actuals - Billing - 2025'!$B30:$BA928,Match($C30,'Actuals - Billing - 2025'!$B30:$B928,0),Match(E$1,'Actuals - Billing - 2025'!$B$2:$BA$2,0)))</f>
        <v/>
      </c>
      <c r="F30" s="11" t="str">
        <f t="array" ref="F30">if($C30="","",index('Actuals - Billing - 2025'!$B30:$BA928,Match($C30,'Actuals - Billing - 2025'!$B30:$B928,0),Match(F$1,'Actuals - Billing - 2025'!$B$2:$BA$2,0)))</f>
        <v/>
      </c>
      <c r="G30" s="11" t="str">
        <f t="array" ref="G30">if($C30="","",index('Actuals - Billing - 2025'!$B30:$BA928,Match($C30,'Actuals - Billing - 2025'!$B30:$B928,0),Match(G$1,'Actuals - Billing - 2025'!$B$2:$BA$2,0)))</f>
        <v/>
      </c>
      <c r="H30" s="11" t="str">
        <f t="array" ref="H30">if($C30="","",index('Actuals - Billing - 2025'!$B30:$BA928,Match($C30,'Actuals - Billing - 2025'!$B30:$B928,0),Match(H$1,'Actuals - Billing - 2025'!$B$2:$BA$2,0)))</f>
        <v/>
      </c>
      <c r="I30" s="11" t="str">
        <f t="array" ref="I30">if($C30="","",index('Actuals - Billing - 2025'!$B30:$BA928,Match($C30,'Actuals - Billing - 2025'!$B30:$B928,0),Match(I$1,'Actuals - Billing - 2025'!$B$2:$BA$2,0)))</f>
        <v/>
      </c>
      <c r="J30" s="11" t="str">
        <f t="shared" si="2"/>
        <v/>
      </c>
      <c r="K30" s="149" t="str">
        <f t="shared" si="3"/>
        <v/>
      </c>
      <c r="L30" s="1" t="str">
        <f t="shared" si="4"/>
        <v/>
      </c>
      <c r="M30" s="4" t="str">
        <f t="shared" si="5"/>
        <v/>
      </c>
      <c r="N30" s="17" t="str">
        <f>if(M30&lt;&gt;"",'Actuals - Billing - 2025'!BG262,"")</f>
        <v/>
      </c>
    </row>
    <row r="31">
      <c r="A31" s="7" t="str">
        <f t="shared" si="1"/>
        <v/>
      </c>
      <c r="B31" s="8" t="str">
        <f>if(and('Actuals - Billing - 2025'!E$268=True,C31&lt;&gt;""),'Actuals - Billing - 2025'!C263,"")</f>
        <v/>
      </c>
      <c r="C31" s="9" t="str">
        <f>IF(sum('Actuals - Billing - 2025'!AR263:BA263)&gt;0,'Actuals - Billing - 2025'!B263,"")</f>
        <v/>
      </c>
      <c r="D31" s="148" t="str">
        <f>if(or(E31&lt;&gt;"",F31&lt;&gt;""),'Actuals - Billing - 2025'!AU31,if(G31&lt;&gt;"",35,if(H31&lt;&gt;"",'Actuals - Billing - 2025'!AY31,if(I31&lt;&gt;"",'Actuals - Billing - 2025'!BA31,""))))</f>
        <v/>
      </c>
      <c r="E31" s="11" t="str">
        <f t="array" ref="E31">if($C31="","",index('Actuals - Billing - 2025'!$B31:$BA929,Match($C31,'Actuals - Billing - 2025'!$B31:$B929,0),Match(E$1,'Actuals - Billing - 2025'!$B$2:$BA$2,0)))</f>
        <v/>
      </c>
      <c r="F31" s="11" t="str">
        <f t="array" ref="F31">if($C31="","",index('Actuals - Billing - 2025'!$B31:$BA929,Match($C31,'Actuals - Billing - 2025'!$B31:$B929,0),Match(F$1,'Actuals - Billing - 2025'!$B$2:$BA$2,0)))</f>
        <v/>
      </c>
      <c r="G31" s="11" t="str">
        <f t="array" ref="G31">if($C31="","",index('Actuals - Billing - 2025'!$B31:$BA929,Match($C31,'Actuals - Billing - 2025'!$B31:$B929,0),Match(G$1,'Actuals - Billing - 2025'!$B$2:$BA$2,0)))</f>
        <v/>
      </c>
      <c r="H31" s="11" t="str">
        <f t="array" ref="H31">if($C31="","",index('Actuals - Billing - 2025'!$B31:$BA929,Match($C31,'Actuals - Billing - 2025'!$B31:$B929,0),Match(H$1,'Actuals - Billing - 2025'!$B$2:$BA$2,0)))</f>
        <v/>
      </c>
      <c r="I31" s="11" t="str">
        <f t="array" ref="I31">if($C31="","",index('Actuals - Billing - 2025'!$B31:$BA929,Match($C31,'Actuals - Billing - 2025'!$B31:$B929,0),Match(I$1,'Actuals - Billing - 2025'!$B$2:$BA$2,0)))</f>
        <v/>
      </c>
      <c r="J31" s="11" t="str">
        <f t="shared" si="2"/>
        <v/>
      </c>
      <c r="K31" s="149" t="str">
        <f t="shared" si="3"/>
        <v/>
      </c>
      <c r="L31" s="1" t="str">
        <f t="shared" si="4"/>
        <v/>
      </c>
      <c r="M31" s="4" t="str">
        <f t="shared" si="5"/>
        <v/>
      </c>
      <c r="N31" s="17" t="str">
        <f>if(M31&lt;&gt;"",'Actuals - Billing - 2025'!BG263,"")</f>
        <v/>
      </c>
    </row>
    <row r="32">
      <c r="A32" s="7" t="str">
        <f t="shared" si="1"/>
        <v/>
      </c>
      <c r="B32" s="8" t="str">
        <f>if(and('Actuals - Billing - 2025'!E$268=True,C32&lt;&gt;""),'Actuals - Billing - 2025'!C264,"")</f>
        <v/>
      </c>
      <c r="C32" s="9" t="str">
        <f>IF(sum('Actuals - Billing - 2025'!AR264:BA264)&gt;0,'Actuals - Billing - 2025'!B264,"")</f>
        <v/>
      </c>
      <c r="D32" s="148" t="str">
        <f>if(or(E32&lt;&gt;"",F32&lt;&gt;""),'Actuals - Billing - 2025'!AU32,if(G32&lt;&gt;"",35,if(H32&lt;&gt;"",'Actuals - Billing - 2025'!AY32,if(I32&lt;&gt;"",'Actuals - Billing - 2025'!BA32,""))))</f>
        <v/>
      </c>
      <c r="E32" s="11" t="str">
        <f t="array" ref="E32">if($C32="","",index('Actuals - Billing - 2025'!$B32:$BA930,Match($C32,'Actuals - Billing - 2025'!$B32:$B930,0),Match(E$1,'Actuals - Billing - 2025'!$B$2:$BA$2,0)))</f>
        <v/>
      </c>
      <c r="F32" s="11" t="str">
        <f t="array" ref="F32">if($C32="","",index('Actuals - Billing - 2025'!$B32:$BA930,Match($C32,'Actuals - Billing - 2025'!$B32:$B930,0),Match(F$1,'Actuals - Billing - 2025'!$B$2:$BA$2,0)))</f>
        <v/>
      </c>
      <c r="G32" s="11" t="str">
        <f t="array" ref="G32">if($C32="","",index('Actuals - Billing - 2025'!$B32:$BA930,Match($C32,'Actuals - Billing - 2025'!$B32:$B930,0),Match(G$1,'Actuals - Billing - 2025'!$B$2:$BA$2,0)))</f>
        <v/>
      </c>
      <c r="H32" s="11" t="str">
        <f t="array" ref="H32">if($C32="","",index('Actuals - Billing - 2025'!$B32:$BA930,Match($C32,'Actuals - Billing - 2025'!$B32:$B930,0),Match(H$1,'Actuals - Billing - 2025'!$B$2:$BA$2,0)))</f>
        <v/>
      </c>
      <c r="I32" s="11" t="str">
        <f t="array" ref="I32">if($C32="","",index('Actuals - Billing - 2025'!$B32:$BA930,Match($C32,'Actuals - Billing - 2025'!$B32:$B930,0),Match(I$1,'Actuals - Billing - 2025'!$B$2:$BA$2,0)))</f>
        <v/>
      </c>
      <c r="J32" s="11" t="str">
        <f t="shared" si="2"/>
        <v/>
      </c>
      <c r="K32" s="149" t="str">
        <f t="shared" si="3"/>
        <v/>
      </c>
      <c r="L32" s="1" t="str">
        <f t="shared" si="4"/>
        <v/>
      </c>
      <c r="M32" s="4" t="str">
        <f t="shared" si="5"/>
        <v/>
      </c>
      <c r="N32" s="17" t="str">
        <f>if(M32&lt;&gt;"",'Actuals - Billing - 2025'!BG264,"")</f>
        <v/>
      </c>
    </row>
    <row r="33">
      <c r="A33" s="7" t="str">
        <f t="shared" si="1"/>
        <v/>
      </c>
      <c r="B33" s="8" t="str">
        <f>if(and('Actuals - Billing - 2025'!E$268=True,C33&lt;&gt;""),'Actuals - Billing - 2025'!C265,"")</f>
        <v/>
      </c>
      <c r="C33" s="9" t="str">
        <f>IF(sum('Actuals - Billing - 2025'!AR265:BA265)&gt;0,'Actuals - Billing - 2025'!B265,"")</f>
        <v/>
      </c>
      <c r="D33" s="148" t="str">
        <f>if(or(E33&lt;&gt;"",F33&lt;&gt;""),'Actuals - Billing - 2025'!AU33,if(G33&lt;&gt;"",35,if(H33&lt;&gt;"",'Actuals - Billing - 2025'!AY33,if(I33&lt;&gt;"",'Actuals - Billing - 2025'!BA33,""))))</f>
        <v/>
      </c>
      <c r="E33" s="11" t="str">
        <f t="array" ref="E33">if($C33="","",index('Actuals - Billing - 2025'!$B33:$BA931,Match($C33,'Actuals - Billing - 2025'!$B33:$B931,0),Match(E$1,'Actuals - Billing - 2025'!$B$2:$BA$2,0)))</f>
        <v/>
      </c>
      <c r="F33" s="11" t="str">
        <f t="array" ref="F33">if($C33="","",index('Actuals - Billing - 2025'!$B33:$BA931,Match($C33,'Actuals - Billing - 2025'!$B33:$B931,0),Match(F$1,'Actuals - Billing - 2025'!$B$2:$BA$2,0)))</f>
        <v/>
      </c>
      <c r="G33" s="11" t="str">
        <f t="array" ref="G33">if($C33="","",index('Actuals - Billing - 2025'!$B33:$BA931,Match($C33,'Actuals - Billing - 2025'!$B33:$B931,0),Match(G$1,'Actuals - Billing - 2025'!$B$2:$BA$2,0)))</f>
        <v/>
      </c>
      <c r="H33" s="11" t="str">
        <f t="array" ref="H33">if($C33="","",index('Actuals - Billing - 2025'!$B33:$BA931,Match($C33,'Actuals - Billing - 2025'!$B33:$B931,0),Match(H$1,'Actuals - Billing - 2025'!$B$2:$BA$2,0)))</f>
        <v/>
      </c>
      <c r="I33" s="11" t="str">
        <f t="array" ref="I33">if($C33="","",index('Actuals - Billing - 2025'!$B33:$BA931,Match($C33,'Actuals - Billing - 2025'!$B33:$B931,0),Match(I$1,'Actuals - Billing - 2025'!$B$2:$BA$2,0)))</f>
        <v/>
      </c>
      <c r="J33" s="11" t="str">
        <f t="shared" si="2"/>
        <v/>
      </c>
      <c r="K33" s="149" t="str">
        <f t="shared" si="3"/>
        <v/>
      </c>
      <c r="L33" s="1" t="str">
        <f t="shared" si="4"/>
        <v/>
      </c>
      <c r="M33" s="4" t="str">
        <f t="shared" si="5"/>
        <v/>
      </c>
      <c r="N33" s="17" t="str">
        <f>if(M33&lt;&gt;"",'Actuals - Billing - 2025'!BG265,"")</f>
        <v/>
      </c>
    </row>
    <row r="34">
      <c r="A34" s="7" t="str">
        <f t="shared" si="1"/>
        <v/>
      </c>
      <c r="B34" s="8" t="str">
        <f>if(and('Actuals - Billing - 2025'!E$268=True,C34&lt;&gt;""),'Actuals - Billing - 2025'!C266,"")</f>
        <v/>
      </c>
      <c r="C34" s="9" t="str">
        <f>IF(sum('Actuals - Billing - 2025'!AR266:BA266)&gt;0,'Actuals - Billing - 2025'!B266,"")</f>
        <v/>
      </c>
      <c r="D34" s="148" t="str">
        <f>if(or(E34&lt;&gt;"",F34&lt;&gt;""),'Actuals - Billing - 2025'!AU34,if(G34&lt;&gt;"",35,if(H34&lt;&gt;"",'Actuals - Billing - 2025'!AY34,if(I34&lt;&gt;"",'Actuals - Billing - 2025'!BA34,""))))</f>
        <v/>
      </c>
      <c r="E34" s="11" t="str">
        <f t="array" ref="E34">if($C34="","",index('Actuals - Billing - 2025'!$B34:$BA932,Match($C34,'Actuals - Billing - 2025'!$B34:$B932,0),Match(E$1,'Actuals - Billing - 2025'!$B$2:$BA$2,0)))</f>
        <v/>
      </c>
      <c r="F34" s="11" t="str">
        <f t="array" ref="F34">if($C34="","",index('Actuals - Billing - 2025'!$B34:$BA932,Match($C34,'Actuals - Billing - 2025'!$B34:$B932,0),Match(F$1,'Actuals - Billing - 2025'!$B$2:$BA$2,0)))</f>
        <v/>
      </c>
      <c r="G34" s="11" t="str">
        <f t="array" ref="G34">if($C34="","",index('Actuals - Billing - 2025'!$B34:$BA932,Match($C34,'Actuals - Billing - 2025'!$B34:$B932,0),Match(G$1,'Actuals - Billing - 2025'!$B$2:$BA$2,0)))</f>
        <v/>
      </c>
      <c r="H34" s="11" t="str">
        <f t="array" ref="H34">if($C34="","",index('Actuals - Billing - 2025'!$B34:$BA932,Match($C34,'Actuals - Billing - 2025'!$B34:$B932,0),Match(H$1,'Actuals - Billing - 2025'!$B$2:$BA$2,0)))</f>
        <v/>
      </c>
      <c r="I34" s="11" t="str">
        <f t="array" ref="I34">if($C34="","",index('Actuals - Billing - 2025'!$B34:$BA932,Match($C34,'Actuals - Billing - 2025'!$B34:$B932,0),Match(I$1,'Actuals - Billing - 2025'!$B$2:$BA$2,0)))</f>
        <v/>
      </c>
      <c r="J34" s="11" t="str">
        <f t="shared" si="2"/>
        <v/>
      </c>
      <c r="K34" s="149" t="str">
        <f t="shared" si="3"/>
        <v/>
      </c>
      <c r="L34" s="1" t="str">
        <f t="shared" si="4"/>
        <v/>
      </c>
      <c r="M34" s="4" t="str">
        <f t="shared" si="5"/>
        <v/>
      </c>
      <c r="N34" s="17" t="str">
        <f>if(M34&lt;&gt;"",'Actuals - Billing - 2025'!BG266,"")</f>
        <v/>
      </c>
    </row>
    <row r="35">
      <c r="A35" s="7" t="str">
        <f t="shared" si="1"/>
        <v/>
      </c>
      <c r="B35" s="8" t="str">
        <f>if(and('Actuals - Billing - 2025'!E$268=True,C35&lt;&gt;""),'Actuals - Billing - 2025'!C267,"")</f>
        <v/>
      </c>
      <c r="C35" s="9" t="str">
        <f>IF(sum('Actuals - Billing - 2025'!AR267:BA267)&gt;0,'Actuals - Billing - 2025'!B267,"")</f>
        <v/>
      </c>
      <c r="D35" s="148" t="str">
        <f>if(or(E35&lt;&gt;"",F35&lt;&gt;""),'Actuals - Billing - 2025'!AU35,if(G35&lt;&gt;"",35,if(H35&lt;&gt;"",'Actuals - Billing - 2025'!AY35,if(I35&lt;&gt;"",'Actuals - Billing - 2025'!BA35,""))))</f>
        <v/>
      </c>
      <c r="E35" s="11" t="str">
        <f t="array" ref="E35">if($C35="","",index('Actuals - Billing - 2025'!$B35:$BA933,Match($C35,'Actuals - Billing - 2025'!$B35:$B933,0),Match(E$1,'Actuals - Billing - 2025'!$B$2:$BA$2,0)))</f>
        <v/>
      </c>
      <c r="F35" s="11" t="str">
        <f t="array" ref="F35">if($C35="","",index('Actuals - Billing - 2025'!$B35:$BA933,Match($C35,'Actuals - Billing - 2025'!$B35:$B933,0),Match(F$1,'Actuals - Billing - 2025'!$B$2:$BA$2,0)))</f>
        <v/>
      </c>
      <c r="G35" s="11" t="str">
        <f t="array" ref="G35">if($C35="","",index('Actuals - Billing - 2025'!$B35:$BA933,Match($C35,'Actuals - Billing - 2025'!$B35:$B933,0),Match(G$1,'Actuals - Billing - 2025'!$B$2:$BA$2,0)))</f>
        <v/>
      </c>
      <c r="H35" s="11" t="str">
        <f t="array" ref="H35">if($C35="","",index('Actuals - Billing - 2025'!$B35:$BA933,Match($C35,'Actuals - Billing - 2025'!$B35:$B933,0),Match(H$1,'Actuals - Billing - 2025'!$B$2:$BA$2,0)))</f>
        <v/>
      </c>
      <c r="I35" s="11" t="str">
        <f t="array" ref="I35">if($C35="","",index('Actuals - Billing - 2025'!$B35:$BA933,Match($C35,'Actuals - Billing - 2025'!$B35:$B933,0),Match(I$1,'Actuals - Billing - 2025'!$B$2:$BA$2,0)))</f>
        <v/>
      </c>
      <c r="J35" s="11" t="str">
        <f t="shared" si="2"/>
        <v/>
      </c>
      <c r="K35" s="149" t="str">
        <f t="shared" si="3"/>
        <v/>
      </c>
      <c r="L35" s="1" t="str">
        <f t="shared" si="4"/>
        <v/>
      </c>
      <c r="M35" s="4" t="str">
        <f t="shared" si="5"/>
        <v/>
      </c>
      <c r="N35" s="17" t="str">
        <f>if(M35&lt;&gt;"",'Actuals - Billing - 2025'!BG267,"")</f>
        <v/>
      </c>
    </row>
    <row r="36">
      <c r="A36" s="7" t="str">
        <f t="shared" si="1"/>
        <v/>
      </c>
      <c r="B36" s="8" t="str">
        <f>if(and('Actuals - Billing - 2025'!E$268=True,C36&lt;&gt;""),'Actuals - Billing - 2025'!C268,"")</f>
        <v/>
      </c>
      <c r="C36" s="9" t="str">
        <f>IF(sum('Actuals - Billing - 2025'!AR268:BA268)&gt;0,'Actuals - Billing - 2025'!B268,"")</f>
        <v/>
      </c>
      <c r="D36" s="148" t="str">
        <f>if(or(E36&lt;&gt;"",F36&lt;&gt;""),'Actuals - Billing - 2025'!AU36,if(G36&lt;&gt;"",35,if(H36&lt;&gt;"",'Actuals - Billing - 2025'!AY36,if(I36&lt;&gt;"",'Actuals - Billing - 2025'!BA36,""))))</f>
        <v/>
      </c>
      <c r="E36" s="11" t="str">
        <f t="array" ref="E36">if($C36="","",index('Actuals - Billing - 2025'!$B36:$BA934,Match($C36,'Actuals - Billing - 2025'!$B36:$B934,0),Match(E$1,'Actuals - Billing - 2025'!$B$2:$BA$2,0)))</f>
        <v/>
      </c>
      <c r="F36" s="11" t="str">
        <f t="array" ref="F36">if($C36="","",index('Actuals - Billing - 2025'!$B36:$BA934,Match($C36,'Actuals - Billing - 2025'!$B36:$B934,0),Match(F$1,'Actuals - Billing - 2025'!$B$2:$BA$2,0)))</f>
        <v/>
      </c>
      <c r="G36" s="11" t="str">
        <f t="array" ref="G36">if($C36="","",index('Actuals - Billing - 2025'!$B36:$BA934,Match($C36,'Actuals - Billing - 2025'!$B36:$B934,0),Match(G$1,'Actuals - Billing - 2025'!$B$2:$BA$2,0)))</f>
        <v/>
      </c>
      <c r="H36" s="11" t="str">
        <f t="array" ref="H36">if($C36="","",index('Actuals - Billing - 2025'!$B36:$BA934,Match($C36,'Actuals - Billing - 2025'!$B36:$B934,0),Match(H$1,'Actuals - Billing - 2025'!$B$2:$BA$2,0)))</f>
        <v/>
      </c>
      <c r="I36" s="11" t="str">
        <f t="array" ref="I36">if($C36="","",index('Actuals - Billing - 2025'!$B36:$BA934,Match($C36,'Actuals - Billing - 2025'!$B36:$B934,0),Match(I$1,'Actuals - Billing - 2025'!$B$2:$BA$2,0)))</f>
        <v/>
      </c>
      <c r="J36" s="11" t="str">
        <f t="shared" si="2"/>
        <v/>
      </c>
      <c r="K36" s="149" t="str">
        <f t="shared" si="3"/>
        <v/>
      </c>
      <c r="L36" s="1" t="str">
        <f t="shared" si="4"/>
        <v/>
      </c>
      <c r="M36" s="4" t="str">
        <f t="shared" si="5"/>
        <v/>
      </c>
      <c r="N36" s="17" t="str">
        <f>if(M36&lt;&gt;"",'Actuals - Billing - 2025'!BG268,"")</f>
        <v/>
      </c>
    </row>
    <row r="37">
      <c r="A37" s="7" t="str">
        <f t="shared" si="1"/>
        <v/>
      </c>
      <c r="B37" s="8" t="str">
        <f>if(and('Actuals - Billing - 2025'!E$275=True,C37&lt;&gt;""),'Actuals - Billing - 2025'!C269,"")</f>
        <v/>
      </c>
      <c r="C37" s="9" t="str">
        <f>IF(sum('Actuals - Billing - 2025'!AR269:BA269)&gt;0,'Actuals - Billing - 2025'!B269,"")</f>
        <v/>
      </c>
      <c r="D37" s="148" t="str">
        <f>if(or(E37&lt;&gt;"",F37&lt;&gt;""),'Actuals - Billing - 2025'!AU37,if(G37&lt;&gt;"",35,if(H37&lt;&gt;"",'Actuals - Billing - 2025'!AY37,if(I37&lt;&gt;"",'Actuals - Billing - 2025'!BA37,""))))</f>
        <v/>
      </c>
      <c r="E37" s="11" t="str">
        <f t="array" ref="E37">if($C37="","",index('Actuals - Billing - 2025'!$B37:$BA935,Match($C37,'Actuals - Billing - 2025'!$B37:$B935,0),Match(E$1,'Actuals - Billing - 2025'!$B$2:$BA$2,0)))</f>
        <v/>
      </c>
      <c r="F37" s="11" t="str">
        <f t="array" ref="F37">if($C37="","",index('Actuals - Billing - 2025'!$B37:$BA935,Match($C37,'Actuals - Billing - 2025'!$B37:$B935,0),Match(F$1,'Actuals - Billing - 2025'!$B$2:$BA$2,0)))</f>
        <v/>
      </c>
      <c r="G37" s="11" t="str">
        <f t="array" ref="G37">if($C37="","",index('Actuals - Billing - 2025'!$B37:$BA935,Match($C37,'Actuals - Billing - 2025'!$B37:$B935,0),Match(G$1,'Actuals - Billing - 2025'!$B$2:$BA$2,0)))</f>
        <v/>
      </c>
      <c r="H37" s="11" t="str">
        <f t="array" ref="H37">if($C37="","",index('Actuals - Billing - 2025'!$B37:$BA935,Match($C37,'Actuals - Billing - 2025'!$B37:$B935,0),Match(H$1,'Actuals - Billing - 2025'!$B$2:$BA$2,0)))</f>
        <v/>
      </c>
      <c r="I37" s="11" t="str">
        <f t="array" ref="I37">if($C37="","",index('Actuals - Billing - 2025'!$B37:$BA935,Match($C37,'Actuals - Billing - 2025'!$B37:$B935,0),Match(I$1,'Actuals - Billing - 2025'!$B$2:$BA$2,0)))</f>
        <v/>
      </c>
      <c r="J37" s="11" t="str">
        <f t="shared" si="2"/>
        <v/>
      </c>
      <c r="K37" s="149" t="str">
        <f t="shared" si="3"/>
        <v/>
      </c>
      <c r="L37" s="1" t="str">
        <f t="shared" si="4"/>
        <v/>
      </c>
      <c r="M37" s="4" t="str">
        <f t="shared" si="5"/>
        <v/>
      </c>
      <c r="N37" s="17" t="str">
        <f>if(M37&lt;&gt;"",'Actuals - Billing - 2025'!BG269,"")</f>
        <v/>
      </c>
    </row>
    <row r="38">
      <c r="A38" s="7" t="str">
        <f t="shared" si="1"/>
        <v/>
      </c>
      <c r="B38" s="8" t="str">
        <f>if(and('Actuals - Billing - 2025'!E$275=True,C38&lt;&gt;""),'Actuals - Billing - 2025'!C270,"")</f>
        <v/>
      </c>
      <c r="C38" s="9" t="str">
        <f>IF(sum('Actuals - Billing - 2025'!AR270:BA270)&gt;0,'Actuals - Billing - 2025'!B270,"")</f>
        <v/>
      </c>
      <c r="D38" s="148" t="str">
        <f>if(or(E38&lt;&gt;"",F38&lt;&gt;""),'Actuals - Billing - 2025'!AU38,if(G38&lt;&gt;"",35,if(H38&lt;&gt;"",'Actuals - Billing - 2025'!AY38,if(I38&lt;&gt;"",'Actuals - Billing - 2025'!BA38,""))))</f>
        <v/>
      </c>
      <c r="E38" s="11" t="str">
        <f t="array" ref="E38">if($C38="","",index('Actuals - Billing - 2025'!$B38:$BA936,Match($C38,'Actuals - Billing - 2025'!$B38:$B936,0),Match(E$1,'Actuals - Billing - 2025'!$B$2:$BA$2,0)))</f>
        <v/>
      </c>
      <c r="F38" s="11" t="str">
        <f t="array" ref="F38">if($C38="","",index('Actuals - Billing - 2025'!$B38:$BA936,Match($C38,'Actuals - Billing - 2025'!$B38:$B936,0),Match(F$1,'Actuals - Billing - 2025'!$B$2:$BA$2,0)))</f>
        <v/>
      </c>
      <c r="G38" s="11" t="str">
        <f t="array" ref="G38">if($C38="","",index('Actuals - Billing - 2025'!$B38:$BA936,Match($C38,'Actuals - Billing - 2025'!$B38:$B936,0),Match(G$1,'Actuals - Billing - 2025'!$B$2:$BA$2,0)))</f>
        <v/>
      </c>
      <c r="H38" s="11" t="str">
        <f t="array" ref="H38">if($C38="","",index('Actuals - Billing - 2025'!$B38:$BA936,Match($C38,'Actuals - Billing - 2025'!$B38:$B936,0),Match(H$1,'Actuals - Billing - 2025'!$B$2:$BA$2,0)))</f>
        <v/>
      </c>
      <c r="I38" s="11" t="str">
        <f t="array" ref="I38">if($C38="","",index('Actuals - Billing - 2025'!$B38:$BA936,Match($C38,'Actuals - Billing - 2025'!$B38:$B936,0),Match(I$1,'Actuals - Billing - 2025'!$B$2:$BA$2,0)))</f>
        <v/>
      </c>
      <c r="J38" s="11" t="str">
        <f t="shared" si="2"/>
        <v/>
      </c>
      <c r="K38" s="149" t="str">
        <f t="shared" si="3"/>
        <v/>
      </c>
      <c r="L38" s="1" t="str">
        <f t="shared" si="4"/>
        <v/>
      </c>
      <c r="M38" s="4" t="str">
        <f t="shared" si="5"/>
        <v/>
      </c>
      <c r="N38" s="17" t="str">
        <f>if(M38&lt;&gt;"",'Actuals - Billing - 2025'!BG270,"")</f>
        <v/>
      </c>
    </row>
    <row r="39">
      <c r="A39" s="7" t="str">
        <f t="shared" si="1"/>
        <v/>
      </c>
      <c r="B39" s="8" t="str">
        <f>if(and('Actuals - Billing - 2025'!E$275=True,C39&lt;&gt;""),'Actuals - Billing - 2025'!C271,"")</f>
        <v/>
      </c>
      <c r="C39" s="9" t="str">
        <f>IF(sum('Actuals - Billing - 2025'!AR271:BA271)&gt;0,'Actuals - Billing - 2025'!B271,"")</f>
        <v/>
      </c>
      <c r="D39" s="148" t="str">
        <f>if(or(E39&lt;&gt;"",F39&lt;&gt;""),'Actuals - Billing - 2025'!AU39,if(G39&lt;&gt;"",35,if(H39&lt;&gt;"",'Actuals - Billing - 2025'!AY39,if(I39&lt;&gt;"",'Actuals - Billing - 2025'!BA39,""))))</f>
        <v/>
      </c>
      <c r="E39" s="11" t="str">
        <f t="array" ref="E39">if($C39="","",index('Actuals - Billing - 2025'!$B39:$BA937,Match($C39,'Actuals - Billing - 2025'!$B39:$B937,0),Match(E$1,'Actuals - Billing - 2025'!$B$2:$BA$2,0)))</f>
        <v/>
      </c>
      <c r="F39" s="11" t="str">
        <f t="array" ref="F39">if($C39="","",index('Actuals - Billing - 2025'!$B39:$BA937,Match($C39,'Actuals - Billing - 2025'!$B39:$B937,0),Match(F$1,'Actuals - Billing - 2025'!$B$2:$BA$2,0)))</f>
        <v/>
      </c>
      <c r="G39" s="11" t="str">
        <f t="array" ref="G39">if($C39="","",index('Actuals - Billing - 2025'!$B39:$BA937,Match($C39,'Actuals - Billing - 2025'!$B39:$B937,0),Match(G$1,'Actuals - Billing - 2025'!$B$2:$BA$2,0)))</f>
        <v/>
      </c>
      <c r="H39" s="11" t="str">
        <f t="array" ref="H39">if($C39="","",index('Actuals - Billing - 2025'!$B39:$BA937,Match($C39,'Actuals - Billing - 2025'!$B39:$B937,0),Match(H$1,'Actuals - Billing - 2025'!$B$2:$BA$2,0)))</f>
        <v/>
      </c>
      <c r="I39" s="11" t="str">
        <f t="array" ref="I39">if($C39="","",index('Actuals - Billing - 2025'!$B39:$BA937,Match($C39,'Actuals - Billing - 2025'!$B39:$B937,0),Match(I$1,'Actuals - Billing - 2025'!$B$2:$BA$2,0)))</f>
        <v/>
      </c>
      <c r="J39" s="11" t="str">
        <f t="shared" si="2"/>
        <v/>
      </c>
      <c r="K39" s="149" t="str">
        <f t="shared" si="3"/>
        <v/>
      </c>
      <c r="L39" s="1" t="str">
        <f t="shared" si="4"/>
        <v/>
      </c>
      <c r="M39" s="4" t="str">
        <f t="shared" si="5"/>
        <v/>
      </c>
      <c r="N39" s="17" t="str">
        <f>if(M39&lt;&gt;"",'Actuals - Billing - 2025'!BG271,"")</f>
        <v/>
      </c>
    </row>
    <row r="40">
      <c r="A40" s="7" t="str">
        <f t="shared" si="1"/>
        <v/>
      </c>
      <c r="B40" s="8" t="str">
        <f>if(and('Actuals - Billing - 2025'!E$275=True,C40&lt;&gt;""),'Actuals - Billing - 2025'!C272,"")</f>
        <v/>
      </c>
      <c r="C40" s="9" t="str">
        <f>IF(sum('Actuals - Billing - 2025'!AR272:BA272)&gt;0,'Actuals - Billing - 2025'!B272,"")</f>
        <v/>
      </c>
      <c r="D40" s="148" t="str">
        <f>if(or(E40&lt;&gt;"",F40&lt;&gt;""),'Actuals - Billing - 2025'!AU40,if(G40&lt;&gt;"",35,if(H40&lt;&gt;"",'Actuals - Billing - 2025'!AY40,if(I40&lt;&gt;"",'Actuals - Billing - 2025'!BA40,""))))</f>
        <v/>
      </c>
      <c r="E40" s="11" t="str">
        <f t="array" ref="E40">if($C40="","",index('Actuals - Billing - 2025'!$B40:$BA938,Match($C40,'Actuals - Billing - 2025'!$B40:$B938,0),Match(E$1,'Actuals - Billing - 2025'!$B$2:$BA$2,0)))</f>
        <v/>
      </c>
      <c r="F40" s="11" t="str">
        <f t="array" ref="F40">if($C40="","",index('Actuals - Billing - 2025'!$B40:$BA938,Match($C40,'Actuals - Billing - 2025'!$B40:$B938,0),Match(F$1,'Actuals - Billing - 2025'!$B$2:$BA$2,0)))</f>
        <v/>
      </c>
      <c r="G40" s="11" t="str">
        <f t="array" ref="G40">if($C40="","",index('Actuals - Billing - 2025'!$B40:$BA938,Match($C40,'Actuals - Billing - 2025'!$B40:$B938,0),Match(G$1,'Actuals - Billing - 2025'!$B$2:$BA$2,0)))</f>
        <v/>
      </c>
      <c r="H40" s="11" t="str">
        <f t="array" ref="H40">if($C40="","",index('Actuals - Billing - 2025'!$B40:$BA938,Match($C40,'Actuals - Billing - 2025'!$B40:$B938,0),Match(H$1,'Actuals - Billing - 2025'!$B$2:$BA$2,0)))</f>
        <v/>
      </c>
      <c r="I40" s="11" t="str">
        <f t="array" ref="I40">if($C40="","",index('Actuals - Billing - 2025'!$B40:$BA938,Match($C40,'Actuals - Billing - 2025'!$B40:$B938,0),Match(I$1,'Actuals - Billing - 2025'!$B$2:$BA$2,0)))</f>
        <v/>
      </c>
      <c r="J40" s="11" t="str">
        <f t="shared" si="2"/>
        <v/>
      </c>
      <c r="K40" s="149" t="str">
        <f t="shared" si="3"/>
        <v/>
      </c>
      <c r="L40" s="1" t="str">
        <f t="shared" si="4"/>
        <v/>
      </c>
      <c r="M40" s="4" t="str">
        <f t="shared" si="5"/>
        <v/>
      </c>
      <c r="N40" s="17" t="str">
        <f>if(M40&lt;&gt;"",'Actuals - Billing - 2025'!BG272,"")</f>
        <v/>
      </c>
    </row>
    <row r="41">
      <c r="A41" s="7" t="str">
        <f t="shared" si="1"/>
        <v/>
      </c>
      <c r="B41" s="8" t="str">
        <f>if(and('Actuals - Billing - 2025'!E$275=True,C41&lt;&gt;""),'Actuals - Billing - 2025'!C273,"")</f>
        <v/>
      </c>
      <c r="C41" s="9" t="str">
        <f>IF(sum('Actuals - Billing - 2025'!AR273:BA273)&gt;0,'Actuals - Billing - 2025'!B273,"")</f>
        <v/>
      </c>
      <c r="D41" s="148" t="str">
        <f>if(or(E41&lt;&gt;"",F41&lt;&gt;""),'Actuals - Billing - 2025'!AU41,if(G41&lt;&gt;"",35,if(H41&lt;&gt;"",'Actuals - Billing - 2025'!AY41,if(I41&lt;&gt;"",'Actuals - Billing - 2025'!BA41,""))))</f>
        <v/>
      </c>
      <c r="E41" s="11" t="str">
        <f t="array" ref="E41">if($C41="","",index('Actuals - Billing - 2025'!$B41:$BA939,Match($C41,'Actuals - Billing - 2025'!$B41:$B939,0),Match(E$1,'Actuals - Billing - 2025'!$B$2:$BA$2,0)))</f>
        <v/>
      </c>
      <c r="F41" s="11" t="str">
        <f t="array" ref="F41">if($C41="","",index('Actuals - Billing - 2025'!$B41:$BA939,Match($C41,'Actuals - Billing - 2025'!$B41:$B939,0),Match(F$1,'Actuals - Billing - 2025'!$B$2:$BA$2,0)))</f>
        <v/>
      </c>
      <c r="G41" s="11" t="str">
        <f t="array" ref="G41">if($C41="","",index('Actuals - Billing - 2025'!$B41:$BA939,Match($C41,'Actuals - Billing - 2025'!$B41:$B939,0),Match(G$1,'Actuals - Billing - 2025'!$B$2:$BA$2,0)))</f>
        <v/>
      </c>
      <c r="H41" s="11" t="str">
        <f t="array" ref="H41">if($C41="","",index('Actuals - Billing - 2025'!$B41:$BA939,Match($C41,'Actuals - Billing - 2025'!$B41:$B939,0),Match(H$1,'Actuals - Billing - 2025'!$B$2:$BA$2,0)))</f>
        <v/>
      </c>
      <c r="I41" s="11" t="str">
        <f t="array" ref="I41">if($C41="","",index('Actuals - Billing - 2025'!$B41:$BA939,Match($C41,'Actuals - Billing - 2025'!$B41:$B939,0),Match(I$1,'Actuals - Billing - 2025'!$B$2:$BA$2,0)))</f>
        <v/>
      </c>
      <c r="J41" s="11" t="str">
        <f t="shared" si="2"/>
        <v/>
      </c>
      <c r="K41" s="149" t="str">
        <f t="shared" si="3"/>
        <v/>
      </c>
      <c r="L41" s="1" t="str">
        <f t="shared" si="4"/>
        <v/>
      </c>
      <c r="M41" s="4" t="str">
        <f t="shared" si="5"/>
        <v/>
      </c>
      <c r="N41" s="17" t="str">
        <f>if(M41&lt;&gt;"",'Actuals - Billing - 2025'!BG273,"")</f>
        <v/>
      </c>
    </row>
    <row r="42">
      <c r="A42" s="7" t="str">
        <f t="shared" si="1"/>
        <v/>
      </c>
      <c r="B42" s="8" t="str">
        <f>if(and('Actuals - Billing - 2025'!E$275=True,C42&lt;&gt;""),'Actuals - Billing - 2025'!C274,"")</f>
        <v/>
      </c>
      <c r="C42" s="9" t="str">
        <f>IF(sum('Actuals - Billing - 2025'!AR274:BA274)&gt;0,'Actuals - Billing - 2025'!B274,"")</f>
        <v/>
      </c>
      <c r="D42" s="148" t="str">
        <f>if(or(E42&lt;&gt;"",F42&lt;&gt;""),'Actuals - Billing - 2025'!AU42,if(G42&lt;&gt;"",35,if(H42&lt;&gt;"",'Actuals - Billing - 2025'!AY42,if(I42&lt;&gt;"",'Actuals - Billing - 2025'!BA42,""))))</f>
        <v/>
      </c>
      <c r="E42" s="11" t="str">
        <f t="array" ref="E42">if($C42="","",index('Actuals - Billing - 2025'!$B42:$BA940,Match($C42,'Actuals - Billing - 2025'!$B42:$B940,0),Match(E$1,'Actuals - Billing - 2025'!$B$2:$BA$2,0)))</f>
        <v/>
      </c>
      <c r="F42" s="11" t="str">
        <f t="array" ref="F42">if($C42="","",index('Actuals - Billing - 2025'!$B42:$BA940,Match($C42,'Actuals - Billing - 2025'!$B42:$B940,0),Match(F$1,'Actuals - Billing - 2025'!$B$2:$BA$2,0)))</f>
        <v/>
      </c>
      <c r="G42" s="11" t="str">
        <f t="array" ref="G42">if($C42="","",index('Actuals - Billing - 2025'!$B42:$BA940,Match($C42,'Actuals - Billing - 2025'!$B42:$B940,0),Match(G$1,'Actuals - Billing - 2025'!$B$2:$BA$2,0)))</f>
        <v/>
      </c>
      <c r="H42" s="11" t="str">
        <f t="array" ref="H42">if($C42="","",index('Actuals - Billing - 2025'!$B42:$BA940,Match($C42,'Actuals - Billing - 2025'!$B42:$B940,0),Match(H$1,'Actuals - Billing - 2025'!$B$2:$BA$2,0)))</f>
        <v/>
      </c>
      <c r="I42" s="11" t="str">
        <f t="array" ref="I42">if($C42="","",index('Actuals - Billing - 2025'!$B42:$BA940,Match($C42,'Actuals - Billing - 2025'!$B42:$B940,0),Match(I$1,'Actuals - Billing - 2025'!$B$2:$BA$2,0)))</f>
        <v/>
      </c>
      <c r="J42" s="11" t="str">
        <f t="shared" si="2"/>
        <v/>
      </c>
      <c r="K42" s="149" t="str">
        <f t="shared" si="3"/>
        <v/>
      </c>
      <c r="L42" s="1" t="str">
        <f t="shared" si="4"/>
        <v/>
      </c>
      <c r="M42" s="4" t="str">
        <f t="shared" si="5"/>
        <v/>
      </c>
      <c r="N42" s="17" t="str">
        <f>if(M42&lt;&gt;"",'Actuals - Billing - 2025'!BG274,"")</f>
        <v/>
      </c>
    </row>
    <row r="43">
      <c r="A43" s="7" t="str">
        <f t="shared" si="1"/>
        <v/>
      </c>
      <c r="B43" s="8" t="str">
        <f>if(and('Actuals - Billing - 2025'!E$275=True,C43&lt;&gt;""),'Actuals - Billing - 2025'!C275,"")</f>
        <v/>
      </c>
      <c r="C43" s="9" t="str">
        <f>IF(sum('Actuals - Billing - 2025'!AR275:BA275)&gt;0,'Actuals - Billing - 2025'!B275,"")</f>
        <v/>
      </c>
      <c r="D43" s="148" t="str">
        <f>if(or(E43&lt;&gt;"",F43&lt;&gt;""),'Actuals - Billing - 2025'!AU43,if(G43&lt;&gt;"",35,if(H43&lt;&gt;"",'Actuals - Billing - 2025'!AY43,if(I43&lt;&gt;"",'Actuals - Billing - 2025'!BA43,""))))</f>
        <v/>
      </c>
      <c r="E43" s="11" t="str">
        <f t="array" ref="E43">if($C43="","",index('Actuals - Billing - 2025'!$B43:$BA941,Match($C43,'Actuals - Billing - 2025'!$B43:$B941,0),Match(E$1,'Actuals - Billing - 2025'!$B$2:$BA$2,0)))</f>
        <v/>
      </c>
      <c r="F43" s="11" t="str">
        <f t="array" ref="F43">if($C43="","",index('Actuals - Billing - 2025'!$B43:$BA941,Match($C43,'Actuals - Billing - 2025'!$B43:$B941,0),Match(F$1,'Actuals - Billing - 2025'!$B$2:$BA$2,0)))</f>
        <v/>
      </c>
      <c r="G43" s="11" t="str">
        <f t="array" ref="G43">if($C43="","",index('Actuals - Billing - 2025'!$B43:$BA941,Match($C43,'Actuals - Billing - 2025'!$B43:$B941,0),Match(G$1,'Actuals - Billing - 2025'!$B$2:$BA$2,0)))</f>
        <v/>
      </c>
      <c r="H43" s="11" t="str">
        <f t="array" ref="H43">if($C43="","",index('Actuals - Billing - 2025'!$B43:$BA941,Match($C43,'Actuals - Billing - 2025'!$B43:$B941,0),Match(H$1,'Actuals - Billing - 2025'!$B$2:$BA$2,0)))</f>
        <v/>
      </c>
      <c r="I43" s="11" t="str">
        <f t="array" ref="I43">if($C43="","",index('Actuals - Billing - 2025'!$B43:$BA941,Match($C43,'Actuals - Billing - 2025'!$B43:$B941,0),Match(I$1,'Actuals - Billing - 2025'!$B$2:$BA$2,0)))</f>
        <v/>
      </c>
      <c r="J43" s="11" t="str">
        <f t="shared" si="2"/>
        <v/>
      </c>
      <c r="K43" s="149" t="str">
        <f t="shared" si="3"/>
        <v/>
      </c>
      <c r="L43" s="1" t="str">
        <f t="shared" si="4"/>
        <v/>
      </c>
      <c r="M43" s="4" t="str">
        <f t="shared" si="5"/>
        <v/>
      </c>
      <c r="N43" s="17" t="str">
        <f>if(M43&lt;&gt;"",'Actuals - Billing - 2025'!BG275,"")</f>
        <v/>
      </c>
    </row>
    <row r="44">
      <c r="A44" s="7" t="str">
        <f t="shared" si="1"/>
        <v/>
      </c>
      <c r="B44" s="8" t="str">
        <f>if(and('Actuals - Billing - 2025'!E$282=True,C44&lt;&gt;""),'Actuals - Billing - 2025'!C276,"")</f>
        <v/>
      </c>
      <c r="C44" s="9" t="str">
        <f>IF(sum('Actuals - Billing - 2025'!AR276:BA276)&gt;0,'Actuals - Billing - 2025'!B276,"")</f>
        <v/>
      </c>
      <c r="D44" s="148" t="str">
        <f>if(or(E44&lt;&gt;"",F44&lt;&gt;""),'Actuals - Billing - 2025'!AU44,if(G44&lt;&gt;"",35,if(H44&lt;&gt;"",'Actuals - Billing - 2025'!AY44,if(I44&lt;&gt;"",'Actuals - Billing - 2025'!BA44,""))))</f>
        <v/>
      </c>
      <c r="E44" s="11" t="str">
        <f t="array" ref="E44">if($C44="","",index('Actuals - Billing - 2025'!$B44:$BA942,Match($C44,'Actuals - Billing - 2025'!$B44:$B942,0),Match(E$1,'Actuals - Billing - 2025'!$B$2:$BA$2,0)))</f>
        <v/>
      </c>
      <c r="F44" s="11" t="str">
        <f t="array" ref="F44">if($C44="","",index('Actuals - Billing - 2025'!$B44:$BA942,Match($C44,'Actuals - Billing - 2025'!$B44:$B942,0),Match(F$1,'Actuals - Billing - 2025'!$B$2:$BA$2,0)))</f>
        <v/>
      </c>
      <c r="G44" s="11" t="str">
        <f t="array" ref="G44">if($C44="","",index('Actuals - Billing - 2025'!$B44:$BA942,Match($C44,'Actuals - Billing - 2025'!$B44:$B942,0),Match(G$1,'Actuals - Billing - 2025'!$B$2:$BA$2,0)))</f>
        <v/>
      </c>
      <c r="H44" s="11" t="str">
        <f t="array" ref="H44">if($C44="","",index('Actuals - Billing - 2025'!$B44:$BA942,Match($C44,'Actuals - Billing - 2025'!$B44:$B942,0),Match(H$1,'Actuals - Billing - 2025'!$B$2:$BA$2,0)))</f>
        <v/>
      </c>
      <c r="I44" s="11" t="str">
        <f t="array" ref="I44">if($C44="","",index('Actuals - Billing - 2025'!$B44:$BA942,Match($C44,'Actuals - Billing - 2025'!$B44:$B942,0),Match(I$1,'Actuals - Billing - 2025'!$B$2:$BA$2,0)))</f>
        <v/>
      </c>
      <c r="J44" s="11" t="str">
        <f t="shared" si="2"/>
        <v/>
      </c>
      <c r="K44" s="149" t="str">
        <f t="shared" si="3"/>
        <v/>
      </c>
      <c r="L44" s="1" t="str">
        <f t="shared" si="4"/>
        <v/>
      </c>
      <c r="M44" s="4" t="str">
        <f t="shared" si="5"/>
        <v/>
      </c>
      <c r="N44" s="17" t="str">
        <f>if(M44&lt;&gt;"",'Actuals - Billing - 2025'!BG276,"")</f>
        <v/>
      </c>
    </row>
    <row r="45">
      <c r="A45" s="7" t="str">
        <f t="shared" si="1"/>
        <v/>
      </c>
      <c r="B45" s="8" t="str">
        <f>if(and('Actuals - Billing - 2025'!E$282=True,C45&lt;&gt;""),'Actuals - Billing - 2025'!C277,"")</f>
        <v/>
      </c>
      <c r="C45" s="9" t="str">
        <f>IF(sum('Actuals - Billing - 2025'!AR277:BA277)&gt;0,'Actuals - Billing - 2025'!B277,"")</f>
        <v/>
      </c>
      <c r="D45" s="148" t="str">
        <f>if(or(E45&lt;&gt;"",F45&lt;&gt;""),'Actuals - Billing - 2025'!AU45,if(G45&lt;&gt;"",35,if(H45&lt;&gt;"",'Actuals - Billing - 2025'!AY45,if(I45&lt;&gt;"",'Actuals - Billing - 2025'!BA45,""))))</f>
        <v/>
      </c>
      <c r="E45" s="11" t="str">
        <f t="array" ref="E45">if($C45="","",index('Actuals - Billing - 2025'!$B45:$BA943,Match($C45,'Actuals - Billing - 2025'!$B45:$B943,0),Match(E$1,'Actuals - Billing - 2025'!$B$2:$BA$2,0)))</f>
        <v/>
      </c>
      <c r="F45" s="11" t="str">
        <f t="array" ref="F45">if($C45="","",index('Actuals - Billing - 2025'!$B45:$BA943,Match($C45,'Actuals - Billing - 2025'!$B45:$B943,0),Match(F$1,'Actuals - Billing - 2025'!$B$2:$BA$2,0)))</f>
        <v/>
      </c>
      <c r="G45" s="11" t="str">
        <f t="array" ref="G45">if($C45="","",index('Actuals - Billing - 2025'!$B45:$BA943,Match($C45,'Actuals - Billing - 2025'!$B45:$B943,0),Match(G$1,'Actuals - Billing - 2025'!$B$2:$BA$2,0)))</f>
        <v/>
      </c>
      <c r="H45" s="11" t="str">
        <f t="array" ref="H45">if($C45="","",index('Actuals - Billing - 2025'!$B45:$BA943,Match($C45,'Actuals - Billing - 2025'!$B45:$B943,0),Match(H$1,'Actuals - Billing - 2025'!$B$2:$BA$2,0)))</f>
        <v/>
      </c>
      <c r="I45" s="11" t="str">
        <f t="array" ref="I45">if($C45="","",index('Actuals - Billing - 2025'!$B45:$BA943,Match($C45,'Actuals - Billing - 2025'!$B45:$B943,0),Match(I$1,'Actuals - Billing - 2025'!$B$2:$BA$2,0)))</f>
        <v/>
      </c>
      <c r="J45" s="11" t="str">
        <f t="shared" si="2"/>
        <v/>
      </c>
      <c r="K45" s="149" t="str">
        <f t="shared" si="3"/>
        <v/>
      </c>
      <c r="L45" s="1" t="str">
        <f t="shared" si="4"/>
        <v/>
      </c>
      <c r="M45" s="4" t="str">
        <f t="shared" si="5"/>
        <v/>
      </c>
      <c r="N45" s="17" t="str">
        <f>if(M45&lt;&gt;"",'Actuals - Billing - 2025'!BG277,"")</f>
        <v/>
      </c>
    </row>
    <row r="46">
      <c r="A46" s="7" t="str">
        <f t="shared" si="1"/>
        <v/>
      </c>
      <c r="B46" s="8" t="str">
        <f>if(and('Actuals - Billing - 2025'!E$282=True,C46&lt;&gt;""),'Actuals - Billing - 2025'!C278,"")</f>
        <v/>
      </c>
      <c r="C46" s="9" t="str">
        <f>IF(sum('Actuals - Billing - 2025'!AR278:BA278)&gt;0,'Actuals - Billing - 2025'!B278,"")</f>
        <v/>
      </c>
      <c r="D46" s="148" t="str">
        <f>if(or(E46&lt;&gt;"",F46&lt;&gt;""),'Actuals - Billing - 2025'!AU46,if(G46&lt;&gt;"",35,if(H46&lt;&gt;"",'Actuals - Billing - 2025'!AY46,if(I46&lt;&gt;"",'Actuals - Billing - 2025'!BA46,""))))</f>
        <v/>
      </c>
      <c r="E46" s="11" t="str">
        <f t="array" ref="E46">if($C46="","",index('Actuals - Billing - 2025'!$B46:$BA944,Match($C46,'Actuals - Billing - 2025'!$B46:$B944,0),Match(E$1,'Actuals - Billing - 2025'!$B$2:$BA$2,0)))</f>
        <v/>
      </c>
      <c r="F46" s="11" t="str">
        <f t="array" ref="F46">if($C46="","",index('Actuals - Billing - 2025'!$B46:$BA944,Match($C46,'Actuals - Billing - 2025'!$B46:$B944,0),Match(F$1,'Actuals - Billing - 2025'!$B$2:$BA$2,0)))</f>
        <v/>
      </c>
      <c r="G46" s="11" t="str">
        <f t="array" ref="G46">if($C46="","",index('Actuals - Billing - 2025'!$B46:$BA944,Match($C46,'Actuals - Billing - 2025'!$B46:$B944,0),Match(G$1,'Actuals - Billing - 2025'!$B$2:$BA$2,0)))</f>
        <v/>
      </c>
      <c r="H46" s="11" t="str">
        <f t="array" ref="H46">if($C46="","",index('Actuals - Billing - 2025'!$B46:$BA944,Match($C46,'Actuals - Billing - 2025'!$B46:$B944,0),Match(H$1,'Actuals - Billing - 2025'!$B$2:$BA$2,0)))</f>
        <v/>
      </c>
      <c r="I46" s="11" t="str">
        <f t="array" ref="I46">if($C46="","",index('Actuals - Billing - 2025'!$B46:$BA944,Match($C46,'Actuals - Billing - 2025'!$B46:$B944,0),Match(I$1,'Actuals - Billing - 2025'!$B$2:$BA$2,0)))</f>
        <v/>
      </c>
      <c r="J46" s="11" t="str">
        <f t="shared" si="2"/>
        <v/>
      </c>
      <c r="K46" s="149" t="str">
        <f t="shared" si="3"/>
        <v/>
      </c>
      <c r="L46" s="1" t="str">
        <f t="shared" si="4"/>
        <v/>
      </c>
      <c r="M46" s="4" t="str">
        <f t="shared" si="5"/>
        <v/>
      </c>
      <c r="N46" s="17" t="str">
        <f>if(M46&lt;&gt;"",'Actuals - Billing - 2025'!BG278,"")</f>
        <v/>
      </c>
    </row>
    <row r="47">
      <c r="A47" s="7" t="str">
        <f t="shared" si="1"/>
        <v/>
      </c>
      <c r="B47" s="8" t="str">
        <f>if(and('Actuals - Billing - 2025'!E$282=True,C47&lt;&gt;""),'Actuals - Billing - 2025'!C279,"")</f>
        <v/>
      </c>
      <c r="C47" s="9" t="str">
        <f>IF(sum('Actuals - Billing - 2025'!AR279:BA279)&gt;0,'Actuals - Billing - 2025'!B279,"")</f>
        <v/>
      </c>
      <c r="D47" s="148" t="str">
        <f>if(or(E47&lt;&gt;"",F47&lt;&gt;""),'Actuals - Billing - 2025'!AU47,if(G47&lt;&gt;"",35,if(H47&lt;&gt;"",'Actuals - Billing - 2025'!AY47,if(I47&lt;&gt;"",'Actuals - Billing - 2025'!BA47,""))))</f>
        <v/>
      </c>
      <c r="E47" s="11" t="str">
        <f t="array" ref="E47">if($C47="","",index('Actuals - Billing - 2025'!$B47:$BA945,Match($C47,'Actuals - Billing - 2025'!$B47:$B945,0),Match(E$1,'Actuals - Billing - 2025'!$B$2:$BA$2,0)))</f>
        <v/>
      </c>
      <c r="F47" s="11" t="str">
        <f t="array" ref="F47">if($C47="","",index('Actuals - Billing - 2025'!$B47:$BA945,Match($C47,'Actuals - Billing - 2025'!$B47:$B945,0),Match(F$1,'Actuals - Billing - 2025'!$B$2:$BA$2,0)))</f>
        <v/>
      </c>
      <c r="G47" s="11" t="str">
        <f t="array" ref="G47">if($C47="","",index('Actuals - Billing - 2025'!$B47:$BA945,Match($C47,'Actuals - Billing - 2025'!$B47:$B945,0),Match(G$1,'Actuals - Billing - 2025'!$B$2:$BA$2,0)))</f>
        <v/>
      </c>
      <c r="H47" s="11" t="str">
        <f t="array" ref="H47">if($C47="","",index('Actuals - Billing - 2025'!$B47:$BA945,Match($C47,'Actuals - Billing - 2025'!$B47:$B945,0),Match(H$1,'Actuals - Billing - 2025'!$B$2:$BA$2,0)))</f>
        <v/>
      </c>
      <c r="I47" s="11" t="str">
        <f t="array" ref="I47">if($C47="","",index('Actuals - Billing - 2025'!$B47:$BA945,Match($C47,'Actuals - Billing - 2025'!$B47:$B945,0),Match(I$1,'Actuals - Billing - 2025'!$B$2:$BA$2,0)))</f>
        <v/>
      </c>
      <c r="J47" s="11" t="str">
        <f t="shared" si="2"/>
        <v/>
      </c>
      <c r="K47" s="149" t="str">
        <f t="shared" si="3"/>
        <v/>
      </c>
      <c r="L47" s="1" t="str">
        <f t="shared" si="4"/>
        <v/>
      </c>
      <c r="M47" s="4" t="str">
        <f t="shared" si="5"/>
        <v/>
      </c>
      <c r="N47" s="17" t="str">
        <f>if(M47&lt;&gt;"",'Actuals - Billing - 2025'!BG279,"")</f>
        <v/>
      </c>
    </row>
    <row r="48">
      <c r="A48" s="7" t="str">
        <f t="shared" si="1"/>
        <v/>
      </c>
      <c r="B48" s="8" t="str">
        <f>if(and('Actuals - Billing - 2025'!E$282=True,C48&lt;&gt;""),'Actuals - Billing - 2025'!C280,"")</f>
        <v/>
      </c>
      <c r="C48" s="9" t="str">
        <f>IF(sum('Actuals - Billing - 2025'!AR280:BA280)&gt;0,'Actuals - Billing - 2025'!B280,"")</f>
        <v/>
      </c>
      <c r="D48" s="148" t="str">
        <f>if(or(E48&lt;&gt;"",F48&lt;&gt;""),'Actuals - Billing - 2025'!AU48,if(G48&lt;&gt;"",35,if(H48&lt;&gt;"",'Actuals - Billing - 2025'!AY48,if(I48&lt;&gt;"",'Actuals - Billing - 2025'!BA48,""))))</f>
        <v/>
      </c>
      <c r="E48" s="11" t="str">
        <f t="array" ref="E48">if($C48="","",index('Actuals - Billing - 2025'!$B48:$BA946,Match($C48,'Actuals - Billing - 2025'!$B48:$B946,0),Match(E$1,'Actuals - Billing - 2025'!$B$2:$BA$2,0)))</f>
        <v/>
      </c>
      <c r="F48" s="11" t="str">
        <f t="array" ref="F48">if($C48="","",index('Actuals - Billing - 2025'!$B48:$BA946,Match($C48,'Actuals - Billing - 2025'!$B48:$B946,0),Match(F$1,'Actuals - Billing - 2025'!$B$2:$BA$2,0)))</f>
        <v/>
      </c>
      <c r="G48" s="11" t="str">
        <f t="array" ref="G48">if($C48="","",index('Actuals - Billing - 2025'!$B48:$BA946,Match($C48,'Actuals - Billing - 2025'!$B48:$B946,0),Match(G$1,'Actuals - Billing - 2025'!$B$2:$BA$2,0)))</f>
        <v/>
      </c>
      <c r="H48" s="11" t="str">
        <f t="array" ref="H48">if($C48="","",index('Actuals - Billing - 2025'!$B48:$BA946,Match($C48,'Actuals - Billing - 2025'!$B48:$B946,0),Match(H$1,'Actuals - Billing - 2025'!$B$2:$BA$2,0)))</f>
        <v/>
      </c>
      <c r="I48" s="11" t="str">
        <f t="array" ref="I48">if($C48="","",index('Actuals - Billing - 2025'!$B48:$BA946,Match($C48,'Actuals - Billing - 2025'!$B48:$B946,0),Match(I$1,'Actuals - Billing - 2025'!$B$2:$BA$2,0)))</f>
        <v/>
      </c>
      <c r="J48" s="11" t="str">
        <f t="shared" si="2"/>
        <v/>
      </c>
      <c r="K48" s="149" t="str">
        <f t="shared" si="3"/>
        <v/>
      </c>
      <c r="L48" s="1" t="str">
        <f t="shared" si="4"/>
        <v/>
      </c>
      <c r="M48" s="4" t="str">
        <f t="shared" si="5"/>
        <v/>
      </c>
      <c r="N48" s="17" t="str">
        <f>if(M48&lt;&gt;"",'Actuals - Billing - 2025'!BG280,"")</f>
        <v/>
      </c>
    </row>
    <row r="49">
      <c r="A49" s="7" t="str">
        <f t="shared" si="1"/>
        <v/>
      </c>
      <c r="B49" s="8" t="str">
        <f>if(and('Actuals - Billing - 2025'!E$282=True,C49&lt;&gt;""),'Actuals - Billing - 2025'!C281,"")</f>
        <v/>
      </c>
      <c r="C49" s="9" t="str">
        <f>IF(sum('Actuals - Billing - 2025'!AR281:BA281)&gt;0,'Actuals - Billing - 2025'!B281,"")</f>
        <v/>
      </c>
      <c r="D49" s="148" t="str">
        <f>if(or(E49&lt;&gt;"",F49&lt;&gt;""),'Actuals - Billing - 2025'!AU49,if(G49&lt;&gt;"",35,if(H49&lt;&gt;"",'Actuals - Billing - 2025'!AY49,if(I49&lt;&gt;"",'Actuals - Billing - 2025'!BA49,""))))</f>
        <v/>
      </c>
      <c r="E49" s="11" t="str">
        <f t="array" ref="E49">if($C49="","",index('Actuals - Billing - 2025'!$B49:$BA947,Match($C49,'Actuals - Billing - 2025'!$B49:$B947,0),Match(E$1,'Actuals - Billing - 2025'!$B$2:$BA$2,0)))</f>
        <v/>
      </c>
      <c r="F49" s="11" t="str">
        <f t="array" ref="F49">if($C49="","",index('Actuals - Billing - 2025'!$B49:$BA947,Match($C49,'Actuals - Billing - 2025'!$B49:$B947,0),Match(F$1,'Actuals - Billing - 2025'!$B$2:$BA$2,0)))</f>
        <v/>
      </c>
      <c r="G49" s="11" t="str">
        <f t="array" ref="G49">if($C49="","",index('Actuals - Billing - 2025'!$B49:$BA947,Match($C49,'Actuals - Billing - 2025'!$B49:$B947,0),Match(G$1,'Actuals - Billing - 2025'!$B$2:$BA$2,0)))</f>
        <v/>
      </c>
      <c r="H49" s="11" t="str">
        <f t="array" ref="H49">if($C49="","",index('Actuals - Billing - 2025'!$B49:$BA947,Match($C49,'Actuals - Billing - 2025'!$B49:$B947,0),Match(H$1,'Actuals - Billing - 2025'!$B$2:$BA$2,0)))</f>
        <v/>
      </c>
      <c r="I49" s="11" t="str">
        <f t="array" ref="I49">if($C49="","",index('Actuals - Billing - 2025'!$B49:$BA947,Match($C49,'Actuals - Billing - 2025'!$B49:$B947,0),Match(I$1,'Actuals - Billing - 2025'!$B$2:$BA$2,0)))</f>
        <v/>
      </c>
      <c r="J49" s="11" t="str">
        <f t="shared" si="2"/>
        <v/>
      </c>
      <c r="K49" s="149" t="str">
        <f t="shared" si="3"/>
        <v/>
      </c>
      <c r="L49" s="1" t="str">
        <f t="shared" si="4"/>
        <v/>
      </c>
      <c r="M49" s="4" t="str">
        <f t="shared" si="5"/>
        <v/>
      </c>
      <c r="N49" s="17" t="str">
        <f>if(M49&lt;&gt;"",'Actuals - Billing - 2025'!BG281,"")</f>
        <v/>
      </c>
    </row>
    <row r="50">
      <c r="A50" s="7" t="str">
        <f t="shared" si="1"/>
        <v/>
      </c>
      <c r="B50" s="8" t="str">
        <f>if(and('Actuals - Billing - 2025'!E$282=True,C50&lt;&gt;""),'Actuals - Billing - 2025'!C282,"")</f>
        <v/>
      </c>
      <c r="C50" s="9" t="str">
        <f>IF(sum('Actuals - Billing - 2025'!AR282:BA282)&gt;0,'Actuals - Billing - 2025'!B282,"")</f>
        <v/>
      </c>
      <c r="D50" s="148" t="str">
        <f>if(or(E50&lt;&gt;"",F50&lt;&gt;""),'Actuals - Billing - 2025'!AU50,if(G50&lt;&gt;"",35,if(H50&lt;&gt;"",'Actuals - Billing - 2025'!AY50,if(I50&lt;&gt;"",'Actuals - Billing - 2025'!BA50,""))))</f>
        <v/>
      </c>
      <c r="E50" s="11" t="str">
        <f t="array" ref="E50">if($C50="","",index('Actuals - Billing - 2025'!$B50:$BA948,Match($C50,'Actuals - Billing - 2025'!$B50:$B948,0),Match(E$1,'Actuals - Billing - 2025'!$B$2:$BA$2,0)))</f>
        <v/>
      </c>
      <c r="F50" s="11" t="str">
        <f t="array" ref="F50">if($C50="","",index('Actuals - Billing - 2025'!$B50:$BA948,Match($C50,'Actuals - Billing - 2025'!$B50:$B948,0),Match(F$1,'Actuals - Billing - 2025'!$B$2:$BA$2,0)))</f>
        <v/>
      </c>
      <c r="G50" s="11" t="str">
        <f t="array" ref="G50">if($C50="","",index('Actuals - Billing - 2025'!$B50:$BA948,Match($C50,'Actuals - Billing - 2025'!$B50:$B948,0),Match(G$1,'Actuals - Billing - 2025'!$B$2:$BA$2,0)))</f>
        <v/>
      </c>
      <c r="H50" s="11" t="str">
        <f t="array" ref="H50">if($C50="","",index('Actuals - Billing - 2025'!$B50:$BA948,Match($C50,'Actuals - Billing - 2025'!$B50:$B948,0),Match(H$1,'Actuals - Billing - 2025'!$B$2:$BA$2,0)))</f>
        <v/>
      </c>
      <c r="I50" s="11" t="str">
        <f t="array" ref="I50">if($C50="","",index('Actuals - Billing - 2025'!$B50:$BA948,Match($C50,'Actuals - Billing - 2025'!$B50:$B948,0),Match(I$1,'Actuals - Billing - 2025'!$B$2:$BA$2,0)))</f>
        <v/>
      </c>
      <c r="J50" s="11" t="str">
        <f t="shared" si="2"/>
        <v/>
      </c>
      <c r="K50" s="149" t="str">
        <f t="shared" si="3"/>
        <v/>
      </c>
      <c r="L50" s="1" t="str">
        <f t="shared" si="4"/>
        <v/>
      </c>
      <c r="M50" s="4" t="str">
        <f t="shared" si="5"/>
        <v/>
      </c>
      <c r="N50" s="17" t="str">
        <f>if(M50&lt;&gt;"",'Actuals - Billing - 2025'!BG282,"")</f>
        <v/>
      </c>
    </row>
    <row r="51">
      <c r="A51" s="7" t="str">
        <f t="shared" si="1"/>
        <v/>
      </c>
      <c r="B51" s="8" t="str">
        <f>if(and('Actuals - Billing - 2025'!E$289=True,C51&lt;&gt;""),'Actuals - Billing - 2025'!C283,"")</f>
        <v/>
      </c>
      <c r="C51" s="9" t="str">
        <f>IF(sum('Actuals - Billing - 2025'!AR283:BA283)&gt;0,'Actuals - Billing - 2025'!B283,"")</f>
        <v/>
      </c>
      <c r="D51" s="148" t="str">
        <f>if(or(E51&lt;&gt;"",F51&lt;&gt;""),'Actuals - Billing - 2025'!AU51,if(G51&lt;&gt;"",35,if(H51&lt;&gt;"",'Actuals - Billing - 2025'!AY51,if(I51&lt;&gt;"",'Actuals - Billing - 2025'!BA51,""))))</f>
        <v/>
      </c>
      <c r="E51" s="11" t="str">
        <f t="array" ref="E51">if($C51="","",index('Actuals - Billing - 2025'!$B51:$BA949,Match($C51,'Actuals - Billing - 2025'!$B51:$B949,0),Match(E$1,'Actuals - Billing - 2025'!$B$2:$BA$2,0)))</f>
        <v/>
      </c>
      <c r="F51" s="11" t="str">
        <f t="array" ref="F51">if($C51="","",index('Actuals - Billing - 2025'!$B51:$BA949,Match($C51,'Actuals - Billing - 2025'!$B51:$B949,0),Match(F$1,'Actuals - Billing - 2025'!$B$2:$BA$2,0)))</f>
        <v/>
      </c>
      <c r="G51" s="11" t="str">
        <f t="array" ref="G51">if($C51="","",index('Actuals - Billing - 2025'!$B51:$BA949,Match($C51,'Actuals - Billing - 2025'!$B51:$B949,0),Match(G$1,'Actuals - Billing - 2025'!$B$2:$BA$2,0)))</f>
        <v/>
      </c>
      <c r="H51" s="11" t="str">
        <f t="array" ref="H51">if($C51="","",index('Actuals - Billing - 2025'!$B51:$BA949,Match($C51,'Actuals - Billing - 2025'!$B51:$B949,0),Match(H$1,'Actuals - Billing - 2025'!$B$2:$BA$2,0)))</f>
        <v/>
      </c>
      <c r="I51" s="11" t="str">
        <f t="array" ref="I51">if($C51="","",index('Actuals - Billing - 2025'!$B51:$BA949,Match($C51,'Actuals - Billing - 2025'!$B51:$B949,0),Match(I$1,'Actuals - Billing - 2025'!$B$2:$BA$2,0)))</f>
        <v/>
      </c>
      <c r="J51" s="11" t="str">
        <f t="shared" si="2"/>
        <v/>
      </c>
      <c r="K51" s="149" t="str">
        <f t="shared" si="3"/>
        <v/>
      </c>
      <c r="L51" s="1" t="str">
        <f t="shared" si="4"/>
        <v/>
      </c>
      <c r="M51" s="4" t="str">
        <f t="shared" si="5"/>
        <v/>
      </c>
      <c r="N51" s="17" t="str">
        <f>if(M51&lt;&gt;"",'Actuals - Billing - 2025'!BG283,"")</f>
        <v/>
      </c>
    </row>
    <row r="52">
      <c r="A52" s="7" t="str">
        <f t="shared" si="1"/>
        <v/>
      </c>
      <c r="B52" s="8" t="str">
        <f>if(and('Actuals - Billing - 2025'!E$289=True,C52&lt;&gt;""),'Actuals - Billing - 2025'!C284,"")</f>
        <v/>
      </c>
      <c r="C52" s="9" t="str">
        <f>IF(sum('Actuals - Billing - 2025'!AR284:BA284)&gt;0,'Actuals - Billing - 2025'!B284,"")</f>
        <v/>
      </c>
      <c r="D52" s="148" t="str">
        <f>if(or(E52&lt;&gt;"",F52&lt;&gt;""),'Actuals - Billing - 2025'!AU52,if(G52&lt;&gt;"",35,if(H52&lt;&gt;"",'Actuals - Billing - 2025'!AY52,if(I52&lt;&gt;"",'Actuals - Billing - 2025'!BA52,""))))</f>
        <v/>
      </c>
      <c r="E52" s="11" t="str">
        <f t="array" ref="E52">if($C52="","",index('Actuals - Billing - 2025'!$B52:$BA950,Match($C52,'Actuals - Billing - 2025'!$B52:$B950,0),Match(E$1,'Actuals - Billing - 2025'!$B$2:$BA$2,0)))</f>
        <v/>
      </c>
      <c r="F52" s="11" t="str">
        <f t="array" ref="F52">if($C52="","",index('Actuals - Billing - 2025'!$B52:$BA950,Match($C52,'Actuals - Billing - 2025'!$B52:$B950,0),Match(F$1,'Actuals - Billing - 2025'!$B$2:$BA$2,0)))</f>
        <v/>
      </c>
      <c r="G52" s="11" t="str">
        <f t="array" ref="G52">if($C52="","",index('Actuals - Billing - 2025'!$B52:$BA950,Match($C52,'Actuals - Billing - 2025'!$B52:$B950,0),Match(G$1,'Actuals - Billing - 2025'!$B$2:$BA$2,0)))</f>
        <v/>
      </c>
      <c r="H52" s="11" t="str">
        <f t="array" ref="H52">if($C52="","",index('Actuals - Billing - 2025'!$B52:$BA950,Match($C52,'Actuals - Billing - 2025'!$B52:$B950,0),Match(H$1,'Actuals - Billing - 2025'!$B$2:$BA$2,0)))</f>
        <v/>
      </c>
      <c r="I52" s="11" t="str">
        <f t="array" ref="I52">if($C52="","",index('Actuals - Billing - 2025'!$B52:$BA950,Match($C52,'Actuals - Billing - 2025'!$B52:$B950,0),Match(I$1,'Actuals - Billing - 2025'!$B$2:$BA$2,0)))</f>
        <v/>
      </c>
      <c r="J52" s="11" t="str">
        <f t="shared" si="2"/>
        <v/>
      </c>
      <c r="K52" s="149" t="str">
        <f t="shared" si="3"/>
        <v/>
      </c>
      <c r="L52" s="1" t="str">
        <f t="shared" si="4"/>
        <v/>
      </c>
      <c r="M52" s="4" t="str">
        <f t="shared" si="5"/>
        <v/>
      </c>
      <c r="N52" s="17" t="str">
        <f>if(M52&lt;&gt;"",'Actuals - Billing - 2025'!BG284,"")</f>
        <v/>
      </c>
    </row>
    <row r="53">
      <c r="A53" s="7" t="str">
        <f t="shared" si="1"/>
        <v/>
      </c>
      <c r="B53" s="8" t="str">
        <f>if(and('Actuals - Billing - 2025'!E$289=True,C53&lt;&gt;""),'Actuals - Billing - 2025'!C285,"")</f>
        <v/>
      </c>
      <c r="C53" s="9" t="str">
        <f>IF(sum('Actuals - Billing - 2025'!AR285:BA285)&gt;0,'Actuals - Billing - 2025'!B285,"")</f>
        <v/>
      </c>
      <c r="D53" s="148" t="str">
        <f>if(or(E53&lt;&gt;"",F53&lt;&gt;""),'Actuals - Billing - 2025'!AU53,if(G53&lt;&gt;"",35,if(H53&lt;&gt;"",'Actuals - Billing - 2025'!AY53,if(I53&lt;&gt;"",'Actuals - Billing - 2025'!BA53,""))))</f>
        <v/>
      </c>
      <c r="E53" s="11" t="str">
        <f t="array" ref="E53">if($C53="","",index('Actuals - Billing - 2025'!$B53:$BA951,Match($C53,'Actuals - Billing - 2025'!$B53:$B951,0),Match(E$1,'Actuals - Billing - 2025'!$B$2:$BA$2,0)))</f>
        <v/>
      </c>
      <c r="F53" s="11" t="str">
        <f t="array" ref="F53">if($C53="","",index('Actuals - Billing - 2025'!$B53:$BA951,Match($C53,'Actuals - Billing - 2025'!$B53:$B951,0),Match(F$1,'Actuals - Billing - 2025'!$B$2:$BA$2,0)))</f>
        <v/>
      </c>
      <c r="G53" s="11" t="str">
        <f t="array" ref="G53">if($C53="","",index('Actuals - Billing - 2025'!$B53:$BA951,Match($C53,'Actuals - Billing - 2025'!$B53:$B951,0),Match(G$1,'Actuals - Billing - 2025'!$B$2:$BA$2,0)))</f>
        <v/>
      </c>
      <c r="H53" s="11" t="str">
        <f t="array" ref="H53">if($C53="","",index('Actuals - Billing - 2025'!$B53:$BA951,Match($C53,'Actuals - Billing - 2025'!$B53:$B951,0),Match(H$1,'Actuals - Billing - 2025'!$B$2:$BA$2,0)))</f>
        <v/>
      </c>
      <c r="I53" s="11" t="str">
        <f t="array" ref="I53">if($C53="","",index('Actuals - Billing - 2025'!$B53:$BA951,Match($C53,'Actuals - Billing - 2025'!$B53:$B951,0),Match(I$1,'Actuals - Billing - 2025'!$B$2:$BA$2,0)))</f>
        <v/>
      </c>
      <c r="J53" s="11" t="str">
        <f t="shared" si="2"/>
        <v/>
      </c>
      <c r="K53" s="149" t="str">
        <f t="shared" si="3"/>
        <v/>
      </c>
      <c r="L53" s="1" t="str">
        <f t="shared" si="4"/>
        <v/>
      </c>
      <c r="M53" s="4" t="str">
        <f t="shared" si="5"/>
        <v/>
      </c>
      <c r="N53" s="17" t="str">
        <f>if(M53&lt;&gt;"",'Actuals - Billing - 2025'!BG285,"")</f>
        <v/>
      </c>
    </row>
    <row r="54">
      <c r="A54" s="7" t="str">
        <f t="shared" si="1"/>
        <v/>
      </c>
      <c r="B54" s="8" t="str">
        <f>if(and('Actuals - Billing - 2025'!E$289=True,C54&lt;&gt;""),'Actuals - Billing - 2025'!C286,"")</f>
        <v/>
      </c>
      <c r="C54" s="9" t="str">
        <f>IF(sum('Actuals - Billing - 2025'!AR286:BA286)&gt;0,'Actuals - Billing - 2025'!B286,"")</f>
        <v/>
      </c>
      <c r="D54" s="148" t="str">
        <f>if(or(E54&lt;&gt;"",F54&lt;&gt;""),'Actuals - Billing - 2025'!AU54,if(G54&lt;&gt;"",35,if(H54&lt;&gt;"",'Actuals - Billing - 2025'!AY54,if(I54&lt;&gt;"",'Actuals - Billing - 2025'!BA54,""))))</f>
        <v/>
      </c>
      <c r="E54" s="11" t="str">
        <f t="array" ref="E54">if($C54="","",index('Actuals - Billing - 2025'!$B54:$BA952,Match($C54,'Actuals - Billing - 2025'!$B54:$B952,0),Match(E$1,'Actuals - Billing - 2025'!$B$2:$BA$2,0)))</f>
        <v/>
      </c>
      <c r="F54" s="11" t="str">
        <f t="array" ref="F54">if($C54="","",index('Actuals - Billing - 2025'!$B54:$BA952,Match($C54,'Actuals - Billing - 2025'!$B54:$B952,0),Match(F$1,'Actuals - Billing - 2025'!$B$2:$BA$2,0)))</f>
        <v/>
      </c>
      <c r="G54" s="11" t="str">
        <f t="array" ref="G54">if($C54="","",index('Actuals - Billing - 2025'!$B54:$BA952,Match($C54,'Actuals - Billing - 2025'!$B54:$B952,0),Match(G$1,'Actuals - Billing - 2025'!$B$2:$BA$2,0)))</f>
        <v/>
      </c>
      <c r="H54" s="11" t="str">
        <f t="array" ref="H54">if($C54="","",index('Actuals - Billing - 2025'!$B54:$BA952,Match($C54,'Actuals - Billing - 2025'!$B54:$B952,0),Match(H$1,'Actuals - Billing - 2025'!$B$2:$BA$2,0)))</f>
        <v/>
      </c>
      <c r="I54" s="11" t="str">
        <f t="array" ref="I54">if($C54="","",index('Actuals - Billing - 2025'!$B54:$BA952,Match($C54,'Actuals - Billing - 2025'!$B54:$B952,0),Match(I$1,'Actuals - Billing - 2025'!$B$2:$BA$2,0)))</f>
        <v/>
      </c>
      <c r="J54" s="11" t="str">
        <f t="shared" si="2"/>
        <v/>
      </c>
      <c r="K54" s="149" t="str">
        <f t="shared" si="3"/>
        <v/>
      </c>
      <c r="L54" s="1" t="str">
        <f t="shared" si="4"/>
        <v/>
      </c>
      <c r="M54" s="4" t="str">
        <f t="shared" si="5"/>
        <v/>
      </c>
      <c r="N54" s="17" t="str">
        <f>if(M54&lt;&gt;"",'Actuals - Billing - 2025'!BG286,"")</f>
        <v/>
      </c>
    </row>
    <row r="55">
      <c r="A55" s="7" t="str">
        <f t="shared" si="1"/>
        <v/>
      </c>
      <c r="B55" s="8" t="str">
        <f>if(and('Actuals - Billing - 2025'!E$289=True,C55&lt;&gt;""),'Actuals - Billing - 2025'!C287,"")</f>
        <v/>
      </c>
      <c r="C55" s="9" t="str">
        <f>IF(sum('Actuals - Billing - 2025'!AR287:BA287)&gt;0,'Actuals - Billing - 2025'!B287,"")</f>
        <v/>
      </c>
      <c r="D55" s="148" t="str">
        <f>if(or(E55&lt;&gt;"",F55&lt;&gt;""),'Actuals - Billing - 2025'!AU55,if(G55&lt;&gt;"",35,if(H55&lt;&gt;"",'Actuals - Billing - 2025'!AY55,if(I55&lt;&gt;"",'Actuals - Billing - 2025'!BA55,""))))</f>
        <v/>
      </c>
      <c r="E55" s="11" t="str">
        <f t="array" ref="E55">if($C55="","",index('Actuals - Billing - 2025'!$B55:$BA953,Match($C55,'Actuals - Billing - 2025'!$B55:$B953,0),Match(E$1,'Actuals - Billing - 2025'!$B$2:$BA$2,0)))</f>
        <v/>
      </c>
      <c r="F55" s="11" t="str">
        <f t="array" ref="F55">if($C55="","",index('Actuals - Billing - 2025'!$B55:$BA953,Match($C55,'Actuals - Billing - 2025'!$B55:$B953,0),Match(F$1,'Actuals - Billing - 2025'!$B$2:$BA$2,0)))</f>
        <v/>
      </c>
      <c r="G55" s="11" t="str">
        <f t="array" ref="G55">if($C55="","",index('Actuals - Billing - 2025'!$B55:$BA953,Match($C55,'Actuals - Billing - 2025'!$B55:$B953,0),Match(G$1,'Actuals - Billing - 2025'!$B$2:$BA$2,0)))</f>
        <v/>
      </c>
      <c r="H55" s="11" t="str">
        <f t="array" ref="H55">if($C55="","",index('Actuals - Billing - 2025'!$B55:$BA953,Match($C55,'Actuals - Billing - 2025'!$B55:$B953,0),Match(H$1,'Actuals - Billing - 2025'!$B$2:$BA$2,0)))</f>
        <v/>
      </c>
      <c r="I55" s="11" t="str">
        <f t="array" ref="I55">if($C55="","",index('Actuals - Billing - 2025'!$B55:$BA953,Match($C55,'Actuals - Billing - 2025'!$B55:$B953,0),Match(I$1,'Actuals - Billing - 2025'!$B$2:$BA$2,0)))</f>
        <v/>
      </c>
      <c r="J55" s="11" t="str">
        <f t="shared" si="2"/>
        <v/>
      </c>
      <c r="K55" s="149" t="str">
        <f t="shared" si="3"/>
        <v/>
      </c>
      <c r="L55" s="1" t="str">
        <f t="shared" si="4"/>
        <v/>
      </c>
      <c r="M55" s="4" t="str">
        <f t="shared" si="5"/>
        <v/>
      </c>
      <c r="N55" s="17" t="str">
        <f>if(M55&lt;&gt;"",'Actuals - Billing - 2025'!BG287,"")</f>
        <v/>
      </c>
    </row>
    <row r="56">
      <c r="A56" s="7" t="str">
        <f t="shared" si="1"/>
        <v/>
      </c>
      <c r="B56" s="8" t="str">
        <f>if(and('Actuals - Billing - 2025'!E$289=True,C56&lt;&gt;""),'Actuals - Billing - 2025'!C288,"")</f>
        <v/>
      </c>
      <c r="C56" s="9" t="str">
        <f>IF(sum('Actuals - Billing - 2025'!AR288:BA288)&gt;0,'Actuals - Billing - 2025'!B288,"")</f>
        <v/>
      </c>
      <c r="D56" s="148" t="str">
        <f>if(or(E56&lt;&gt;"",F56&lt;&gt;""),'Actuals - Billing - 2025'!AU56,if(G56&lt;&gt;"",35,if(H56&lt;&gt;"",'Actuals - Billing - 2025'!AY56,if(I56&lt;&gt;"",'Actuals - Billing - 2025'!BA56,""))))</f>
        <v/>
      </c>
      <c r="E56" s="11" t="str">
        <f t="array" ref="E56">if($C56="","",index('Actuals - Billing - 2025'!$B56:$BA954,Match($C56,'Actuals - Billing - 2025'!$B56:$B954,0),Match(E$1,'Actuals - Billing - 2025'!$B$2:$BA$2,0)))</f>
        <v/>
      </c>
      <c r="F56" s="11" t="str">
        <f t="array" ref="F56">if($C56="","",index('Actuals - Billing - 2025'!$B56:$BA954,Match($C56,'Actuals - Billing - 2025'!$B56:$B954,0),Match(F$1,'Actuals - Billing - 2025'!$B$2:$BA$2,0)))</f>
        <v/>
      </c>
      <c r="G56" s="11" t="str">
        <f t="array" ref="G56">if($C56="","",index('Actuals - Billing - 2025'!$B56:$BA954,Match($C56,'Actuals - Billing - 2025'!$B56:$B954,0),Match(G$1,'Actuals - Billing - 2025'!$B$2:$BA$2,0)))</f>
        <v/>
      </c>
      <c r="H56" s="11" t="str">
        <f t="array" ref="H56">if($C56="","",index('Actuals - Billing - 2025'!$B56:$BA954,Match($C56,'Actuals - Billing - 2025'!$B56:$B954,0),Match(H$1,'Actuals - Billing - 2025'!$B$2:$BA$2,0)))</f>
        <v/>
      </c>
      <c r="I56" s="11" t="str">
        <f t="array" ref="I56">if($C56="","",index('Actuals - Billing - 2025'!$B56:$BA954,Match($C56,'Actuals - Billing - 2025'!$B56:$B954,0),Match(I$1,'Actuals - Billing - 2025'!$B$2:$BA$2,0)))</f>
        <v/>
      </c>
      <c r="J56" s="11" t="str">
        <f t="shared" si="2"/>
        <v/>
      </c>
      <c r="K56" s="149" t="str">
        <f t="shared" si="3"/>
        <v/>
      </c>
      <c r="L56" s="1" t="str">
        <f t="shared" si="4"/>
        <v/>
      </c>
      <c r="M56" s="4" t="str">
        <f t="shared" si="5"/>
        <v/>
      </c>
      <c r="N56" s="17" t="str">
        <f>if(M56&lt;&gt;"",'Actuals - Billing - 2025'!BG288,"")</f>
        <v/>
      </c>
    </row>
    <row r="57">
      <c r="A57" s="7" t="str">
        <f t="shared" si="1"/>
        <v/>
      </c>
      <c r="B57" s="8" t="str">
        <f>if(and('Actuals - Billing - 2025'!E$289=True,C57&lt;&gt;""),'Actuals - Billing - 2025'!C289,"")</f>
        <v/>
      </c>
      <c r="C57" s="9" t="str">
        <f>IF(sum('Actuals - Billing - 2025'!AR289:BA289)&gt;0,'Actuals - Billing - 2025'!B289,"")</f>
        <v/>
      </c>
      <c r="D57" s="148" t="str">
        <f>if(or(E57&lt;&gt;"",F57&lt;&gt;""),'Actuals - Billing - 2025'!AU57,if(G57&lt;&gt;"",35,if(H57&lt;&gt;"",'Actuals - Billing - 2025'!AY57,if(I57&lt;&gt;"",'Actuals - Billing - 2025'!BA57,""))))</f>
        <v/>
      </c>
      <c r="E57" s="11" t="str">
        <f t="array" ref="E57">if($C57="","",index('Actuals - Billing - 2025'!$B57:$BA955,Match($C57,'Actuals - Billing - 2025'!$B57:$B955,0),Match(E$1,'Actuals - Billing - 2025'!$B$2:$BA$2,0)))</f>
        <v/>
      </c>
      <c r="F57" s="11" t="str">
        <f t="array" ref="F57">if($C57="","",index('Actuals - Billing - 2025'!$B57:$BA955,Match($C57,'Actuals - Billing - 2025'!$B57:$B955,0),Match(F$1,'Actuals - Billing - 2025'!$B$2:$BA$2,0)))</f>
        <v/>
      </c>
      <c r="G57" s="11" t="str">
        <f t="array" ref="G57">if($C57="","",index('Actuals - Billing - 2025'!$B57:$BA955,Match($C57,'Actuals - Billing - 2025'!$B57:$B955,0),Match(G$1,'Actuals - Billing - 2025'!$B$2:$BA$2,0)))</f>
        <v/>
      </c>
      <c r="H57" s="11" t="str">
        <f t="array" ref="H57">if($C57="","",index('Actuals - Billing - 2025'!$B57:$BA955,Match($C57,'Actuals - Billing - 2025'!$B57:$B955,0),Match(H$1,'Actuals - Billing - 2025'!$B$2:$BA$2,0)))</f>
        <v/>
      </c>
      <c r="I57" s="11" t="str">
        <f t="array" ref="I57">if($C57="","",index('Actuals - Billing - 2025'!$B57:$BA955,Match($C57,'Actuals - Billing - 2025'!$B57:$B955,0),Match(I$1,'Actuals - Billing - 2025'!$B$2:$BA$2,0)))</f>
        <v/>
      </c>
      <c r="J57" s="11" t="str">
        <f t="shared" si="2"/>
        <v/>
      </c>
      <c r="K57" s="149" t="str">
        <f t="shared" si="3"/>
        <v/>
      </c>
      <c r="L57" s="1" t="str">
        <f t="shared" si="4"/>
        <v/>
      </c>
      <c r="M57" s="4" t="str">
        <f t="shared" si="5"/>
        <v/>
      </c>
      <c r="N57" s="17" t="str">
        <f>if(M57&lt;&gt;"",'Actuals - Billing - 2025'!BG289,"")</f>
        <v/>
      </c>
    </row>
    <row r="58">
      <c r="A58" s="7" t="str">
        <f t="shared" si="1"/>
        <v/>
      </c>
      <c r="B58" s="8" t="str">
        <f>if(and('Actuals - Billing - 2025'!E$296=True,C58&lt;&gt;""),'Actuals - Billing - 2025'!C290,"")</f>
        <v/>
      </c>
      <c r="C58" s="9" t="str">
        <f>IF(sum('Actuals - Billing - 2025'!AR290:BA290)&gt;0,'Actuals - Billing - 2025'!B290,"")</f>
        <v/>
      </c>
      <c r="D58" s="148" t="str">
        <f>if(or(E58&lt;&gt;"",F58&lt;&gt;""),'Actuals - Billing - 2025'!AU58,if(G58&lt;&gt;"",35,if(H58&lt;&gt;"",'Actuals - Billing - 2025'!AY58,if(I58&lt;&gt;"",'Actuals - Billing - 2025'!BA58,""))))</f>
        <v/>
      </c>
      <c r="E58" s="11" t="str">
        <f t="array" ref="E58">if($C58="","",index('Actuals - Billing - 2025'!$B58:$BA956,Match($C58,'Actuals - Billing - 2025'!$B58:$B956,0),Match(E$1,'Actuals - Billing - 2025'!$B$2:$BA$2,0)))</f>
        <v/>
      </c>
      <c r="F58" s="11" t="str">
        <f t="array" ref="F58">if($C58="","",index('Actuals - Billing - 2025'!$B58:$BA956,Match($C58,'Actuals - Billing - 2025'!$B58:$B956,0),Match(F$1,'Actuals - Billing - 2025'!$B$2:$BA$2,0)))</f>
        <v/>
      </c>
      <c r="G58" s="11" t="str">
        <f t="array" ref="G58">if($C58="","",index('Actuals - Billing - 2025'!$B58:$BA956,Match($C58,'Actuals - Billing - 2025'!$B58:$B956,0),Match(G$1,'Actuals - Billing - 2025'!$B$2:$BA$2,0)))</f>
        <v/>
      </c>
      <c r="H58" s="11" t="str">
        <f t="array" ref="H58">if($C58="","",index('Actuals - Billing - 2025'!$B58:$BA956,Match($C58,'Actuals - Billing - 2025'!$B58:$B956,0),Match(H$1,'Actuals - Billing - 2025'!$B$2:$BA$2,0)))</f>
        <v/>
      </c>
      <c r="I58" s="11" t="str">
        <f t="array" ref="I58">if($C58="","",index('Actuals - Billing - 2025'!$B58:$BA956,Match($C58,'Actuals - Billing - 2025'!$B58:$B956,0),Match(I$1,'Actuals - Billing - 2025'!$B$2:$BA$2,0)))</f>
        <v/>
      </c>
      <c r="J58" s="11" t="str">
        <f t="shared" si="2"/>
        <v/>
      </c>
      <c r="K58" s="149" t="str">
        <f t="shared" si="3"/>
        <v/>
      </c>
      <c r="L58" s="1" t="str">
        <f t="shared" si="4"/>
        <v/>
      </c>
      <c r="M58" s="4" t="str">
        <f t="shared" si="5"/>
        <v/>
      </c>
      <c r="N58" s="17" t="str">
        <f>if(M58&lt;&gt;"",'Actuals - Billing - 2025'!BG290,"")</f>
        <v/>
      </c>
    </row>
    <row r="59">
      <c r="A59" s="7" t="str">
        <f t="shared" si="1"/>
        <v/>
      </c>
      <c r="B59" s="8" t="str">
        <f>if(and('Actuals - Billing - 2025'!E$296=True,C59&lt;&gt;""),'Actuals - Billing - 2025'!C291,"")</f>
        <v/>
      </c>
      <c r="C59" s="9" t="str">
        <f>IF(sum('Actuals - Billing - 2025'!AR291:BA291)&gt;0,'Actuals - Billing - 2025'!B291,"")</f>
        <v/>
      </c>
      <c r="D59" s="148" t="str">
        <f>if(or(E59&lt;&gt;"",F59&lt;&gt;""),'Actuals - Billing - 2025'!AU59,if(G59&lt;&gt;"",35,if(H59&lt;&gt;"",'Actuals - Billing - 2025'!AY59,if(I59&lt;&gt;"",'Actuals - Billing - 2025'!BA59,""))))</f>
        <v/>
      </c>
      <c r="E59" s="11" t="str">
        <f t="array" ref="E59">if($C59="","",index('Actuals - Billing - 2025'!$B59:$BA957,Match($C59,'Actuals - Billing - 2025'!$B59:$B957,0),Match(E$1,'Actuals - Billing - 2025'!$B$2:$BA$2,0)))</f>
        <v/>
      </c>
      <c r="F59" s="11" t="str">
        <f t="array" ref="F59">if($C59="","",index('Actuals - Billing - 2025'!$B59:$BA957,Match($C59,'Actuals - Billing - 2025'!$B59:$B957,0),Match(F$1,'Actuals - Billing - 2025'!$B$2:$BA$2,0)))</f>
        <v/>
      </c>
      <c r="G59" s="11" t="str">
        <f t="array" ref="G59">if($C59="","",index('Actuals - Billing - 2025'!$B59:$BA957,Match($C59,'Actuals - Billing - 2025'!$B59:$B957,0),Match(G$1,'Actuals - Billing - 2025'!$B$2:$BA$2,0)))</f>
        <v/>
      </c>
      <c r="H59" s="11" t="str">
        <f t="array" ref="H59">if($C59="","",index('Actuals - Billing - 2025'!$B59:$BA957,Match($C59,'Actuals - Billing - 2025'!$B59:$B957,0),Match(H$1,'Actuals - Billing - 2025'!$B$2:$BA$2,0)))</f>
        <v/>
      </c>
      <c r="I59" s="11" t="str">
        <f t="array" ref="I59">if($C59="","",index('Actuals - Billing - 2025'!$B59:$BA957,Match($C59,'Actuals - Billing - 2025'!$B59:$B957,0),Match(I$1,'Actuals - Billing - 2025'!$B$2:$BA$2,0)))</f>
        <v/>
      </c>
      <c r="J59" s="11" t="str">
        <f t="shared" si="2"/>
        <v/>
      </c>
      <c r="K59" s="149" t="str">
        <f t="shared" si="3"/>
        <v/>
      </c>
      <c r="L59" s="1" t="str">
        <f t="shared" si="4"/>
        <v/>
      </c>
      <c r="M59" s="4" t="str">
        <f t="shared" si="5"/>
        <v/>
      </c>
      <c r="N59" s="17" t="str">
        <f>if(M59&lt;&gt;"",'Actuals - Billing - 2025'!BG291,"")</f>
        <v/>
      </c>
    </row>
    <row r="60">
      <c r="A60" s="7" t="str">
        <f t="shared" si="1"/>
        <v/>
      </c>
      <c r="B60" s="8" t="str">
        <f>if(and('Actuals - Billing - 2025'!E$296=True,C60&lt;&gt;""),'Actuals - Billing - 2025'!C292,"")</f>
        <v/>
      </c>
      <c r="C60" s="9" t="str">
        <f>IF(sum('Actuals - Billing - 2025'!AR292:BA292)&gt;0,'Actuals - Billing - 2025'!B292,"")</f>
        <v/>
      </c>
      <c r="D60" s="148" t="str">
        <f>if(or(E60&lt;&gt;"",F60&lt;&gt;""),'Actuals - Billing - 2025'!AU60,if(G60&lt;&gt;"",35,if(H60&lt;&gt;"",'Actuals - Billing - 2025'!AY60,if(I60&lt;&gt;"",'Actuals - Billing - 2025'!BA60,""))))</f>
        <v/>
      </c>
      <c r="E60" s="11" t="str">
        <f t="array" ref="E60">if($C60="","",index('Actuals - Billing - 2025'!$B60:$BA958,Match($C60,'Actuals - Billing - 2025'!$B60:$B958,0),Match(E$1,'Actuals - Billing - 2025'!$B$2:$BA$2,0)))</f>
        <v/>
      </c>
      <c r="F60" s="11" t="str">
        <f t="array" ref="F60">if($C60="","",index('Actuals - Billing - 2025'!$B60:$BA958,Match($C60,'Actuals - Billing - 2025'!$B60:$B958,0),Match(F$1,'Actuals - Billing - 2025'!$B$2:$BA$2,0)))</f>
        <v/>
      </c>
      <c r="G60" s="11" t="str">
        <f t="array" ref="G60">if($C60="","",index('Actuals - Billing - 2025'!$B60:$BA958,Match($C60,'Actuals - Billing - 2025'!$B60:$B958,0),Match(G$1,'Actuals - Billing - 2025'!$B$2:$BA$2,0)))</f>
        <v/>
      </c>
      <c r="H60" s="11" t="str">
        <f t="array" ref="H60">if($C60="","",index('Actuals - Billing - 2025'!$B60:$BA958,Match($C60,'Actuals - Billing - 2025'!$B60:$B958,0),Match(H$1,'Actuals - Billing - 2025'!$B$2:$BA$2,0)))</f>
        <v/>
      </c>
      <c r="I60" s="11" t="str">
        <f t="array" ref="I60">if($C60="","",index('Actuals - Billing - 2025'!$B60:$BA958,Match($C60,'Actuals - Billing - 2025'!$B60:$B958,0),Match(I$1,'Actuals - Billing - 2025'!$B$2:$BA$2,0)))</f>
        <v/>
      </c>
      <c r="J60" s="11" t="str">
        <f t="shared" si="2"/>
        <v/>
      </c>
      <c r="K60" s="149" t="str">
        <f t="shared" si="3"/>
        <v/>
      </c>
      <c r="L60" s="1" t="str">
        <f t="shared" si="4"/>
        <v/>
      </c>
      <c r="M60" s="4" t="str">
        <f t="shared" si="5"/>
        <v/>
      </c>
      <c r="N60" s="17" t="str">
        <f>if(M60&lt;&gt;"",'Actuals - Billing - 2025'!BG292,"")</f>
        <v/>
      </c>
    </row>
    <row r="61">
      <c r="A61" s="7" t="str">
        <f t="shared" si="1"/>
        <v>Rogers Blue Jays Baseball Partnership</v>
      </c>
      <c r="B61" s="8">
        <f>if(and('Actuals - Billing - 2025'!E$296=True,C61&lt;&gt;""),'Actuals - Billing - 2025'!C293,"")</f>
        <v>11.2</v>
      </c>
      <c r="C61" s="9">
        <f>IF(sum('Actuals - Billing - 2025'!AR293:BA293)&gt;0,'Actuals - Billing - 2025'!B293,"")</f>
        <v>45946</v>
      </c>
      <c r="D61" s="148" t="str">
        <f>if(or(E61&lt;&gt;"",F61&lt;&gt;""),'Actuals - Billing - 2025'!AU61,if(G61&lt;&gt;"",35,if(H61&lt;&gt;"",'Actuals - Billing - 2025'!AY61,if(I61&lt;&gt;"",'Actuals - Billing - 2025'!BA61,""))))</f>
        <v/>
      </c>
      <c r="E61" s="11" t="str">
        <f t="array" ref="E61">if($C61="","",index('Actuals - Billing - 2025'!$B61:$BA959,Match($C61,'Actuals - Billing - 2025'!$B61:$B959,0),Match(E$1,'Actuals - Billing - 2025'!$B$2:$BA$2,0)))</f>
        <v/>
      </c>
      <c r="F61" s="11">
        <f t="array" ref="F61">if($C61="","",index('Actuals - Billing - 2025'!$B61:$BA959,Match($C61,'Actuals - Billing - 2025'!$B61:$B959,0),Match(F$1,'Actuals - Billing - 2025'!$B$2:$BA$2,0)))</f>
        <v>200</v>
      </c>
      <c r="G61" s="11" t="str">
        <f t="array" ref="G61">if($C61="","",index('Actuals - Billing - 2025'!$B61:$BA959,Match($C61,'Actuals - Billing - 2025'!$B61:$B959,0),Match(G$1,'Actuals - Billing - 2025'!$B$2:$BA$2,0)))</f>
        <v/>
      </c>
      <c r="H61" s="11" t="str">
        <f t="array" ref="H61">if($C61="","",index('Actuals - Billing - 2025'!$B61:$BA959,Match($C61,'Actuals - Billing - 2025'!$B61:$B959,0),Match(H$1,'Actuals - Billing - 2025'!$B$2:$BA$2,0)))</f>
        <v/>
      </c>
      <c r="I61" s="11" t="str">
        <f t="array" ref="I61">if($C61="","",index('Actuals - Billing - 2025'!$B61:$BA959,Match($C61,'Actuals - Billing - 2025'!$B61:$B959,0),Match(I$1,'Actuals - Billing - 2025'!$B$2:$BA$2,0)))</f>
        <v/>
      </c>
      <c r="J61" s="11">
        <f t="shared" si="2"/>
        <v>200</v>
      </c>
      <c r="K61" s="149">
        <f t="shared" si="3"/>
        <v>0</v>
      </c>
      <c r="L61" s="1" t="str">
        <f t="shared" si="4"/>
        <v> MiLB G&amp;G - Pantry 200</v>
      </c>
      <c r="M61" s="4" t="str">
        <f t="shared" si="5"/>
        <v>MiLB G&amp;G - Pantry</v>
      </c>
      <c r="N61" s="17">
        <f>if(M61&lt;&gt;"",'Actuals - Billing - 2025'!BG293,"")</f>
        <v>45949</v>
      </c>
    </row>
    <row r="62">
      <c r="A62" s="7" t="str">
        <f t="shared" si="1"/>
        <v/>
      </c>
      <c r="B62" s="8" t="str">
        <f>if(and('Actuals - Billing - 2025'!E$296=True,C62&lt;&gt;""),'Actuals - Billing - 2025'!C294,"")</f>
        <v/>
      </c>
      <c r="C62" s="9" t="str">
        <f>IF(sum('Actuals - Billing - 2025'!AR294:BA294)&gt;0,'Actuals - Billing - 2025'!B294,"")</f>
        <v/>
      </c>
      <c r="D62" s="148" t="str">
        <f>if(or(E62&lt;&gt;"",F62&lt;&gt;""),'Actuals - Billing - 2025'!AU62,if(G62&lt;&gt;"",35,if(H62&lt;&gt;"",'Actuals - Billing - 2025'!AY62,if(I62&lt;&gt;"",'Actuals - Billing - 2025'!BA62,""))))</f>
        <v/>
      </c>
      <c r="E62" s="11" t="str">
        <f t="array" ref="E62">if($C62="","",index('Actuals - Billing - 2025'!$B62:$BA960,Match($C62,'Actuals - Billing - 2025'!$B62:$B960,0),Match(E$1,'Actuals - Billing - 2025'!$B$2:$BA$2,0)))</f>
        <v/>
      </c>
      <c r="F62" s="11" t="str">
        <f t="array" ref="F62">if($C62="","",index('Actuals - Billing - 2025'!$B62:$BA960,Match($C62,'Actuals - Billing - 2025'!$B62:$B960,0),Match(F$1,'Actuals - Billing - 2025'!$B$2:$BA$2,0)))</f>
        <v/>
      </c>
      <c r="G62" s="11" t="str">
        <f t="array" ref="G62">if($C62="","",index('Actuals - Billing - 2025'!$B62:$BA960,Match($C62,'Actuals - Billing - 2025'!$B62:$B960,0),Match(G$1,'Actuals - Billing - 2025'!$B$2:$BA$2,0)))</f>
        <v/>
      </c>
      <c r="H62" s="11" t="str">
        <f t="array" ref="H62">if($C62="","",index('Actuals - Billing - 2025'!$B62:$BA960,Match($C62,'Actuals - Billing - 2025'!$B62:$B960,0),Match(H$1,'Actuals - Billing - 2025'!$B$2:$BA$2,0)))</f>
        <v/>
      </c>
      <c r="I62" s="11" t="str">
        <f t="array" ref="I62">if($C62="","",index('Actuals - Billing - 2025'!$B62:$BA960,Match($C62,'Actuals - Billing - 2025'!$B62:$B960,0),Match(I$1,'Actuals - Billing - 2025'!$B$2:$BA$2,0)))</f>
        <v/>
      </c>
      <c r="J62" s="11" t="str">
        <f t="shared" si="2"/>
        <v/>
      </c>
      <c r="K62" s="149" t="str">
        <f t="shared" si="3"/>
        <v/>
      </c>
      <c r="L62" s="1" t="str">
        <f t="shared" si="4"/>
        <v/>
      </c>
      <c r="M62" s="4" t="str">
        <f t="shared" si="5"/>
        <v/>
      </c>
      <c r="N62" s="17" t="str">
        <f>if(M62&lt;&gt;"",'Actuals - Billing - 2025'!BG294,"")</f>
        <v/>
      </c>
    </row>
    <row r="63">
      <c r="A63" s="7" t="str">
        <f t="shared" si="1"/>
        <v/>
      </c>
      <c r="B63" s="8" t="str">
        <f>if(and('Actuals - Billing - 2025'!E$296=True,C63&lt;&gt;""),'Actuals - Billing - 2025'!C295,"")</f>
        <v/>
      </c>
      <c r="C63" s="9" t="str">
        <f>IF(sum('Actuals - Billing - 2025'!AR295:BA295)&gt;0,'Actuals - Billing - 2025'!B295,"")</f>
        <v/>
      </c>
      <c r="D63" s="148" t="str">
        <f>if(or(E63&lt;&gt;"",F63&lt;&gt;""),'Actuals - Billing - 2025'!AU63,if(G63&lt;&gt;"",35,if(H63&lt;&gt;"",'Actuals - Billing - 2025'!AY63,if(I63&lt;&gt;"",'Actuals - Billing - 2025'!BA63,""))))</f>
        <v/>
      </c>
      <c r="E63" s="11" t="str">
        <f t="array" ref="E63">if($C63="","",index('Actuals - Billing - 2025'!$B63:$BA961,Match($C63,'Actuals - Billing - 2025'!$B63:$B961,0),Match(E$1,'Actuals - Billing - 2025'!$B$2:$BA$2,0)))</f>
        <v/>
      </c>
      <c r="F63" s="11" t="str">
        <f t="array" ref="F63">if($C63="","",index('Actuals - Billing - 2025'!$B63:$BA961,Match($C63,'Actuals - Billing - 2025'!$B63:$B961,0),Match(F$1,'Actuals - Billing - 2025'!$B$2:$BA$2,0)))</f>
        <v/>
      </c>
      <c r="G63" s="11" t="str">
        <f t="array" ref="G63">if($C63="","",index('Actuals - Billing - 2025'!$B63:$BA961,Match($C63,'Actuals - Billing - 2025'!$B63:$B961,0),Match(G$1,'Actuals - Billing - 2025'!$B$2:$BA$2,0)))</f>
        <v/>
      </c>
      <c r="H63" s="11" t="str">
        <f t="array" ref="H63">if($C63="","",index('Actuals - Billing - 2025'!$B63:$BA961,Match($C63,'Actuals - Billing - 2025'!$B63:$B961,0),Match(H$1,'Actuals - Billing - 2025'!$B$2:$BA$2,0)))</f>
        <v/>
      </c>
      <c r="I63" s="11" t="str">
        <f t="array" ref="I63">if($C63="","",index('Actuals - Billing - 2025'!$B63:$BA961,Match($C63,'Actuals - Billing - 2025'!$B63:$B961,0),Match(I$1,'Actuals - Billing - 2025'!$B$2:$BA$2,0)))</f>
        <v/>
      </c>
      <c r="J63" s="11" t="str">
        <f t="shared" si="2"/>
        <v/>
      </c>
      <c r="K63" s="149" t="str">
        <f t="shared" si="3"/>
        <v/>
      </c>
      <c r="L63" s="1" t="str">
        <f t="shared" si="4"/>
        <v/>
      </c>
      <c r="M63" s="4" t="str">
        <f t="shared" si="5"/>
        <v/>
      </c>
      <c r="N63" s="17" t="str">
        <f>if(M63&lt;&gt;"",'Actuals - Billing - 2025'!BG295,"")</f>
        <v/>
      </c>
    </row>
    <row r="64">
      <c r="A64" s="7" t="str">
        <f t="shared" si="1"/>
        <v/>
      </c>
      <c r="B64" s="8" t="str">
        <f>if(and('Actuals - Billing - 2025'!E$296=True,C64&lt;&gt;""),'Actuals - Billing - 2025'!C296,"")</f>
        <v/>
      </c>
      <c r="C64" s="9" t="str">
        <f>IF(sum('Actuals - Billing - 2025'!AR296:BA296)&gt;0,'Actuals - Billing - 2025'!B296,"")</f>
        <v/>
      </c>
      <c r="D64" s="148" t="str">
        <f>if(or(E64&lt;&gt;"",F64&lt;&gt;""),'Actuals - Billing - 2025'!AU64,if(G64&lt;&gt;"",35,if(H64&lt;&gt;"",'Actuals - Billing - 2025'!AY64,if(I64&lt;&gt;"",'Actuals - Billing - 2025'!BA64,""))))</f>
        <v/>
      </c>
      <c r="E64" s="11" t="str">
        <f t="array" ref="E64">if($C64="","",index('Actuals - Billing - 2025'!$B64:$BA962,Match($C64,'Actuals - Billing - 2025'!$B64:$B962,0),Match(E$1,'Actuals - Billing - 2025'!$B$2:$BA$2,0)))</f>
        <v/>
      </c>
      <c r="F64" s="11" t="str">
        <f t="array" ref="F64">if($C64="","",index('Actuals - Billing - 2025'!$B64:$BA962,Match($C64,'Actuals - Billing - 2025'!$B64:$B962,0),Match(F$1,'Actuals - Billing - 2025'!$B$2:$BA$2,0)))</f>
        <v/>
      </c>
      <c r="G64" s="11" t="str">
        <f t="array" ref="G64">if($C64="","",index('Actuals - Billing - 2025'!$B64:$BA962,Match($C64,'Actuals - Billing - 2025'!$B64:$B962,0),Match(G$1,'Actuals - Billing - 2025'!$B$2:$BA$2,0)))</f>
        <v/>
      </c>
      <c r="H64" s="11" t="str">
        <f t="array" ref="H64">if($C64="","",index('Actuals - Billing - 2025'!$B64:$BA962,Match($C64,'Actuals - Billing - 2025'!$B64:$B962,0),Match(H$1,'Actuals - Billing - 2025'!$B$2:$BA$2,0)))</f>
        <v/>
      </c>
      <c r="I64" s="11" t="str">
        <f t="array" ref="I64">if($C64="","",index('Actuals - Billing - 2025'!$B64:$BA962,Match($C64,'Actuals - Billing - 2025'!$B64:$B962,0),Match(I$1,'Actuals - Billing - 2025'!$B$2:$BA$2,0)))</f>
        <v/>
      </c>
      <c r="J64" s="11" t="str">
        <f t="shared" si="2"/>
        <v/>
      </c>
      <c r="K64" s="149" t="str">
        <f t="shared" si="3"/>
        <v/>
      </c>
      <c r="L64" s="1" t="str">
        <f t="shared" si="4"/>
        <v/>
      </c>
      <c r="M64" s="4" t="str">
        <f t="shared" si="5"/>
        <v/>
      </c>
      <c r="N64" s="17" t="str">
        <f>if(M64&lt;&gt;"",'Actuals - Billing - 2025'!BG296,"")</f>
        <v/>
      </c>
    </row>
    <row r="65">
      <c r="A65" s="7" t="str">
        <f t="shared" si="1"/>
        <v/>
      </c>
      <c r="B65" s="8" t="str">
        <f>if(and('Actuals - Billing - 2025'!E$303=True,C65&lt;&gt;""),'Actuals - Billing - 2025'!C297,"")</f>
        <v/>
      </c>
      <c r="C65" s="9" t="str">
        <f>IF(sum('Actuals - Billing - 2025'!AR297:BA297)&gt;0,'Actuals - Billing - 2025'!B297,"")</f>
        <v/>
      </c>
      <c r="D65" s="148" t="str">
        <f>if(or(E65&lt;&gt;"",F65&lt;&gt;""),'Actuals - Billing - 2025'!AU65,if(G65&lt;&gt;"",35,if(H65&lt;&gt;"",'Actuals - Billing - 2025'!AY65,if(I65&lt;&gt;"",'Actuals - Billing - 2025'!BA65,""))))</f>
        <v/>
      </c>
      <c r="E65" s="11" t="str">
        <f t="array" ref="E65">if($C65="","",index('Actuals - Billing - 2025'!$B65:$BA963,Match($C65,'Actuals - Billing - 2025'!$B65:$B963,0),Match(E$1,'Actuals - Billing - 2025'!$B$2:$BA$2,0)))</f>
        <v/>
      </c>
      <c r="F65" s="11" t="str">
        <f t="array" ref="F65">if($C65="","",index('Actuals - Billing - 2025'!$B65:$BA963,Match($C65,'Actuals - Billing - 2025'!$B65:$B963,0),Match(F$1,'Actuals - Billing - 2025'!$B$2:$BA$2,0)))</f>
        <v/>
      </c>
      <c r="G65" s="11" t="str">
        <f t="array" ref="G65">if($C65="","",index('Actuals - Billing - 2025'!$B65:$BA963,Match($C65,'Actuals - Billing - 2025'!$B65:$B963,0),Match(G$1,'Actuals - Billing - 2025'!$B$2:$BA$2,0)))</f>
        <v/>
      </c>
      <c r="H65" s="11" t="str">
        <f t="array" ref="H65">if($C65="","",index('Actuals - Billing - 2025'!$B65:$BA963,Match($C65,'Actuals - Billing - 2025'!$B65:$B963,0),Match(H$1,'Actuals - Billing - 2025'!$B$2:$BA$2,0)))</f>
        <v/>
      </c>
      <c r="I65" s="11" t="str">
        <f t="array" ref="I65">if($C65="","",index('Actuals - Billing - 2025'!$B65:$BA963,Match($C65,'Actuals - Billing - 2025'!$B65:$B963,0),Match(I$1,'Actuals - Billing - 2025'!$B$2:$BA$2,0)))</f>
        <v/>
      </c>
      <c r="J65" s="11" t="str">
        <f t="shared" si="2"/>
        <v/>
      </c>
      <c r="K65" s="149" t="str">
        <f t="shared" si="3"/>
        <v/>
      </c>
      <c r="L65" s="1" t="str">
        <f t="shared" si="4"/>
        <v/>
      </c>
      <c r="M65" s="4" t="str">
        <f t="shared" si="5"/>
        <v/>
      </c>
      <c r="N65" s="17" t="str">
        <f>if(M65&lt;&gt;"",'Actuals - Billing - 2025'!BG297,"")</f>
        <v/>
      </c>
    </row>
    <row r="66">
      <c r="A66" s="7" t="str">
        <f t="shared" si="1"/>
        <v>Rogers Blue Jays Baseball Partnership</v>
      </c>
      <c r="B66" s="8">
        <f>if(and('Actuals - Billing - 2025'!E$303=True,C66&lt;&gt;""),'Actuals - Billing - 2025'!C298,"")</f>
        <v>11.3</v>
      </c>
      <c r="C66" s="9">
        <f>IF(sum('Actuals - Billing - 2025'!AR298:BA298)&gt;0,'Actuals - Billing - 2025'!B298,"")</f>
        <v>45951</v>
      </c>
      <c r="D66" s="148" t="str">
        <f>if(or(E66&lt;&gt;"",F66&lt;&gt;""),'Actuals - Billing - 2025'!AU66,if(G66&lt;&gt;"",35,if(H66&lt;&gt;"",'Actuals - Billing - 2025'!AY66,if(I66&lt;&gt;"",'Actuals - Billing - 2025'!BA66,""))))</f>
        <v/>
      </c>
      <c r="E66" s="11" t="str">
        <f t="array" ref="E66">if($C66="","",index('Actuals - Billing - 2025'!$B66:$BA964,Match($C66,'Actuals - Billing - 2025'!$B66:$B964,0),Match(E$1,'Actuals - Billing - 2025'!$B$2:$BA$2,0)))</f>
        <v/>
      </c>
      <c r="F66" s="11">
        <f t="array" ref="F66">if($C66="","",index('Actuals - Billing - 2025'!$B66:$BA964,Match($C66,'Actuals - Billing - 2025'!$B66:$B964,0),Match(F$1,'Actuals - Billing - 2025'!$B$2:$BA$2,0)))</f>
        <v>200</v>
      </c>
      <c r="G66" s="11" t="str">
        <f t="array" ref="G66">if($C66="","",index('Actuals - Billing - 2025'!$B66:$BA964,Match($C66,'Actuals - Billing - 2025'!$B66:$B964,0),Match(G$1,'Actuals - Billing - 2025'!$B$2:$BA$2,0)))</f>
        <v/>
      </c>
      <c r="H66" s="11" t="str">
        <f t="array" ref="H66">if($C66="","",index('Actuals - Billing - 2025'!$B66:$BA964,Match($C66,'Actuals - Billing - 2025'!$B66:$B964,0),Match(H$1,'Actuals - Billing - 2025'!$B$2:$BA$2,0)))</f>
        <v/>
      </c>
      <c r="I66" s="11" t="str">
        <f t="array" ref="I66">if($C66="","",index('Actuals - Billing - 2025'!$B66:$BA964,Match($C66,'Actuals - Billing - 2025'!$B66:$B964,0),Match(I$1,'Actuals - Billing - 2025'!$B$2:$BA$2,0)))</f>
        <v/>
      </c>
      <c r="J66" s="11">
        <f t="shared" si="2"/>
        <v>200</v>
      </c>
      <c r="K66" s="149">
        <f t="shared" si="3"/>
        <v>0</v>
      </c>
      <c r="L66" s="1" t="str">
        <f t="shared" si="4"/>
        <v> MiLB G&amp;G - Pantry 200</v>
      </c>
      <c r="M66" s="4" t="str">
        <f t="shared" si="5"/>
        <v>MiLB G&amp;G - Pantry</v>
      </c>
      <c r="N66" s="17">
        <f>if(M66&lt;&gt;"",'Actuals - Billing - 2025'!BG298,"")</f>
        <v>45956</v>
      </c>
    </row>
    <row r="67">
      <c r="A67" s="7" t="str">
        <f t="shared" si="1"/>
        <v/>
      </c>
      <c r="B67" s="8" t="str">
        <f>if(and('Actuals - Billing - 2025'!E$303=True,C67&lt;&gt;""),'Actuals - Billing - 2025'!C299,"")</f>
        <v/>
      </c>
      <c r="C67" s="9" t="str">
        <f>IF(sum('Actuals - Billing - 2025'!AR299:BA299)&gt;0,'Actuals - Billing - 2025'!B299,"")</f>
        <v/>
      </c>
      <c r="D67" s="148" t="str">
        <f>if(or(E67&lt;&gt;"",F67&lt;&gt;""),'Actuals - Billing - 2025'!AU67,if(G67&lt;&gt;"",35,if(H67&lt;&gt;"",'Actuals - Billing - 2025'!AY67,if(I67&lt;&gt;"",'Actuals - Billing - 2025'!BA67,""))))</f>
        <v/>
      </c>
      <c r="E67" s="11" t="str">
        <f t="array" ref="E67">if($C67="","",index('Actuals - Billing - 2025'!$B67:$BA965,Match($C67,'Actuals - Billing - 2025'!$B67:$B965,0),Match(E$1,'Actuals - Billing - 2025'!$B$2:$BA$2,0)))</f>
        <v/>
      </c>
      <c r="F67" s="11" t="str">
        <f t="array" ref="F67">if($C67="","",index('Actuals - Billing - 2025'!$B67:$BA965,Match($C67,'Actuals - Billing - 2025'!$B67:$B965,0),Match(F$1,'Actuals - Billing - 2025'!$B$2:$BA$2,0)))</f>
        <v/>
      </c>
      <c r="G67" s="11" t="str">
        <f t="array" ref="G67">if($C67="","",index('Actuals - Billing - 2025'!$B67:$BA965,Match($C67,'Actuals - Billing - 2025'!$B67:$B965,0),Match(G$1,'Actuals - Billing - 2025'!$B$2:$BA$2,0)))</f>
        <v/>
      </c>
      <c r="H67" s="11" t="str">
        <f t="array" ref="H67">if($C67="","",index('Actuals - Billing - 2025'!$B67:$BA965,Match($C67,'Actuals - Billing - 2025'!$B67:$B965,0),Match(H$1,'Actuals - Billing - 2025'!$B$2:$BA$2,0)))</f>
        <v/>
      </c>
      <c r="I67" s="11" t="str">
        <f t="array" ref="I67">if($C67="","",index('Actuals - Billing - 2025'!$B67:$BA965,Match($C67,'Actuals - Billing - 2025'!$B67:$B965,0),Match(I$1,'Actuals - Billing - 2025'!$B$2:$BA$2,0)))</f>
        <v/>
      </c>
      <c r="J67" s="11" t="str">
        <f t="shared" si="2"/>
        <v/>
      </c>
      <c r="K67" s="149" t="str">
        <f t="shared" si="3"/>
        <v/>
      </c>
      <c r="L67" s="1" t="str">
        <f t="shared" si="4"/>
        <v/>
      </c>
      <c r="M67" s="4" t="str">
        <f t="shared" si="5"/>
        <v/>
      </c>
      <c r="N67" s="17" t="str">
        <f>if(M67&lt;&gt;"",'Actuals - Billing - 2025'!BG299,"")</f>
        <v/>
      </c>
    </row>
    <row r="68">
      <c r="A68" s="7" t="str">
        <f t="shared" si="1"/>
        <v>Rogers Blue Jays Baseball Partnership</v>
      </c>
      <c r="B68" s="8">
        <f>if(and('Actuals - Billing - 2025'!E$303=True,C68&lt;&gt;""),'Actuals - Billing - 2025'!C300,"")</f>
        <v>11.3</v>
      </c>
      <c r="C68" s="9">
        <f>IF(sum('Actuals - Billing - 2025'!AR300:BA300)&gt;0,'Actuals - Billing - 2025'!B300,"")</f>
        <v>45953</v>
      </c>
      <c r="D68" s="148" t="str">
        <f>if(or(E68&lt;&gt;"",F68&lt;&gt;""),'Actuals - Billing - 2025'!AU68,if(G68&lt;&gt;"",35,if(H68&lt;&gt;"",'Actuals - Billing - 2025'!AY68,if(I68&lt;&gt;"",'Actuals - Billing - 2025'!BA68,""))))</f>
        <v/>
      </c>
      <c r="E68" s="11" t="str">
        <f t="array" ref="E68">if($C68="","",index('Actuals - Billing - 2025'!$B68:$BA966,Match($C68,'Actuals - Billing - 2025'!$B68:$B966,0),Match(E$1,'Actuals - Billing - 2025'!$B$2:$BA$2,0)))</f>
        <v/>
      </c>
      <c r="F68" s="11">
        <f t="array" ref="F68">if($C68="","",index('Actuals - Billing - 2025'!$B68:$BA966,Match($C68,'Actuals - Billing - 2025'!$B68:$B966,0),Match(F$1,'Actuals - Billing - 2025'!$B$2:$BA$2,0)))</f>
        <v>200</v>
      </c>
      <c r="G68" s="11" t="str">
        <f t="array" ref="G68">if($C68="","",index('Actuals - Billing - 2025'!$B68:$BA966,Match($C68,'Actuals - Billing - 2025'!$B68:$B966,0),Match(G$1,'Actuals - Billing - 2025'!$B$2:$BA$2,0)))</f>
        <v/>
      </c>
      <c r="H68" s="11" t="str">
        <f t="array" ref="H68">if($C68="","",index('Actuals - Billing - 2025'!$B68:$BA966,Match($C68,'Actuals - Billing - 2025'!$B68:$B966,0),Match(H$1,'Actuals - Billing - 2025'!$B$2:$BA$2,0)))</f>
        <v/>
      </c>
      <c r="I68" s="11" t="str">
        <f t="array" ref="I68">if($C68="","",index('Actuals - Billing - 2025'!$B68:$BA966,Match($C68,'Actuals - Billing - 2025'!$B68:$B966,0),Match(I$1,'Actuals - Billing - 2025'!$B$2:$BA$2,0)))</f>
        <v/>
      </c>
      <c r="J68" s="11">
        <f t="shared" si="2"/>
        <v>200</v>
      </c>
      <c r="K68" s="149">
        <f t="shared" si="3"/>
        <v>0</v>
      </c>
      <c r="L68" s="1" t="str">
        <f t="shared" si="4"/>
        <v> MiLB G&amp;G - Pantry 200</v>
      </c>
      <c r="M68" s="4" t="str">
        <f t="shared" si="5"/>
        <v>MiLB G&amp;G - Pantry</v>
      </c>
      <c r="N68" s="17">
        <f>if(M68&lt;&gt;"",'Actuals - Billing - 2025'!BG300,"")</f>
        <v>45956</v>
      </c>
    </row>
    <row r="69">
      <c r="A69" s="7" t="str">
        <f t="shared" si="1"/>
        <v/>
      </c>
      <c r="B69" s="8" t="str">
        <f>if(and('Actuals - Billing - 2025'!E$303=True,C69&lt;&gt;""),'Actuals - Billing - 2025'!C301,"")</f>
        <v/>
      </c>
      <c r="C69" s="9" t="str">
        <f>IF(sum('Actuals - Billing - 2025'!AR301:BA301)&gt;0,'Actuals - Billing - 2025'!B301,"")</f>
        <v/>
      </c>
      <c r="D69" s="148" t="str">
        <f>if(or(E69&lt;&gt;"",F69&lt;&gt;""),'Actuals - Billing - 2025'!AU69,if(G69&lt;&gt;"",35,if(H69&lt;&gt;"",'Actuals - Billing - 2025'!AY69,if(I69&lt;&gt;"",'Actuals - Billing - 2025'!BA69,""))))</f>
        <v/>
      </c>
      <c r="E69" s="11" t="str">
        <f t="array" ref="E69">if($C69="","",index('Actuals - Billing - 2025'!$B69:$BA967,Match($C69,'Actuals - Billing - 2025'!$B69:$B967,0),Match(E$1,'Actuals - Billing - 2025'!$B$2:$BA$2,0)))</f>
        <v/>
      </c>
      <c r="F69" s="11" t="str">
        <f t="array" ref="F69">if($C69="","",index('Actuals - Billing - 2025'!$B69:$BA967,Match($C69,'Actuals - Billing - 2025'!$B69:$B967,0),Match(F$1,'Actuals - Billing - 2025'!$B$2:$BA$2,0)))</f>
        <v/>
      </c>
      <c r="G69" s="11" t="str">
        <f t="array" ref="G69">if($C69="","",index('Actuals - Billing - 2025'!$B69:$BA967,Match($C69,'Actuals - Billing - 2025'!$B69:$B967,0),Match(G$1,'Actuals - Billing - 2025'!$B$2:$BA$2,0)))</f>
        <v/>
      </c>
      <c r="H69" s="11" t="str">
        <f t="array" ref="H69">if($C69="","",index('Actuals - Billing - 2025'!$B69:$BA967,Match($C69,'Actuals - Billing - 2025'!$B69:$B967,0),Match(H$1,'Actuals - Billing - 2025'!$B$2:$BA$2,0)))</f>
        <v/>
      </c>
      <c r="I69" s="11" t="str">
        <f t="array" ref="I69">if($C69="","",index('Actuals - Billing - 2025'!$B69:$BA967,Match($C69,'Actuals - Billing - 2025'!$B69:$B967,0),Match(I$1,'Actuals - Billing - 2025'!$B$2:$BA$2,0)))</f>
        <v/>
      </c>
      <c r="J69" s="11" t="str">
        <f t="shared" si="2"/>
        <v/>
      </c>
      <c r="K69" s="149" t="str">
        <f t="shared" si="3"/>
        <v/>
      </c>
      <c r="L69" s="1" t="str">
        <f t="shared" si="4"/>
        <v/>
      </c>
      <c r="M69" s="4" t="str">
        <f t="shared" si="5"/>
        <v/>
      </c>
      <c r="N69" s="17" t="str">
        <f>if(M69&lt;&gt;"",'Actuals - Billing - 2025'!BG301,"")</f>
        <v/>
      </c>
    </row>
    <row r="70">
      <c r="A70" s="7" t="str">
        <f t="shared" si="1"/>
        <v/>
      </c>
      <c r="B70" s="8" t="str">
        <f>if(and('Actuals - Billing - 2025'!E$303=True,C70&lt;&gt;""),'Actuals - Billing - 2025'!C302,"")</f>
        <v/>
      </c>
      <c r="C70" s="9" t="str">
        <f>IF(sum('Actuals - Billing - 2025'!AR302:BA302)&gt;0,'Actuals - Billing - 2025'!B302,"")</f>
        <v/>
      </c>
      <c r="D70" s="148" t="str">
        <f>if(or(E70&lt;&gt;"",F70&lt;&gt;""),'Actuals - Billing - 2025'!AU70,if(G70&lt;&gt;"",35,if(H70&lt;&gt;"",'Actuals - Billing - 2025'!AY70,if(I70&lt;&gt;"",'Actuals - Billing - 2025'!BA70,""))))</f>
        <v/>
      </c>
      <c r="E70" s="11" t="str">
        <f t="array" ref="E70">if($C70="","",index('Actuals - Billing - 2025'!$B70:$BA968,Match($C70,'Actuals - Billing - 2025'!$B70:$B968,0),Match(E$1,'Actuals - Billing - 2025'!$B$2:$BA$2,0)))</f>
        <v/>
      </c>
      <c r="F70" s="11" t="str">
        <f t="array" ref="F70">if($C70="","",index('Actuals - Billing - 2025'!$B70:$BA968,Match($C70,'Actuals - Billing - 2025'!$B70:$B968,0),Match(F$1,'Actuals - Billing - 2025'!$B$2:$BA$2,0)))</f>
        <v/>
      </c>
      <c r="G70" s="11" t="str">
        <f t="array" ref="G70">if($C70="","",index('Actuals - Billing - 2025'!$B70:$BA968,Match($C70,'Actuals - Billing - 2025'!$B70:$B968,0),Match(G$1,'Actuals - Billing - 2025'!$B$2:$BA$2,0)))</f>
        <v/>
      </c>
      <c r="H70" s="11" t="str">
        <f t="array" ref="H70">if($C70="","",index('Actuals - Billing - 2025'!$B70:$BA968,Match($C70,'Actuals - Billing - 2025'!$B70:$B968,0),Match(H$1,'Actuals - Billing - 2025'!$B$2:$BA$2,0)))</f>
        <v/>
      </c>
      <c r="I70" s="11" t="str">
        <f t="array" ref="I70">if($C70="","",index('Actuals - Billing - 2025'!$B70:$BA968,Match($C70,'Actuals - Billing - 2025'!$B70:$B968,0),Match(I$1,'Actuals - Billing - 2025'!$B$2:$BA$2,0)))</f>
        <v/>
      </c>
      <c r="J70" s="11" t="str">
        <f t="shared" si="2"/>
        <v/>
      </c>
      <c r="K70" s="149" t="str">
        <f t="shared" si="3"/>
        <v/>
      </c>
      <c r="L70" s="1" t="str">
        <f t="shared" si="4"/>
        <v/>
      </c>
      <c r="M70" s="4" t="str">
        <f t="shared" si="5"/>
        <v/>
      </c>
      <c r="N70" s="17" t="str">
        <f>if(M70&lt;&gt;"",'Actuals - Billing - 2025'!BG302,"")</f>
        <v/>
      </c>
    </row>
    <row r="71">
      <c r="A71" s="7" t="str">
        <f t="shared" si="1"/>
        <v/>
      </c>
      <c r="B71" s="8" t="str">
        <f>if(and('Actuals - Billing - 2025'!E$303=True,C71&lt;&gt;""),'Actuals - Billing - 2025'!C303,"")</f>
        <v/>
      </c>
      <c r="C71" s="9" t="str">
        <f>IF(sum('Actuals - Billing - 2025'!AR303:BA303)&gt;0,'Actuals - Billing - 2025'!B303,"")</f>
        <v/>
      </c>
      <c r="D71" s="148" t="str">
        <f>if(or(E71&lt;&gt;"",F71&lt;&gt;""),'Actuals - Billing - 2025'!AU71,if(G71&lt;&gt;"",35,if(H71&lt;&gt;"",'Actuals - Billing - 2025'!AY71,if(I71&lt;&gt;"",'Actuals - Billing - 2025'!BA71,""))))</f>
        <v/>
      </c>
      <c r="E71" s="11" t="str">
        <f t="array" ref="E71">if($C71="","",index('Actuals - Billing - 2025'!$B71:$BA969,Match($C71,'Actuals - Billing - 2025'!$B71:$B969,0),Match(E$1,'Actuals - Billing - 2025'!$B$2:$BA$2,0)))</f>
        <v/>
      </c>
      <c r="F71" s="11" t="str">
        <f t="array" ref="F71">if($C71="","",index('Actuals - Billing - 2025'!$B71:$BA969,Match($C71,'Actuals - Billing - 2025'!$B71:$B969,0),Match(F$1,'Actuals - Billing - 2025'!$B$2:$BA$2,0)))</f>
        <v/>
      </c>
      <c r="G71" s="11" t="str">
        <f t="array" ref="G71">if($C71="","",index('Actuals - Billing - 2025'!$B71:$BA969,Match($C71,'Actuals - Billing - 2025'!$B71:$B969,0),Match(G$1,'Actuals - Billing - 2025'!$B$2:$BA$2,0)))</f>
        <v/>
      </c>
      <c r="H71" s="11" t="str">
        <f t="array" ref="H71">if($C71="","",index('Actuals - Billing - 2025'!$B71:$BA969,Match($C71,'Actuals - Billing - 2025'!$B71:$B969,0),Match(H$1,'Actuals - Billing - 2025'!$B$2:$BA$2,0)))</f>
        <v/>
      </c>
      <c r="I71" s="11" t="str">
        <f t="array" ref="I71">if($C71="","",index('Actuals - Billing - 2025'!$B71:$BA969,Match($C71,'Actuals - Billing - 2025'!$B71:$B969,0),Match(I$1,'Actuals - Billing - 2025'!$B$2:$BA$2,0)))</f>
        <v/>
      </c>
      <c r="J71" s="11" t="str">
        <f t="shared" si="2"/>
        <v/>
      </c>
      <c r="K71" s="149" t="str">
        <f t="shared" si="3"/>
        <v/>
      </c>
      <c r="L71" s="1" t="str">
        <f t="shared" si="4"/>
        <v/>
      </c>
      <c r="M71" s="4" t="str">
        <f t="shared" si="5"/>
        <v/>
      </c>
      <c r="N71" s="17" t="str">
        <f>if(M71&lt;&gt;"",'Actuals - Billing - 2025'!BG303,"")</f>
        <v/>
      </c>
    </row>
    <row r="72">
      <c r="A72" s="7" t="str">
        <f t="shared" si="1"/>
        <v/>
      </c>
      <c r="B72" s="8" t="str">
        <f>if(and('Actuals - Billing - 2025'!E$310=True,C72&lt;&gt;""),'Actuals - Billing - 2025'!C304,"")</f>
        <v/>
      </c>
      <c r="C72" s="9" t="str">
        <f>IF(sum('Actuals - Billing - 2025'!AR304:BA304)&gt;0,'Actuals - Billing - 2025'!B304,"")</f>
        <v/>
      </c>
      <c r="D72" s="148" t="str">
        <f>if(or(E72&lt;&gt;"",F72&lt;&gt;""),'Actuals - Billing - 2025'!AU72,if(G72&lt;&gt;"",35,if(H72&lt;&gt;"",'Actuals - Billing - 2025'!AY72,if(I72&lt;&gt;"",'Actuals - Billing - 2025'!BA72,""))))</f>
        <v/>
      </c>
      <c r="E72" s="11" t="str">
        <f t="array" ref="E72">if($C72="","",index('Actuals - Billing - 2025'!$B72:$BA970,Match($C72,'Actuals - Billing - 2025'!$B72:$B970,0),Match(E$1,'Actuals - Billing - 2025'!$B$2:$BA$2,0)))</f>
        <v/>
      </c>
      <c r="F72" s="11" t="str">
        <f t="array" ref="F72">if($C72="","",index('Actuals - Billing - 2025'!$B72:$BA970,Match($C72,'Actuals - Billing - 2025'!$B72:$B970,0),Match(F$1,'Actuals - Billing - 2025'!$B$2:$BA$2,0)))</f>
        <v/>
      </c>
      <c r="G72" s="11" t="str">
        <f t="array" ref="G72">if($C72="","",index('Actuals - Billing - 2025'!$B72:$BA970,Match($C72,'Actuals - Billing - 2025'!$B72:$B970,0),Match(G$1,'Actuals - Billing - 2025'!$B$2:$BA$2,0)))</f>
        <v/>
      </c>
      <c r="H72" s="11" t="str">
        <f t="array" ref="H72">if($C72="","",index('Actuals - Billing - 2025'!$B72:$BA970,Match($C72,'Actuals - Billing - 2025'!$B72:$B970,0),Match(H$1,'Actuals - Billing - 2025'!$B$2:$BA$2,0)))</f>
        <v/>
      </c>
      <c r="I72" s="11" t="str">
        <f t="array" ref="I72">if($C72="","",index('Actuals - Billing - 2025'!$B72:$BA970,Match($C72,'Actuals - Billing - 2025'!$B72:$B970,0),Match(I$1,'Actuals - Billing - 2025'!$B$2:$BA$2,0)))</f>
        <v/>
      </c>
      <c r="J72" s="11" t="str">
        <f t="shared" si="2"/>
        <v/>
      </c>
      <c r="K72" s="149" t="str">
        <f t="shared" si="3"/>
        <v/>
      </c>
      <c r="L72" s="1" t="str">
        <f t="shared" si="4"/>
        <v/>
      </c>
      <c r="M72" s="4" t="str">
        <f t="shared" si="5"/>
        <v/>
      </c>
      <c r="N72" s="17" t="str">
        <f>if(M72&lt;&gt;"",'Actuals - Billing - 2025'!BG304,"")</f>
        <v/>
      </c>
    </row>
    <row r="73">
      <c r="A73" s="7" t="str">
        <f t="shared" si="1"/>
        <v/>
      </c>
      <c r="B73" s="8" t="str">
        <f>if(and('Actuals - Billing - 2025'!E$310=True,C73&lt;&gt;""),'Actuals - Billing - 2025'!C305,"")</f>
        <v/>
      </c>
      <c r="C73" s="9" t="str">
        <f>IF(sum('Actuals - Billing - 2025'!AR305:BA305)&gt;0,'Actuals - Billing - 2025'!B305,"")</f>
        <v/>
      </c>
      <c r="D73" s="148" t="str">
        <f>if(or(E73&lt;&gt;"",F73&lt;&gt;""),'Actuals - Billing - 2025'!AU73,if(G73&lt;&gt;"",35,if(H73&lt;&gt;"",'Actuals - Billing - 2025'!AY73,if(I73&lt;&gt;"",'Actuals - Billing - 2025'!BA73,""))))</f>
        <v/>
      </c>
      <c r="E73" s="11" t="str">
        <f t="array" ref="E73">if($C73="","",index('Actuals - Billing - 2025'!$B73:$BA971,Match($C73,'Actuals - Billing - 2025'!$B73:$B971,0),Match(E$1,'Actuals - Billing - 2025'!$B$2:$BA$2,0)))</f>
        <v/>
      </c>
      <c r="F73" s="11" t="str">
        <f t="array" ref="F73">if($C73="","",index('Actuals - Billing - 2025'!$B73:$BA971,Match($C73,'Actuals - Billing - 2025'!$B73:$B971,0),Match(F$1,'Actuals - Billing - 2025'!$B$2:$BA$2,0)))</f>
        <v/>
      </c>
      <c r="G73" s="11" t="str">
        <f t="array" ref="G73">if($C73="","",index('Actuals - Billing - 2025'!$B73:$BA971,Match($C73,'Actuals - Billing - 2025'!$B73:$B971,0),Match(G$1,'Actuals - Billing - 2025'!$B$2:$BA$2,0)))</f>
        <v/>
      </c>
      <c r="H73" s="11" t="str">
        <f t="array" ref="H73">if($C73="","",index('Actuals - Billing - 2025'!$B73:$BA971,Match($C73,'Actuals - Billing - 2025'!$B73:$B971,0),Match(H$1,'Actuals - Billing - 2025'!$B$2:$BA$2,0)))</f>
        <v/>
      </c>
      <c r="I73" s="11" t="str">
        <f t="array" ref="I73">if($C73="","",index('Actuals - Billing - 2025'!$B73:$BA971,Match($C73,'Actuals - Billing - 2025'!$B73:$B971,0),Match(I$1,'Actuals - Billing - 2025'!$B$2:$BA$2,0)))</f>
        <v/>
      </c>
      <c r="J73" s="11" t="str">
        <f t="shared" si="2"/>
        <v/>
      </c>
      <c r="K73" s="149" t="str">
        <f t="shared" si="3"/>
        <v/>
      </c>
      <c r="L73" s="1" t="str">
        <f t="shared" si="4"/>
        <v/>
      </c>
      <c r="M73" s="4" t="str">
        <f t="shared" si="5"/>
        <v/>
      </c>
      <c r="N73" s="17" t="str">
        <f>if(M73&lt;&gt;"",'Actuals - Billing - 2025'!BG305,"")</f>
        <v/>
      </c>
    </row>
    <row r="74">
      <c r="A74" s="7" t="str">
        <f t="shared" si="1"/>
        <v/>
      </c>
      <c r="B74" s="8" t="str">
        <f>if(and('Actuals - Billing - 2025'!E$310=True,C74&lt;&gt;""),'Actuals - Billing - 2025'!C306,"")</f>
        <v/>
      </c>
      <c r="C74" s="9" t="str">
        <f>IF(sum('Actuals - Billing - 2025'!AR306:BA306)&gt;0,'Actuals - Billing - 2025'!B306,"")</f>
        <v/>
      </c>
      <c r="D74" s="148" t="str">
        <f>if(or(E74&lt;&gt;"",F74&lt;&gt;""),'Actuals - Billing - 2025'!AU74,if(G74&lt;&gt;"",35,if(H74&lt;&gt;"",'Actuals - Billing - 2025'!AY74,if(I74&lt;&gt;"",'Actuals - Billing - 2025'!BA74,""))))</f>
        <v/>
      </c>
      <c r="E74" s="11" t="str">
        <f t="array" ref="E74">if($C74="","",index('Actuals - Billing - 2025'!$B74:$BA972,Match($C74,'Actuals - Billing - 2025'!$B74:$B972,0),Match(E$1,'Actuals - Billing - 2025'!$B$2:$BA$2,0)))</f>
        <v/>
      </c>
      <c r="F74" s="11" t="str">
        <f t="array" ref="F74">if($C74="","",index('Actuals - Billing - 2025'!$B74:$BA972,Match($C74,'Actuals - Billing - 2025'!$B74:$B972,0),Match(F$1,'Actuals - Billing - 2025'!$B$2:$BA$2,0)))</f>
        <v/>
      </c>
      <c r="G74" s="11" t="str">
        <f t="array" ref="G74">if($C74="","",index('Actuals - Billing - 2025'!$B74:$BA972,Match($C74,'Actuals - Billing - 2025'!$B74:$B972,0),Match(G$1,'Actuals - Billing - 2025'!$B$2:$BA$2,0)))</f>
        <v/>
      </c>
      <c r="H74" s="11" t="str">
        <f t="array" ref="H74">if($C74="","",index('Actuals - Billing - 2025'!$B74:$BA972,Match($C74,'Actuals - Billing - 2025'!$B74:$B972,0),Match(H$1,'Actuals - Billing - 2025'!$B$2:$BA$2,0)))</f>
        <v/>
      </c>
      <c r="I74" s="11" t="str">
        <f t="array" ref="I74">if($C74="","",index('Actuals - Billing - 2025'!$B74:$BA972,Match($C74,'Actuals - Billing - 2025'!$B74:$B972,0),Match(I$1,'Actuals - Billing - 2025'!$B$2:$BA$2,0)))</f>
        <v/>
      </c>
      <c r="J74" s="11" t="str">
        <f t="shared" si="2"/>
        <v/>
      </c>
      <c r="K74" s="149" t="str">
        <f t="shared" si="3"/>
        <v/>
      </c>
      <c r="L74" s="1" t="str">
        <f t="shared" si="4"/>
        <v/>
      </c>
      <c r="M74" s="4" t="str">
        <f t="shared" si="5"/>
        <v/>
      </c>
      <c r="N74" s="17" t="str">
        <f>if(M74&lt;&gt;"",'Actuals - Billing - 2025'!BG306,"")</f>
        <v/>
      </c>
    </row>
    <row r="75">
      <c r="A75" s="7" t="str">
        <f t="shared" si="1"/>
        <v/>
      </c>
      <c r="B75" s="8" t="str">
        <f>if(and('Actuals - Billing - 2025'!E$310=True,C75&lt;&gt;""),'Actuals - Billing - 2025'!C307,"")</f>
        <v/>
      </c>
      <c r="C75" s="9" t="str">
        <f>IF(sum('Actuals - Billing - 2025'!AR307:BA307)&gt;0,'Actuals - Billing - 2025'!B307,"")</f>
        <v/>
      </c>
      <c r="D75" s="148" t="str">
        <f>if(or(E75&lt;&gt;"",F75&lt;&gt;""),'Actuals - Billing - 2025'!AU75,if(G75&lt;&gt;"",35,if(H75&lt;&gt;"",'Actuals - Billing - 2025'!AY75,if(I75&lt;&gt;"",'Actuals - Billing - 2025'!BA75,""))))</f>
        <v/>
      </c>
      <c r="E75" s="11" t="str">
        <f t="array" ref="E75">if($C75="","",index('Actuals - Billing - 2025'!$B75:$BA973,Match($C75,'Actuals - Billing - 2025'!$B75:$B973,0),Match(E$1,'Actuals - Billing - 2025'!$B$2:$BA$2,0)))</f>
        <v/>
      </c>
      <c r="F75" s="11" t="str">
        <f t="array" ref="F75">if($C75="","",index('Actuals - Billing - 2025'!$B75:$BA973,Match($C75,'Actuals - Billing - 2025'!$B75:$B973,0),Match(F$1,'Actuals - Billing - 2025'!$B$2:$BA$2,0)))</f>
        <v/>
      </c>
      <c r="G75" s="11" t="str">
        <f t="array" ref="G75">if($C75="","",index('Actuals - Billing - 2025'!$B75:$BA973,Match($C75,'Actuals - Billing - 2025'!$B75:$B973,0),Match(G$1,'Actuals - Billing - 2025'!$B$2:$BA$2,0)))</f>
        <v/>
      </c>
      <c r="H75" s="11" t="str">
        <f t="array" ref="H75">if($C75="","",index('Actuals - Billing - 2025'!$B75:$BA973,Match($C75,'Actuals - Billing - 2025'!$B75:$B973,0),Match(H$1,'Actuals - Billing - 2025'!$B$2:$BA$2,0)))</f>
        <v/>
      </c>
      <c r="I75" s="11" t="str">
        <f t="array" ref="I75">if($C75="","",index('Actuals - Billing - 2025'!$B75:$BA973,Match($C75,'Actuals - Billing - 2025'!$B75:$B973,0),Match(I$1,'Actuals - Billing - 2025'!$B$2:$BA$2,0)))</f>
        <v/>
      </c>
      <c r="J75" s="11" t="str">
        <f t="shared" si="2"/>
        <v/>
      </c>
      <c r="K75" s="149" t="str">
        <f t="shared" si="3"/>
        <v/>
      </c>
      <c r="L75" s="1" t="str">
        <f t="shared" si="4"/>
        <v/>
      </c>
      <c r="M75" s="4" t="str">
        <f t="shared" si="5"/>
        <v/>
      </c>
      <c r="N75" s="17" t="str">
        <f>if(M75&lt;&gt;"",'Actuals - Billing - 2025'!BG307,"")</f>
        <v/>
      </c>
    </row>
    <row r="76">
      <c r="A76" s="7" t="str">
        <f t="shared" si="1"/>
        <v/>
      </c>
      <c r="B76" s="8" t="str">
        <f>if(and('Actuals - Billing - 2025'!E$310=True,C76&lt;&gt;""),'Actuals - Billing - 2025'!C308,"")</f>
        <v/>
      </c>
      <c r="C76" s="9" t="str">
        <f>IF(sum('Actuals - Billing - 2025'!AR308:BA308)&gt;0,'Actuals - Billing - 2025'!B308,"")</f>
        <v/>
      </c>
      <c r="D76" s="148" t="str">
        <f>if(or(E76&lt;&gt;"",F76&lt;&gt;""),'Actuals - Billing - 2025'!AU76,if(G76&lt;&gt;"",35,if(H76&lt;&gt;"",'Actuals - Billing - 2025'!AY76,if(I76&lt;&gt;"",'Actuals - Billing - 2025'!BA76,""))))</f>
        <v/>
      </c>
      <c r="E76" s="11" t="str">
        <f t="array" ref="E76">if($C76="","",index('Actuals - Billing - 2025'!$B76:$BA974,Match($C76,'Actuals - Billing - 2025'!$B76:$B974,0),Match(E$1,'Actuals - Billing - 2025'!$B$2:$BA$2,0)))</f>
        <v/>
      </c>
      <c r="F76" s="11" t="str">
        <f t="array" ref="F76">if($C76="","",index('Actuals - Billing - 2025'!$B76:$BA974,Match($C76,'Actuals - Billing - 2025'!$B76:$B974,0),Match(F$1,'Actuals - Billing - 2025'!$B$2:$BA$2,0)))</f>
        <v/>
      </c>
      <c r="G76" s="11" t="str">
        <f t="array" ref="G76">if($C76="","",index('Actuals - Billing - 2025'!$B76:$BA974,Match($C76,'Actuals - Billing - 2025'!$B76:$B974,0),Match(G$1,'Actuals - Billing - 2025'!$B$2:$BA$2,0)))</f>
        <v/>
      </c>
      <c r="H76" s="11" t="str">
        <f t="array" ref="H76">if($C76="","",index('Actuals - Billing - 2025'!$B76:$BA974,Match($C76,'Actuals - Billing - 2025'!$B76:$B974,0),Match(H$1,'Actuals - Billing - 2025'!$B$2:$BA$2,0)))</f>
        <v/>
      </c>
      <c r="I76" s="11" t="str">
        <f t="array" ref="I76">if($C76="","",index('Actuals - Billing - 2025'!$B76:$BA974,Match($C76,'Actuals - Billing - 2025'!$B76:$B974,0),Match(I$1,'Actuals - Billing - 2025'!$B$2:$BA$2,0)))</f>
        <v/>
      </c>
      <c r="J76" s="11" t="str">
        <f t="shared" si="2"/>
        <v/>
      </c>
      <c r="K76" s="149" t="str">
        <f t="shared" si="3"/>
        <v/>
      </c>
      <c r="L76" s="1" t="str">
        <f t="shared" si="4"/>
        <v/>
      </c>
      <c r="M76" s="4" t="str">
        <f t="shared" si="5"/>
        <v/>
      </c>
      <c r="N76" s="17" t="str">
        <f>if(M76&lt;&gt;"",'Actuals - Billing - 2025'!BG308,"")</f>
        <v/>
      </c>
    </row>
    <row r="77">
      <c r="A77" s="7" t="str">
        <f t="shared" si="1"/>
        <v/>
      </c>
      <c r="B77" s="8" t="str">
        <f>if(and('Actuals - Billing - 2025'!E$310=True,C77&lt;&gt;""),'Actuals - Billing - 2025'!C309,"")</f>
        <v/>
      </c>
      <c r="C77" s="9" t="str">
        <f>IF(sum('Actuals - Billing - 2025'!AR309:BA309)&gt;0,'Actuals - Billing - 2025'!B309,"")</f>
        <v/>
      </c>
      <c r="D77" s="148" t="str">
        <f>if(or(E77&lt;&gt;"",F77&lt;&gt;""),'Actuals - Billing - 2025'!AU77,if(G77&lt;&gt;"",35,if(H77&lt;&gt;"",'Actuals - Billing - 2025'!AY77,if(I77&lt;&gt;"",'Actuals - Billing - 2025'!BA77,""))))</f>
        <v/>
      </c>
      <c r="E77" s="11" t="str">
        <f t="array" ref="E77">if($C77="","",index('Actuals - Billing - 2025'!$B77:$BA975,Match($C77,'Actuals - Billing - 2025'!$B77:$B975,0),Match(E$1,'Actuals - Billing - 2025'!$B$2:$BA$2,0)))</f>
        <v/>
      </c>
      <c r="F77" s="11" t="str">
        <f t="array" ref="F77">if($C77="","",index('Actuals - Billing - 2025'!$B77:$BA975,Match($C77,'Actuals - Billing - 2025'!$B77:$B975,0),Match(F$1,'Actuals - Billing - 2025'!$B$2:$BA$2,0)))</f>
        <v/>
      </c>
      <c r="G77" s="11" t="str">
        <f t="array" ref="G77">if($C77="","",index('Actuals - Billing - 2025'!$B77:$BA975,Match($C77,'Actuals - Billing - 2025'!$B77:$B975,0),Match(G$1,'Actuals - Billing - 2025'!$B$2:$BA$2,0)))</f>
        <v/>
      </c>
      <c r="H77" s="11" t="str">
        <f t="array" ref="H77">if($C77="","",index('Actuals - Billing - 2025'!$B77:$BA975,Match($C77,'Actuals - Billing - 2025'!$B77:$B975,0),Match(H$1,'Actuals - Billing - 2025'!$B$2:$BA$2,0)))</f>
        <v/>
      </c>
      <c r="I77" s="11" t="str">
        <f t="array" ref="I77">if($C77="","",index('Actuals - Billing - 2025'!$B77:$BA975,Match($C77,'Actuals - Billing - 2025'!$B77:$B975,0),Match(I$1,'Actuals - Billing - 2025'!$B$2:$BA$2,0)))</f>
        <v/>
      </c>
      <c r="J77" s="11" t="str">
        <f t="shared" si="2"/>
        <v/>
      </c>
      <c r="K77" s="149" t="str">
        <f t="shared" si="3"/>
        <v/>
      </c>
      <c r="L77" s="1" t="str">
        <f t="shared" si="4"/>
        <v/>
      </c>
      <c r="M77" s="4" t="str">
        <f t="shared" si="5"/>
        <v/>
      </c>
      <c r="N77" s="17" t="str">
        <f>if(M77&lt;&gt;"",'Actuals - Billing - 2025'!BG309,"")</f>
        <v/>
      </c>
    </row>
    <row r="78">
      <c r="A78" s="7" t="str">
        <f t="shared" si="1"/>
        <v/>
      </c>
      <c r="B78" s="8" t="str">
        <f>if(and('Actuals - Billing - 2025'!E$310=True,C78&lt;&gt;""),'Actuals - Billing - 2025'!C310,"")</f>
        <v/>
      </c>
      <c r="C78" s="9" t="str">
        <f>IF(sum('Actuals - Billing - 2025'!AR310:BA310)&gt;0,'Actuals - Billing - 2025'!B310,"")</f>
        <v/>
      </c>
      <c r="D78" s="148" t="str">
        <f>if(or(E78&lt;&gt;"",F78&lt;&gt;""),'Actuals - Billing - 2025'!AU78,if(G78&lt;&gt;"",35,if(H78&lt;&gt;"",'Actuals - Billing - 2025'!AY78,if(I78&lt;&gt;"",'Actuals - Billing - 2025'!BA78,""))))</f>
        <v/>
      </c>
      <c r="E78" s="11" t="str">
        <f t="array" ref="E78">if($C78="","",index('Actuals - Billing - 2025'!$B78:$BA976,Match($C78,'Actuals - Billing - 2025'!$B78:$B976,0),Match(E$1,'Actuals - Billing - 2025'!$B$2:$BA$2,0)))</f>
        <v/>
      </c>
      <c r="F78" s="11" t="str">
        <f t="array" ref="F78">if($C78="","",index('Actuals - Billing - 2025'!$B78:$BA976,Match($C78,'Actuals - Billing - 2025'!$B78:$B976,0),Match(F$1,'Actuals - Billing - 2025'!$B$2:$BA$2,0)))</f>
        <v/>
      </c>
      <c r="G78" s="11" t="str">
        <f t="array" ref="G78">if($C78="","",index('Actuals - Billing - 2025'!$B78:$BA976,Match($C78,'Actuals - Billing - 2025'!$B78:$B976,0),Match(G$1,'Actuals - Billing - 2025'!$B$2:$BA$2,0)))</f>
        <v/>
      </c>
      <c r="H78" s="11" t="str">
        <f t="array" ref="H78">if($C78="","",index('Actuals - Billing - 2025'!$B78:$BA976,Match($C78,'Actuals - Billing - 2025'!$B78:$B976,0),Match(H$1,'Actuals - Billing - 2025'!$B$2:$BA$2,0)))</f>
        <v/>
      </c>
      <c r="I78" s="11" t="str">
        <f t="array" ref="I78">if($C78="","",index('Actuals - Billing - 2025'!$B78:$BA976,Match($C78,'Actuals - Billing - 2025'!$B78:$B976,0),Match(I$1,'Actuals - Billing - 2025'!$B$2:$BA$2,0)))</f>
        <v/>
      </c>
      <c r="J78" s="11" t="str">
        <f t="shared" si="2"/>
        <v/>
      </c>
      <c r="K78" s="149" t="str">
        <f t="shared" si="3"/>
        <v/>
      </c>
      <c r="L78" s="1" t="str">
        <f t="shared" si="4"/>
        <v/>
      </c>
      <c r="M78" s="4" t="str">
        <f t="shared" si="5"/>
        <v/>
      </c>
      <c r="N78" s="17" t="str">
        <f>if(M78&lt;&gt;"",'Actuals - Billing - 2025'!BG310,"")</f>
        <v/>
      </c>
    </row>
    <row r="79">
      <c r="A79" s="7" t="str">
        <f t="shared" si="1"/>
        <v/>
      </c>
      <c r="B79" s="8" t="str">
        <f>if(and('Actuals - Billing - 2025'!E$317=True,C79&lt;&gt;""),'Actuals - Billing - 2025'!C311,"")</f>
        <v/>
      </c>
      <c r="C79" s="9" t="str">
        <f>IF(sum('Actuals - Billing - 2025'!AR311:BA311)&gt;0,'Actuals - Billing - 2025'!B311,"")</f>
        <v/>
      </c>
      <c r="D79" s="148" t="str">
        <f>if(or(E79&lt;&gt;"",F79&lt;&gt;""),'Actuals - Billing - 2025'!AU79,if(G79&lt;&gt;"",35,if(H79&lt;&gt;"",'Actuals - Billing - 2025'!AY79,if(I79&lt;&gt;"",'Actuals - Billing - 2025'!BA79,""))))</f>
        <v/>
      </c>
      <c r="E79" s="11" t="str">
        <f t="array" ref="E79">if($C79="","",index('Actuals - Billing - 2025'!$B79:$BA977,Match($C79,'Actuals - Billing - 2025'!$B79:$B977,0),Match(E$1,'Actuals - Billing - 2025'!$B$2:$BA$2,0)))</f>
        <v/>
      </c>
      <c r="F79" s="11" t="str">
        <f t="array" ref="F79">if($C79="","",index('Actuals - Billing - 2025'!$B79:$BA977,Match($C79,'Actuals - Billing - 2025'!$B79:$B977,0),Match(F$1,'Actuals - Billing - 2025'!$B$2:$BA$2,0)))</f>
        <v/>
      </c>
      <c r="G79" s="11" t="str">
        <f t="array" ref="G79">if($C79="","",index('Actuals - Billing - 2025'!$B79:$BA977,Match($C79,'Actuals - Billing - 2025'!$B79:$B977,0),Match(G$1,'Actuals - Billing - 2025'!$B$2:$BA$2,0)))</f>
        <v/>
      </c>
      <c r="H79" s="11" t="str">
        <f t="array" ref="H79">if($C79="","",index('Actuals - Billing - 2025'!$B79:$BA977,Match($C79,'Actuals - Billing - 2025'!$B79:$B977,0),Match(H$1,'Actuals - Billing - 2025'!$B$2:$BA$2,0)))</f>
        <v/>
      </c>
      <c r="I79" s="11" t="str">
        <f t="array" ref="I79">if($C79="","",index('Actuals - Billing - 2025'!$B79:$BA977,Match($C79,'Actuals - Billing - 2025'!$B79:$B977,0),Match(I$1,'Actuals - Billing - 2025'!$B$2:$BA$2,0)))</f>
        <v/>
      </c>
      <c r="J79" s="11" t="str">
        <f t="shared" si="2"/>
        <v/>
      </c>
      <c r="K79" s="149" t="str">
        <f t="shared" si="3"/>
        <v/>
      </c>
      <c r="L79" s="1" t="str">
        <f t="shared" si="4"/>
        <v/>
      </c>
      <c r="M79" s="4" t="str">
        <f t="shared" si="5"/>
        <v/>
      </c>
      <c r="N79" s="17" t="str">
        <f>if(M79&lt;&gt;"",'Actuals - Billing - 2025'!BG311,"")</f>
        <v/>
      </c>
    </row>
    <row r="80">
      <c r="A80" s="7" t="str">
        <f t="shared" si="1"/>
        <v/>
      </c>
      <c r="B80" s="8" t="str">
        <f>if(and('Actuals - Billing - 2025'!E$317=True,C80&lt;&gt;""),'Actuals - Billing - 2025'!C312,"")</f>
        <v/>
      </c>
      <c r="C80" s="9" t="str">
        <f>IF(sum('Actuals - Billing - 2025'!AR312:BA312)&gt;0,'Actuals - Billing - 2025'!B312,"")</f>
        <v/>
      </c>
      <c r="D80" s="148" t="str">
        <f>if(or(E80&lt;&gt;"",F80&lt;&gt;""),'Actuals - Billing - 2025'!AU80,if(G80&lt;&gt;"",35,if(H80&lt;&gt;"",'Actuals - Billing - 2025'!AY80,if(I80&lt;&gt;"",'Actuals - Billing - 2025'!BA80,""))))</f>
        <v/>
      </c>
      <c r="E80" s="11" t="str">
        <f t="array" ref="E80">if($C80="","",index('Actuals - Billing - 2025'!$B80:$BA978,Match($C80,'Actuals - Billing - 2025'!$B80:$B978,0),Match(E$1,'Actuals - Billing - 2025'!$B$2:$BA$2,0)))</f>
        <v/>
      </c>
      <c r="F80" s="11" t="str">
        <f t="array" ref="F80">if($C80="","",index('Actuals - Billing - 2025'!$B80:$BA978,Match($C80,'Actuals - Billing - 2025'!$B80:$B978,0),Match(F$1,'Actuals - Billing - 2025'!$B$2:$BA$2,0)))</f>
        <v/>
      </c>
      <c r="G80" s="11" t="str">
        <f t="array" ref="G80">if($C80="","",index('Actuals - Billing - 2025'!$B80:$BA978,Match($C80,'Actuals - Billing - 2025'!$B80:$B978,0),Match(G$1,'Actuals - Billing - 2025'!$B$2:$BA$2,0)))</f>
        <v/>
      </c>
      <c r="H80" s="11" t="str">
        <f t="array" ref="H80">if($C80="","",index('Actuals - Billing - 2025'!$B80:$BA978,Match($C80,'Actuals - Billing - 2025'!$B80:$B978,0),Match(H$1,'Actuals - Billing - 2025'!$B$2:$BA$2,0)))</f>
        <v/>
      </c>
      <c r="I80" s="11" t="str">
        <f t="array" ref="I80">if($C80="","",index('Actuals - Billing - 2025'!$B80:$BA978,Match($C80,'Actuals - Billing - 2025'!$B80:$B978,0),Match(I$1,'Actuals - Billing - 2025'!$B$2:$BA$2,0)))</f>
        <v/>
      </c>
      <c r="J80" s="11" t="str">
        <f t="shared" si="2"/>
        <v/>
      </c>
      <c r="K80" s="149" t="str">
        <f t="shared" si="3"/>
        <v/>
      </c>
      <c r="L80" s="1" t="str">
        <f t="shared" si="4"/>
        <v/>
      </c>
      <c r="M80" s="4" t="str">
        <f t="shared" si="5"/>
        <v/>
      </c>
      <c r="N80" s="17" t="str">
        <f>if(M80&lt;&gt;"",'Actuals - Billing - 2025'!BG312,"")</f>
        <v/>
      </c>
    </row>
    <row r="81">
      <c r="A81" s="7" t="str">
        <f t="shared" si="1"/>
        <v/>
      </c>
      <c r="B81" s="8" t="str">
        <f>if(and('Actuals - Billing - 2025'!E$317=True,C81&lt;&gt;""),'Actuals - Billing - 2025'!C313,"")</f>
        <v/>
      </c>
      <c r="C81" s="9" t="str">
        <f>IF(sum('Actuals - Billing - 2025'!AR313:BA313)&gt;0,'Actuals - Billing - 2025'!B313,"")</f>
        <v/>
      </c>
      <c r="D81" s="148" t="str">
        <f>if(or(E81&lt;&gt;"",F81&lt;&gt;""),'Actuals - Billing - 2025'!AU81,if(G81&lt;&gt;"",35,if(H81&lt;&gt;"",'Actuals - Billing - 2025'!AY81,if(I81&lt;&gt;"",'Actuals - Billing - 2025'!BA81,""))))</f>
        <v/>
      </c>
      <c r="E81" s="11" t="str">
        <f t="array" ref="E81">if($C81="","",index('Actuals - Billing - 2025'!$B81:$BA979,Match($C81,'Actuals - Billing - 2025'!$B81:$B979,0),Match(E$1,'Actuals - Billing - 2025'!$B$2:$BA$2,0)))</f>
        <v/>
      </c>
      <c r="F81" s="11" t="str">
        <f t="array" ref="F81">if($C81="","",index('Actuals - Billing - 2025'!$B81:$BA979,Match($C81,'Actuals - Billing - 2025'!$B81:$B979,0),Match(F$1,'Actuals - Billing - 2025'!$B$2:$BA$2,0)))</f>
        <v/>
      </c>
      <c r="G81" s="11" t="str">
        <f t="array" ref="G81">if($C81="","",index('Actuals - Billing - 2025'!$B81:$BA979,Match($C81,'Actuals - Billing - 2025'!$B81:$B979,0),Match(G$1,'Actuals - Billing - 2025'!$B$2:$BA$2,0)))</f>
        <v/>
      </c>
      <c r="H81" s="11" t="str">
        <f t="array" ref="H81">if($C81="","",index('Actuals - Billing - 2025'!$B81:$BA979,Match($C81,'Actuals - Billing - 2025'!$B81:$B979,0),Match(H$1,'Actuals - Billing - 2025'!$B$2:$BA$2,0)))</f>
        <v/>
      </c>
      <c r="I81" s="11" t="str">
        <f t="array" ref="I81">if($C81="","",index('Actuals - Billing - 2025'!$B81:$BA979,Match($C81,'Actuals - Billing - 2025'!$B81:$B979,0),Match(I$1,'Actuals - Billing - 2025'!$B$2:$BA$2,0)))</f>
        <v/>
      </c>
      <c r="J81" s="11" t="str">
        <f t="shared" si="2"/>
        <v/>
      </c>
      <c r="K81" s="149" t="str">
        <f t="shared" si="3"/>
        <v/>
      </c>
      <c r="L81" s="1" t="str">
        <f t="shared" si="4"/>
        <v/>
      </c>
      <c r="M81" s="4" t="str">
        <f t="shared" si="5"/>
        <v/>
      </c>
      <c r="N81" s="17" t="str">
        <f>if(M81&lt;&gt;"",'Actuals - Billing - 2025'!BG313,"")</f>
        <v/>
      </c>
    </row>
    <row r="82">
      <c r="A82" s="7" t="str">
        <f t="shared" si="1"/>
        <v/>
      </c>
      <c r="B82" s="8" t="str">
        <f>if(and('Actuals - Billing - 2025'!E$317=True,C82&lt;&gt;""),'Actuals - Billing - 2025'!C314,"")</f>
        <v/>
      </c>
      <c r="C82" s="9" t="str">
        <f>IF(sum('Actuals - Billing - 2025'!AR314:BA314)&gt;0,'Actuals - Billing - 2025'!B314,"")</f>
        <v/>
      </c>
      <c r="D82" s="148" t="str">
        <f>if(or(E82&lt;&gt;"",F82&lt;&gt;""),'Actuals - Billing - 2025'!AU82,if(G82&lt;&gt;"",35,if(H82&lt;&gt;"",'Actuals - Billing - 2025'!AY82,if(I82&lt;&gt;"",'Actuals - Billing - 2025'!BA82,""))))</f>
        <v/>
      </c>
      <c r="E82" s="11" t="str">
        <f t="array" ref="E82">if($C82="","",index('Actuals - Billing - 2025'!$B82:$BA980,Match($C82,'Actuals - Billing - 2025'!$B82:$B980,0),Match(E$1,'Actuals - Billing - 2025'!$B$2:$BA$2,0)))</f>
        <v/>
      </c>
      <c r="F82" s="11" t="str">
        <f t="array" ref="F82">if($C82="","",index('Actuals - Billing - 2025'!$B82:$BA980,Match($C82,'Actuals - Billing - 2025'!$B82:$B980,0),Match(F$1,'Actuals - Billing - 2025'!$B$2:$BA$2,0)))</f>
        <v/>
      </c>
      <c r="G82" s="11" t="str">
        <f t="array" ref="G82">if($C82="","",index('Actuals - Billing - 2025'!$B82:$BA980,Match($C82,'Actuals - Billing - 2025'!$B82:$B980,0),Match(G$1,'Actuals - Billing - 2025'!$B$2:$BA$2,0)))</f>
        <v/>
      </c>
      <c r="H82" s="11" t="str">
        <f t="array" ref="H82">if($C82="","",index('Actuals - Billing - 2025'!$B82:$BA980,Match($C82,'Actuals - Billing - 2025'!$B82:$B980,0),Match(H$1,'Actuals - Billing - 2025'!$B$2:$BA$2,0)))</f>
        <v/>
      </c>
      <c r="I82" s="11" t="str">
        <f t="array" ref="I82">if($C82="","",index('Actuals - Billing - 2025'!$B82:$BA980,Match($C82,'Actuals - Billing - 2025'!$B82:$B980,0),Match(I$1,'Actuals - Billing - 2025'!$B$2:$BA$2,0)))</f>
        <v/>
      </c>
      <c r="J82" s="11" t="str">
        <f t="shared" si="2"/>
        <v/>
      </c>
      <c r="K82" s="149" t="str">
        <f t="shared" si="3"/>
        <v/>
      </c>
      <c r="L82" s="1" t="str">
        <f t="shared" si="4"/>
        <v/>
      </c>
      <c r="M82" s="4" t="str">
        <f t="shared" si="5"/>
        <v/>
      </c>
      <c r="N82" s="17" t="str">
        <f>if(M82&lt;&gt;"",'Actuals - Billing - 2025'!BG314,"")</f>
        <v/>
      </c>
    </row>
    <row r="83">
      <c r="A83" s="7" t="str">
        <f t="shared" si="1"/>
        <v>Rogers Blue Jays Baseball Partnership</v>
      </c>
      <c r="B83" s="8">
        <f>if(and('Actuals - Billing - 2025'!E$317=True,C83&lt;&gt;""),'Actuals - Billing - 2025'!C315,"")</f>
        <v>12.1</v>
      </c>
      <c r="C83" s="9">
        <f>IF(sum('Actuals - Billing - 2025'!AR315:BA315)&gt;0,'Actuals - Billing - 2025'!B315,"")</f>
        <v>45968</v>
      </c>
      <c r="D83" s="148" t="str">
        <f>if(or(E83&lt;&gt;"",F83&lt;&gt;""),'Actuals - Billing - 2025'!AU83,if(G83&lt;&gt;"",35,if(H83&lt;&gt;"",'Actuals - Billing - 2025'!AY83,if(I83&lt;&gt;"",'Actuals - Billing - 2025'!BA83,""))))</f>
        <v/>
      </c>
      <c r="E83" s="11" t="str">
        <f t="array" ref="E83">if($C83="","",index('Actuals - Billing - 2025'!$B83:$BA981,Match($C83,'Actuals - Billing - 2025'!$B83:$B981,0),Match(E$1,'Actuals - Billing - 2025'!$B$2:$BA$2,0)))</f>
        <v/>
      </c>
      <c r="F83" s="11" t="str">
        <f t="array" ref="F83">if($C83="","",index('Actuals - Billing - 2025'!$B83:$BA981,Match($C83,'Actuals - Billing - 2025'!$B83:$B981,0),Match(F$1,'Actuals - Billing - 2025'!$B$2:$BA$2,0)))</f>
        <v/>
      </c>
      <c r="G83" s="11" t="str">
        <f t="array" ref="G83">if($C83="","",index('Actuals - Billing - 2025'!$B83:$BA981,Match($C83,'Actuals - Billing - 2025'!$B83:$B981,0),Match(G$1,'Actuals - Billing - 2025'!$B$2:$BA$2,0)))</f>
        <v/>
      </c>
      <c r="H83" s="11">
        <f t="array" ref="H83">if($C83="","",index('Actuals - Billing - 2025'!$B83:$BA981,Match($C83,'Actuals - Billing - 2025'!$B83:$B981,0),Match(H$1,'Actuals - Billing - 2025'!$B$2:$BA$2,0)))</f>
        <v>35</v>
      </c>
      <c r="I83" s="11" t="str">
        <f t="array" ref="I83">if($C83="","",index('Actuals - Billing - 2025'!$B83:$BA981,Match($C83,'Actuals - Billing - 2025'!$B83:$B981,0),Match(I$1,'Actuals - Billing - 2025'!$B$2:$BA$2,0)))</f>
        <v/>
      </c>
      <c r="J83" s="11">
        <f t="shared" si="2"/>
        <v>35</v>
      </c>
      <c r="K83" s="149">
        <f t="shared" si="3"/>
        <v>0</v>
      </c>
      <c r="L83" s="1" t="str">
        <f t="shared" si="4"/>
        <v>  35</v>
      </c>
      <c r="M83" s="4" t="str">
        <f t="shared" si="5"/>
        <v/>
      </c>
      <c r="N83" s="17" t="str">
        <f>if(M83&lt;&gt;"",'Actuals - Billing - 2025'!BG315,"")</f>
        <v/>
      </c>
    </row>
    <row r="84">
      <c r="A84" s="7" t="str">
        <f t="shared" si="1"/>
        <v/>
      </c>
      <c r="B84" s="8" t="str">
        <f>if(and('Actuals - Billing - 2025'!E$317=True,C84&lt;&gt;""),'Actuals - Billing - 2025'!C316,"")</f>
        <v/>
      </c>
      <c r="C84" s="9" t="str">
        <f>IF(sum('Actuals - Billing - 2025'!AR316:BA316)&gt;0,'Actuals - Billing - 2025'!B316,"")</f>
        <v/>
      </c>
      <c r="D84" s="148" t="str">
        <f>if(or(E84&lt;&gt;"",F84&lt;&gt;""),'Actuals - Billing - 2025'!AU84,if(G84&lt;&gt;"",35,if(H84&lt;&gt;"",'Actuals - Billing - 2025'!AY84,if(I84&lt;&gt;"",'Actuals - Billing - 2025'!BA84,""))))</f>
        <v/>
      </c>
      <c r="E84" s="11" t="str">
        <f t="array" ref="E84">if($C84="","",index('Actuals - Billing - 2025'!$B84:$BA982,Match($C84,'Actuals - Billing - 2025'!$B84:$B982,0),Match(E$1,'Actuals - Billing - 2025'!$B$2:$BA$2,0)))</f>
        <v/>
      </c>
      <c r="F84" s="11" t="str">
        <f t="array" ref="F84">if($C84="","",index('Actuals - Billing - 2025'!$B84:$BA982,Match($C84,'Actuals - Billing - 2025'!$B84:$B982,0),Match(F$1,'Actuals - Billing - 2025'!$B$2:$BA$2,0)))</f>
        <v/>
      </c>
      <c r="G84" s="11" t="str">
        <f t="array" ref="G84">if($C84="","",index('Actuals - Billing - 2025'!$B84:$BA982,Match($C84,'Actuals - Billing - 2025'!$B84:$B982,0),Match(G$1,'Actuals - Billing - 2025'!$B$2:$BA$2,0)))</f>
        <v/>
      </c>
      <c r="H84" s="11" t="str">
        <f t="array" ref="H84">if($C84="","",index('Actuals - Billing - 2025'!$B84:$BA982,Match($C84,'Actuals - Billing - 2025'!$B84:$B982,0),Match(H$1,'Actuals - Billing - 2025'!$B$2:$BA$2,0)))</f>
        <v/>
      </c>
      <c r="I84" s="11" t="str">
        <f t="array" ref="I84">if($C84="","",index('Actuals - Billing - 2025'!$B84:$BA982,Match($C84,'Actuals - Billing - 2025'!$B84:$B982,0),Match(I$1,'Actuals - Billing - 2025'!$B$2:$BA$2,0)))</f>
        <v/>
      </c>
      <c r="J84" s="11" t="str">
        <f t="shared" si="2"/>
        <v/>
      </c>
      <c r="K84" s="149" t="str">
        <f t="shared" si="3"/>
        <v/>
      </c>
      <c r="L84" s="1" t="str">
        <f t="shared" si="4"/>
        <v/>
      </c>
      <c r="M84" s="4" t="str">
        <f t="shared" si="5"/>
        <v/>
      </c>
      <c r="N84" s="17" t="str">
        <f>if(M84&lt;&gt;"",'Actuals - Billing - 2025'!BG316,"")</f>
        <v/>
      </c>
    </row>
    <row r="85">
      <c r="A85" s="7" t="str">
        <f t="shared" si="1"/>
        <v/>
      </c>
      <c r="B85" s="8" t="str">
        <f>if(and('Actuals - Billing - 2025'!E$317=True,C85&lt;&gt;""),'Actuals - Billing - 2025'!C317,"")</f>
        <v/>
      </c>
      <c r="C85" s="9" t="str">
        <f>IF(sum('Actuals - Billing - 2025'!AR317:BA317)&gt;0,'Actuals - Billing - 2025'!B317,"")</f>
        <v/>
      </c>
      <c r="D85" s="148" t="str">
        <f>if(or(E85&lt;&gt;"",F85&lt;&gt;""),'Actuals - Billing - 2025'!AU85,if(G85&lt;&gt;"",35,if(H85&lt;&gt;"",'Actuals - Billing - 2025'!AY85,if(I85&lt;&gt;"",'Actuals - Billing - 2025'!BA85,""))))</f>
        <v/>
      </c>
      <c r="E85" s="11" t="str">
        <f t="array" ref="E85">if($C85="","",index('Actuals - Billing - 2025'!$B85:$BA983,Match($C85,'Actuals - Billing - 2025'!$B85:$B983,0),Match(E$1,'Actuals - Billing - 2025'!$B$2:$BA$2,0)))</f>
        <v/>
      </c>
      <c r="F85" s="11" t="str">
        <f t="array" ref="F85">if($C85="","",index('Actuals - Billing - 2025'!$B85:$BA983,Match($C85,'Actuals - Billing - 2025'!$B85:$B983,0),Match(F$1,'Actuals - Billing - 2025'!$B$2:$BA$2,0)))</f>
        <v/>
      </c>
      <c r="G85" s="11" t="str">
        <f t="array" ref="G85">if($C85="","",index('Actuals - Billing - 2025'!$B85:$BA983,Match($C85,'Actuals - Billing - 2025'!$B85:$B983,0),Match(G$1,'Actuals - Billing - 2025'!$B$2:$BA$2,0)))</f>
        <v/>
      </c>
      <c r="H85" s="11" t="str">
        <f t="array" ref="H85">if($C85="","",index('Actuals - Billing - 2025'!$B85:$BA983,Match($C85,'Actuals - Billing - 2025'!$B85:$B983,0),Match(H$1,'Actuals - Billing - 2025'!$B$2:$BA$2,0)))</f>
        <v/>
      </c>
      <c r="I85" s="11" t="str">
        <f t="array" ref="I85">if($C85="","",index('Actuals - Billing - 2025'!$B85:$BA983,Match($C85,'Actuals - Billing - 2025'!$B85:$B983,0),Match(I$1,'Actuals - Billing - 2025'!$B$2:$BA$2,0)))</f>
        <v/>
      </c>
      <c r="J85" s="11" t="str">
        <f t="shared" si="2"/>
        <v/>
      </c>
      <c r="K85" s="149" t="str">
        <f t="shared" si="3"/>
        <v/>
      </c>
      <c r="L85" s="1" t="str">
        <f t="shared" si="4"/>
        <v/>
      </c>
      <c r="M85" s="4" t="str">
        <f t="shared" si="5"/>
        <v/>
      </c>
      <c r="N85" s="17" t="str">
        <f>if(M85&lt;&gt;"",'Actuals - Billing - 2025'!BG317,"")</f>
        <v/>
      </c>
    </row>
    <row r="86">
      <c r="A86" s="7" t="str">
        <f t="shared" si="1"/>
        <v>Rogers Blue Jays Baseball Partnership</v>
      </c>
      <c r="B86" s="8">
        <f>if(and('Actuals - Billing - 2025'!E$324=True,C86&lt;&gt;""),'Actuals - Billing - 2025'!C318,"")</f>
        <v>12.2</v>
      </c>
      <c r="C86" s="9">
        <f>IF(sum('Actuals - Billing - 2025'!AR318:BA318)&gt;0,'Actuals - Billing - 2025'!B318,"")</f>
        <v>45971</v>
      </c>
      <c r="D86" s="148" t="str">
        <f>if(or(E86&lt;&gt;"",F86&lt;&gt;""),'Actuals - Billing - 2025'!AU86,if(G86&lt;&gt;"",35,if(H86&lt;&gt;"",'Actuals - Billing - 2025'!AY86,if(I86&lt;&gt;"",'Actuals - Billing - 2025'!BA86,""))))</f>
        <v/>
      </c>
      <c r="E86" s="11" t="str">
        <f t="array" ref="E86">if($C86="","",index('Actuals - Billing - 2025'!$B86:$BA984,Match($C86,'Actuals - Billing - 2025'!$B86:$B984,0),Match(E$1,'Actuals - Billing - 2025'!$B$2:$BA$2,0)))</f>
        <v/>
      </c>
      <c r="F86" s="11" t="str">
        <f t="array" ref="F86">if($C86="","",index('Actuals - Billing - 2025'!$B86:$BA984,Match($C86,'Actuals - Billing - 2025'!$B86:$B984,0),Match(F$1,'Actuals - Billing - 2025'!$B$2:$BA$2,0)))</f>
        <v/>
      </c>
      <c r="G86" s="11" t="str">
        <f t="array" ref="G86">if($C86="","",index('Actuals - Billing - 2025'!$B86:$BA984,Match($C86,'Actuals - Billing - 2025'!$B86:$B984,0),Match(G$1,'Actuals - Billing - 2025'!$B$2:$BA$2,0)))</f>
        <v/>
      </c>
      <c r="H86" s="11">
        <f t="array" ref="H86">if($C86="","",index('Actuals - Billing - 2025'!$B86:$BA984,Match($C86,'Actuals - Billing - 2025'!$B86:$B984,0),Match(H$1,'Actuals - Billing - 2025'!$B$2:$BA$2,0)))</f>
        <v>35</v>
      </c>
      <c r="I86" s="11" t="str">
        <f t="array" ref="I86">if($C86="","",index('Actuals - Billing - 2025'!$B86:$BA984,Match($C86,'Actuals - Billing - 2025'!$B86:$B984,0),Match(I$1,'Actuals - Billing - 2025'!$B$2:$BA$2,0)))</f>
        <v/>
      </c>
      <c r="J86" s="11">
        <f t="shared" si="2"/>
        <v>35</v>
      </c>
      <c r="K86" s="149">
        <f t="shared" si="3"/>
        <v>0</v>
      </c>
      <c r="L86" s="1" t="str">
        <f t="shared" si="4"/>
        <v>  35</v>
      </c>
      <c r="M86" s="4" t="str">
        <f t="shared" si="5"/>
        <v/>
      </c>
      <c r="N86" s="17" t="str">
        <f>if(M86&lt;&gt;"",'Actuals - Billing - 2025'!BG318,"")</f>
        <v/>
      </c>
    </row>
    <row r="87">
      <c r="A87" s="7" t="str">
        <f t="shared" si="1"/>
        <v/>
      </c>
      <c r="B87" s="8" t="str">
        <f>if(and('Actuals - Billing - 2025'!E$324=True,C87&lt;&gt;""),'Actuals - Billing - 2025'!C319,"")</f>
        <v/>
      </c>
      <c r="C87" s="9" t="str">
        <f>IF(sum('Actuals - Billing - 2025'!AR319:BA319)&gt;0,'Actuals - Billing - 2025'!B319,"")</f>
        <v/>
      </c>
      <c r="D87" s="148" t="str">
        <f>if(or(E87&lt;&gt;"",F87&lt;&gt;""),'Actuals - Billing - 2025'!AU87,if(G87&lt;&gt;"",35,if(H87&lt;&gt;"",'Actuals - Billing - 2025'!AY87,if(I87&lt;&gt;"",'Actuals - Billing - 2025'!BA87,""))))</f>
        <v/>
      </c>
      <c r="E87" s="11" t="str">
        <f t="array" ref="E87">if($C87="","",index('Actuals - Billing - 2025'!$B87:$BA985,Match($C87,'Actuals - Billing - 2025'!$B87:$B985,0),Match(E$1,'Actuals - Billing - 2025'!$B$2:$BA$2,0)))</f>
        <v/>
      </c>
      <c r="F87" s="11" t="str">
        <f t="array" ref="F87">if($C87="","",index('Actuals - Billing - 2025'!$B87:$BA985,Match($C87,'Actuals - Billing - 2025'!$B87:$B985,0),Match(F$1,'Actuals - Billing - 2025'!$B$2:$BA$2,0)))</f>
        <v/>
      </c>
      <c r="G87" s="11" t="str">
        <f t="array" ref="G87">if($C87="","",index('Actuals - Billing - 2025'!$B87:$BA985,Match($C87,'Actuals - Billing - 2025'!$B87:$B985,0),Match(G$1,'Actuals - Billing - 2025'!$B$2:$BA$2,0)))</f>
        <v/>
      </c>
      <c r="H87" s="11" t="str">
        <f t="array" ref="H87">if($C87="","",index('Actuals - Billing - 2025'!$B87:$BA985,Match($C87,'Actuals - Billing - 2025'!$B87:$B985,0),Match(H$1,'Actuals - Billing - 2025'!$B$2:$BA$2,0)))</f>
        <v/>
      </c>
      <c r="I87" s="11" t="str">
        <f t="array" ref="I87">if($C87="","",index('Actuals - Billing - 2025'!$B87:$BA985,Match($C87,'Actuals - Billing - 2025'!$B87:$B985,0),Match(I$1,'Actuals - Billing - 2025'!$B$2:$BA$2,0)))</f>
        <v/>
      </c>
      <c r="J87" s="11" t="str">
        <f t="shared" si="2"/>
        <v/>
      </c>
      <c r="K87" s="149" t="str">
        <f t="shared" si="3"/>
        <v/>
      </c>
      <c r="L87" s="1" t="str">
        <f t="shared" si="4"/>
        <v/>
      </c>
      <c r="M87" s="4" t="str">
        <f t="shared" si="5"/>
        <v/>
      </c>
      <c r="N87" s="17" t="str">
        <f>if(M87&lt;&gt;"",'Actuals - Billing - 2025'!BG319,"")</f>
        <v/>
      </c>
    </row>
    <row r="88">
      <c r="A88" s="7" t="str">
        <f t="shared" si="1"/>
        <v/>
      </c>
      <c r="B88" s="8" t="str">
        <f>if(and('Actuals - Billing - 2025'!E$324=True,C88&lt;&gt;""),'Actuals - Billing - 2025'!C320,"")</f>
        <v/>
      </c>
      <c r="C88" s="9" t="str">
        <f>IF(sum('Actuals - Billing - 2025'!AR320:BA320)&gt;0,'Actuals - Billing - 2025'!B320,"")</f>
        <v/>
      </c>
      <c r="D88" s="148" t="str">
        <f>if(or(E88&lt;&gt;"",F88&lt;&gt;""),'Actuals - Billing - 2025'!AU88,if(G88&lt;&gt;"",35,if(H88&lt;&gt;"",'Actuals - Billing - 2025'!AY88,if(I88&lt;&gt;"",'Actuals - Billing - 2025'!BA88,""))))</f>
        <v/>
      </c>
      <c r="E88" s="11" t="str">
        <f t="array" ref="E88">if($C88="","",index('Actuals - Billing - 2025'!$B88:$BA986,Match($C88,'Actuals - Billing - 2025'!$B88:$B986,0),Match(E$1,'Actuals - Billing - 2025'!$B$2:$BA$2,0)))</f>
        <v/>
      </c>
      <c r="F88" s="11" t="str">
        <f t="array" ref="F88">if($C88="","",index('Actuals - Billing - 2025'!$B88:$BA986,Match($C88,'Actuals - Billing - 2025'!$B88:$B986,0),Match(F$1,'Actuals - Billing - 2025'!$B$2:$BA$2,0)))</f>
        <v/>
      </c>
      <c r="G88" s="11" t="str">
        <f t="array" ref="G88">if($C88="","",index('Actuals - Billing - 2025'!$B88:$BA986,Match($C88,'Actuals - Billing - 2025'!$B88:$B986,0),Match(G$1,'Actuals - Billing - 2025'!$B$2:$BA$2,0)))</f>
        <v/>
      </c>
      <c r="H88" s="11" t="str">
        <f t="array" ref="H88">if($C88="","",index('Actuals - Billing - 2025'!$B88:$BA986,Match($C88,'Actuals - Billing - 2025'!$B88:$B986,0),Match(H$1,'Actuals - Billing - 2025'!$B$2:$BA$2,0)))</f>
        <v/>
      </c>
      <c r="I88" s="11" t="str">
        <f t="array" ref="I88">if($C88="","",index('Actuals - Billing - 2025'!$B88:$BA986,Match($C88,'Actuals - Billing - 2025'!$B88:$B986,0),Match(I$1,'Actuals - Billing - 2025'!$B$2:$BA$2,0)))</f>
        <v/>
      </c>
      <c r="J88" s="11" t="str">
        <f t="shared" si="2"/>
        <v/>
      </c>
      <c r="K88" s="149" t="str">
        <f t="shared" si="3"/>
        <v/>
      </c>
      <c r="L88" s="1" t="str">
        <f t="shared" si="4"/>
        <v/>
      </c>
      <c r="M88" s="4" t="str">
        <f t="shared" si="5"/>
        <v/>
      </c>
      <c r="N88" s="17" t="str">
        <f>if(M88&lt;&gt;"",'Actuals - Billing - 2025'!BG320,"")</f>
        <v/>
      </c>
    </row>
    <row r="89">
      <c r="A89" s="7" t="str">
        <f t="shared" si="1"/>
        <v/>
      </c>
      <c r="B89" s="8" t="str">
        <f>if(and('Actuals - Billing - 2025'!E$324=True,C89&lt;&gt;""),'Actuals - Billing - 2025'!C321,"")</f>
        <v/>
      </c>
      <c r="C89" s="9" t="str">
        <f>IF(sum('Actuals - Billing - 2025'!AR321:BA321)&gt;0,'Actuals - Billing - 2025'!B321,"")</f>
        <v/>
      </c>
      <c r="D89" s="148" t="str">
        <f>if(or(E89&lt;&gt;"",F89&lt;&gt;""),'Actuals - Billing - 2025'!AU89,if(G89&lt;&gt;"",35,if(H89&lt;&gt;"",'Actuals - Billing - 2025'!AY89,if(I89&lt;&gt;"",'Actuals - Billing - 2025'!BA89,""))))</f>
        <v/>
      </c>
      <c r="E89" s="11" t="str">
        <f t="array" ref="E89">if($C89="","",index('Actuals - Billing - 2025'!$B89:$BA987,Match($C89,'Actuals - Billing - 2025'!$B89:$B987,0),Match(E$1,'Actuals - Billing - 2025'!$B$2:$BA$2,0)))</f>
        <v/>
      </c>
      <c r="F89" s="11" t="str">
        <f t="array" ref="F89">if($C89="","",index('Actuals - Billing - 2025'!$B89:$BA987,Match($C89,'Actuals - Billing - 2025'!$B89:$B987,0),Match(F$1,'Actuals - Billing - 2025'!$B$2:$BA$2,0)))</f>
        <v/>
      </c>
      <c r="G89" s="11" t="str">
        <f t="array" ref="G89">if($C89="","",index('Actuals - Billing - 2025'!$B89:$BA987,Match($C89,'Actuals - Billing - 2025'!$B89:$B987,0),Match(G$1,'Actuals - Billing - 2025'!$B$2:$BA$2,0)))</f>
        <v/>
      </c>
      <c r="H89" s="11" t="str">
        <f t="array" ref="H89">if($C89="","",index('Actuals - Billing - 2025'!$B89:$BA987,Match($C89,'Actuals - Billing - 2025'!$B89:$B987,0),Match(H$1,'Actuals - Billing - 2025'!$B$2:$BA$2,0)))</f>
        <v/>
      </c>
      <c r="I89" s="11" t="str">
        <f t="array" ref="I89">if($C89="","",index('Actuals - Billing - 2025'!$B89:$BA987,Match($C89,'Actuals - Billing - 2025'!$B89:$B987,0),Match(I$1,'Actuals - Billing - 2025'!$B$2:$BA$2,0)))</f>
        <v/>
      </c>
      <c r="J89" s="11" t="str">
        <f t="shared" si="2"/>
        <v/>
      </c>
      <c r="K89" s="149" t="str">
        <f t="shared" si="3"/>
        <v/>
      </c>
      <c r="L89" s="1" t="str">
        <f t="shared" si="4"/>
        <v/>
      </c>
      <c r="M89" s="4" t="str">
        <f t="shared" si="5"/>
        <v/>
      </c>
      <c r="N89" s="17" t="str">
        <f>if(M89&lt;&gt;"",'Actuals - Billing - 2025'!BG321,"")</f>
        <v/>
      </c>
    </row>
    <row r="90">
      <c r="A90" s="7" t="str">
        <f t="shared" si="1"/>
        <v>Rogers Blue Jays Baseball Partnership</v>
      </c>
      <c r="B90" s="8">
        <f>if(and('Actuals - Billing - 2025'!E$324=True,C90&lt;&gt;""),'Actuals - Billing - 2025'!C322,"")</f>
        <v>12.2</v>
      </c>
      <c r="C90" s="9">
        <f>IF(sum('Actuals - Billing - 2025'!AR322:BA322)&gt;0,'Actuals - Billing - 2025'!B322,"")</f>
        <v>45975</v>
      </c>
      <c r="D90" s="148" t="str">
        <f>if(or(E90&lt;&gt;"",F90&lt;&gt;""),'Actuals - Billing - 2025'!AU90,if(G90&lt;&gt;"",35,if(H90&lt;&gt;"",'Actuals - Billing - 2025'!AY90,if(I90&lt;&gt;"",'Actuals - Billing - 2025'!BA90,""))))</f>
        <v/>
      </c>
      <c r="E90" s="11">
        <f t="array" ref="E90">if($C90="","",index('Actuals - Billing - 2025'!$B90:$BA988,Match($C90,'Actuals - Billing - 2025'!$B90:$B988,0),Match(E$1,'Actuals - Billing - 2025'!$B$2:$BA$2,0)))</f>
        <v>180</v>
      </c>
      <c r="F90" s="11" t="str">
        <f t="array" ref="F90">if($C90="","",index('Actuals - Billing - 2025'!$B90:$BA988,Match($C90,'Actuals - Billing - 2025'!$B90:$B988,0),Match(F$1,'Actuals - Billing - 2025'!$B$2:$BA$2,0)))</f>
        <v/>
      </c>
      <c r="G90" s="11" t="str">
        <f t="array" ref="G90">if($C90="","",index('Actuals - Billing - 2025'!$B90:$BA988,Match($C90,'Actuals - Billing - 2025'!$B90:$B988,0),Match(G$1,'Actuals - Billing - 2025'!$B$2:$BA$2,0)))</f>
        <v/>
      </c>
      <c r="H90" s="11" t="str">
        <f t="array" ref="H90">if($C90="","",index('Actuals - Billing - 2025'!$B90:$BA988,Match($C90,'Actuals - Billing - 2025'!$B90:$B988,0),Match(H$1,'Actuals - Billing - 2025'!$B$2:$BA$2,0)))</f>
        <v/>
      </c>
      <c r="I90" s="11" t="str">
        <f t="array" ref="I90">if($C90="","",index('Actuals - Billing - 2025'!$B90:$BA988,Match($C90,'Actuals - Billing - 2025'!$B90:$B988,0),Match(I$1,'Actuals - Billing - 2025'!$B$2:$BA$2,0)))</f>
        <v/>
      </c>
      <c r="J90" s="11">
        <f t="shared" si="2"/>
        <v>180</v>
      </c>
      <c r="K90" s="149">
        <f t="shared" si="3"/>
        <v>0</v>
      </c>
      <c r="L90" s="1" t="str">
        <f t="shared" si="4"/>
        <v>MLB G&amp;G - Pantry 180</v>
      </c>
      <c r="M90" s="4" t="str">
        <f t="shared" si="5"/>
        <v>MLB G&amp;G - Pantry</v>
      </c>
      <c r="N90" s="17">
        <f>if(M90&lt;&gt;"",'Actuals - Billing - 2025'!BG322,"")</f>
        <v>45977</v>
      </c>
    </row>
    <row r="91">
      <c r="A91" s="7" t="str">
        <f t="shared" si="1"/>
        <v/>
      </c>
      <c r="B91" s="8" t="str">
        <f>if(and('Actuals - Billing - 2025'!E$324=True,C91&lt;&gt;""),'Actuals - Billing - 2025'!C323,"")</f>
        <v/>
      </c>
      <c r="C91" s="9" t="str">
        <f>IF(sum('Actuals - Billing - 2025'!AR323:BA323)&gt;0,'Actuals - Billing - 2025'!B323,"")</f>
        <v/>
      </c>
      <c r="D91" s="148" t="str">
        <f>if(or(E91&lt;&gt;"",F91&lt;&gt;""),'Actuals - Billing - 2025'!AU91,if(G91&lt;&gt;"",35,if(H91&lt;&gt;"",'Actuals - Billing - 2025'!AY91,if(I91&lt;&gt;"",'Actuals - Billing - 2025'!BA91,""))))</f>
        <v/>
      </c>
      <c r="E91" s="11" t="str">
        <f t="array" ref="E91">if($C91="","",index('Actuals - Billing - 2025'!$B91:$BA989,Match($C91,'Actuals - Billing - 2025'!$B91:$B989,0),Match(E$1,'Actuals - Billing - 2025'!$B$2:$BA$2,0)))</f>
        <v/>
      </c>
      <c r="F91" s="11" t="str">
        <f t="array" ref="F91">if($C91="","",index('Actuals - Billing - 2025'!$B91:$BA989,Match($C91,'Actuals - Billing - 2025'!$B91:$B989,0),Match(F$1,'Actuals - Billing - 2025'!$B$2:$BA$2,0)))</f>
        <v/>
      </c>
      <c r="G91" s="11" t="str">
        <f t="array" ref="G91">if($C91="","",index('Actuals - Billing - 2025'!$B91:$BA989,Match($C91,'Actuals - Billing - 2025'!$B91:$B989,0),Match(G$1,'Actuals - Billing - 2025'!$B$2:$BA$2,0)))</f>
        <v/>
      </c>
      <c r="H91" s="11" t="str">
        <f t="array" ref="H91">if($C91="","",index('Actuals - Billing - 2025'!$B91:$BA989,Match($C91,'Actuals - Billing - 2025'!$B91:$B989,0),Match(H$1,'Actuals - Billing - 2025'!$B$2:$BA$2,0)))</f>
        <v/>
      </c>
      <c r="I91" s="11" t="str">
        <f t="array" ref="I91">if($C91="","",index('Actuals - Billing - 2025'!$B91:$BA989,Match($C91,'Actuals - Billing - 2025'!$B91:$B989,0),Match(I$1,'Actuals - Billing - 2025'!$B$2:$BA$2,0)))</f>
        <v/>
      </c>
      <c r="J91" s="11" t="str">
        <f t="shared" si="2"/>
        <v/>
      </c>
      <c r="K91" s="149" t="str">
        <f t="shared" si="3"/>
        <v/>
      </c>
      <c r="L91" s="1" t="str">
        <f t="shared" si="4"/>
        <v/>
      </c>
      <c r="M91" s="4" t="str">
        <f t="shared" si="5"/>
        <v/>
      </c>
      <c r="N91" s="17" t="str">
        <f>if(M91&lt;&gt;"",'Actuals - Billing - 2025'!BG323,"")</f>
        <v/>
      </c>
    </row>
    <row r="92">
      <c r="A92" s="7" t="str">
        <f t="shared" si="1"/>
        <v/>
      </c>
      <c r="B92" s="8" t="str">
        <f>if(and('Actuals - Billing - 2025'!E$324=True,C92&lt;&gt;""),'Actuals - Billing - 2025'!C324,"")</f>
        <v/>
      </c>
      <c r="C92" s="9" t="str">
        <f>IF(sum('Actuals - Billing - 2025'!AR324:BA324)&gt;0,'Actuals - Billing - 2025'!B324,"")</f>
        <v/>
      </c>
      <c r="D92" s="148" t="str">
        <f>if(or(E92&lt;&gt;"",F92&lt;&gt;""),'Actuals - Billing - 2025'!AU92,if(G92&lt;&gt;"",35,if(H92&lt;&gt;"",'Actuals - Billing - 2025'!AY92,if(I92&lt;&gt;"",'Actuals - Billing - 2025'!BA92,""))))</f>
        <v/>
      </c>
      <c r="E92" s="11" t="str">
        <f t="array" ref="E92">if($C92="","",index('Actuals - Billing - 2025'!$B92:$BA990,Match($C92,'Actuals - Billing - 2025'!$B92:$B990,0),Match(E$1,'Actuals - Billing - 2025'!$B$2:$BA$2,0)))</f>
        <v/>
      </c>
      <c r="F92" s="11" t="str">
        <f t="array" ref="F92">if($C92="","",index('Actuals - Billing - 2025'!$B92:$BA990,Match($C92,'Actuals - Billing - 2025'!$B92:$B990,0),Match(F$1,'Actuals - Billing - 2025'!$B$2:$BA$2,0)))</f>
        <v/>
      </c>
      <c r="G92" s="11" t="str">
        <f t="array" ref="G92">if($C92="","",index('Actuals - Billing - 2025'!$B92:$BA990,Match($C92,'Actuals - Billing - 2025'!$B92:$B990,0),Match(G$1,'Actuals - Billing - 2025'!$B$2:$BA$2,0)))</f>
        <v/>
      </c>
      <c r="H92" s="11" t="str">
        <f t="array" ref="H92">if($C92="","",index('Actuals - Billing - 2025'!$B92:$BA990,Match($C92,'Actuals - Billing - 2025'!$B92:$B990,0),Match(H$1,'Actuals - Billing - 2025'!$B$2:$BA$2,0)))</f>
        <v/>
      </c>
      <c r="I92" s="11" t="str">
        <f t="array" ref="I92">if($C92="","",index('Actuals - Billing - 2025'!$B92:$BA990,Match($C92,'Actuals - Billing - 2025'!$B92:$B990,0),Match(I$1,'Actuals - Billing - 2025'!$B$2:$BA$2,0)))</f>
        <v/>
      </c>
      <c r="J92" s="11" t="str">
        <f t="shared" si="2"/>
        <v/>
      </c>
      <c r="K92" s="149" t="str">
        <f t="shared" si="3"/>
        <v/>
      </c>
      <c r="L92" s="1" t="str">
        <f t="shared" si="4"/>
        <v/>
      </c>
      <c r="M92" s="4" t="str">
        <f t="shared" si="5"/>
        <v/>
      </c>
      <c r="N92" s="17" t="str">
        <f>if(M92&lt;&gt;"",'Actuals - Billing - 2025'!BG324,"")</f>
        <v/>
      </c>
    </row>
    <row r="93">
      <c r="A93" s="7" t="str">
        <f t="shared" si="1"/>
        <v/>
      </c>
      <c r="B93" s="8" t="str">
        <f>if(and('Actuals - Billing - 2025'!E$331=True,C93&lt;&gt;""),'Actuals - Billing - 2025'!C325,"")</f>
        <v/>
      </c>
      <c r="C93" s="9" t="str">
        <f>IF(sum('Actuals - Billing - 2025'!AR325:BA325)&gt;0,'Actuals - Billing - 2025'!B325,"")</f>
        <v/>
      </c>
      <c r="D93" s="148" t="str">
        <f>if(or(E93&lt;&gt;"",F93&lt;&gt;""),'Actuals - Billing - 2025'!AU93,if(G93&lt;&gt;"",35,if(H93&lt;&gt;"",'Actuals - Billing - 2025'!AY93,if(I93&lt;&gt;"",'Actuals - Billing - 2025'!BA93,""))))</f>
        <v/>
      </c>
      <c r="E93" s="11" t="str">
        <f t="array" ref="E93">if($C93="","",index('Actuals - Billing - 2025'!$B93:$BA991,Match($C93,'Actuals - Billing - 2025'!$B93:$B991,0),Match(E$1,'Actuals - Billing - 2025'!$B$2:$BA$2,0)))</f>
        <v/>
      </c>
      <c r="F93" s="11" t="str">
        <f t="array" ref="F93">if($C93="","",index('Actuals - Billing - 2025'!$B93:$BA991,Match($C93,'Actuals - Billing - 2025'!$B93:$B991,0),Match(F$1,'Actuals - Billing - 2025'!$B$2:$BA$2,0)))</f>
        <v/>
      </c>
      <c r="G93" s="11" t="str">
        <f t="array" ref="G93">if($C93="","",index('Actuals - Billing - 2025'!$B93:$BA991,Match($C93,'Actuals - Billing - 2025'!$B93:$B991,0),Match(G$1,'Actuals - Billing - 2025'!$B$2:$BA$2,0)))</f>
        <v/>
      </c>
      <c r="H93" s="11" t="str">
        <f t="array" ref="H93">if($C93="","",index('Actuals - Billing - 2025'!$B93:$BA991,Match($C93,'Actuals - Billing - 2025'!$B93:$B991,0),Match(H$1,'Actuals - Billing - 2025'!$B$2:$BA$2,0)))</f>
        <v/>
      </c>
      <c r="I93" s="11" t="str">
        <f t="array" ref="I93">if($C93="","",index('Actuals - Billing - 2025'!$B93:$BA991,Match($C93,'Actuals - Billing - 2025'!$B93:$B991,0),Match(I$1,'Actuals - Billing - 2025'!$B$2:$BA$2,0)))</f>
        <v/>
      </c>
      <c r="J93" s="11" t="str">
        <f t="shared" si="2"/>
        <v/>
      </c>
      <c r="K93" s="149" t="str">
        <f t="shared" si="3"/>
        <v/>
      </c>
      <c r="L93" s="1" t="str">
        <f t="shared" si="4"/>
        <v/>
      </c>
      <c r="M93" s="4" t="str">
        <f t="shared" si="5"/>
        <v/>
      </c>
      <c r="N93" s="17" t="str">
        <f>if(M93&lt;&gt;"",'Actuals - Billing - 2025'!BG325,"")</f>
        <v/>
      </c>
    </row>
    <row r="94">
      <c r="A94" s="7" t="str">
        <f t="shared" si="1"/>
        <v/>
      </c>
      <c r="B94" s="8" t="str">
        <f>if(and('Actuals - Billing - 2025'!E$331=True,C94&lt;&gt;""),'Actuals - Billing - 2025'!C326,"")</f>
        <v/>
      </c>
      <c r="C94" s="9" t="str">
        <f>IF(sum('Actuals - Billing - 2025'!AR326:BA326)&gt;0,'Actuals - Billing - 2025'!B326,"")</f>
        <v/>
      </c>
      <c r="D94" s="148" t="str">
        <f>if(or(E94&lt;&gt;"",F94&lt;&gt;""),'Actuals - Billing - 2025'!AU94,if(G94&lt;&gt;"",35,if(H94&lt;&gt;"",'Actuals - Billing - 2025'!AY94,if(I94&lt;&gt;"",'Actuals - Billing - 2025'!BA94,""))))</f>
        <v/>
      </c>
      <c r="E94" s="11" t="str">
        <f t="array" ref="E94">if($C94="","",index('Actuals - Billing - 2025'!$B94:$BA992,Match($C94,'Actuals - Billing - 2025'!$B94:$B992,0),Match(E$1,'Actuals - Billing - 2025'!$B$2:$BA$2,0)))</f>
        <v/>
      </c>
      <c r="F94" s="11" t="str">
        <f t="array" ref="F94">if($C94="","",index('Actuals - Billing - 2025'!$B94:$BA992,Match($C94,'Actuals - Billing - 2025'!$B94:$B992,0),Match(F$1,'Actuals - Billing - 2025'!$B$2:$BA$2,0)))</f>
        <v/>
      </c>
      <c r="G94" s="11" t="str">
        <f t="array" ref="G94">if($C94="","",index('Actuals - Billing - 2025'!$B94:$BA992,Match($C94,'Actuals - Billing - 2025'!$B94:$B992,0),Match(G$1,'Actuals - Billing - 2025'!$B$2:$BA$2,0)))</f>
        <v/>
      </c>
      <c r="H94" s="11" t="str">
        <f t="array" ref="H94">if($C94="","",index('Actuals - Billing - 2025'!$B94:$BA992,Match($C94,'Actuals - Billing - 2025'!$B94:$B992,0),Match(H$1,'Actuals - Billing - 2025'!$B$2:$BA$2,0)))</f>
        <v/>
      </c>
      <c r="I94" s="11" t="str">
        <f t="array" ref="I94">if($C94="","",index('Actuals - Billing - 2025'!$B94:$BA992,Match($C94,'Actuals - Billing - 2025'!$B94:$B992,0),Match(I$1,'Actuals - Billing - 2025'!$B$2:$BA$2,0)))</f>
        <v/>
      </c>
      <c r="J94" s="11" t="str">
        <f t="shared" si="2"/>
        <v/>
      </c>
      <c r="K94" s="149" t="str">
        <f t="shared" si="3"/>
        <v/>
      </c>
      <c r="L94" s="1" t="str">
        <f t="shared" si="4"/>
        <v/>
      </c>
      <c r="M94" s="4" t="str">
        <f t="shared" si="5"/>
        <v/>
      </c>
      <c r="N94" s="17" t="str">
        <f>if(M94&lt;&gt;"",'Actuals - Billing - 2025'!BG326,"")</f>
        <v/>
      </c>
    </row>
    <row r="95">
      <c r="A95" s="7" t="str">
        <f t="shared" si="1"/>
        <v/>
      </c>
      <c r="B95" s="8" t="str">
        <f>if(and('Actuals - Billing - 2025'!E$331=True,C95&lt;&gt;""),'Actuals - Billing - 2025'!C327,"")</f>
        <v/>
      </c>
      <c r="C95" s="9" t="str">
        <f>IF(sum('Actuals - Billing - 2025'!AR327:BA327)&gt;0,'Actuals - Billing - 2025'!B327,"")</f>
        <v/>
      </c>
      <c r="D95" s="148" t="str">
        <f>if(or(E95&lt;&gt;"",F95&lt;&gt;""),'Actuals - Billing - 2025'!AU95,if(G95&lt;&gt;"",35,if(H95&lt;&gt;"",'Actuals - Billing - 2025'!AY95,if(I95&lt;&gt;"",'Actuals - Billing - 2025'!BA95,""))))</f>
        <v/>
      </c>
      <c r="E95" s="11" t="str">
        <f t="array" ref="E95">if($C95="","",index('Actuals - Billing - 2025'!$B95:$BA993,Match($C95,'Actuals - Billing - 2025'!$B95:$B993,0),Match(E$1,'Actuals - Billing - 2025'!$B$2:$BA$2,0)))</f>
        <v/>
      </c>
      <c r="F95" s="11" t="str">
        <f t="array" ref="F95">if($C95="","",index('Actuals - Billing - 2025'!$B95:$BA993,Match($C95,'Actuals - Billing - 2025'!$B95:$B993,0),Match(F$1,'Actuals - Billing - 2025'!$B$2:$BA$2,0)))</f>
        <v/>
      </c>
      <c r="G95" s="11" t="str">
        <f t="array" ref="G95">if($C95="","",index('Actuals - Billing - 2025'!$B95:$BA993,Match($C95,'Actuals - Billing - 2025'!$B95:$B993,0),Match(G$1,'Actuals - Billing - 2025'!$B$2:$BA$2,0)))</f>
        <v/>
      </c>
      <c r="H95" s="11" t="str">
        <f t="array" ref="H95">if($C95="","",index('Actuals - Billing - 2025'!$B95:$BA993,Match($C95,'Actuals - Billing - 2025'!$B95:$B993,0),Match(H$1,'Actuals - Billing - 2025'!$B$2:$BA$2,0)))</f>
        <v/>
      </c>
      <c r="I95" s="11" t="str">
        <f t="array" ref="I95">if($C95="","",index('Actuals - Billing - 2025'!$B95:$BA993,Match($C95,'Actuals - Billing - 2025'!$B95:$B993,0),Match(I$1,'Actuals - Billing - 2025'!$B$2:$BA$2,0)))</f>
        <v/>
      </c>
      <c r="J95" s="11" t="str">
        <f t="shared" si="2"/>
        <v/>
      </c>
      <c r="K95" s="149" t="str">
        <f t="shared" si="3"/>
        <v/>
      </c>
      <c r="L95" s="1" t="str">
        <f t="shared" si="4"/>
        <v/>
      </c>
      <c r="M95" s="4" t="str">
        <f t="shared" si="5"/>
        <v/>
      </c>
      <c r="N95" s="17" t="str">
        <f>if(M95&lt;&gt;"",'Actuals - Billing - 2025'!BG327,"")</f>
        <v/>
      </c>
    </row>
    <row r="96">
      <c r="A96" s="7" t="str">
        <f t="shared" si="1"/>
        <v/>
      </c>
      <c r="B96" s="8" t="str">
        <f>if(and('Actuals - Billing - 2025'!E$331=True,C96&lt;&gt;""),'Actuals - Billing - 2025'!C328,"")</f>
        <v/>
      </c>
      <c r="C96" s="9" t="str">
        <f>IF(sum('Actuals - Billing - 2025'!AR328:BA328)&gt;0,'Actuals - Billing - 2025'!B328,"")</f>
        <v/>
      </c>
      <c r="D96" s="148" t="str">
        <f>if(or(E96&lt;&gt;"",F96&lt;&gt;""),'Actuals - Billing - 2025'!AU96,if(G96&lt;&gt;"",35,if(H96&lt;&gt;"",'Actuals - Billing - 2025'!AY96,if(I96&lt;&gt;"",'Actuals - Billing - 2025'!BA96,""))))</f>
        <v/>
      </c>
      <c r="E96" s="11" t="str">
        <f t="array" ref="E96">if($C96="","",index('Actuals - Billing - 2025'!$B96:$BA994,Match($C96,'Actuals - Billing - 2025'!$B96:$B994,0),Match(E$1,'Actuals - Billing - 2025'!$B$2:$BA$2,0)))</f>
        <v/>
      </c>
      <c r="F96" s="11" t="str">
        <f t="array" ref="F96">if($C96="","",index('Actuals - Billing - 2025'!$B96:$BA994,Match($C96,'Actuals - Billing - 2025'!$B96:$B994,0),Match(F$1,'Actuals - Billing - 2025'!$B$2:$BA$2,0)))</f>
        <v/>
      </c>
      <c r="G96" s="11" t="str">
        <f t="array" ref="G96">if($C96="","",index('Actuals - Billing - 2025'!$B96:$BA994,Match($C96,'Actuals - Billing - 2025'!$B96:$B994,0),Match(G$1,'Actuals - Billing - 2025'!$B$2:$BA$2,0)))</f>
        <v/>
      </c>
      <c r="H96" s="11" t="str">
        <f t="array" ref="H96">if($C96="","",index('Actuals - Billing - 2025'!$B96:$BA994,Match($C96,'Actuals - Billing - 2025'!$B96:$B994,0),Match(H$1,'Actuals - Billing - 2025'!$B$2:$BA$2,0)))</f>
        <v/>
      </c>
      <c r="I96" s="11" t="str">
        <f t="array" ref="I96">if($C96="","",index('Actuals - Billing - 2025'!$B96:$BA994,Match($C96,'Actuals - Billing - 2025'!$B96:$B994,0),Match(I$1,'Actuals - Billing - 2025'!$B$2:$BA$2,0)))</f>
        <v/>
      </c>
      <c r="J96" s="11" t="str">
        <f t="shared" si="2"/>
        <v/>
      </c>
      <c r="K96" s="149" t="str">
        <f t="shared" si="3"/>
        <v/>
      </c>
      <c r="L96" s="1" t="str">
        <f t="shared" si="4"/>
        <v/>
      </c>
      <c r="M96" s="4" t="str">
        <f t="shared" si="5"/>
        <v/>
      </c>
      <c r="N96" s="17" t="str">
        <f>if(M96&lt;&gt;"",'Actuals - Billing - 2025'!BG328,"")</f>
        <v/>
      </c>
    </row>
    <row r="97">
      <c r="A97" s="7" t="str">
        <f t="shared" si="1"/>
        <v/>
      </c>
      <c r="B97" s="8" t="str">
        <f>if(and('Actuals - Billing - 2025'!E$331=True,C97&lt;&gt;""),'Actuals - Billing - 2025'!C329,"")</f>
        <v/>
      </c>
      <c r="C97" s="9" t="str">
        <f>IF(sum('Actuals - Billing - 2025'!AR329:BA329)&gt;0,'Actuals - Billing - 2025'!B329,"")</f>
        <v/>
      </c>
      <c r="D97" s="148" t="str">
        <f>if(or(E97&lt;&gt;"",F97&lt;&gt;""),'Actuals - Billing - 2025'!AU97,if(G97&lt;&gt;"",35,if(H97&lt;&gt;"",'Actuals - Billing - 2025'!AY97,if(I97&lt;&gt;"",'Actuals - Billing - 2025'!BA97,""))))</f>
        <v/>
      </c>
      <c r="E97" s="11" t="str">
        <f t="array" ref="E97">if($C97="","",index('Actuals - Billing - 2025'!$B97:$BA995,Match($C97,'Actuals - Billing - 2025'!$B97:$B995,0),Match(E$1,'Actuals - Billing - 2025'!$B$2:$BA$2,0)))</f>
        <v/>
      </c>
      <c r="F97" s="11" t="str">
        <f t="array" ref="F97">if($C97="","",index('Actuals - Billing - 2025'!$B97:$BA995,Match($C97,'Actuals - Billing - 2025'!$B97:$B995,0),Match(F$1,'Actuals - Billing - 2025'!$B$2:$BA$2,0)))</f>
        <v/>
      </c>
      <c r="G97" s="11" t="str">
        <f t="array" ref="G97">if($C97="","",index('Actuals - Billing - 2025'!$B97:$BA995,Match($C97,'Actuals - Billing - 2025'!$B97:$B995,0),Match(G$1,'Actuals - Billing - 2025'!$B$2:$BA$2,0)))</f>
        <v/>
      </c>
      <c r="H97" s="11" t="str">
        <f t="array" ref="H97">if($C97="","",index('Actuals - Billing - 2025'!$B97:$BA995,Match($C97,'Actuals - Billing - 2025'!$B97:$B995,0),Match(H$1,'Actuals - Billing - 2025'!$B$2:$BA$2,0)))</f>
        <v/>
      </c>
      <c r="I97" s="11" t="str">
        <f t="array" ref="I97">if($C97="","",index('Actuals - Billing - 2025'!$B97:$BA995,Match($C97,'Actuals - Billing - 2025'!$B97:$B995,0),Match(I$1,'Actuals - Billing - 2025'!$B$2:$BA$2,0)))</f>
        <v/>
      </c>
      <c r="J97" s="11" t="str">
        <f t="shared" si="2"/>
        <v/>
      </c>
      <c r="K97" s="149" t="str">
        <f t="shared" si="3"/>
        <v/>
      </c>
      <c r="L97" s="1" t="str">
        <f t="shared" si="4"/>
        <v/>
      </c>
      <c r="M97" s="4" t="str">
        <f t="shared" si="5"/>
        <v/>
      </c>
      <c r="N97" s="17" t="str">
        <f>if(M97&lt;&gt;"",'Actuals - Billing - 2025'!BG329,"")</f>
        <v/>
      </c>
    </row>
    <row r="98">
      <c r="A98" s="7" t="str">
        <f t="shared" si="1"/>
        <v/>
      </c>
      <c r="B98" s="8" t="str">
        <f>if(and('Actuals - Billing - 2025'!E$331=True,C98&lt;&gt;""),'Actuals - Billing - 2025'!C330,"")</f>
        <v/>
      </c>
      <c r="C98" s="9" t="str">
        <f>IF(sum('Actuals - Billing - 2025'!AR330:BA330)&gt;0,'Actuals - Billing - 2025'!B330,"")</f>
        <v/>
      </c>
      <c r="D98" s="148" t="str">
        <f>if(or(E98&lt;&gt;"",F98&lt;&gt;""),'Actuals - Billing - 2025'!AU98,if(G98&lt;&gt;"",35,if(H98&lt;&gt;"",'Actuals - Billing - 2025'!AY98,if(I98&lt;&gt;"",'Actuals - Billing - 2025'!BA98,""))))</f>
        <v/>
      </c>
      <c r="E98" s="11" t="str">
        <f t="array" ref="E98">if($C98="","",index('Actuals - Billing - 2025'!$B98:$BA996,Match($C98,'Actuals - Billing - 2025'!$B98:$B996,0),Match(E$1,'Actuals - Billing - 2025'!$B$2:$BA$2,0)))</f>
        <v/>
      </c>
      <c r="F98" s="11" t="str">
        <f t="array" ref="F98">if($C98="","",index('Actuals - Billing - 2025'!$B98:$BA996,Match($C98,'Actuals - Billing - 2025'!$B98:$B996,0),Match(F$1,'Actuals - Billing - 2025'!$B$2:$BA$2,0)))</f>
        <v/>
      </c>
      <c r="G98" s="11" t="str">
        <f t="array" ref="G98">if($C98="","",index('Actuals - Billing - 2025'!$B98:$BA996,Match($C98,'Actuals - Billing - 2025'!$B98:$B996,0),Match(G$1,'Actuals - Billing - 2025'!$B$2:$BA$2,0)))</f>
        <v/>
      </c>
      <c r="H98" s="11" t="str">
        <f t="array" ref="H98">if($C98="","",index('Actuals - Billing - 2025'!$B98:$BA996,Match($C98,'Actuals - Billing - 2025'!$B98:$B996,0),Match(H$1,'Actuals - Billing - 2025'!$B$2:$BA$2,0)))</f>
        <v/>
      </c>
      <c r="I98" s="11" t="str">
        <f t="array" ref="I98">if($C98="","",index('Actuals - Billing - 2025'!$B98:$BA996,Match($C98,'Actuals - Billing - 2025'!$B98:$B996,0),Match(I$1,'Actuals - Billing - 2025'!$B$2:$BA$2,0)))</f>
        <v/>
      </c>
      <c r="J98" s="11" t="str">
        <f t="shared" si="2"/>
        <v/>
      </c>
      <c r="K98" s="149" t="str">
        <f t="shared" si="3"/>
        <v/>
      </c>
      <c r="L98" s="1" t="str">
        <f t="shared" si="4"/>
        <v/>
      </c>
      <c r="M98" s="4" t="str">
        <f t="shared" si="5"/>
        <v/>
      </c>
      <c r="N98" s="17" t="str">
        <f>if(M98&lt;&gt;"",'Actuals - Billing - 2025'!BG330,"")</f>
        <v/>
      </c>
    </row>
    <row r="99">
      <c r="A99" s="7" t="str">
        <f t="shared" si="1"/>
        <v/>
      </c>
      <c r="B99" s="8" t="str">
        <f>if(and('Actuals - Billing - 2025'!E$331=True,C99&lt;&gt;""),'Actuals - Billing - 2025'!C331,"")</f>
        <v/>
      </c>
      <c r="C99" s="9" t="str">
        <f>IF(sum('Actuals - Billing - 2025'!AR331:BA331)&gt;0,'Actuals - Billing - 2025'!B331,"")</f>
        <v/>
      </c>
      <c r="D99" s="148" t="str">
        <f>if(or(E99&lt;&gt;"",F99&lt;&gt;""),'Actuals - Billing - 2025'!AU99,if(G99&lt;&gt;"",35,if(H99&lt;&gt;"",'Actuals - Billing - 2025'!AY99,if(I99&lt;&gt;"",'Actuals - Billing - 2025'!BA99,""))))</f>
        <v/>
      </c>
      <c r="E99" s="11" t="str">
        <f t="array" ref="E99">if($C99="","",index('Actuals - Billing - 2025'!$B99:$BA997,Match($C99,'Actuals - Billing - 2025'!$B99:$B997,0),Match(E$1,'Actuals - Billing - 2025'!$B$2:$BA$2,0)))</f>
        <v/>
      </c>
      <c r="F99" s="11" t="str">
        <f t="array" ref="F99">if($C99="","",index('Actuals - Billing - 2025'!$B99:$BA997,Match($C99,'Actuals - Billing - 2025'!$B99:$B997,0),Match(F$1,'Actuals - Billing - 2025'!$B$2:$BA$2,0)))</f>
        <v/>
      </c>
      <c r="G99" s="11" t="str">
        <f t="array" ref="G99">if($C99="","",index('Actuals - Billing - 2025'!$B99:$BA997,Match($C99,'Actuals - Billing - 2025'!$B99:$B997,0),Match(G$1,'Actuals - Billing - 2025'!$B$2:$BA$2,0)))</f>
        <v/>
      </c>
      <c r="H99" s="11" t="str">
        <f t="array" ref="H99">if($C99="","",index('Actuals - Billing - 2025'!$B99:$BA997,Match($C99,'Actuals - Billing - 2025'!$B99:$B997,0),Match(H$1,'Actuals - Billing - 2025'!$B$2:$BA$2,0)))</f>
        <v/>
      </c>
      <c r="I99" s="11" t="str">
        <f t="array" ref="I99">if($C99="","",index('Actuals - Billing - 2025'!$B99:$BA997,Match($C99,'Actuals - Billing - 2025'!$B99:$B997,0),Match(I$1,'Actuals - Billing - 2025'!$B$2:$BA$2,0)))</f>
        <v/>
      </c>
      <c r="J99" s="11" t="str">
        <f t="shared" si="2"/>
        <v/>
      </c>
      <c r="K99" s="149" t="str">
        <f t="shared" si="3"/>
        <v/>
      </c>
      <c r="L99" s="1" t="str">
        <f t="shared" si="4"/>
        <v/>
      </c>
      <c r="M99" s="4" t="str">
        <f t="shared" si="5"/>
        <v/>
      </c>
      <c r="N99" s="17" t="str">
        <f>if(M99&lt;&gt;"",'Actuals - Billing - 2025'!BG331,"")</f>
        <v/>
      </c>
    </row>
    <row r="100">
      <c r="A100" s="7" t="str">
        <f t="shared" si="1"/>
        <v/>
      </c>
      <c r="B100" s="8" t="str">
        <f>if(and('Actuals - Billing - 2025'!E$338=True,C100&lt;&gt;""),'Actuals - Billing - 2025'!C332,"")</f>
        <v/>
      </c>
      <c r="C100" s="9" t="str">
        <f>IF(sum('Actuals - Billing - 2025'!AR332:BA332)&gt;0,'Actuals - Billing - 2025'!B332,"")</f>
        <v/>
      </c>
      <c r="D100" s="148" t="str">
        <f>if(or(E100&lt;&gt;"",F100&lt;&gt;""),'Actuals - Billing - 2025'!AU100,if(G100&lt;&gt;"",35,if(H100&lt;&gt;"",'Actuals - Billing - 2025'!AY100,if(I100&lt;&gt;"",'Actuals - Billing - 2025'!BA100,""))))</f>
        <v/>
      </c>
      <c r="E100" s="11" t="str">
        <f t="array" ref="E100">if($C100="","",index('Actuals - Billing - 2025'!$B100:$BA998,Match($C100,'Actuals - Billing - 2025'!$B100:$B998,0),Match(E$1,'Actuals - Billing - 2025'!$B$2:$BA$2,0)))</f>
        <v/>
      </c>
      <c r="F100" s="11" t="str">
        <f t="array" ref="F100">if($C100="","",index('Actuals - Billing - 2025'!$B100:$BA998,Match($C100,'Actuals - Billing - 2025'!$B100:$B998,0),Match(F$1,'Actuals - Billing - 2025'!$B$2:$BA$2,0)))</f>
        <v/>
      </c>
      <c r="G100" s="11" t="str">
        <f t="array" ref="G100">if($C100="","",index('Actuals - Billing - 2025'!$B100:$BA998,Match($C100,'Actuals - Billing - 2025'!$B100:$B998,0),Match(G$1,'Actuals - Billing - 2025'!$B$2:$BA$2,0)))</f>
        <v/>
      </c>
      <c r="H100" s="11" t="str">
        <f t="array" ref="H100">if($C100="","",index('Actuals - Billing - 2025'!$B100:$BA998,Match($C100,'Actuals - Billing - 2025'!$B100:$B998,0),Match(H$1,'Actuals - Billing - 2025'!$B$2:$BA$2,0)))</f>
        <v/>
      </c>
      <c r="I100" s="11" t="str">
        <f t="array" ref="I100">if($C100="","",index('Actuals - Billing - 2025'!$B100:$BA998,Match($C100,'Actuals - Billing - 2025'!$B100:$B998,0),Match(I$1,'Actuals - Billing - 2025'!$B$2:$BA$2,0)))</f>
        <v/>
      </c>
      <c r="J100" s="11" t="str">
        <f t="shared" si="2"/>
        <v/>
      </c>
      <c r="K100" s="149" t="str">
        <f t="shared" si="3"/>
        <v/>
      </c>
      <c r="L100" s="1" t="str">
        <f t="shared" si="4"/>
        <v/>
      </c>
      <c r="M100" s="4" t="str">
        <f t="shared" si="5"/>
        <v/>
      </c>
      <c r="N100" s="17" t="str">
        <f>if(M100&lt;&gt;"",'Actuals - Billing - 2025'!BG332,"")</f>
        <v/>
      </c>
    </row>
    <row r="101">
      <c r="A101" s="7" t="str">
        <f t="shared" si="1"/>
        <v/>
      </c>
      <c r="B101" s="8" t="str">
        <f>if(and('Actuals - Billing - 2025'!E$338=True,C101&lt;&gt;""),'Actuals - Billing - 2025'!C333,"")</f>
        <v/>
      </c>
      <c r="C101" s="9" t="str">
        <f>IF(sum('Actuals - Billing - 2025'!AR333:BA333)&gt;0,'Actuals - Billing - 2025'!B333,"")</f>
        <v/>
      </c>
      <c r="D101" s="148" t="str">
        <f>if(or(E101&lt;&gt;"",F101&lt;&gt;""),'Actuals - Billing - 2025'!AU101,if(G101&lt;&gt;"",35,if(H101&lt;&gt;"",'Actuals - Billing - 2025'!AY101,if(I101&lt;&gt;"",'Actuals - Billing - 2025'!BA101,""))))</f>
        <v/>
      </c>
      <c r="E101" s="11" t="str">
        <f t="array" ref="E101">if($C101="","",index('Actuals - Billing - 2025'!$B101:$BA999,Match($C101,'Actuals - Billing - 2025'!$B101:$B999,0),Match(E$1,'Actuals - Billing - 2025'!$B$2:$BA$2,0)))</f>
        <v/>
      </c>
      <c r="F101" s="11" t="str">
        <f t="array" ref="F101">if($C101="","",index('Actuals - Billing - 2025'!$B101:$BA999,Match($C101,'Actuals - Billing - 2025'!$B101:$B999,0),Match(F$1,'Actuals - Billing - 2025'!$B$2:$BA$2,0)))</f>
        <v/>
      </c>
      <c r="G101" s="11" t="str">
        <f t="array" ref="G101">if($C101="","",index('Actuals - Billing - 2025'!$B101:$BA999,Match($C101,'Actuals - Billing - 2025'!$B101:$B999,0),Match(G$1,'Actuals - Billing - 2025'!$B$2:$BA$2,0)))</f>
        <v/>
      </c>
      <c r="H101" s="11" t="str">
        <f t="array" ref="H101">if($C101="","",index('Actuals - Billing - 2025'!$B101:$BA999,Match($C101,'Actuals - Billing - 2025'!$B101:$B999,0),Match(H$1,'Actuals - Billing - 2025'!$B$2:$BA$2,0)))</f>
        <v/>
      </c>
      <c r="I101" s="11" t="str">
        <f t="array" ref="I101">if($C101="","",index('Actuals - Billing - 2025'!$B101:$BA999,Match($C101,'Actuals - Billing - 2025'!$B101:$B999,0),Match(I$1,'Actuals - Billing - 2025'!$B$2:$BA$2,0)))</f>
        <v/>
      </c>
      <c r="J101" s="11" t="str">
        <f t="shared" si="2"/>
        <v/>
      </c>
      <c r="K101" s="149" t="str">
        <f t="shared" si="3"/>
        <v/>
      </c>
      <c r="L101" s="1" t="str">
        <f t="shared" si="4"/>
        <v/>
      </c>
      <c r="M101" s="4" t="str">
        <f t="shared" si="5"/>
        <v/>
      </c>
      <c r="N101" s="17" t="str">
        <f>if(M101&lt;&gt;"",'Actuals - Billing - 2025'!BG333,"")</f>
        <v/>
      </c>
    </row>
    <row r="102">
      <c r="A102" s="7" t="str">
        <f t="shared" si="1"/>
        <v/>
      </c>
      <c r="B102" s="8" t="str">
        <f>if(and('Actuals - Billing - 2025'!E$338=True,C102&lt;&gt;""),'Actuals - Billing - 2025'!C334,"")</f>
        <v/>
      </c>
      <c r="C102" s="9" t="str">
        <f>IF(sum('Actuals - Billing - 2025'!AR334:BA334)&gt;0,'Actuals - Billing - 2025'!B334,"")</f>
        <v/>
      </c>
      <c r="D102" s="148" t="str">
        <f>if(or(E102&lt;&gt;"",F102&lt;&gt;""),'Actuals - Billing - 2025'!AU102,if(G102&lt;&gt;"",35,if(H102&lt;&gt;"",'Actuals - Billing - 2025'!AY102,if(I102&lt;&gt;"",'Actuals - Billing - 2025'!BA102,""))))</f>
        <v/>
      </c>
      <c r="E102" s="11" t="str">
        <f t="array" ref="E102">if($C102="","",index('Actuals - Billing - 2025'!$B102:$BA1000,Match($C102,'Actuals - Billing - 2025'!$B102:$B1000,0),Match(E$1,'Actuals - Billing - 2025'!$B$2:$BA$2,0)))</f>
        <v/>
      </c>
      <c r="F102" s="11" t="str">
        <f t="array" ref="F102">if($C102="","",index('Actuals - Billing - 2025'!$B102:$BA1000,Match($C102,'Actuals - Billing - 2025'!$B102:$B1000,0),Match(F$1,'Actuals - Billing - 2025'!$B$2:$BA$2,0)))</f>
        <v/>
      </c>
      <c r="G102" s="11" t="str">
        <f t="array" ref="G102">if($C102="","",index('Actuals - Billing - 2025'!$B102:$BA1000,Match($C102,'Actuals - Billing - 2025'!$B102:$B1000,0),Match(G$1,'Actuals - Billing - 2025'!$B$2:$BA$2,0)))</f>
        <v/>
      </c>
      <c r="H102" s="11" t="str">
        <f t="array" ref="H102">if($C102="","",index('Actuals - Billing - 2025'!$B102:$BA1000,Match($C102,'Actuals - Billing - 2025'!$B102:$B1000,0),Match(H$1,'Actuals - Billing - 2025'!$B$2:$BA$2,0)))</f>
        <v/>
      </c>
      <c r="I102" s="11" t="str">
        <f t="array" ref="I102">if($C102="","",index('Actuals - Billing - 2025'!$B102:$BA1000,Match($C102,'Actuals - Billing - 2025'!$B102:$B1000,0),Match(I$1,'Actuals - Billing - 2025'!$B$2:$BA$2,0)))</f>
        <v/>
      </c>
      <c r="J102" s="11" t="str">
        <f t="shared" si="2"/>
        <v/>
      </c>
      <c r="K102" s="149" t="str">
        <f t="shared" si="3"/>
        <v/>
      </c>
      <c r="L102" s="1" t="str">
        <f t="shared" si="4"/>
        <v/>
      </c>
      <c r="M102" s="4" t="str">
        <f t="shared" si="5"/>
        <v/>
      </c>
      <c r="N102" s="17" t="str">
        <f>if(M102&lt;&gt;"",'Actuals - Billing - 2025'!BG334,"")</f>
        <v/>
      </c>
    </row>
    <row r="103">
      <c r="A103" s="7" t="str">
        <f t="shared" si="1"/>
        <v/>
      </c>
      <c r="B103" s="8" t="str">
        <f>if(and('Actuals - Billing - 2025'!E$338=True,C103&lt;&gt;""),'Actuals - Billing - 2025'!C335,"")</f>
        <v/>
      </c>
      <c r="C103" s="9" t="str">
        <f>IF(sum('Actuals - Billing - 2025'!AR335:BA335)&gt;0,'Actuals - Billing - 2025'!B335,"")</f>
        <v/>
      </c>
      <c r="D103" s="148" t="str">
        <f>if(or(E103&lt;&gt;"",F103&lt;&gt;""),'Actuals - Billing - 2025'!AU103,if(G103&lt;&gt;"",35,if(H103&lt;&gt;"",'Actuals - Billing - 2025'!AY103,if(I103&lt;&gt;"",'Actuals - Billing - 2025'!BA103,""))))</f>
        <v/>
      </c>
      <c r="E103" s="11" t="str">
        <f t="array" ref="E103">if($C103="","",index('Actuals - Billing - 2025'!$B103:$BA1001,Match($C103,'Actuals - Billing - 2025'!$B103:$B1001,0),Match(E$1,'Actuals - Billing - 2025'!$B$2:$BA$2,0)))</f>
        <v/>
      </c>
      <c r="F103" s="11" t="str">
        <f t="array" ref="F103">if($C103="","",index('Actuals - Billing - 2025'!$B103:$BA1001,Match($C103,'Actuals - Billing - 2025'!$B103:$B1001,0),Match(F$1,'Actuals - Billing - 2025'!$B$2:$BA$2,0)))</f>
        <v/>
      </c>
      <c r="G103" s="11" t="str">
        <f t="array" ref="G103">if($C103="","",index('Actuals - Billing - 2025'!$B103:$BA1001,Match($C103,'Actuals - Billing - 2025'!$B103:$B1001,0),Match(G$1,'Actuals - Billing - 2025'!$B$2:$BA$2,0)))</f>
        <v/>
      </c>
      <c r="H103" s="11" t="str">
        <f t="array" ref="H103">if($C103="","",index('Actuals - Billing - 2025'!$B103:$BA1001,Match($C103,'Actuals - Billing - 2025'!$B103:$B1001,0),Match(H$1,'Actuals - Billing - 2025'!$B$2:$BA$2,0)))</f>
        <v/>
      </c>
      <c r="I103" s="11" t="str">
        <f t="array" ref="I103">if($C103="","",index('Actuals - Billing - 2025'!$B103:$BA1001,Match($C103,'Actuals - Billing - 2025'!$B103:$B1001,0),Match(I$1,'Actuals - Billing - 2025'!$B$2:$BA$2,0)))</f>
        <v/>
      </c>
      <c r="J103" s="11" t="str">
        <f t="shared" si="2"/>
        <v/>
      </c>
      <c r="K103" s="149" t="str">
        <f t="shared" si="3"/>
        <v/>
      </c>
      <c r="L103" s="1" t="str">
        <f t="shared" si="4"/>
        <v/>
      </c>
      <c r="M103" s="4" t="str">
        <f t="shared" si="5"/>
        <v/>
      </c>
      <c r="N103" s="17" t="str">
        <f>if(M103&lt;&gt;"",'Actuals - Billing - 2025'!BG335,"")</f>
        <v/>
      </c>
    </row>
    <row r="104">
      <c r="A104" s="7" t="str">
        <f t="shared" si="1"/>
        <v/>
      </c>
      <c r="B104" s="8" t="str">
        <f>if(and('Actuals - Billing - 2025'!E$338=True,C104&lt;&gt;""),'Actuals - Billing - 2025'!C336,"")</f>
        <v/>
      </c>
      <c r="C104" s="9" t="str">
        <f>IF(sum('Actuals - Billing - 2025'!AR336:BA336)&gt;0,'Actuals - Billing - 2025'!B336,"")</f>
        <v/>
      </c>
      <c r="D104" s="148" t="str">
        <f>if(or(E104&lt;&gt;"",F104&lt;&gt;""),'Actuals - Billing - 2025'!AU104,if(G104&lt;&gt;"",35,if(H104&lt;&gt;"",'Actuals - Billing - 2025'!AY104,if(I104&lt;&gt;"",'Actuals - Billing - 2025'!BA104,""))))</f>
        <v/>
      </c>
      <c r="E104" s="11" t="str">
        <f t="array" ref="E104">if($C104="","",index('Actuals - Billing - 2025'!$B104:$BA1002,Match($C104,'Actuals - Billing - 2025'!$B104:$B1002,0),Match(E$1,'Actuals - Billing - 2025'!$B$2:$BA$2,0)))</f>
        <v/>
      </c>
      <c r="F104" s="11" t="str">
        <f t="array" ref="F104">if($C104="","",index('Actuals - Billing - 2025'!$B104:$BA1002,Match($C104,'Actuals - Billing - 2025'!$B104:$B1002,0),Match(F$1,'Actuals - Billing - 2025'!$B$2:$BA$2,0)))</f>
        <v/>
      </c>
      <c r="G104" s="11" t="str">
        <f t="array" ref="G104">if($C104="","",index('Actuals - Billing - 2025'!$B104:$BA1002,Match($C104,'Actuals - Billing - 2025'!$B104:$B1002,0),Match(G$1,'Actuals - Billing - 2025'!$B$2:$BA$2,0)))</f>
        <v/>
      </c>
      <c r="H104" s="11" t="str">
        <f t="array" ref="H104">if($C104="","",index('Actuals - Billing - 2025'!$B104:$BA1002,Match($C104,'Actuals - Billing - 2025'!$B104:$B1002,0),Match(H$1,'Actuals - Billing - 2025'!$B$2:$BA$2,0)))</f>
        <v/>
      </c>
      <c r="I104" s="11" t="str">
        <f t="array" ref="I104">if($C104="","",index('Actuals - Billing - 2025'!$B104:$BA1002,Match($C104,'Actuals - Billing - 2025'!$B104:$B1002,0),Match(I$1,'Actuals - Billing - 2025'!$B$2:$BA$2,0)))</f>
        <v/>
      </c>
      <c r="J104" s="11" t="str">
        <f t="shared" si="2"/>
        <v/>
      </c>
      <c r="K104" s="149" t="str">
        <f t="shared" si="3"/>
        <v/>
      </c>
      <c r="L104" s="1" t="str">
        <f t="shared" si="4"/>
        <v/>
      </c>
      <c r="M104" s="4" t="str">
        <f t="shared" si="5"/>
        <v/>
      </c>
      <c r="N104" s="17" t="str">
        <f>if(M104&lt;&gt;"",'Actuals - Billing - 2025'!BG336,"")</f>
        <v/>
      </c>
    </row>
    <row r="105">
      <c r="A105" s="7" t="str">
        <f t="shared" si="1"/>
        <v/>
      </c>
      <c r="B105" s="8" t="str">
        <f>if(and('Actuals - Billing - 2025'!E$338=True,C105&lt;&gt;""),'Actuals - Billing - 2025'!C337,"")</f>
        <v/>
      </c>
      <c r="C105" s="9" t="str">
        <f>IF(sum('Actuals - Billing - 2025'!AR337:BA337)&gt;0,'Actuals - Billing - 2025'!B337,"")</f>
        <v/>
      </c>
      <c r="D105" s="148" t="str">
        <f>if(or(E105&lt;&gt;"",F105&lt;&gt;""),'Actuals - Billing - 2025'!AU105,if(G105&lt;&gt;"",35,if(H105&lt;&gt;"",'Actuals - Billing - 2025'!AY105,if(I105&lt;&gt;"",'Actuals - Billing - 2025'!BA105,""))))</f>
        <v/>
      </c>
      <c r="E105" s="11" t="str">
        <f t="array" ref="E105">if($C105="","",index('Actuals - Billing - 2025'!$B105:$BA1003,Match($C105,'Actuals - Billing - 2025'!$B105:$B1003,0),Match(E$1,'Actuals - Billing - 2025'!$B$2:$BA$2,0)))</f>
        <v/>
      </c>
      <c r="F105" s="11" t="str">
        <f t="array" ref="F105">if($C105="","",index('Actuals - Billing - 2025'!$B105:$BA1003,Match($C105,'Actuals - Billing - 2025'!$B105:$B1003,0),Match(F$1,'Actuals - Billing - 2025'!$B$2:$BA$2,0)))</f>
        <v/>
      </c>
      <c r="G105" s="11" t="str">
        <f t="array" ref="G105">if($C105="","",index('Actuals - Billing - 2025'!$B105:$BA1003,Match($C105,'Actuals - Billing - 2025'!$B105:$B1003,0),Match(G$1,'Actuals - Billing - 2025'!$B$2:$BA$2,0)))</f>
        <v/>
      </c>
      <c r="H105" s="11" t="str">
        <f t="array" ref="H105">if($C105="","",index('Actuals - Billing - 2025'!$B105:$BA1003,Match($C105,'Actuals - Billing - 2025'!$B105:$B1003,0),Match(H$1,'Actuals - Billing - 2025'!$B$2:$BA$2,0)))</f>
        <v/>
      </c>
      <c r="I105" s="11" t="str">
        <f t="array" ref="I105">if($C105="","",index('Actuals - Billing - 2025'!$B105:$BA1003,Match($C105,'Actuals - Billing - 2025'!$B105:$B1003,0),Match(I$1,'Actuals - Billing - 2025'!$B$2:$BA$2,0)))</f>
        <v/>
      </c>
      <c r="J105" s="11" t="str">
        <f t="shared" si="2"/>
        <v/>
      </c>
      <c r="K105" s="149" t="str">
        <f t="shared" si="3"/>
        <v/>
      </c>
      <c r="L105" s="1" t="str">
        <f t="shared" si="4"/>
        <v/>
      </c>
      <c r="M105" s="4" t="str">
        <f t="shared" si="5"/>
        <v/>
      </c>
      <c r="N105" s="17" t="str">
        <f>if(M105&lt;&gt;"",'Actuals - Billing - 2025'!BG337,"")</f>
        <v/>
      </c>
    </row>
    <row r="106">
      <c r="A106" s="7" t="str">
        <f t="shared" si="1"/>
        <v/>
      </c>
      <c r="B106" s="8" t="str">
        <f>if(and('Actuals - Billing - 2025'!E$338=True,C106&lt;&gt;""),'Actuals - Billing - 2025'!C338,"")</f>
        <v/>
      </c>
      <c r="C106" s="9" t="str">
        <f>IF(sum('Actuals - Billing - 2025'!AR338:BA338)&gt;0,'Actuals - Billing - 2025'!B338,"")</f>
        <v/>
      </c>
      <c r="D106" s="148" t="str">
        <f>if(or(E106&lt;&gt;"",F106&lt;&gt;""),'Actuals - Billing - 2025'!AU106,if(G106&lt;&gt;"",35,if(H106&lt;&gt;"",'Actuals - Billing - 2025'!AY106,if(I106&lt;&gt;"",'Actuals - Billing - 2025'!BA106,""))))</f>
        <v/>
      </c>
      <c r="E106" s="11" t="str">
        <f t="array" ref="E106">if($C106="","",index('Actuals - Billing - 2025'!$B106:$BA1004,Match($C106,'Actuals - Billing - 2025'!$B106:$B1004,0),Match(E$1,'Actuals - Billing - 2025'!$B$2:$BA$2,0)))</f>
        <v/>
      </c>
      <c r="F106" s="11" t="str">
        <f t="array" ref="F106">if($C106="","",index('Actuals - Billing - 2025'!$B106:$BA1004,Match($C106,'Actuals - Billing - 2025'!$B106:$B1004,0),Match(F$1,'Actuals - Billing - 2025'!$B$2:$BA$2,0)))</f>
        <v/>
      </c>
      <c r="G106" s="11" t="str">
        <f t="array" ref="G106">if($C106="","",index('Actuals - Billing - 2025'!$B106:$BA1004,Match($C106,'Actuals - Billing - 2025'!$B106:$B1004,0),Match(G$1,'Actuals - Billing - 2025'!$B$2:$BA$2,0)))</f>
        <v/>
      </c>
      <c r="H106" s="11" t="str">
        <f t="array" ref="H106">if($C106="","",index('Actuals - Billing - 2025'!$B106:$BA1004,Match($C106,'Actuals - Billing - 2025'!$B106:$B1004,0),Match(H$1,'Actuals - Billing - 2025'!$B$2:$BA$2,0)))</f>
        <v/>
      </c>
      <c r="I106" s="11" t="str">
        <f t="array" ref="I106">if($C106="","",index('Actuals - Billing - 2025'!$B106:$BA1004,Match($C106,'Actuals - Billing - 2025'!$B106:$B1004,0),Match(I$1,'Actuals - Billing - 2025'!$B$2:$BA$2,0)))</f>
        <v/>
      </c>
      <c r="J106" s="11" t="str">
        <f t="shared" si="2"/>
        <v/>
      </c>
      <c r="K106" s="149" t="str">
        <f t="shared" si="3"/>
        <v/>
      </c>
      <c r="L106" s="1" t="str">
        <f t="shared" si="4"/>
        <v/>
      </c>
      <c r="M106" s="4" t="str">
        <f t="shared" si="5"/>
        <v/>
      </c>
      <c r="N106" s="17" t="str">
        <f>if(M106&lt;&gt;"",'Actuals - Billing - 2025'!BG338,"")</f>
        <v/>
      </c>
    </row>
    <row r="107">
      <c r="A107" s="7" t="str">
        <f t="shared" si="1"/>
        <v/>
      </c>
      <c r="B107" s="8" t="str">
        <f>if(and('Actuals - Billing - 2025'!E$345=True,C107&lt;&gt;""),'Actuals - Billing - 2025'!C339,"")</f>
        <v/>
      </c>
      <c r="C107" s="9" t="str">
        <f>IF(sum('Actuals - Billing - 2025'!AR339:BA339)&gt;0,'Actuals - Billing - 2025'!B339,"")</f>
        <v/>
      </c>
      <c r="D107" s="148" t="str">
        <f>if(or(E107&lt;&gt;"",F107&lt;&gt;""),'Actuals - Billing - 2025'!AU107,if(G107&lt;&gt;"",35,if(H107&lt;&gt;"",'Actuals - Billing - 2025'!AY107,if(I107&lt;&gt;"",'Actuals - Billing - 2025'!BA107,""))))</f>
        <v/>
      </c>
      <c r="E107" s="11" t="str">
        <f t="array" ref="E107">if($C107="","",index('Actuals - Billing - 2025'!$B107:$BA1005,Match($C107,'Actuals - Billing - 2025'!$B107:$B1005,0),Match(E$1,'Actuals - Billing - 2025'!$B$2:$BA$2,0)))</f>
        <v/>
      </c>
      <c r="F107" s="11" t="str">
        <f t="array" ref="F107">if($C107="","",index('Actuals - Billing - 2025'!$B107:$BA1005,Match($C107,'Actuals - Billing - 2025'!$B107:$B1005,0),Match(F$1,'Actuals - Billing - 2025'!$B$2:$BA$2,0)))</f>
        <v/>
      </c>
      <c r="G107" s="11" t="str">
        <f t="array" ref="G107">if($C107="","",index('Actuals - Billing - 2025'!$B107:$BA1005,Match($C107,'Actuals - Billing - 2025'!$B107:$B1005,0),Match(G$1,'Actuals - Billing - 2025'!$B$2:$BA$2,0)))</f>
        <v/>
      </c>
      <c r="H107" s="11" t="str">
        <f t="array" ref="H107">if($C107="","",index('Actuals - Billing - 2025'!$B107:$BA1005,Match($C107,'Actuals - Billing - 2025'!$B107:$B1005,0),Match(H$1,'Actuals - Billing - 2025'!$B$2:$BA$2,0)))</f>
        <v/>
      </c>
      <c r="I107" s="11" t="str">
        <f t="array" ref="I107">if($C107="","",index('Actuals - Billing - 2025'!$B107:$BA1005,Match($C107,'Actuals - Billing - 2025'!$B107:$B1005,0),Match(I$1,'Actuals - Billing - 2025'!$B$2:$BA$2,0)))</f>
        <v/>
      </c>
      <c r="J107" s="11" t="str">
        <f t="shared" si="2"/>
        <v/>
      </c>
      <c r="K107" s="149" t="str">
        <f t="shared" si="3"/>
        <v/>
      </c>
      <c r="L107" s="1" t="str">
        <f t="shared" si="4"/>
        <v/>
      </c>
      <c r="M107" s="4" t="str">
        <f t="shared" si="5"/>
        <v/>
      </c>
      <c r="N107" s="17" t="str">
        <f>if(M107&lt;&gt;"",'Actuals - Billing - 2025'!BG339,"")</f>
        <v/>
      </c>
    </row>
    <row r="108">
      <c r="A108" s="7" t="str">
        <f t="shared" si="1"/>
        <v/>
      </c>
      <c r="B108" s="8" t="str">
        <f>if(and('Actuals - Billing - 2025'!E$345=True,C108&lt;&gt;""),'Actuals - Billing - 2025'!C340,"")</f>
        <v/>
      </c>
      <c r="C108" s="9" t="str">
        <f>IF(sum('Actuals - Billing - 2025'!AR340:BA340)&gt;0,'Actuals - Billing - 2025'!B340,"")</f>
        <v/>
      </c>
      <c r="D108" s="148" t="str">
        <f>if(or(E108&lt;&gt;"",F108&lt;&gt;""),'Actuals - Billing - 2025'!AU108,if(G108&lt;&gt;"",35,if(H108&lt;&gt;"",'Actuals - Billing - 2025'!AY108,if(I108&lt;&gt;"",'Actuals - Billing - 2025'!BA108,""))))</f>
        <v/>
      </c>
      <c r="E108" s="11" t="str">
        <f t="array" ref="E108">if($C108="","",index('Actuals - Billing - 2025'!$B108:$BA1006,Match($C108,'Actuals - Billing - 2025'!$B108:$B1006,0),Match(E$1,'Actuals - Billing - 2025'!$B$2:$BA$2,0)))</f>
        <v/>
      </c>
      <c r="F108" s="11" t="str">
        <f t="array" ref="F108">if($C108="","",index('Actuals - Billing - 2025'!$B108:$BA1006,Match($C108,'Actuals - Billing - 2025'!$B108:$B1006,0),Match(F$1,'Actuals - Billing - 2025'!$B$2:$BA$2,0)))</f>
        <v/>
      </c>
      <c r="G108" s="11" t="str">
        <f t="array" ref="G108">if($C108="","",index('Actuals - Billing - 2025'!$B108:$BA1006,Match($C108,'Actuals - Billing - 2025'!$B108:$B1006,0),Match(G$1,'Actuals - Billing - 2025'!$B$2:$BA$2,0)))</f>
        <v/>
      </c>
      <c r="H108" s="11" t="str">
        <f t="array" ref="H108">if($C108="","",index('Actuals - Billing - 2025'!$B108:$BA1006,Match($C108,'Actuals - Billing - 2025'!$B108:$B1006,0),Match(H$1,'Actuals - Billing - 2025'!$B$2:$BA$2,0)))</f>
        <v/>
      </c>
      <c r="I108" s="11" t="str">
        <f t="array" ref="I108">if($C108="","",index('Actuals - Billing - 2025'!$B108:$BA1006,Match($C108,'Actuals - Billing - 2025'!$B108:$B1006,0),Match(I$1,'Actuals - Billing - 2025'!$B$2:$BA$2,0)))</f>
        <v/>
      </c>
      <c r="J108" s="11" t="str">
        <f t="shared" si="2"/>
        <v/>
      </c>
      <c r="K108" s="149" t="str">
        <f t="shared" si="3"/>
        <v/>
      </c>
      <c r="L108" s="1" t="str">
        <f t="shared" si="4"/>
        <v/>
      </c>
      <c r="M108" s="4" t="str">
        <f t="shared" si="5"/>
        <v/>
      </c>
      <c r="N108" s="17" t="str">
        <f>if(M108&lt;&gt;"",'Actuals - Billing - 2025'!BG340,"")</f>
        <v/>
      </c>
    </row>
    <row r="109">
      <c r="A109" s="7" t="str">
        <f t="shared" si="1"/>
        <v/>
      </c>
      <c r="B109" s="8" t="str">
        <f>if(and('Actuals - Billing - 2025'!E$345=True,C109&lt;&gt;""),'Actuals - Billing - 2025'!C341,"")</f>
        <v/>
      </c>
      <c r="C109" s="9" t="str">
        <f>IF(sum('Actuals - Billing - 2025'!AR341:BA341)&gt;0,'Actuals - Billing - 2025'!B341,"")</f>
        <v/>
      </c>
      <c r="D109" s="148" t="str">
        <f>if(or(E109&lt;&gt;"",F109&lt;&gt;""),'Actuals - Billing - 2025'!AU109,if(G109&lt;&gt;"",35,if(H109&lt;&gt;"",'Actuals - Billing - 2025'!AY109,if(I109&lt;&gt;"",'Actuals - Billing - 2025'!BA109,""))))</f>
        <v/>
      </c>
      <c r="E109" s="11" t="str">
        <f t="array" ref="E109">if($C109="","",index('Actuals - Billing - 2025'!$B109:$BA1007,Match($C109,'Actuals - Billing - 2025'!$B109:$B1007,0),Match(E$1,'Actuals - Billing - 2025'!$B$2:$BA$2,0)))</f>
        <v/>
      </c>
      <c r="F109" s="11" t="str">
        <f t="array" ref="F109">if($C109="","",index('Actuals - Billing - 2025'!$B109:$BA1007,Match($C109,'Actuals - Billing - 2025'!$B109:$B1007,0),Match(F$1,'Actuals - Billing - 2025'!$B$2:$BA$2,0)))</f>
        <v/>
      </c>
      <c r="G109" s="11" t="str">
        <f t="array" ref="G109">if($C109="","",index('Actuals - Billing - 2025'!$B109:$BA1007,Match($C109,'Actuals - Billing - 2025'!$B109:$B1007,0),Match(G$1,'Actuals - Billing - 2025'!$B$2:$BA$2,0)))</f>
        <v/>
      </c>
      <c r="H109" s="11" t="str">
        <f t="array" ref="H109">if($C109="","",index('Actuals - Billing - 2025'!$B109:$BA1007,Match($C109,'Actuals - Billing - 2025'!$B109:$B1007,0),Match(H$1,'Actuals - Billing - 2025'!$B$2:$BA$2,0)))</f>
        <v/>
      </c>
      <c r="I109" s="11" t="str">
        <f t="array" ref="I109">if($C109="","",index('Actuals - Billing - 2025'!$B109:$BA1007,Match($C109,'Actuals - Billing - 2025'!$B109:$B1007,0),Match(I$1,'Actuals - Billing - 2025'!$B$2:$BA$2,0)))</f>
        <v/>
      </c>
      <c r="J109" s="11" t="str">
        <f t="shared" si="2"/>
        <v/>
      </c>
      <c r="K109" s="149" t="str">
        <f t="shared" si="3"/>
        <v/>
      </c>
      <c r="L109" s="1" t="str">
        <f t="shared" si="4"/>
        <v/>
      </c>
      <c r="M109" s="4" t="str">
        <f t="shared" si="5"/>
        <v/>
      </c>
      <c r="N109" s="17" t="str">
        <f>if(M109&lt;&gt;"",'Actuals - Billing - 2025'!BG341,"")</f>
        <v/>
      </c>
    </row>
    <row r="110">
      <c r="A110" s="7" t="str">
        <f t="shared" si="1"/>
        <v/>
      </c>
      <c r="B110" s="8" t="str">
        <f>if(and('Actuals - Billing - 2025'!E$345=True,C110&lt;&gt;""),'Actuals - Billing - 2025'!C342,"")</f>
        <v/>
      </c>
      <c r="C110" s="9" t="str">
        <f>IF(sum('Actuals - Billing - 2025'!AR342:BA342)&gt;0,'Actuals - Billing - 2025'!B342,"")</f>
        <v/>
      </c>
      <c r="D110" s="148" t="str">
        <f>if(or(E110&lt;&gt;"",F110&lt;&gt;""),'Actuals - Billing - 2025'!AU110,if(G110&lt;&gt;"",35,if(H110&lt;&gt;"",'Actuals - Billing - 2025'!AY110,if(I110&lt;&gt;"",'Actuals - Billing - 2025'!BA110,""))))</f>
        <v/>
      </c>
      <c r="E110" s="11" t="str">
        <f t="array" ref="E110">if($C110="","",index('Actuals - Billing - 2025'!$B110:$BA1008,Match($C110,'Actuals - Billing - 2025'!$B110:$B1008,0),Match(E$1,'Actuals - Billing - 2025'!$B$2:$BA$2,0)))</f>
        <v/>
      </c>
      <c r="F110" s="11" t="str">
        <f t="array" ref="F110">if($C110="","",index('Actuals - Billing - 2025'!$B110:$BA1008,Match($C110,'Actuals - Billing - 2025'!$B110:$B1008,0),Match(F$1,'Actuals - Billing - 2025'!$B$2:$BA$2,0)))</f>
        <v/>
      </c>
      <c r="G110" s="11" t="str">
        <f t="array" ref="G110">if($C110="","",index('Actuals - Billing - 2025'!$B110:$BA1008,Match($C110,'Actuals - Billing - 2025'!$B110:$B1008,0),Match(G$1,'Actuals - Billing - 2025'!$B$2:$BA$2,0)))</f>
        <v/>
      </c>
      <c r="H110" s="11" t="str">
        <f t="array" ref="H110">if($C110="","",index('Actuals - Billing - 2025'!$B110:$BA1008,Match($C110,'Actuals - Billing - 2025'!$B110:$B1008,0),Match(H$1,'Actuals - Billing - 2025'!$B$2:$BA$2,0)))</f>
        <v/>
      </c>
      <c r="I110" s="11" t="str">
        <f t="array" ref="I110">if($C110="","",index('Actuals - Billing - 2025'!$B110:$BA1008,Match($C110,'Actuals - Billing - 2025'!$B110:$B1008,0),Match(I$1,'Actuals - Billing - 2025'!$B$2:$BA$2,0)))</f>
        <v/>
      </c>
      <c r="J110" s="11" t="str">
        <f t="shared" si="2"/>
        <v/>
      </c>
      <c r="K110" s="149" t="str">
        <f t="shared" si="3"/>
        <v/>
      </c>
      <c r="L110" s="1" t="str">
        <f t="shared" si="4"/>
        <v/>
      </c>
      <c r="M110" s="4" t="str">
        <f t="shared" si="5"/>
        <v/>
      </c>
      <c r="N110" s="17" t="str">
        <f>if(M110&lt;&gt;"",'Actuals - Billing - 2025'!BG342,"")</f>
        <v/>
      </c>
    </row>
    <row r="111">
      <c r="A111" s="7" t="str">
        <f t="shared" si="1"/>
        <v/>
      </c>
      <c r="B111" s="8" t="str">
        <f>if(and('Actuals - Billing - 2025'!E$345=True,C111&lt;&gt;""),'Actuals - Billing - 2025'!C343,"")</f>
        <v/>
      </c>
      <c r="C111" s="9" t="str">
        <f>IF(sum('Actuals - Billing - 2025'!AR343:BA343)&gt;0,'Actuals - Billing - 2025'!B343,"")</f>
        <v/>
      </c>
      <c r="D111" s="148" t="str">
        <f>if(or(E111&lt;&gt;"",F111&lt;&gt;""),'Actuals - Billing - 2025'!AU111,if(G111&lt;&gt;"",35,if(H111&lt;&gt;"",'Actuals - Billing - 2025'!AY111,if(I111&lt;&gt;"",'Actuals - Billing - 2025'!BA111,""))))</f>
        <v/>
      </c>
      <c r="E111" s="11" t="str">
        <f t="array" ref="E111">if($C111="","",index('Actuals - Billing - 2025'!$B111:$BA1009,Match($C111,'Actuals - Billing - 2025'!$B111:$B1009,0),Match(E$1,'Actuals - Billing - 2025'!$B$2:$BA$2,0)))</f>
        <v/>
      </c>
      <c r="F111" s="11" t="str">
        <f t="array" ref="F111">if($C111="","",index('Actuals - Billing - 2025'!$B111:$BA1009,Match($C111,'Actuals - Billing - 2025'!$B111:$B1009,0),Match(F$1,'Actuals - Billing - 2025'!$B$2:$BA$2,0)))</f>
        <v/>
      </c>
      <c r="G111" s="11" t="str">
        <f t="array" ref="G111">if($C111="","",index('Actuals - Billing - 2025'!$B111:$BA1009,Match($C111,'Actuals - Billing - 2025'!$B111:$B1009,0),Match(G$1,'Actuals - Billing - 2025'!$B$2:$BA$2,0)))</f>
        <v/>
      </c>
      <c r="H111" s="11" t="str">
        <f t="array" ref="H111">if($C111="","",index('Actuals - Billing - 2025'!$B111:$BA1009,Match($C111,'Actuals - Billing - 2025'!$B111:$B1009,0),Match(H$1,'Actuals - Billing - 2025'!$B$2:$BA$2,0)))</f>
        <v/>
      </c>
      <c r="I111" s="11" t="str">
        <f t="array" ref="I111">if($C111="","",index('Actuals - Billing - 2025'!$B111:$BA1009,Match($C111,'Actuals - Billing - 2025'!$B111:$B1009,0),Match(I$1,'Actuals - Billing - 2025'!$B$2:$BA$2,0)))</f>
        <v/>
      </c>
      <c r="J111" s="11" t="str">
        <f t="shared" si="2"/>
        <v/>
      </c>
      <c r="K111" s="149" t="str">
        <f t="shared" si="3"/>
        <v/>
      </c>
      <c r="L111" s="1" t="str">
        <f t="shared" si="4"/>
        <v/>
      </c>
      <c r="M111" s="4" t="str">
        <f t="shared" si="5"/>
        <v/>
      </c>
      <c r="N111" s="17" t="str">
        <f>if(M111&lt;&gt;"",'Actuals - Billing - 2025'!BG343,"")</f>
        <v/>
      </c>
    </row>
    <row r="112">
      <c r="A112" s="7" t="str">
        <f t="shared" si="1"/>
        <v/>
      </c>
      <c r="B112" s="8" t="str">
        <f>if(and('Actuals - Billing - 2025'!E$345=True,C112&lt;&gt;""),'Actuals - Billing - 2025'!C344,"")</f>
        <v/>
      </c>
      <c r="C112" s="9" t="str">
        <f>IF(sum('Actuals - Billing - 2025'!AR344:BA344)&gt;0,'Actuals - Billing - 2025'!B344,"")</f>
        <v/>
      </c>
      <c r="D112" s="148" t="str">
        <f>if(or(E112&lt;&gt;"",F112&lt;&gt;""),'Actuals - Billing - 2025'!AU112,if(G112&lt;&gt;"",35,if(H112&lt;&gt;"",'Actuals - Billing - 2025'!AY112,if(I112&lt;&gt;"",'Actuals - Billing - 2025'!BA112,""))))</f>
        <v/>
      </c>
      <c r="E112" s="11" t="str">
        <f t="array" ref="E112">if($C112="","",index('Actuals - Billing - 2025'!$B112:$BA1010,Match($C112,'Actuals - Billing - 2025'!$B112:$B1010,0),Match(E$1,'Actuals - Billing - 2025'!$B$2:$BA$2,0)))</f>
        <v/>
      </c>
      <c r="F112" s="11" t="str">
        <f t="array" ref="F112">if($C112="","",index('Actuals - Billing - 2025'!$B112:$BA1010,Match($C112,'Actuals - Billing - 2025'!$B112:$B1010,0),Match(F$1,'Actuals - Billing - 2025'!$B$2:$BA$2,0)))</f>
        <v/>
      </c>
      <c r="G112" s="11" t="str">
        <f t="array" ref="G112">if($C112="","",index('Actuals - Billing - 2025'!$B112:$BA1010,Match($C112,'Actuals - Billing - 2025'!$B112:$B1010,0),Match(G$1,'Actuals - Billing - 2025'!$B$2:$BA$2,0)))</f>
        <v/>
      </c>
      <c r="H112" s="11" t="str">
        <f t="array" ref="H112">if($C112="","",index('Actuals - Billing - 2025'!$B112:$BA1010,Match($C112,'Actuals - Billing - 2025'!$B112:$B1010,0),Match(H$1,'Actuals - Billing - 2025'!$B$2:$BA$2,0)))</f>
        <v/>
      </c>
      <c r="I112" s="11" t="str">
        <f t="array" ref="I112">if($C112="","",index('Actuals - Billing - 2025'!$B112:$BA1010,Match($C112,'Actuals - Billing - 2025'!$B112:$B1010,0),Match(I$1,'Actuals - Billing - 2025'!$B$2:$BA$2,0)))</f>
        <v/>
      </c>
      <c r="J112" s="11" t="str">
        <f t="shared" si="2"/>
        <v/>
      </c>
      <c r="K112" s="149" t="str">
        <f t="shared" si="3"/>
        <v/>
      </c>
      <c r="L112" s="1" t="str">
        <f t="shared" si="4"/>
        <v/>
      </c>
      <c r="M112" s="4" t="str">
        <f t="shared" si="5"/>
        <v/>
      </c>
      <c r="N112" s="17" t="str">
        <f>if(M112&lt;&gt;"",'Actuals - Billing - 2025'!BG344,"")</f>
        <v/>
      </c>
    </row>
    <row r="113">
      <c r="A113" s="7" t="str">
        <f t="shared" si="1"/>
        <v/>
      </c>
      <c r="B113" s="8" t="str">
        <f>if(and('Actuals - Billing - 2025'!E$345=True,C113&lt;&gt;""),'Actuals - Billing - 2025'!C345,"")</f>
        <v/>
      </c>
      <c r="C113" s="9" t="str">
        <f>IF(sum('Actuals - Billing - 2025'!AR345:BA345)&gt;0,'Actuals - Billing - 2025'!B345,"")</f>
        <v/>
      </c>
      <c r="D113" s="148" t="str">
        <f>if(or(E113&lt;&gt;"",F113&lt;&gt;""),'Actuals - Billing - 2025'!AU113,if(G113&lt;&gt;"",35,if(H113&lt;&gt;"",'Actuals - Billing - 2025'!AY113,if(I113&lt;&gt;"",'Actuals - Billing - 2025'!BA113,""))))</f>
        <v/>
      </c>
      <c r="E113" s="11" t="str">
        <f t="array" ref="E113">if($C113="","",index('Actuals - Billing - 2025'!$B113:$BA1011,Match($C113,'Actuals - Billing - 2025'!$B113:$B1011,0),Match(E$1,'Actuals - Billing - 2025'!$B$2:$BA$2,0)))</f>
        <v/>
      </c>
      <c r="F113" s="11" t="str">
        <f t="array" ref="F113">if($C113="","",index('Actuals - Billing - 2025'!$B113:$BA1011,Match($C113,'Actuals - Billing - 2025'!$B113:$B1011,0),Match(F$1,'Actuals - Billing - 2025'!$B$2:$BA$2,0)))</f>
        <v/>
      </c>
      <c r="G113" s="11" t="str">
        <f t="array" ref="G113">if($C113="","",index('Actuals - Billing - 2025'!$B113:$BA1011,Match($C113,'Actuals - Billing - 2025'!$B113:$B1011,0),Match(G$1,'Actuals - Billing - 2025'!$B$2:$BA$2,0)))</f>
        <v/>
      </c>
      <c r="H113" s="11" t="str">
        <f t="array" ref="H113">if($C113="","",index('Actuals - Billing - 2025'!$B113:$BA1011,Match($C113,'Actuals - Billing - 2025'!$B113:$B1011,0),Match(H$1,'Actuals - Billing - 2025'!$B$2:$BA$2,0)))</f>
        <v/>
      </c>
      <c r="I113" s="11" t="str">
        <f t="array" ref="I113">if($C113="","",index('Actuals - Billing - 2025'!$B113:$BA1011,Match($C113,'Actuals - Billing - 2025'!$B113:$B1011,0),Match(I$1,'Actuals - Billing - 2025'!$B$2:$BA$2,0)))</f>
        <v/>
      </c>
      <c r="J113" s="11" t="str">
        <f t="shared" si="2"/>
        <v/>
      </c>
      <c r="K113" s="149" t="str">
        <f t="shared" si="3"/>
        <v/>
      </c>
      <c r="L113" s="1" t="str">
        <f t="shared" si="4"/>
        <v/>
      </c>
      <c r="M113" s="4" t="str">
        <f t="shared" si="5"/>
        <v/>
      </c>
      <c r="N113" s="17" t="str">
        <f>if(M113&lt;&gt;"",'Actuals - Billing - 2025'!BG345,"")</f>
        <v/>
      </c>
    </row>
    <row r="114">
      <c r="A114" s="7" t="str">
        <f t="shared" si="1"/>
        <v/>
      </c>
      <c r="B114" s="8" t="str">
        <f>if(and('Actuals - Billing - 2025'!E$352=True,C114&lt;&gt;""),'Actuals - Billing - 2025'!C346,"")</f>
        <v/>
      </c>
      <c r="C114" s="9" t="str">
        <f>IF(sum('Actuals - Billing - 2025'!AR346:BA346)&gt;0,'Actuals - Billing - 2025'!B346,"")</f>
        <v/>
      </c>
      <c r="D114" s="148" t="str">
        <f>if(or(E114&lt;&gt;"",F114&lt;&gt;""),'Actuals - Billing - 2025'!AU114,if(G114&lt;&gt;"",35,if(H114&lt;&gt;"",'Actuals - Billing - 2025'!AY114,if(I114&lt;&gt;"",'Actuals - Billing - 2025'!BA114,""))))</f>
        <v/>
      </c>
      <c r="E114" s="11" t="str">
        <f t="array" ref="E114">if($C114="","",index('Actuals - Billing - 2025'!$B114:$BA1012,Match($C114,'Actuals - Billing - 2025'!$B114:$B1012,0),Match(E$1,'Actuals - Billing - 2025'!$B$2:$BA$2,0)))</f>
        <v/>
      </c>
      <c r="F114" s="11" t="str">
        <f t="array" ref="F114">if($C114="","",index('Actuals - Billing - 2025'!$B114:$BA1012,Match($C114,'Actuals - Billing - 2025'!$B114:$B1012,0),Match(F$1,'Actuals - Billing - 2025'!$B$2:$BA$2,0)))</f>
        <v/>
      </c>
      <c r="G114" s="11" t="str">
        <f t="array" ref="G114">if($C114="","",index('Actuals - Billing - 2025'!$B114:$BA1012,Match($C114,'Actuals - Billing - 2025'!$B114:$B1012,0),Match(G$1,'Actuals - Billing - 2025'!$B$2:$BA$2,0)))</f>
        <v/>
      </c>
      <c r="H114" s="11" t="str">
        <f t="array" ref="H114">if($C114="","",index('Actuals - Billing - 2025'!$B114:$BA1012,Match($C114,'Actuals - Billing - 2025'!$B114:$B1012,0),Match(H$1,'Actuals - Billing - 2025'!$B$2:$BA$2,0)))</f>
        <v/>
      </c>
      <c r="I114" s="11" t="str">
        <f t="array" ref="I114">if($C114="","",index('Actuals - Billing - 2025'!$B114:$BA1012,Match($C114,'Actuals - Billing - 2025'!$B114:$B1012,0),Match(I$1,'Actuals - Billing - 2025'!$B$2:$BA$2,0)))</f>
        <v/>
      </c>
      <c r="J114" s="11" t="str">
        <f t="shared" si="2"/>
        <v/>
      </c>
      <c r="K114" s="149" t="str">
        <f t="shared" si="3"/>
        <v/>
      </c>
      <c r="L114" s="1" t="str">
        <f t="shared" si="4"/>
        <v/>
      </c>
      <c r="M114" s="4" t="str">
        <f t="shared" si="5"/>
        <v/>
      </c>
      <c r="N114" s="17" t="str">
        <f>if(M114&lt;&gt;"",'Actuals - Billing - 2025'!BG346,"")</f>
        <v/>
      </c>
    </row>
    <row r="115">
      <c r="A115" s="7" t="str">
        <f t="shared" si="1"/>
        <v/>
      </c>
      <c r="B115" s="8" t="str">
        <f>if(and('Actuals - Billing - 2025'!E$352=True,C115&lt;&gt;""),'Actuals - Billing - 2025'!C347,"")</f>
        <v/>
      </c>
      <c r="C115" s="9" t="str">
        <f>IF(sum('Actuals - Billing - 2025'!AR347:BA347)&gt;0,'Actuals - Billing - 2025'!B347,"")</f>
        <v/>
      </c>
      <c r="D115" s="148" t="str">
        <f>if(or(E115&lt;&gt;"",F115&lt;&gt;""),'Actuals - Billing - 2025'!AU115,if(G115&lt;&gt;"",35,if(H115&lt;&gt;"",'Actuals - Billing - 2025'!AY115,if(I115&lt;&gt;"",'Actuals - Billing - 2025'!BA115,""))))</f>
        <v/>
      </c>
      <c r="E115" s="11" t="str">
        <f t="array" ref="E115">if($C115="","",index('Actuals - Billing - 2025'!$B115:$BA1013,Match($C115,'Actuals - Billing - 2025'!$B115:$B1013,0),Match(E$1,'Actuals - Billing - 2025'!$B$2:$BA$2,0)))</f>
        <v/>
      </c>
      <c r="F115" s="11" t="str">
        <f t="array" ref="F115">if($C115="","",index('Actuals - Billing - 2025'!$B115:$BA1013,Match($C115,'Actuals - Billing - 2025'!$B115:$B1013,0),Match(F$1,'Actuals - Billing - 2025'!$B$2:$BA$2,0)))</f>
        <v/>
      </c>
      <c r="G115" s="11" t="str">
        <f t="array" ref="G115">if($C115="","",index('Actuals - Billing - 2025'!$B115:$BA1013,Match($C115,'Actuals - Billing - 2025'!$B115:$B1013,0),Match(G$1,'Actuals - Billing - 2025'!$B$2:$BA$2,0)))</f>
        <v/>
      </c>
      <c r="H115" s="11" t="str">
        <f t="array" ref="H115">if($C115="","",index('Actuals - Billing - 2025'!$B115:$BA1013,Match($C115,'Actuals - Billing - 2025'!$B115:$B1013,0),Match(H$1,'Actuals - Billing - 2025'!$B$2:$BA$2,0)))</f>
        <v/>
      </c>
      <c r="I115" s="11" t="str">
        <f t="array" ref="I115">if($C115="","",index('Actuals - Billing - 2025'!$B115:$BA1013,Match($C115,'Actuals - Billing - 2025'!$B115:$B1013,0),Match(I$1,'Actuals - Billing - 2025'!$B$2:$BA$2,0)))</f>
        <v/>
      </c>
      <c r="J115" s="11" t="str">
        <f t="shared" si="2"/>
        <v/>
      </c>
      <c r="K115" s="149" t="str">
        <f t="shared" si="3"/>
        <v/>
      </c>
      <c r="L115" s="1" t="str">
        <f t="shared" si="4"/>
        <v/>
      </c>
      <c r="M115" s="4" t="str">
        <f t="shared" si="5"/>
        <v/>
      </c>
      <c r="N115" s="17" t="str">
        <f>if(M115&lt;&gt;"",'Actuals - Billing - 2025'!BG347,"")</f>
        <v/>
      </c>
    </row>
    <row r="116">
      <c r="A116" s="7" t="str">
        <f t="shared" si="1"/>
        <v/>
      </c>
      <c r="B116" s="8" t="str">
        <f>if(and('Actuals - Billing - 2025'!E$352=True,C116&lt;&gt;""),'Actuals - Billing - 2025'!C348,"")</f>
        <v/>
      </c>
      <c r="C116" s="9" t="str">
        <f>IF(sum('Actuals - Billing - 2025'!AR348:BA348)&gt;0,'Actuals - Billing - 2025'!B348,"")</f>
        <v/>
      </c>
      <c r="D116" s="148" t="str">
        <f>if(or(E116&lt;&gt;"",F116&lt;&gt;""),'Actuals - Billing - 2025'!AU116,if(G116&lt;&gt;"",35,if(H116&lt;&gt;"",'Actuals - Billing - 2025'!AY116,if(I116&lt;&gt;"",'Actuals - Billing - 2025'!BA116,""))))</f>
        <v/>
      </c>
      <c r="E116" s="11" t="str">
        <f t="array" ref="E116">if($C116="","",index('Actuals - Billing - 2025'!$B116:$BA1014,Match($C116,'Actuals - Billing - 2025'!$B116:$B1014,0),Match(E$1,'Actuals - Billing - 2025'!$B$2:$BA$2,0)))</f>
        <v/>
      </c>
      <c r="F116" s="11" t="str">
        <f t="array" ref="F116">if($C116="","",index('Actuals - Billing - 2025'!$B116:$BA1014,Match($C116,'Actuals - Billing - 2025'!$B116:$B1014,0),Match(F$1,'Actuals - Billing - 2025'!$B$2:$BA$2,0)))</f>
        <v/>
      </c>
      <c r="G116" s="11" t="str">
        <f t="array" ref="G116">if($C116="","",index('Actuals - Billing - 2025'!$B116:$BA1014,Match($C116,'Actuals - Billing - 2025'!$B116:$B1014,0),Match(G$1,'Actuals - Billing - 2025'!$B$2:$BA$2,0)))</f>
        <v/>
      </c>
      <c r="H116" s="11" t="str">
        <f t="array" ref="H116">if($C116="","",index('Actuals - Billing - 2025'!$B116:$BA1014,Match($C116,'Actuals - Billing - 2025'!$B116:$B1014,0),Match(H$1,'Actuals - Billing - 2025'!$B$2:$BA$2,0)))</f>
        <v/>
      </c>
      <c r="I116" s="11" t="str">
        <f t="array" ref="I116">if($C116="","",index('Actuals - Billing - 2025'!$B116:$BA1014,Match($C116,'Actuals - Billing - 2025'!$B116:$B1014,0),Match(I$1,'Actuals - Billing - 2025'!$B$2:$BA$2,0)))</f>
        <v/>
      </c>
      <c r="J116" s="11" t="str">
        <f t="shared" si="2"/>
        <v/>
      </c>
      <c r="K116" s="149" t="str">
        <f t="shared" si="3"/>
        <v/>
      </c>
      <c r="L116" s="1" t="str">
        <f t="shared" si="4"/>
        <v/>
      </c>
      <c r="M116" s="4" t="str">
        <f t="shared" si="5"/>
        <v/>
      </c>
      <c r="N116" s="17" t="str">
        <f>if(M116&lt;&gt;"",'Actuals - Billing - 2025'!BG348,"")</f>
        <v/>
      </c>
    </row>
    <row r="117">
      <c r="A117" s="7" t="str">
        <f t="shared" si="1"/>
        <v/>
      </c>
      <c r="B117" s="8" t="str">
        <f>if(and('Actuals - Billing - 2025'!E$352=True,C117&lt;&gt;""),'Actuals - Billing - 2025'!C349,"")</f>
        <v/>
      </c>
      <c r="C117" s="9" t="str">
        <f>IF(sum('Actuals - Billing - 2025'!AR349:BA349)&gt;0,'Actuals - Billing - 2025'!B349,"")</f>
        <v/>
      </c>
      <c r="D117" s="148" t="str">
        <f>if(or(E117&lt;&gt;"",F117&lt;&gt;""),'Actuals - Billing - 2025'!AU117,if(G117&lt;&gt;"",35,if(H117&lt;&gt;"",'Actuals - Billing - 2025'!AY117,if(I117&lt;&gt;"",'Actuals - Billing - 2025'!BA117,""))))</f>
        <v/>
      </c>
      <c r="E117" s="11" t="str">
        <f t="array" ref="E117">if($C117="","",index('Actuals - Billing - 2025'!$B117:$BA1015,Match($C117,'Actuals - Billing - 2025'!$B117:$B1015,0),Match(E$1,'Actuals - Billing - 2025'!$B$2:$BA$2,0)))</f>
        <v/>
      </c>
      <c r="F117" s="11" t="str">
        <f t="array" ref="F117">if($C117="","",index('Actuals - Billing - 2025'!$B117:$BA1015,Match($C117,'Actuals - Billing - 2025'!$B117:$B1015,0),Match(F$1,'Actuals - Billing - 2025'!$B$2:$BA$2,0)))</f>
        <v/>
      </c>
      <c r="G117" s="11" t="str">
        <f t="array" ref="G117">if($C117="","",index('Actuals - Billing - 2025'!$B117:$BA1015,Match($C117,'Actuals - Billing - 2025'!$B117:$B1015,0),Match(G$1,'Actuals - Billing - 2025'!$B$2:$BA$2,0)))</f>
        <v/>
      </c>
      <c r="H117" s="11" t="str">
        <f t="array" ref="H117">if($C117="","",index('Actuals - Billing - 2025'!$B117:$BA1015,Match($C117,'Actuals - Billing - 2025'!$B117:$B1015,0),Match(H$1,'Actuals - Billing - 2025'!$B$2:$BA$2,0)))</f>
        <v/>
      </c>
      <c r="I117" s="11" t="str">
        <f t="array" ref="I117">if($C117="","",index('Actuals - Billing - 2025'!$B117:$BA1015,Match($C117,'Actuals - Billing - 2025'!$B117:$B1015,0),Match(I$1,'Actuals - Billing - 2025'!$B$2:$BA$2,0)))</f>
        <v/>
      </c>
      <c r="J117" s="11" t="str">
        <f t="shared" si="2"/>
        <v/>
      </c>
      <c r="K117" s="149" t="str">
        <f t="shared" si="3"/>
        <v/>
      </c>
      <c r="L117" s="1" t="str">
        <f t="shared" si="4"/>
        <v/>
      </c>
      <c r="M117" s="4" t="str">
        <f t="shared" si="5"/>
        <v/>
      </c>
      <c r="N117" s="17" t="str">
        <f>if(M117&lt;&gt;"",'Actuals - Billing - 2025'!BG349,"")</f>
        <v/>
      </c>
    </row>
    <row r="118">
      <c r="A118" s="7" t="str">
        <f t="shared" si="1"/>
        <v/>
      </c>
      <c r="B118" s="8" t="str">
        <f>if(and('Actuals - Billing - 2025'!E$352=True,C118&lt;&gt;""),'Actuals - Billing - 2025'!C350,"")</f>
        <v/>
      </c>
      <c r="C118" s="9" t="str">
        <f>IF(sum('Actuals - Billing - 2025'!AR350:BA350)&gt;0,'Actuals - Billing - 2025'!B350,"")</f>
        <v/>
      </c>
      <c r="D118" s="148" t="str">
        <f>if(or(E118&lt;&gt;"",F118&lt;&gt;""),'Actuals - Billing - 2025'!AU118,if(G118&lt;&gt;"",35,if(H118&lt;&gt;"",'Actuals - Billing - 2025'!AY118,if(I118&lt;&gt;"",'Actuals - Billing - 2025'!BA118,""))))</f>
        <v/>
      </c>
      <c r="E118" s="11" t="str">
        <f t="array" ref="E118">if($C118="","",index('Actuals - Billing - 2025'!$B118:$BA1016,Match($C118,'Actuals - Billing - 2025'!$B118:$B1016,0),Match(E$1,'Actuals - Billing - 2025'!$B$2:$BA$2,0)))</f>
        <v/>
      </c>
      <c r="F118" s="11" t="str">
        <f t="array" ref="F118">if($C118="","",index('Actuals - Billing - 2025'!$B118:$BA1016,Match($C118,'Actuals - Billing - 2025'!$B118:$B1016,0),Match(F$1,'Actuals - Billing - 2025'!$B$2:$BA$2,0)))</f>
        <v/>
      </c>
      <c r="G118" s="11" t="str">
        <f t="array" ref="G118">if($C118="","",index('Actuals - Billing - 2025'!$B118:$BA1016,Match($C118,'Actuals - Billing - 2025'!$B118:$B1016,0),Match(G$1,'Actuals - Billing - 2025'!$B$2:$BA$2,0)))</f>
        <v/>
      </c>
      <c r="H118" s="11" t="str">
        <f t="array" ref="H118">if($C118="","",index('Actuals - Billing - 2025'!$B118:$BA1016,Match($C118,'Actuals - Billing - 2025'!$B118:$B1016,0),Match(H$1,'Actuals - Billing - 2025'!$B$2:$BA$2,0)))</f>
        <v/>
      </c>
      <c r="I118" s="11" t="str">
        <f t="array" ref="I118">if($C118="","",index('Actuals - Billing - 2025'!$B118:$BA1016,Match($C118,'Actuals - Billing - 2025'!$B118:$B1016,0),Match(I$1,'Actuals - Billing - 2025'!$B$2:$BA$2,0)))</f>
        <v/>
      </c>
      <c r="J118" s="11" t="str">
        <f t="shared" si="2"/>
        <v/>
      </c>
      <c r="K118" s="149" t="str">
        <f t="shared" si="3"/>
        <v/>
      </c>
      <c r="L118" s="1" t="str">
        <f t="shared" si="4"/>
        <v/>
      </c>
      <c r="M118" s="4" t="str">
        <f t="shared" si="5"/>
        <v/>
      </c>
      <c r="N118" s="17" t="str">
        <f>if(M118&lt;&gt;"",'Actuals - Billing - 2025'!BG350,"")</f>
        <v/>
      </c>
    </row>
    <row r="119">
      <c r="A119" s="7" t="str">
        <f t="shared" si="1"/>
        <v/>
      </c>
      <c r="B119" s="8" t="str">
        <f>if(and('Actuals - Billing - 2025'!E$352=True,C119&lt;&gt;""),'Actuals - Billing - 2025'!C351,"")</f>
        <v/>
      </c>
      <c r="C119" s="9" t="str">
        <f>IF(sum('Actuals - Billing - 2025'!AR351:BA351)&gt;0,'Actuals - Billing - 2025'!B351,"")</f>
        <v/>
      </c>
      <c r="D119" s="148" t="str">
        <f>if(or(E119&lt;&gt;"",F119&lt;&gt;""),'Actuals - Billing - 2025'!AU119,if(G119&lt;&gt;"",35,if(H119&lt;&gt;"",'Actuals - Billing - 2025'!AY119,if(I119&lt;&gt;"",'Actuals - Billing - 2025'!BA119,""))))</f>
        <v/>
      </c>
      <c r="E119" s="11" t="str">
        <f t="array" ref="E119">if($C119="","",index('Actuals - Billing - 2025'!$B119:$BA1017,Match($C119,'Actuals - Billing - 2025'!$B119:$B1017,0),Match(E$1,'Actuals - Billing - 2025'!$B$2:$BA$2,0)))</f>
        <v/>
      </c>
      <c r="F119" s="11" t="str">
        <f t="array" ref="F119">if($C119="","",index('Actuals - Billing - 2025'!$B119:$BA1017,Match($C119,'Actuals - Billing - 2025'!$B119:$B1017,0),Match(F$1,'Actuals - Billing - 2025'!$B$2:$BA$2,0)))</f>
        <v/>
      </c>
      <c r="G119" s="11" t="str">
        <f t="array" ref="G119">if($C119="","",index('Actuals - Billing - 2025'!$B119:$BA1017,Match($C119,'Actuals - Billing - 2025'!$B119:$B1017,0),Match(G$1,'Actuals - Billing - 2025'!$B$2:$BA$2,0)))</f>
        <v/>
      </c>
      <c r="H119" s="11" t="str">
        <f t="array" ref="H119">if($C119="","",index('Actuals - Billing - 2025'!$B119:$BA1017,Match($C119,'Actuals - Billing - 2025'!$B119:$B1017,0),Match(H$1,'Actuals - Billing - 2025'!$B$2:$BA$2,0)))</f>
        <v/>
      </c>
      <c r="I119" s="11" t="str">
        <f t="array" ref="I119">if($C119="","",index('Actuals - Billing - 2025'!$B119:$BA1017,Match($C119,'Actuals - Billing - 2025'!$B119:$B1017,0),Match(I$1,'Actuals - Billing - 2025'!$B$2:$BA$2,0)))</f>
        <v/>
      </c>
      <c r="J119" s="11" t="str">
        <f t="shared" si="2"/>
        <v/>
      </c>
      <c r="K119" s="149" t="str">
        <f t="shared" si="3"/>
        <v/>
      </c>
      <c r="L119" s="1" t="str">
        <f t="shared" si="4"/>
        <v/>
      </c>
      <c r="M119" s="4" t="str">
        <f t="shared" si="5"/>
        <v/>
      </c>
      <c r="N119" s="17" t="str">
        <f>if(M119&lt;&gt;"",'Actuals - Billing - 2025'!BG351,"")</f>
        <v/>
      </c>
    </row>
    <row r="120">
      <c r="A120" s="7" t="str">
        <f t="shared" si="1"/>
        <v/>
      </c>
      <c r="B120" s="8" t="str">
        <f>if(and('Actuals - Billing - 2025'!E$352=True,C120&lt;&gt;""),'Actuals - Billing - 2025'!C352,"")</f>
        <v/>
      </c>
      <c r="C120" s="9" t="str">
        <f>IF(sum('Actuals - Billing - 2025'!AR352:BA352)&gt;0,'Actuals - Billing - 2025'!B352,"")</f>
        <v/>
      </c>
      <c r="D120" s="148" t="str">
        <f>if(or(E120&lt;&gt;"",F120&lt;&gt;""),'Actuals - Billing - 2025'!AU120,if(G120&lt;&gt;"",35,if(H120&lt;&gt;"",'Actuals - Billing - 2025'!AY120,if(I120&lt;&gt;"",'Actuals - Billing - 2025'!BA120,""))))</f>
        <v/>
      </c>
      <c r="E120" s="11" t="str">
        <f t="array" ref="E120">if($C120="","",index('Actuals - Billing - 2025'!$B120:$BA1018,Match($C120,'Actuals - Billing - 2025'!$B120:$B1018,0),Match(E$1,'Actuals - Billing - 2025'!$B$2:$BA$2,0)))</f>
        <v/>
      </c>
      <c r="F120" s="11" t="str">
        <f t="array" ref="F120">if($C120="","",index('Actuals - Billing - 2025'!$B120:$BA1018,Match($C120,'Actuals - Billing - 2025'!$B120:$B1018,0),Match(F$1,'Actuals - Billing - 2025'!$B$2:$BA$2,0)))</f>
        <v/>
      </c>
      <c r="G120" s="11" t="str">
        <f t="array" ref="G120">if($C120="","",index('Actuals - Billing - 2025'!$B120:$BA1018,Match($C120,'Actuals - Billing - 2025'!$B120:$B1018,0),Match(G$1,'Actuals - Billing - 2025'!$B$2:$BA$2,0)))</f>
        <v/>
      </c>
      <c r="H120" s="11" t="str">
        <f t="array" ref="H120">if($C120="","",index('Actuals - Billing - 2025'!$B120:$BA1018,Match($C120,'Actuals - Billing - 2025'!$B120:$B1018,0),Match(H$1,'Actuals - Billing - 2025'!$B$2:$BA$2,0)))</f>
        <v/>
      </c>
      <c r="I120" s="11" t="str">
        <f t="array" ref="I120">if($C120="","",index('Actuals - Billing - 2025'!$B120:$BA1018,Match($C120,'Actuals - Billing - 2025'!$B120:$B1018,0),Match(I$1,'Actuals - Billing - 2025'!$B$2:$BA$2,0)))</f>
        <v/>
      </c>
      <c r="J120" s="11" t="str">
        <f t="shared" si="2"/>
        <v/>
      </c>
      <c r="K120" s="149" t="str">
        <f t="shared" si="3"/>
        <v/>
      </c>
      <c r="L120" s="1" t="str">
        <f t="shared" si="4"/>
        <v/>
      </c>
      <c r="M120" s="4" t="str">
        <f t="shared" si="5"/>
        <v/>
      </c>
      <c r="N120" s="17" t="str">
        <f>if(M120&lt;&gt;"",'Actuals - Billing - 2025'!BG352,"")</f>
        <v/>
      </c>
    </row>
    <row r="121">
      <c r="A121" s="7" t="str">
        <f t="shared" si="1"/>
        <v/>
      </c>
      <c r="B121" s="8" t="str">
        <f>if(and('Actuals - Billing - 2025'!E$359=True,C121&lt;&gt;""),'Actuals - Billing - 2025'!C353,"")</f>
        <v/>
      </c>
      <c r="C121" s="9" t="str">
        <f>IF(sum('Actuals - Billing - 2025'!AR353:BA353)&gt;0,'Actuals - Billing - 2025'!B353,"")</f>
        <v/>
      </c>
      <c r="D121" s="148" t="str">
        <f>if(or(E121&lt;&gt;"",F121&lt;&gt;""),'Actuals - Billing - 2025'!AU121,if(G121&lt;&gt;"",35,if(H121&lt;&gt;"",'Actuals - Billing - 2025'!AY121,if(I121&lt;&gt;"",'Actuals - Billing - 2025'!BA121,""))))</f>
        <v/>
      </c>
      <c r="E121" s="11" t="str">
        <f t="array" ref="E121">if($C121="","",index('Actuals - Billing - 2025'!$B121:$BA1019,Match($C121,'Actuals - Billing - 2025'!$B121:$B1019,0),Match(E$1,'Actuals - Billing - 2025'!$B$2:$BA$2,0)))</f>
        <v/>
      </c>
      <c r="F121" s="11" t="str">
        <f t="array" ref="F121">if($C121="","",index('Actuals - Billing - 2025'!$B121:$BA1019,Match($C121,'Actuals - Billing - 2025'!$B121:$B1019,0),Match(F$1,'Actuals - Billing - 2025'!$B$2:$BA$2,0)))</f>
        <v/>
      </c>
      <c r="G121" s="11" t="str">
        <f t="array" ref="G121">if($C121="","",index('Actuals - Billing - 2025'!$B121:$BA1019,Match($C121,'Actuals - Billing - 2025'!$B121:$B1019,0),Match(G$1,'Actuals - Billing - 2025'!$B$2:$BA$2,0)))</f>
        <v/>
      </c>
      <c r="H121" s="11" t="str">
        <f t="array" ref="H121">if($C121="","",index('Actuals - Billing - 2025'!$B121:$BA1019,Match($C121,'Actuals - Billing - 2025'!$B121:$B1019,0),Match(H$1,'Actuals - Billing - 2025'!$B$2:$BA$2,0)))</f>
        <v/>
      </c>
      <c r="I121" s="11" t="str">
        <f t="array" ref="I121">if($C121="","",index('Actuals - Billing - 2025'!$B121:$BA1019,Match($C121,'Actuals - Billing - 2025'!$B121:$B1019,0),Match(I$1,'Actuals - Billing - 2025'!$B$2:$BA$2,0)))</f>
        <v/>
      </c>
      <c r="J121" s="11" t="str">
        <f t="shared" si="2"/>
        <v/>
      </c>
      <c r="K121" s="149" t="str">
        <f t="shared" si="3"/>
        <v/>
      </c>
      <c r="L121" s="1" t="str">
        <f t="shared" si="4"/>
        <v/>
      </c>
      <c r="M121" s="4" t="str">
        <f t="shared" si="5"/>
        <v/>
      </c>
      <c r="N121" s="17" t="str">
        <f>if(M121&lt;&gt;"",'Actuals - Billing - 2025'!BG353,"")</f>
        <v/>
      </c>
    </row>
    <row r="122">
      <c r="A122" s="7" t="str">
        <f t="shared" si="1"/>
        <v/>
      </c>
      <c r="B122" s="8" t="str">
        <f>if(and('Actuals - Billing - 2025'!E$359=True,C122&lt;&gt;""),'Actuals - Billing - 2025'!C354,"")</f>
        <v/>
      </c>
      <c r="C122" s="9" t="str">
        <f>IF(sum('Actuals - Billing - 2025'!AR354:BA354)&gt;0,'Actuals - Billing - 2025'!B354,"")</f>
        <v/>
      </c>
      <c r="D122" s="148" t="str">
        <f>if(or(E122&lt;&gt;"",F122&lt;&gt;""),'Actuals - Billing - 2025'!AU122,if(G122&lt;&gt;"",35,if(H122&lt;&gt;"",'Actuals - Billing - 2025'!AY122,if(I122&lt;&gt;"",'Actuals - Billing - 2025'!BA122,""))))</f>
        <v/>
      </c>
      <c r="E122" s="11" t="str">
        <f t="array" ref="E122">if($C122="","",index('Actuals - Billing - 2025'!$B122:$BA1020,Match($C122,'Actuals - Billing - 2025'!$B122:$B1020,0),Match(E$1,'Actuals - Billing - 2025'!$B$2:$BA$2,0)))</f>
        <v/>
      </c>
      <c r="F122" s="11" t="str">
        <f t="array" ref="F122">if($C122="","",index('Actuals - Billing - 2025'!$B122:$BA1020,Match($C122,'Actuals - Billing - 2025'!$B122:$B1020,0),Match(F$1,'Actuals - Billing - 2025'!$B$2:$BA$2,0)))</f>
        <v/>
      </c>
      <c r="G122" s="11" t="str">
        <f t="array" ref="G122">if($C122="","",index('Actuals - Billing - 2025'!$B122:$BA1020,Match($C122,'Actuals - Billing - 2025'!$B122:$B1020,0),Match(G$1,'Actuals - Billing - 2025'!$B$2:$BA$2,0)))</f>
        <v/>
      </c>
      <c r="H122" s="11" t="str">
        <f t="array" ref="H122">if($C122="","",index('Actuals - Billing - 2025'!$B122:$BA1020,Match($C122,'Actuals - Billing - 2025'!$B122:$B1020,0),Match(H$1,'Actuals - Billing - 2025'!$B$2:$BA$2,0)))</f>
        <v/>
      </c>
      <c r="I122" s="11" t="str">
        <f t="array" ref="I122">if($C122="","",index('Actuals - Billing - 2025'!$B122:$BA1020,Match($C122,'Actuals - Billing - 2025'!$B122:$B1020,0),Match(I$1,'Actuals - Billing - 2025'!$B$2:$BA$2,0)))</f>
        <v/>
      </c>
      <c r="J122" s="11" t="str">
        <f t="shared" si="2"/>
        <v/>
      </c>
      <c r="K122" s="149" t="str">
        <f t="shared" si="3"/>
        <v/>
      </c>
      <c r="L122" s="1" t="str">
        <f t="shared" si="4"/>
        <v/>
      </c>
      <c r="M122" s="4" t="str">
        <f t="shared" si="5"/>
        <v/>
      </c>
      <c r="N122" s="17" t="str">
        <f>if(M122&lt;&gt;"",'Actuals - Billing - 2025'!BG354,"")</f>
        <v/>
      </c>
    </row>
    <row r="123">
      <c r="A123" s="7" t="str">
        <f t="shared" si="1"/>
        <v/>
      </c>
      <c r="B123" s="8" t="str">
        <f>if(and('Actuals - Billing - 2025'!E$359=True,C123&lt;&gt;""),'Actuals - Billing - 2025'!C355,"")</f>
        <v/>
      </c>
      <c r="C123" s="9" t="str">
        <f>IF(sum('Actuals - Billing - 2025'!AR355:BA355)&gt;0,'Actuals - Billing - 2025'!B355,"")</f>
        <v/>
      </c>
      <c r="D123" s="148" t="str">
        <f>if(or(E123&lt;&gt;"",F123&lt;&gt;""),'Actuals - Billing - 2025'!AU123,if(G123&lt;&gt;"",35,if(H123&lt;&gt;"",'Actuals - Billing - 2025'!AY123,if(I123&lt;&gt;"",'Actuals - Billing - 2025'!BA123,""))))</f>
        <v/>
      </c>
      <c r="E123" s="11" t="str">
        <f t="array" ref="E123">if($C123="","",index('Actuals - Billing - 2025'!$B123:$BA1021,Match($C123,'Actuals - Billing - 2025'!$B123:$B1021,0),Match(E$1,'Actuals - Billing - 2025'!$B$2:$BA$2,0)))</f>
        <v/>
      </c>
      <c r="F123" s="11" t="str">
        <f t="array" ref="F123">if($C123="","",index('Actuals - Billing - 2025'!$B123:$BA1021,Match($C123,'Actuals - Billing - 2025'!$B123:$B1021,0),Match(F$1,'Actuals - Billing - 2025'!$B$2:$BA$2,0)))</f>
        <v/>
      </c>
      <c r="G123" s="11" t="str">
        <f t="array" ref="G123">if($C123="","",index('Actuals - Billing - 2025'!$B123:$BA1021,Match($C123,'Actuals - Billing - 2025'!$B123:$B1021,0),Match(G$1,'Actuals - Billing - 2025'!$B$2:$BA$2,0)))</f>
        <v/>
      </c>
      <c r="H123" s="11" t="str">
        <f t="array" ref="H123">if($C123="","",index('Actuals - Billing - 2025'!$B123:$BA1021,Match($C123,'Actuals - Billing - 2025'!$B123:$B1021,0),Match(H$1,'Actuals - Billing - 2025'!$B$2:$BA$2,0)))</f>
        <v/>
      </c>
      <c r="I123" s="11" t="str">
        <f t="array" ref="I123">if($C123="","",index('Actuals - Billing - 2025'!$B123:$BA1021,Match($C123,'Actuals - Billing - 2025'!$B123:$B1021,0),Match(I$1,'Actuals - Billing - 2025'!$B$2:$BA$2,0)))</f>
        <v/>
      </c>
      <c r="J123" s="11" t="str">
        <f t="shared" si="2"/>
        <v/>
      </c>
      <c r="K123" s="149" t="str">
        <f t="shared" si="3"/>
        <v/>
      </c>
      <c r="L123" s="1" t="str">
        <f t="shared" si="4"/>
        <v/>
      </c>
      <c r="M123" s="4" t="str">
        <f t="shared" si="5"/>
        <v/>
      </c>
      <c r="N123" s="17" t="str">
        <f>if(M123&lt;&gt;"",'Actuals - Billing - 2025'!BG355,"")</f>
        <v/>
      </c>
    </row>
    <row r="124">
      <c r="A124" s="7" t="str">
        <f t="shared" si="1"/>
        <v/>
      </c>
      <c r="B124" s="8" t="str">
        <f>if(and('Actuals - Billing - 2025'!E$359=True,C124&lt;&gt;""),'Actuals - Billing - 2025'!C356,"")</f>
        <v/>
      </c>
      <c r="C124" s="9" t="str">
        <f>IF(sum('Actuals - Billing - 2025'!AR356:BA356)&gt;0,'Actuals - Billing - 2025'!B356,"")</f>
        <v/>
      </c>
      <c r="D124" s="148" t="str">
        <f>if(or(E124&lt;&gt;"",F124&lt;&gt;""),'Actuals - Billing - 2025'!AU124,if(G124&lt;&gt;"",35,if(H124&lt;&gt;"",'Actuals - Billing - 2025'!AY124,if(I124&lt;&gt;"",'Actuals - Billing - 2025'!BA124,""))))</f>
        <v/>
      </c>
      <c r="E124" s="11" t="str">
        <f t="array" ref="E124">if($C124="","",index('Actuals - Billing - 2025'!$B124:$BA1022,Match($C124,'Actuals - Billing - 2025'!$B124:$B1022,0),Match(E$1,'Actuals - Billing - 2025'!$B$2:$BA$2,0)))</f>
        <v/>
      </c>
      <c r="F124" s="11" t="str">
        <f t="array" ref="F124">if($C124="","",index('Actuals - Billing - 2025'!$B124:$BA1022,Match($C124,'Actuals - Billing - 2025'!$B124:$B1022,0),Match(F$1,'Actuals - Billing - 2025'!$B$2:$BA$2,0)))</f>
        <v/>
      </c>
      <c r="G124" s="11" t="str">
        <f t="array" ref="G124">if($C124="","",index('Actuals - Billing - 2025'!$B124:$BA1022,Match($C124,'Actuals - Billing - 2025'!$B124:$B1022,0),Match(G$1,'Actuals - Billing - 2025'!$B$2:$BA$2,0)))</f>
        <v/>
      </c>
      <c r="H124" s="11" t="str">
        <f t="array" ref="H124">if($C124="","",index('Actuals - Billing - 2025'!$B124:$BA1022,Match($C124,'Actuals - Billing - 2025'!$B124:$B1022,0),Match(H$1,'Actuals - Billing - 2025'!$B$2:$BA$2,0)))</f>
        <v/>
      </c>
      <c r="I124" s="11" t="str">
        <f t="array" ref="I124">if($C124="","",index('Actuals - Billing - 2025'!$B124:$BA1022,Match($C124,'Actuals - Billing - 2025'!$B124:$B1022,0),Match(I$1,'Actuals - Billing - 2025'!$B$2:$BA$2,0)))</f>
        <v/>
      </c>
      <c r="J124" s="11" t="str">
        <f t="shared" si="2"/>
        <v/>
      </c>
      <c r="K124" s="149" t="str">
        <f t="shared" si="3"/>
        <v/>
      </c>
      <c r="L124" s="1" t="str">
        <f t="shared" si="4"/>
        <v/>
      </c>
      <c r="M124" s="4" t="str">
        <f t="shared" si="5"/>
        <v/>
      </c>
      <c r="N124" s="17" t="str">
        <f>if(M124&lt;&gt;"",'Actuals - Billing - 2025'!BG356,"")</f>
        <v/>
      </c>
    </row>
    <row r="125">
      <c r="A125" s="7" t="str">
        <f t="shared" si="1"/>
        <v/>
      </c>
      <c r="B125" s="8" t="str">
        <f>if(and('Actuals - Billing - 2025'!E$359=True,C125&lt;&gt;""),'Actuals - Billing - 2025'!C357,"")</f>
        <v/>
      </c>
      <c r="C125" s="9" t="str">
        <f>IF(sum('Actuals - Billing - 2025'!AR357:BA357)&gt;0,'Actuals - Billing - 2025'!B357,"")</f>
        <v/>
      </c>
      <c r="D125" s="148" t="str">
        <f>if(or(E125&lt;&gt;"",F125&lt;&gt;""),'Actuals - Billing - 2025'!AU125,if(G125&lt;&gt;"",35,if(H125&lt;&gt;"",'Actuals - Billing - 2025'!AY125,if(I125&lt;&gt;"",'Actuals - Billing - 2025'!BA125,""))))</f>
        <v/>
      </c>
      <c r="E125" s="11" t="str">
        <f t="array" ref="E125">if($C125="","",index('Actuals - Billing - 2025'!$B125:$BA1023,Match($C125,'Actuals - Billing - 2025'!$B125:$B1023,0),Match(E$1,'Actuals - Billing - 2025'!$B$2:$BA$2,0)))</f>
        <v/>
      </c>
      <c r="F125" s="11" t="str">
        <f t="array" ref="F125">if($C125="","",index('Actuals - Billing - 2025'!$B125:$BA1023,Match($C125,'Actuals - Billing - 2025'!$B125:$B1023,0),Match(F$1,'Actuals - Billing - 2025'!$B$2:$BA$2,0)))</f>
        <v/>
      </c>
      <c r="G125" s="11" t="str">
        <f t="array" ref="G125">if($C125="","",index('Actuals - Billing - 2025'!$B125:$BA1023,Match($C125,'Actuals - Billing - 2025'!$B125:$B1023,0),Match(G$1,'Actuals - Billing - 2025'!$B$2:$BA$2,0)))</f>
        <v/>
      </c>
      <c r="H125" s="11" t="str">
        <f t="array" ref="H125">if($C125="","",index('Actuals - Billing - 2025'!$B125:$BA1023,Match($C125,'Actuals - Billing - 2025'!$B125:$B1023,0),Match(H$1,'Actuals - Billing - 2025'!$B$2:$BA$2,0)))</f>
        <v/>
      </c>
      <c r="I125" s="11" t="str">
        <f t="array" ref="I125">if($C125="","",index('Actuals - Billing - 2025'!$B125:$BA1023,Match($C125,'Actuals - Billing - 2025'!$B125:$B1023,0),Match(I$1,'Actuals - Billing - 2025'!$B$2:$BA$2,0)))</f>
        <v/>
      </c>
      <c r="J125" s="11" t="str">
        <f t="shared" si="2"/>
        <v/>
      </c>
      <c r="K125" s="149" t="str">
        <f t="shared" si="3"/>
        <v/>
      </c>
      <c r="L125" s="1" t="str">
        <f t="shared" si="4"/>
        <v/>
      </c>
      <c r="M125" s="4" t="str">
        <f t="shared" si="5"/>
        <v/>
      </c>
      <c r="N125" s="17" t="str">
        <f>if(M125&lt;&gt;"",'Actuals - Billing - 2025'!BG357,"")</f>
        <v/>
      </c>
    </row>
    <row r="126">
      <c r="A126" s="7" t="str">
        <f t="shared" si="1"/>
        <v/>
      </c>
      <c r="B126" s="8" t="str">
        <f>if(and('Actuals - Billing - 2025'!E$359=True,C126&lt;&gt;""),'Actuals - Billing - 2025'!C358,"")</f>
        <v/>
      </c>
      <c r="C126" s="9" t="str">
        <f>IF(sum('Actuals - Billing - 2025'!AR358:BA358)&gt;0,'Actuals - Billing - 2025'!B358,"")</f>
        <v/>
      </c>
      <c r="D126" s="148" t="str">
        <f>if(or(E126&lt;&gt;"",F126&lt;&gt;""),'Actuals - Billing - 2025'!AU126,if(G126&lt;&gt;"",35,if(H126&lt;&gt;"",'Actuals - Billing - 2025'!AY126,if(I126&lt;&gt;"",'Actuals - Billing - 2025'!BA126,""))))</f>
        <v/>
      </c>
      <c r="E126" s="11" t="str">
        <f t="array" ref="E126">if($C126="","",index('Actuals - Billing - 2025'!$B126:$BA1024,Match($C126,'Actuals - Billing - 2025'!$B126:$B1024,0),Match(E$1,'Actuals - Billing - 2025'!$B$2:$BA$2,0)))</f>
        <v/>
      </c>
      <c r="F126" s="11" t="str">
        <f t="array" ref="F126">if($C126="","",index('Actuals - Billing - 2025'!$B126:$BA1024,Match($C126,'Actuals - Billing - 2025'!$B126:$B1024,0),Match(F$1,'Actuals - Billing - 2025'!$B$2:$BA$2,0)))</f>
        <v/>
      </c>
      <c r="G126" s="11" t="str">
        <f t="array" ref="G126">if($C126="","",index('Actuals - Billing - 2025'!$B126:$BA1024,Match($C126,'Actuals - Billing - 2025'!$B126:$B1024,0),Match(G$1,'Actuals - Billing - 2025'!$B$2:$BA$2,0)))</f>
        <v/>
      </c>
      <c r="H126" s="11" t="str">
        <f t="array" ref="H126">if($C126="","",index('Actuals - Billing - 2025'!$B126:$BA1024,Match($C126,'Actuals - Billing - 2025'!$B126:$B1024,0),Match(H$1,'Actuals - Billing - 2025'!$B$2:$BA$2,0)))</f>
        <v/>
      </c>
      <c r="I126" s="11" t="str">
        <f t="array" ref="I126">if($C126="","",index('Actuals - Billing - 2025'!$B126:$BA1024,Match($C126,'Actuals - Billing - 2025'!$B126:$B1024,0),Match(I$1,'Actuals - Billing - 2025'!$B$2:$BA$2,0)))</f>
        <v/>
      </c>
      <c r="J126" s="11" t="str">
        <f t="shared" si="2"/>
        <v/>
      </c>
      <c r="K126" s="149" t="str">
        <f t="shared" si="3"/>
        <v/>
      </c>
      <c r="L126" s="1" t="str">
        <f t="shared" si="4"/>
        <v/>
      </c>
      <c r="M126" s="4" t="str">
        <f t="shared" si="5"/>
        <v/>
      </c>
      <c r="N126" s="17" t="str">
        <f>if(M126&lt;&gt;"",'Actuals - Billing - 2025'!BG358,"")</f>
        <v/>
      </c>
    </row>
    <row r="127">
      <c r="A127" s="7" t="str">
        <f t="shared" si="1"/>
        <v/>
      </c>
      <c r="B127" s="8" t="str">
        <f>if(and('Actuals - Billing - 2025'!E$359=True,C127&lt;&gt;""),'Actuals - Billing - 2025'!C359,"")</f>
        <v/>
      </c>
      <c r="C127" s="9" t="str">
        <f>IF(sum('Actuals - Billing - 2025'!AR359:BA359)&gt;0,'Actuals - Billing - 2025'!B359,"")</f>
        <v/>
      </c>
      <c r="D127" s="148" t="str">
        <f>if(or(E127&lt;&gt;"",F127&lt;&gt;""),'Actuals - Billing - 2025'!AU127,if(G127&lt;&gt;"",35,if(H127&lt;&gt;"",'Actuals - Billing - 2025'!AY127,if(I127&lt;&gt;"",'Actuals - Billing - 2025'!BA127,""))))</f>
        <v/>
      </c>
      <c r="E127" s="11" t="str">
        <f t="array" ref="E127">if($C127="","",index('Actuals - Billing - 2025'!$B127:$BA1025,Match($C127,'Actuals - Billing - 2025'!$B127:$B1025,0),Match(E$1,'Actuals - Billing - 2025'!$B$2:$BA$2,0)))</f>
        <v/>
      </c>
      <c r="F127" s="11" t="str">
        <f t="array" ref="F127">if($C127="","",index('Actuals - Billing - 2025'!$B127:$BA1025,Match($C127,'Actuals - Billing - 2025'!$B127:$B1025,0),Match(F$1,'Actuals - Billing - 2025'!$B$2:$BA$2,0)))</f>
        <v/>
      </c>
      <c r="G127" s="11" t="str">
        <f t="array" ref="G127">if($C127="","",index('Actuals - Billing - 2025'!$B127:$BA1025,Match($C127,'Actuals - Billing - 2025'!$B127:$B1025,0),Match(G$1,'Actuals - Billing - 2025'!$B$2:$BA$2,0)))</f>
        <v/>
      </c>
      <c r="H127" s="11" t="str">
        <f t="array" ref="H127">if($C127="","",index('Actuals - Billing - 2025'!$B127:$BA1025,Match($C127,'Actuals - Billing - 2025'!$B127:$B1025,0),Match(H$1,'Actuals - Billing - 2025'!$B$2:$BA$2,0)))</f>
        <v/>
      </c>
      <c r="I127" s="11" t="str">
        <f t="array" ref="I127">if($C127="","",index('Actuals - Billing - 2025'!$B127:$BA1025,Match($C127,'Actuals - Billing - 2025'!$B127:$B1025,0),Match(I$1,'Actuals - Billing - 2025'!$B$2:$BA$2,0)))</f>
        <v/>
      </c>
      <c r="J127" s="11" t="str">
        <f t="shared" si="2"/>
        <v/>
      </c>
      <c r="K127" s="149" t="str">
        <f t="shared" si="3"/>
        <v/>
      </c>
      <c r="L127" s="1" t="str">
        <f t="shared" si="4"/>
        <v/>
      </c>
      <c r="M127" s="4" t="str">
        <f t="shared" si="5"/>
        <v/>
      </c>
      <c r="N127" s="17" t="str">
        <f>if(M127&lt;&gt;"",'Actuals - Billing - 2025'!BG359,"")</f>
        <v/>
      </c>
    </row>
    <row r="128">
      <c r="A128" s="7" t="str">
        <f t="shared" si="1"/>
        <v/>
      </c>
      <c r="B128" s="8" t="str">
        <f>if(and('Actuals - Billing - 2025'!E$366=True,C128&lt;&gt;""),'Actuals - Billing - 2025'!C360,"")</f>
        <v/>
      </c>
      <c r="C128" s="9" t="str">
        <f>IF(sum('Actuals - Billing - 2025'!AR360:BA360)&gt;0,'Actuals - Billing - 2025'!B360,"")</f>
        <v/>
      </c>
      <c r="D128" s="148" t="str">
        <f>if(or(E128&lt;&gt;"",F128&lt;&gt;""),'Actuals - Billing - 2025'!AU128,if(G128&lt;&gt;"",35,if(H128&lt;&gt;"",'Actuals - Billing - 2025'!AY128,if(I128&lt;&gt;"",'Actuals - Billing - 2025'!BA128,""))))</f>
        <v/>
      </c>
      <c r="E128" s="11" t="str">
        <f t="array" ref="E128">if($C128="","",index('Actuals - Billing - 2025'!$B128:$BA1026,Match($C128,'Actuals - Billing - 2025'!$B128:$B1026,0),Match(E$1,'Actuals - Billing - 2025'!$B$2:$BA$2,0)))</f>
        <v/>
      </c>
      <c r="F128" s="11" t="str">
        <f t="array" ref="F128">if($C128="","",index('Actuals - Billing - 2025'!$B128:$BA1026,Match($C128,'Actuals - Billing - 2025'!$B128:$B1026,0),Match(F$1,'Actuals - Billing - 2025'!$B$2:$BA$2,0)))</f>
        <v/>
      </c>
      <c r="G128" s="11" t="str">
        <f t="array" ref="G128">if($C128="","",index('Actuals - Billing - 2025'!$B128:$BA1026,Match($C128,'Actuals - Billing - 2025'!$B128:$B1026,0),Match(G$1,'Actuals - Billing - 2025'!$B$2:$BA$2,0)))</f>
        <v/>
      </c>
      <c r="H128" s="11" t="str">
        <f t="array" ref="H128">if($C128="","",index('Actuals - Billing - 2025'!$B128:$BA1026,Match($C128,'Actuals - Billing - 2025'!$B128:$B1026,0),Match(H$1,'Actuals - Billing - 2025'!$B$2:$BA$2,0)))</f>
        <v/>
      </c>
      <c r="I128" s="11" t="str">
        <f t="array" ref="I128">if($C128="","",index('Actuals - Billing - 2025'!$B128:$BA1026,Match($C128,'Actuals - Billing - 2025'!$B128:$B1026,0),Match(I$1,'Actuals - Billing - 2025'!$B$2:$BA$2,0)))</f>
        <v/>
      </c>
      <c r="J128" s="11" t="str">
        <f t="shared" si="2"/>
        <v/>
      </c>
      <c r="K128" s="149" t="str">
        <f t="shared" si="3"/>
        <v/>
      </c>
      <c r="L128" s="1" t="str">
        <f t="shared" si="4"/>
        <v/>
      </c>
      <c r="M128" s="4" t="str">
        <f t="shared" si="5"/>
        <v/>
      </c>
      <c r="N128" s="17" t="str">
        <f>if(M128&lt;&gt;"",'Actuals - Billing - 2025'!BG360,"")</f>
        <v/>
      </c>
    </row>
    <row r="129">
      <c r="A129" s="7" t="str">
        <f t="shared" si="1"/>
        <v/>
      </c>
      <c r="B129" s="8" t="str">
        <f>if(and('Actuals - Billing - 2025'!E$366=True,C129&lt;&gt;""),'Actuals - Billing - 2025'!C361,"")</f>
        <v/>
      </c>
      <c r="C129" s="9" t="str">
        <f>IF(sum('Actuals - Billing - 2025'!AR361:BA361)&gt;0,'Actuals - Billing - 2025'!B361,"")</f>
        <v/>
      </c>
      <c r="D129" s="148" t="str">
        <f>if(or(E129&lt;&gt;"",F129&lt;&gt;""),'Actuals - Billing - 2025'!AU129,if(G129&lt;&gt;"",35,if(H129&lt;&gt;"",'Actuals - Billing - 2025'!AY129,if(I129&lt;&gt;"",'Actuals - Billing - 2025'!BA129,""))))</f>
        <v/>
      </c>
      <c r="E129" s="11" t="str">
        <f t="array" ref="E129">if($C129="","",index('Actuals - Billing - 2025'!$B129:$BA1027,Match($C129,'Actuals - Billing - 2025'!$B129:$B1027,0),Match(E$1,'Actuals - Billing - 2025'!$B$2:$BA$2,0)))</f>
        <v/>
      </c>
      <c r="F129" s="11" t="str">
        <f t="array" ref="F129">if($C129="","",index('Actuals - Billing - 2025'!$B129:$BA1027,Match($C129,'Actuals - Billing - 2025'!$B129:$B1027,0),Match(F$1,'Actuals - Billing - 2025'!$B$2:$BA$2,0)))</f>
        <v/>
      </c>
      <c r="G129" s="11" t="str">
        <f t="array" ref="G129">if($C129="","",index('Actuals - Billing - 2025'!$B129:$BA1027,Match($C129,'Actuals - Billing - 2025'!$B129:$B1027,0),Match(G$1,'Actuals - Billing - 2025'!$B$2:$BA$2,0)))</f>
        <v/>
      </c>
      <c r="H129" s="11" t="str">
        <f t="array" ref="H129">if($C129="","",index('Actuals - Billing - 2025'!$B129:$BA1027,Match($C129,'Actuals - Billing - 2025'!$B129:$B1027,0),Match(H$1,'Actuals - Billing - 2025'!$B$2:$BA$2,0)))</f>
        <v/>
      </c>
      <c r="I129" s="11" t="str">
        <f t="array" ref="I129">if($C129="","",index('Actuals - Billing - 2025'!$B129:$BA1027,Match($C129,'Actuals - Billing - 2025'!$B129:$B1027,0),Match(I$1,'Actuals - Billing - 2025'!$B$2:$BA$2,0)))</f>
        <v/>
      </c>
      <c r="J129" s="11" t="str">
        <f t="shared" si="2"/>
        <v/>
      </c>
      <c r="K129" s="149" t="str">
        <f t="shared" si="3"/>
        <v/>
      </c>
      <c r="L129" s="1" t="str">
        <f t="shared" si="4"/>
        <v/>
      </c>
      <c r="M129" s="4" t="str">
        <f t="shared" si="5"/>
        <v/>
      </c>
      <c r="N129" s="17" t="str">
        <f>if(M129&lt;&gt;"",'Actuals - Billing - 2025'!BG361,"")</f>
        <v/>
      </c>
    </row>
    <row r="130">
      <c r="A130" s="7" t="str">
        <f t="shared" si="1"/>
        <v/>
      </c>
      <c r="B130" s="8" t="str">
        <f>if(and('Actuals - Billing - 2025'!E$366=True,C130&lt;&gt;""),'Actuals - Billing - 2025'!C362,"")</f>
        <v/>
      </c>
      <c r="C130" s="9" t="str">
        <f>IF(sum('Actuals - Billing - 2025'!AR362:BA362)&gt;0,'Actuals - Billing - 2025'!B362,"")</f>
        <v/>
      </c>
      <c r="D130" s="148" t="str">
        <f>if(or(E130&lt;&gt;"",F130&lt;&gt;""),'Actuals - Billing - 2025'!AU130,if(G130&lt;&gt;"",35,if(H130&lt;&gt;"",'Actuals - Billing - 2025'!AY130,if(I130&lt;&gt;"",'Actuals - Billing - 2025'!BA130,""))))</f>
        <v/>
      </c>
      <c r="E130" s="11" t="str">
        <f t="array" ref="E130">if($C130="","",index('Actuals - Billing - 2025'!$B130:$BA1028,Match($C130,'Actuals - Billing - 2025'!$B130:$B1028,0),Match(E$1,'Actuals - Billing - 2025'!$B$2:$BA$2,0)))</f>
        <v/>
      </c>
      <c r="F130" s="11" t="str">
        <f t="array" ref="F130">if($C130="","",index('Actuals - Billing - 2025'!$B130:$BA1028,Match($C130,'Actuals - Billing - 2025'!$B130:$B1028,0),Match(F$1,'Actuals - Billing - 2025'!$B$2:$BA$2,0)))</f>
        <v/>
      </c>
      <c r="G130" s="11" t="str">
        <f t="array" ref="G130">if($C130="","",index('Actuals - Billing - 2025'!$B130:$BA1028,Match($C130,'Actuals - Billing - 2025'!$B130:$B1028,0),Match(G$1,'Actuals - Billing - 2025'!$B$2:$BA$2,0)))</f>
        <v/>
      </c>
      <c r="H130" s="11" t="str">
        <f t="array" ref="H130">if($C130="","",index('Actuals - Billing - 2025'!$B130:$BA1028,Match($C130,'Actuals - Billing - 2025'!$B130:$B1028,0),Match(H$1,'Actuals - Billing - 2025'!$B$2:$BA$2,0)))</f>
        <v/>
      </c>
      <c r="I130" s="11" t="str">
        <f t="array" ref="I130">if($C130="","",index('Actuals - Billing - 2025'!$B130:$BA1028,Match($C130,'Actuals - Billing - 2025'!$B130:$B1028,0),Match(I$1,'Actuals - Billing - 2025'!$B$2:$BA$2,0)))</f>
        <v/>
      </c>
      <c r="J130" s="11" t="str">
        <f t="shared" si="2"/>
        <v/>
      </c>
      <c r="K130" s="149" t="str">
        <f t="shared" si="3"/>
        <v/>
      </c>
      <c r="L130" s="1" t="str">
        <f t="shared" si="4"/>
        <v/>
      </c>
      <c r="M130" s="4" t="str">
        <f t="shared" si="5"/>
        <v/>
      </c>
      <c r="N130" s="17" t="str">
        <f>if(M130&lt;&gt;"",'Actuals - Billing - 2025'!BG362,"")</f>
        <v/>
      </c>
    </row>
    <row r="131">
      <c r="A131" s="7" t="str">
        <f t="shared" si="1"/>
        <v/>
      </c>
      <c r="B131" s="8" t="str">
        <f>if(and('Actuals - Billing - 2025'!E$366=True,C131&lt;&gt;""),'Actuals - Billing - 2025'!C363,"")</f>
        <v/>
      </c>
      <c r="C131" s="9" t="str">
        <f>IF(sum('Actuals - Billing - 2025'!AR363:BA363)&gt;0,'Actuals - Billing - 2025'!B363,"")</f>
        <v/>
      </c>
      <c r="D131" s="148" t="str">
        <f>if(or(E131&lt;&gt;"",F131&lt;&gt;""),'Actuals - Billing - 2025'!AU131,if(G131&lt;&gt;"",35,if(H131&lt;&gt;"",'Actuals - Billing - 2025'!AY131,if(I131&lt;&gt;"",'Actuals - Billing - 2025'!BA131,""))))</f>
        <v/>
      </c>
      <c r="E131" s="11" t="str">
        <f t="array" ref="E131">if($C131="","",index('Actuals - Billing - 2025'!$B131:$BA1029,Match($C131,'Actuals - Billing - 2025'!$B131:$B1029,0),Match(E$1,'Actuals - Billing - 2025'!$B$2:$BA$2,0)))</f>
        <v/>
      </c>
      <c r="F131" s="11" t="str">
        <f t="array" ref="F131">if($C131="","",index('Actuals - Billing - 2025'!$B131:$BA1029,Match($C131,'Actuals - Billing - 2025'!$B131:$B1029,0),Match(F$1,'Actuals - Billing - 2025'!$B$2:$BA$2,0)))</f>
        <v/>
      </c>
      <c r="G131" s="11" t="str">
        <f t="array" ref="G131">if($C131="","",index('Actuals - Billing - 2025'!$B131:$BA1029,Match($C131,'Actuals - Billing - 2025'!$B131:$B1029,0),Match(G$1,'Actuals - Billing - 2025'!$B$2:$BA$2,0)))</f>
        <v/>
      </c>
      <c r="H131" s="11" t="str">
        <f t="array" ref="H131">if($C131="","",index('Actuals - Billing - 2025'!$B131:$BA1029,Match($C131,'Actuals - Billing - 2025'!$B131:$B1029,0),Match(H$1,'Actuals - Billing - 2025'!$B$2:$BA$2,0)))</f>
        <v/>
      </c>
      <c r="I131" s="11" t="str">
        <f t="array" ref="I131">if($C131="","",index('Actuals - Billing - 2025'!$B131:$BA1029,Match($C131,'Actuals - Billing - 2025'!$B131:$B1029,0),Match(I$1,'Actuals - Billing - 2025'!$B$2:$BA$2,0)))</f>
        <v/>
      </c>
      <c r="J131" s="11" t="str">
        <f t="shared" si="2"/>
        <v/>
      </c>
      <c r="K131" s="149" t="str">
        <f t="shared" si="3"/>
        <v/>
      </c>
      <c r="L131" s="1" t="str">
        <f t="shared" si="4"/>
        <v/>
      </c>
      <c r="M131" s="4" t="str">
        <f t="shared" si="5"/>
        <v/>
      </c>
      <c r="N131" s="17" t="str">
        <f>if(M131&lt;&gt;"",'Actuals - Billing - 2025'!BG363,"")</f>
        <v/>
      </c>
    </row>
    <row r="132">
      <c r="A132" s="7" t="str">
        <f t="shared" si="1"/>
        <v/>
      </c>
      <c r="B132" s="8" t="str">
        <f>if(and('Actuals - Billing - 2025'!E$366=True,C132&lt;&gt;""),'Actuals - Billing - 2025'!C364,"")</f>
        <v/>
      </c>
      <c r="C132" s="9" t="str">
        <f>IF(sum('Actuals - Billing - 2025'!AR364:BA364)&gt;0,'Actuals - Billing - 2025'!B364,"")</f>
        <v/>
      </c>
      <c r="D132" s="148" t="str">
        <f>if(or(E132&lt;&gt;"",F132&lt;&gt;""),'Actuals - Billing - 2025'!AU132,if(G132&lt;&gt;"",35,if(H132&lt;&gt;"",'Actuals - Billing - 2025'!AY132,if(I132&lt;&gt;"",'Actuals - Billing - 2025'!BA132,""))))</f>
        <v/>
      </c>
      <c r="E132" s="11" t="str">
        <f t="array" ref="E132">if($C132="","",index('Actuals - Billing - 2025'!$B132:$BA1030,Match($C132,'Actuals - Billing - 2025'!$B132:$B1030,0),Match(E$1,'Actuals - Billing - 2025'!$B$2:$BA$2,0)))</f>
        <v/>
      </c>
      <c r="F132" s="11" t="str">
        <f t="array" ref="F132">if($C132="","",index('Actuals - Billing - 2025'!$B132:$BA1030,Match($C132,'Actuals - Billing - 2025'!$B132:$B1030,0),Match(F$1,'Actuals - Billing - 2025'!$B$2:$BA$2,0)))</f>
        <v/>
      </c>
      <c r="G132" s="11" t="str">
        <f t="array" ref="G132">if($C132="","",index('Actuals - Billing - 2025'!$B132:$BA1030,Match($C132,'Actuals - Billing - 2025'!$B132:$B1030,0),Match(G$1,'Actuals - Billing - 2025'!$B$2:$BA$2,0)))</f>
        <v/>
      </c>
      <c r="H132" s="11" t="str">
        <f t="array" ref="H132">if($C132="","",index('Actuals - Billing - 2025'!$B132:$BA1030,Match($C132,'Actuals - Billing - 2025'!$B132:$B1030,0),Match(H$1,'Actuals - Billing - 2025'!$B$2:$BA$2,0)))</f>
        <v/>
      </c>
      <c r="I132" s="11" t="str">
        <f t="array" ref="I132">if($C132="","",index('Actuals - Billing - 2025'!$B132:$BA1030,Match($C132,'Actuals - Billing - 2025'!$B132:$B1030,0),Match(I$1,'Actuals - Billing - 2025'!$B$2:$BA$2,0)))</f>
        <v/>
      </c>
      <c r="J132" s="11" t="str">
        <f t="shared" si="2"/>
        <v/>
      </c>
      <c r="K132" s="149" t="str">
        <f t="shared" si="3"/>
        <v/>
      </c>
      <c r="L132" s="1" t="str">
        <f t="shared" si="4"/>
        <v/>
      </c>
      <c r="M132" s="4" t="str">
        <f t="shared" si="5"/>
        <v/>
      </c>
      <c r="N132" s="17" t="str">
        <f>if(M132&lt;&gt;"",'Actuals - Billing - 2025'!BG364,"")</f>
        <v/>
      </c>
    </row>
    <row r="133">
      <c r="A133" s="7" t="str">
        <f t="shared" si="1"/>
        <v/>
      </c>
      <c r="B133" s="8" t="str">
        <f>if(and('Actuals - Billing - 2025'!E$366=True,C133&lt;&gt;""),'Actuals - Billing - 2025'!C365,"")</f>
        <v/>
      </c>
      <c r="C133" s="9" t="str">
        <f>IF(sum('Actuals - Billing - 2025'!AR365:BA365)&gt;0,'Actuals - Billing - 2025'!B365,"")</f>
        <v/>
      </c>
      <c r="D133" s="148" t="str">
        <f>if(or(E133&lt;&gt;"",F133&lt;&gt;""),'Actuals - Billing - 2025'!AU133,if(G133&lt;&gt;"",35,if(H133&lt;&gt;"",'Actuals - Billing - 2025'!AY133,if(I133&lt;&gt;"",'Actuals - Billing - 2025'!BA133,""))))</f>
        <v/>
      </c>
      <c r="E133" s="11" t="str">
        <f t="array" ref="E133">if($C133="","",index('Actuals - Billing - 2025'!$B133:$BA1031,Match($C133,'Actuals - Billing - 2025'!$B133:$B1031,0),Match(E$1,'Actuals - Billing - 2025'!$B$2:$BA$2,0)))</f>
        <v/>
      </c>
      <c r="F133" s="11" t="str">
        <f t="array" ref="F133">if($C133="","",index('Actuals - Billing - 2025'!$B133:$BA1031,Match($C133,'Actuals - Billing - 2025'!$B133:$B1031,0),Match(F$1,'Actuals - Billing - 2025'!$B$2:$BA$2,0)))</f>
        <v/>
      </c>
      <c r="G133" s="11" t="str">
        <f t="array" ref="G133">if($C133="","",index('Actuals - Billing - 2025'!$B133:$BA1031,Match($C133,'Actuals - Billing - 2025'!$B133:$B1031,0),Match(G$1,'Actuals - Billing - 2025'!$B$2:$BA$2,0)))</f>
        <v/>
      </c>
      <c r="H133" s="11" t="str">
        <f t="array" ref="H133">if($C133="","",index('Actuals - Billing - 2025'!$B133:$BA1031,Match($C133,'Actuals - Billing - 2025'!$B133:$B1031,0),Match(H$1,'Actuals - Billing - 2025'!$B$2:$BA$2,0)))</f>
        <v/>
      </c>
      <c r="I133" s="11" t="str">
        <f t="array" ref="I133">if($C133="","",index('Actuals - Billing - 2025'!$B133:$BA1031,Match($C133,'Actuals - Billing - 2025'!$B133:$B1031,0),Match(I$1,'Actuals - Billing - 2025'!$B$2:$BA$2,0)))</f>
        <v/>
      </c>
      <c r="J133" s="11" t="str">
        <f t="shared" si="2"/>
        <v/>
      </c>
      <c r="K133" s="149" t="str">
        <f t="shared" si="3"/>
        <v/>
      </c>
      <c r="L133" s="1" t="str">
        <f t="shared" si="4"/>
        <v/>
      </c>
      <c r="M133" s="4" t="str">
        <f t="shared" si="5"/>
        <v/>
      </c>
      <c r="N133" s="17" t="str">
        <f>if(M133&lt;&gt;"",'Actuals - Billing - 2025'!BG365,"")</f>
        <v/>
      </c>
    </row>
    <row r="134">
      <c r="A134" s="7" t="str">
        <f t="shared" si="1"/>
        <v/>
      </c>
      <c r="B134" s="8" t="str">
        <f>if(and('Actuals - Billing - 2025'!E$366=True,C134&lt;&gt;""),'Actuals - Billing - 2025'!C366,"")</f>
        <v/>
      </c>
      <c r="C134" s="9" t="str">
        <f>IF(sum('Actuals - Billing - 2025'!AR366:BA366)&gt;0,'Actuals - Billing - 2025'!B366,"")</f>
        <v/>
      </c>
      <c r="D134" s="148" t="str">
        <f>if(or(E134&lt;&gt;"",F134&lt;&gt;""),'Actuals - Billing - 2025'!AU134,if(G134&lt;&gt;"",35,if(H134&lt;&gt;"",'Actuals - Billing - 2025'!AY134,if(I134&lt;&gt;"",'Actuals - Billing - 2025'!BA134,""))))</f>
        <v/>
      </c>
      <c r="E134" s="11" t="str">
        <f t="array" ref="E134">if($C134="","",index('Actuals - Billing - 2025'!$B134:$BA1032,Match($C134,'Actuals - Billing - 2025'!$B134:$B1032,0),Match(E$1,'Actuals - Billing - 2025'!$B$2:$BA$2,0)))</f>
        <v/>
      </c>
      <c r="F134" s="11" t="str">
        <f t="array" ref="F134">if($C134="","",index('Actuals - Billing - 2025'!$B134:$BA1032,Match($C134,'Actuals - Billing - 2025'!$B134:$B1032,0),Match(F$1,'Actuals - Billing - 2025'!$B$2:$BA$2,0)))</f>
        <v/>
      </c>
      <c r="G134" s="11" t="str">
        <f t="array" ref="G134">if($C134="","",index('Actuals - Billing - 2025'!$B134:$BA1032,Match($C134,'Actuals - Billing - 2025'!$B134:$B1032,0),Match(G$1,'Actuals - Billing - 2025'!$B$2:$BA$2,0)))</f>
        <v/>
      </c>
      <c r="H134" s="11" t="str">
        <f t="array" ref="H134">if($C134="","",index('Actuals - Billing - 2025'!$B134:$BA1032,Match($C134,'Actuals - Billing - 2025'!$B134:$B1032,0),Match(H$1,'Actuals - Billing - 2025'!$B$2:$BA$2,0)))</f>
        <v/>
      </c>
      <c r="I134" s="11" t="str">
        <f t="array" ref="I134">if($C134="","",index('Actuals - Billing - 2025'!$B134:$BA1032,Match($C134,'Actuals - Billing - 2025'!$B134:$B1032,0),Match(I$1,'Actuals - Billing - 2025'!$B$2:$BA$2,0)))</f>
        <v/>
      </c>
      <c r="J134" s="11" t="str">
        <f t="shared" si="2"/>
        <v/>
      </c>
      <c r="K134" s="149" t="str">
        <f t="shared" si="3"/>
        <v/>
      </c>
      <c r="L134" s="1" t="str">
        <f t="shared" si="4"/>
        <v/>
      </c>
      <c r="M134" s="4" t="str">
        <f t="shared" si="5"/>
        <v/>
      </c>
      <c r="N134" s="17" t="str">
        <f>if(M134&lt;&gt;"",'Actuals - Billing - 2025'!BG366,"")</f>
        <v/>
      </c>
    </row>
    <row r="135">
      <c r="A135" s="7" t="str">
        <f t="shared" si="1"/>
        <v/>
      </c>
      <c r="B135" s="8"/>
      <c r="C135" s="9" t="str">
        <f>IF(sum('Actuals - Billing - 2025'!AR367:BA367)&gt;0,'Actuals - Billing - 2025'!B367,"")</f>
        <v/>
      </c>
      <c r="D135" s="148" t="str">
        <f>if(or(E135&lt;&gt;"",F135&lt;&gt;""),'Actuals - Billing - 2025'!AU135,if(G135&lt;&gt;"",35,if(H135&lt;&gt;"",'Actuals - Billing - 2025'!AY135,if(I135&lt;&gt;"",'Actuals - Billing - 2025'!BA135,""))))</f>
        <v/>
      </c>
      <c r="E135" s="11" t="str">
        <f t="array" ref="E135">if($C135="","",index('Actuals - Billing - 2025'!$B135:$BA1033,Match($C135,'Actuals - Billing - 2025'!$B135:$B1033,0),Match(E$1,'Actuals - Billing - 2025'!$B$2:$BA$2,0)))</f>
        <v/>
      </c>
      <c r="F135" s="11" t="str">
        <f t="array" ref="F135">if($C135="","",index('Actuals - Billing - 2025'!$B135:$BA1033,Match($C135,'Actuals - Billing - 2025'!$B135:$B1033,0),Match(F$1,'Actuals - Billing - 2025'!$B$2:$BA$2,0)))</f>
        <v/>
      </c>
      <c r="G135" s="11" t="str">
        <f t="array" ref="G135">if($C135="","",index('Actuals - Billing - 2025'!$B135:$BA1033,Match($C135,'Actuals - Billing - 2025'!$B135:$B1033,0),Match(G$1,'Actuals - Billing - 2025'!$B$2:$BA$2,0)))</f>
        <v/>
      </c>
      <c r="H135" s="11" t="str">
        <f t="array" ref="H135">if($C135="","",index('Actuals - Billing - 2025'!$B135:$BA1033,Match($C135,'Actuals - Billing - 2025'!$B135:$B1033,0),Match(H$1,'Actuals - Billing - 2025'!$B$2:$BA$2,0)))</f>
        <v/>
      </c>
      <c r="I135" s="11" t="str">
        <f t="array" ref="I135">if($C135="","",index('Actuals - Billing - 2025'!$B135:$BA1033,Match($C135,'Actuals - Billing - 2025'!$B135:$B1033,0),Match(I$1,'Actuals - Billing - 2025'!$B$2:$BA$2,0)))</f>
        <v/>
      </c>
      <c r="J135" s="11" t="str">
        <f t="shared" si="2"/>
        <v/>
      </c>
      <c r="K135" s="149" t="str">
        <f t="shared" si="3"/>
        <v/>
      </c>
      <c r="L135" s="1" t="str">
        <f t="shared" si="4"/>
        <v/>
      </c>
      <c r="M135" s="4" t="str">
        <f t="shared" si="5"/>
        <v/>
      </c>
      <c r="N135" s="17" t="str">
        <f>if(M135&lt;&gt;"",'Actuals - Billing - 2025'!BG367,"")</f>
        <v/>
      </c>
    </row>
    <row r="136">
      <c r="A136" s="7" t="str">
        <f t="shared" si="1"/>
        <v/>
      </c>
      <c r="B136" s="8" t="str">
        <f>if(and('Actuals - Billing - 2025'!E$261=True,C136&lt;&gt;""),'Actuals - Billing - 2025'!C368,"")</f>
        <v/>
      </c>
      <c r="C136" s="9" t="str">
        <f>IF(sum('Actuals - Billing - 2025'!AR368:BA368)&gt;0,'Actuals - Billing - 2025'!B368,"")</f>
        <v/>
      </c>
      <c r="D136" s="148" t="str">
        <f>if(or(E136&lt;&gt;"",F136&lt;&gt;""),'Actuals - Billing - 2025'!AU136,if(G136&lt;&gt;"",35,if(H136&lt;&gt;"",'Actuals - Billing - 2025'!AY136,if(I136&lt;&gt;"",'Actuals - Billing - 2025'!BA136,""))))</f>
        <v/>
      </c>
      <c r="E136" s="11" t="str">
        <f t="array" ref="E136">if($C136="","",index('Actuals - Billing - 2025'!$B136:$BA1034,Match($C136,'Actuals - Billing - 2025'!$B136:$B1034,0),Match(E$1,'Actuals - Billing - 2025'!$B$2:$BA$2,0)))</f>
        <v/>
      </c>
      <c r="F136" s="11" t="str">
        <f t="array" ref="F136">if($C136="","",index('Actuals - Billing - 2025'!$B136:$BA1034,Match($C136,'Actuals - Billing - 2025'!$B136:$B1034,0),Match(F$1,'Actuals - Billing - 2025'!$B$2:$BA$2,0)))</f>
        <v/>
      </c>
      <c r="G136" s="11" t="str">
        <f t="array" ref="G136">if($C136="","",index('Actuals - Billing - 2025'!$B136:$BA1034,Match($C136,'Actuals - Billing - 2025'!$B136:$B1034,0),Match(G$1,'Actuals - Billing - 2025'!$B$2:$BA$2,0)))</f>
        <v/>
      </c>
      <c r="H136" s="11" t="str">
        <f t="array" ref="H136">if($C136="","",index('Actuals - Billing - 2025'!$B136:$BA1034,Match($C136,'Actuals - Billing - 2025'!$B136:$B1034,0),Match(H$1,'Actuals - Billing - 2025'!$B$2:$BA$2,0)))</f>
        <v/>
      </c>
      <c r="I136" s="11" t="str">
        <f t="array" ref="I136">if($C136="","",index('Actuals - Billing - 2025'!$B136:$BA1034,Match($C136,'Actuals - Billing - 2025'!$B136:$B1034,0),Match(I$1,'Actuals - Billing - 2025'!$B$2:$BA$2,0)))</f>
        <v/>
      </c>
      <c r="J136" s="11" t="str">
        <f t="shared" si="2"/>
        <v/>
      </c>
      <c r="K136" s="149" t="str">
        <f t="shared" si="3"/>
        <v/>
      </c>
      <c r="L136" s="1" t="str">
        <f t="shared" si="4"/>
        <v/>
      </c>
      <c r="M136" s="4" t="str">
        <f t="shared" si="5"/>
        <v/>
      </c>
      <c r="N136" s="17" t="str">
        <f>if(M136&lt;&gt;"",'Actuals - Billing - 2025'!BG368,"")</f>
        <v/>
      </c>
    </row>
    <row r="137">
      <c r="A137" s="7" t="str">
        <f t="shared" si="1"/>
        <v/>
      </c>
      <c r="B137" s="8" t="str">
        <f>if(and('Actuals - Billing - 2025'!E$261=True,C137&lt;&gt;""),'Actuals - Billing - 2025'!C369,"")</f>
        <v/>
      </c>
      <c r="C137" s="9" t="str">
        <f>IF(sum('Actuals - Billing - 2025'!AR369:BA369)&gt;0,'Actuals - Billing - 2025'!B369,"")</f>
        <v/>
      </c>
      <c r="D137" s="148" t="str">
        <f>if(or(E137&lt;&gt;"",F137&lt;&gt;""),'Actuals - Billing - 2025'!AU137,if(G137&lt;&gt;"",35,if(H137&lt;&gt;"",'Actuals - Billing - 2025'!AY137,if(I137&lt;&gt;"",'Actuals - Billing - 2025'!BA137,""))))</f>
        <v/>
      </c>
      <c r="E137" s="11" t="str">
        <f t="array" ref="E137">if($C137="","",index('Actuals - Billing - 2025'!$B137:$BA1035,Match($C137,'Actuals - Billing - 2025'!$B137:$B1035,0),Match(E$1,'Actuals - Billing - 2025'!$B$2:$BA$2,0)))</f>
        <v/>
      </c>
      <c r="F137" s="11" t="str">
        <f t="array" ref="F137">if($C137="","",index('Actuals - Billing - 2025'!$B137:$BA1035,Match($C137,'Actuals - Billing - 2025'!$B137:$B1035,0),Match(F$1,'Actuals - Billing - 2025'!$B$2:$BA$2,0)))</f>
        <v/>
      </c>
      <c r="G137" s="11" t="str">
        <f t="array" ref="G137">if($C137="","",index('Actuals - Billing - 2025'!$B137:$BA1035,Match($C137,'Actuals - Billing - 2025'!$B137:$B1035,0),Match(G$1,'Actuals - Billing - 2025'!$B$2:$BA$2,0)))</f>
        <v/>
      </c>
      <c r="H137" s="11" t="str">
        <f t="array" ref="H137">if($C137="","",index('Actuals - Billing - 2025'!$B137:$BA1035,Match($C137,'Actuals - Billing - 2025'!$B137:$B1035,0),Match(H$1,'Actuals - Billing - 2025'!$B$2:$BA$2,0)))</f>
        <v/>
      </c>
      <c r="I137" s="11" t="str">
        <f t="array" ref="I137">if($C137="","",index('Actuals - Billing - 2025'!$B137:$BA1035,Match($C137,'Actuals - Billing - 2025'!$B137:$B1035,0),Match(I$1,'Actuals - Billing - 2025'!$B$2:$BA$2,0)))</f>
        <v/>
      </c>
      <c r="J137" s="11" t="str">
        <f t="shared" si="2"/>
        <v/>
      </c>
      <c r="K137" s="149" t="str">
        <f t="shared" si="3"/>
        <v/>
      </c>
      <c r="L137" s="1" t="str">
        <f t="shared" si="4"/>
        <v/>
      </c>
      <c r="M137" s="4" t="str">
        <f t="shared" si="5"/>
        <v/>
      </c>
      <c r="N137" s="17" t="str">
        <f>if(M137&lt;&gt;"",'Actuals - Billing - 2025'!BG369,"")</f>
        <v/>
      </c>
    </row>
    <row r="138">
      <c r="A138" s="7" t="str">
        <f t="shared" si="1"/>
        <v/>
      </c>
      <c r="B138" s="8" t="str">
        <f>if(and('Actuals - Billing - 2025'!E$261=True,C138&lt;&gt;""),'Actuals - Billing - 2025'!C370,"")</f>
        <v/>
      </c>
      <c r="C138" s="9" t="str">
        <f>IF(sum('Actuals - Billing - 2025'!AR370:BA370)&gt;0,'Actuals - Billing - 2025'!B370,"")</f>
        <v/>
      </c>
      <c r="D138" s="148" t="str">
        <f>if(or(E138&lt;&gt;"",F138&lt;&gt;""),'Actuals - Billing - 2025'!AU138,if(G138&lt;&gt;"",35,if(H138&lt;&gt;"",'Actuals - Billing - 2025'!AY138,if(I138&lt;&gt;"",'Actuals - Billing - 2025'!BA138,""))))</f>
        <v/>
      </c>
      <c r="E138" s="11" t="str">
        <f t="array" ref="E138">if($C138="","",index('Actuals - Billing - 2025'!$B138:$BA1036,Match($C138,'Actuals - Billing - 2025'!$B138:$B1036,0),Match(E$1,'Actuals - Billing - 2025'!$B$2:$BA$2,0)))</f>
        <v/>
      </c>
      <c r="F138" s="11" t="str">
        <f t="array" ref="F138">if($C138="","",index('Actuals - Billing - 2025'!$B138:$BA1036,Match($C138,'Actuals - Billing - 2025'!$B138:$B1036,0),Match(F$1,'Actuals - Billing - 2025'!$B$2:$BA$2,0)))</f>
        <v/>
      </c>
      <c r="G138" s="11" t="str">
        <f t="array" ref="G138">if($C138="","",index('Actuals - Billing - 2025'!$B138:$BA1036,Match($C138,'Actuals - Billing - 2025'!$B138:$B1036,0),Match(G$1,'Actuals - Billing - 2025'!$B$2:$BA$2,0)))</f>
        <v/>
      </c>
      <c r="H138" s="11" t="str">
        <f t="array" ref="H138">if($C138="","",index('Actuals - Billing - 2025'!$B138:$BA1036,Match($C138,'Actuals - Billing - 2025'!$B138:$B1036,0),Match(H$1,'Actuals - Billing - 2025'!$B$2:$BA$2,0)))</f>
        <v/>
      </c>
      <c r="I138" s="11" t="str">
        <f t="array" ref="I138">if($C138="","",index('Actuals - Billing - 2025'!$B138:$BA1036,Match($C138,'Actuals - Billing - 2025'!$B138:$B1036,0),Match(I$1,'Actuals - Billing - 2025'!$B$2:$BA$2,0)))</f>
        <v/>
      </c>
      <c r="J138" s="11" t="str">
        <f t="shared" si="2"/>
        <v/>
      </c>
      <c r="K138" s="149" t="str">
        <f t="shared" si="3"/>
        <v/>
      </c>
      <c r="L138" s="1" t="str">
        <f t="shared" si="4"/>
        <v/>
      </c>
      <c r="M138" s="4" t="str">
        <f t="shared" si="5"/>
        <v/>
      </c>
      <c r="N138" s="17" t="str">
        <f>if(M138&lt;&gt;"",'Actuals - Billing - 2025'!BG370,"")</f>
        <v/>
      </c>
    </row>
    <row r="139">
      <c r="A139" s="7" t="str">
        <f t="shared" si="1"/>
        <v/>
      </c>
      <c r="B139" s="8" t="str">
        <f>if(and('Actuals - Billing - 2025'!E$261=True,C139&lt;&gt;""),'Actuals - Billing - 2025'!C371,"")</f>
        <v/>
      </c>
      <c r="C139" s="9" t="str">
        <f>IF(sum('Actuals - Billing - 2025'!AR371:BA371)&gt;0,'Actuals - Billing - 2025'!B371,"")</f>
        <v/>
      </c>
      <c r="D139" s="148" t="str">
        <f>if(or(E139&lt;&gt;"",F139&lt;&gt;""),'Actuals - Billing - 2025'!AU139,if(G139&lt;&gt;"",35,if(H139&lt;&gt;"",'Actuals - Billing - 2025'!AY139,if(I139&lt;&gt;"",'Actuals - Billing - 2025'!BA139,""))))</f>
        <v/>
      </c>
      <c r="E139" s="11" t="str">
        <f t="array" ref="E139">if($C139="","",index('Actuals - Billing - 2025'!$B139:$BA1037,Match($C139,'Actuals - Billing - 2025'!$B139:$B1037,0),Match(E$1,'Actuals - Billing - 2025'!$B$2:$BA$2,0)))</f>
        <v/>
      </c>
      <c r="F139" s="11" t="str">
        <f t="array" ref="F139">if($C139="","",index('Actuals - Billing - 2025'!$B139:$BA1037,Match($C139,'Actuals - Billing - 2025'!$B139:$B1037,0),Match(F$1,'Actuals - Billing - 2025'!$B$2:$BA$2,0)))</f>
        <v/>
      </c>
      <c r="G139" s="11" t="str">
        <f t="array" ref="G139">if($C139="","",index('Actuals - Billing - 2025'!$B139:$BA1037,Match($C139,'Actuals - Billing - 2025'!$B139:$B1037,0),Match(G$1,'Actuals - Billing - 2025'!$B$2:$BA$2,0)))</f>
        <v/>
      </c>
      <c r="H139" s="11" t="str">
        <f t="array" ref="H139">if($C139="","",index('Actuals - Billing - 2025'!$B139:$BA1037,Match($C139,'Actuals - Billing - 2025'!$B139:$B1037,0),Match(H$1,'Actuals - Billing - 2025'!$B$2:$BA$2,0)))</f>
        <v/>
      </c>
      <c r="I139" s="11" t="str">
        <f t="array" ref="I139">if($C139="","",index('Actuals - Billing - 2025'!$B139:$BA1037,Match($C139,'Actuals - Billing - 2025'!$B139:$B1037,0),Match(I$1,'Actuals - Billing - 2025'!$B$2:$BA$2,0)))</f>
        <v/>
      </c>
      <c r="J139" s="11" t="str">
        <f t="shared" si="2"/>
        <v/>
      </c>
      <c r="K139" s="149" t="str">
        <f t="shared" si="3"/>
        <v/>
      </c>
      <c r="L139" s="1" t="str">
        <f t="shared" si="4"/>
        <v/>
      </c>
      <c r="M139" s="4" t="str">
        <f t="shared" si="5"/>
        <v/>
      </c>
      <c r="N139" s="17" t="str">
        <f>if(M139&lt;&gt;"",'Actuals - Billing - 2025'!BG371,"")</f>
        <v/>
      </c>
    </row>
    <row r="140">
      <c r="A140" s="7" t="str">
        <f t="shared" si="1"/>
        <v/>
      </c>
      <c r="B140" s="8" t="str">
        <f>if(and('Actuals - Billing - 2025'!E$261=True,C140&lt;&gt;""),'Actuals - Billing - 2025'!C372,"")</f>
        <v/>
      </c>
      <c r="C140" s="9" t="str">
        <f>IF(sum('Actuals - Billing - 2025'!AR372:BA372)&gt;0,'Actuals - Billing - 2025'!B372,"")</f>
        <v/>
      </c>
      <c r="D140" s="148" t="str">
        <f>if(or(E140&lt;&gt;"",F140&lt;&gt;""),'Actuals - Billing - 2025'!AU140,if(G140&lt;&gt;"",35,if(H140&lt;&gt;"",'Actuals - Billing - 2025'!AY140,if(I140&lt;&gt;"",'Actuals - Billing - 2025'!BA140,""))))</f>
        <v/>
      </c>
      <c r="E140" s="11" t="str">
        <f t="array" ref="E140">if($C140="","",index('Actuals - Billing - 2025'!$B140:$BA1038,Match($C140,'Actuals - Billing - 2025'!$B140:$B1038,0),Match(E$1,'Actuals - Billing - 2025'!$B$2:$BA$2,0)))</f>
        <v/>
      </c>
      <c r="F140" s="11" t="str">
        <f t="array" ref="F140">if($C140="","",index('Actuals - Billing - 2025'!$B140:$BA1038,Match($C140,'Actuals - Billing - 2025'!$B140:$B1038,0),Match(F$1,'Actuals - Billing - 2025'!$B$2:$BA$2,0)))</f>
        <v/>
      </c>
      <c r="G140" s="11" t="str">
        <f t="array" ref="G140">if($C140="","",index('Actuals - Billing - 2025'!$B140:$BA1038,Match($C140,'Actuals - Billing - 2025'!$B140:$B1038,0),Match(G$1,'Actuals - Billing - 2025'!$B$2:$BA$2,0)))</f>
        <v/>
      </c>
      <c r="H140" s="11" t="str">
        <f t="array" ref="H140">if($C140="","",index('Actuals - Billing - 2025'!$B140:$BA1038,Match($C140,'Actuals - Billing - 2025'!$B140:$B1038,0),Match(H$1,'Actuals - Billing - 2025'!$B$2:$BA$2,0)))</f>
        <v/>
      </c>
      <c r="I140" s="11" t="str">
        <f t="array" ref="I140">if($C140="","",index('Actuals - Billing - 2025'!$B140:$BA1038,Match($C140,'Actuals - Billing - 2025'!$B140:$B1038,0),Match(I$1,'Actuals - Billing - 2025'!$B$2:$BA$2,0)))</f>
        <v/>
      </c>
      <c r="J140" s="11" t="str">
        <f t="shared" si="2"/>
        <v/>
      </c>
      <c r="K140" s="149" t="str">
        <f t="shared" si="3"/>
        <v/>
      </c>
      <c r="L140" s="1" t="str">
        <f t="shared" si="4"/>
        <v/>
      </c>
      <c r="M140" s="4" t="str">
        <f t="shared" si="5"/>
        <v/>
      </c>
      <c r="N140" s="17" t="str">
        <f>if(M140&lt;&gt;"",'Actuals - Billing - 2025'!BG372,"")</f>
        <v/>
      </c>
    </row>
    <row r="141">
      <c r="A141" s="7" t="str">
        <f t="shared" si="1"/>
        <v/>
      </c>
      <c r="B141" s="8" t="str">
        <f>if(and('Actuals - Billing - 2025'!E$261=True,C141&lt;&gt;""),'Actuals - Billing - 2025'!C373,"")</f>
        <v/>
      </c>
      <c r="C141" s="9" t="str">
        <f>IF(sum('Actuals - Billing - 2025'!AR373:BA373)&gt;0,'Actuals - Billing - 2025'!B373,"")</f>
        <v/>
      </c>
      <c r="D141" s="148" t="str">
        <f>if(or(E141&lt;&gt;"",F141&lt;&gt;""),'Actuals - Billing - 2025'!AU141,if(G141&lt;&gt;"",35,if(H141&lt;&gt;"",'Actuals - Billing - 2025'!AY141,if(I141&lt;&gt;"",'Actuals - Billing - 2025'!BA141,""))))</f>
        <v/>
      </c>
      <c r="E141" s="11" t="str">
        <f t="array" ref="E141">if($C141="","",index('Actuals - Billing - 2025'!$B141:$BA1039,Match($C141,'Actuals - Billing - 2025'!$B141:$B1039,0),Match(E$1,'Actuals - Billing - 2025'!$B$2:$BA$2,0)))</f>
        <v/>
      </c>
      <c r="F141" s="11" t="str">
        <f t="array" ref="F141">if($C141="","",index('Actuals - Billing - 2025'!$B141:$BA1039,Match($C141,'Actuals - Billing - 2025'!$B141:$B1039,0),Match(F$1,'Actuals - Billing - 2025'!$B$2:$BA$2,0)))</f>
        <v/>
      </c>
      <c r="G141" s="11" t="str">
        <f t="array" ref="G141">if($C141="","",index('Actuals - Billing - 2025'!$B141:$BA1039,Match($C141,'Actuals - Billing - 2025'!$B141:$B1039,0),Match(G$1,'Actuals - Billing - 2025'!$B$2:$BA$2,0)))</f>
        <v/>
      </c>
      <c r="H141" s="11" t="str">
        <f t="array" ref="H141">if($C141="","",index('Actuals - Billing - 2025'!$B141:$BA1039,Match($C141,'Actuals - Billing - 2025'!$B141:$B1039,0),Match(H$1,'Actuals - Billing - 2025'!$B$2:$BA$2,0)))</f>
        <v/>
      </c>
      <c r="I141" s="11" t="str">
        <f t="array" ref="I141">if($C141="","",index('Actuals - Billing - 2025'!$B141:$BA1039,Match($C141,'Actuals - Billing - 2025'!$B141:$B1039,0),Match(I$1,'Actuals - Billing - 2025'!$B$2:$BA$2,0)))</f>
        <v/>
      </c>
      <c r="J141" s="11" t="str">
        <f t="shared" si="2"/>
        <v/>
      </c>
      <c r="K141" s="149" t="str">
        <f t="shared" si="3"/>
        <v/>
      </c>
      <c r="L141" s="1" t="str">
        <f t="shared" si="4"/>
        <v/>
      </c>
      <c r="M141" s="4" t="str">
        <f t="shared" si="5"/>
        <v/>
      </c>
      <c r="N141" s="17" t="str">
        <f>if(M141&lt;&gt;"",'Actuals - Billing - 2025'!BG373,"")</f>
        <v/>
      </c>
    </row>
    <row r="142">
      <c r="A142" s="7" t="str">
        <f t="shared" si="1"/>
        <v/>
      </c>
      <c r="B142" s="8" t="str">
        <f>if(and('Actuals - Billing - 2025'!E$261=True,C142&lt;&gt;""),'Actuals - Billing - 2025'!C374,"")</f>
        <v/>
      </c>
      <c r="C142" s="9" t="str">
        <f>IF(sum('Actuals - Billing - 2025'!AR374:BA374)&gt;0,'Actuals - Billing - 2025'!B374,"")</f>
        <v/>
      </c>
      <c r="D142" s="148" t="str">
        <f>if(or(E142&lt;&gt;"",F142&lt;&gt;""),'Actuals - Billing - 2025'!AU142,if(G142&lt;&gt;"",35,if(H142&lt;&gt;"",'Actuals - Billing - 2025'!AY142,if(I142&lt;&gt;"",'Actuals - Billing - 2025'!BA142,""))))</f>
        <v/>
      </c>
      <c r="E142" s="11" t="str">
        <f t="array" ref="E142">if($C142="","",index('Actuals - Billing - 2025'!$B142:$BA1040,Match($C142,'Actuals - Billing - 2025'!$B142:$B1040,0),Match(E$1,'Actuals - Billing - 2025'!$B$2:$BA$2,0)))</f>
        <v/>
      </c>
      <c r="F142" s="11" t="str">
        <f t="array" ref="F142">if($C142="","",index('Actuals - Billing - 2025'!$B142:$BA1040,Match($C142,'Actuals - Billing - 2025'!$B142:$B1040,0),Match(F$1,'Actuals - Billing - 2025'!$B$2:$BA$2,0)))</f>
        <v/>
      </c>
      <c r="G142" s="11" t="str">
        <f t="array" ref="G142">if($C142="","",index('Actuals - Billing - 2025'!$B142:$BA1040,Match($C142,'Actuals - Billing - 2025'!$B142:$B1040,0),Match(G$1,'Actuals - Billing - 2025'!$B$2:$BA$2,0)))</f>
        <v/>
      </c>
      <c r="H142" s="11" t="str">
        <f t="array" ref="H142">if($C142="","",index('Actuals - Billing - 2025'!$B142:$BA1040,Match($C142,'Actuals - Billing - 2025'!$B142:$B1040,0),Match(H$1,'Actuals - Billing - 2025'!$B$2:$BA$2,0)))</f>
        <v/>
      </c>
      <c r="I142" s="11" t="str">
        <f t="array" ref="I142">if($C142="","",index('Actuals - Billing - 2025'!$B142:$BA1040,Match($C142,'Actuals - Billing - 2025'!$B142:$B1040,0),Match(I$1,'Actuals - Billing - 2025'!$B$2:$BA$2,0)))</f>
        <v/>
      </c>
      <c r="J142" s="11" t="str">
        <f t="shared" si="2"/>
        <v/>
      </c>
      <c r="K142" s="149" t="str">
        <f t="shared" si="3"/>
        <v/>
      </c>
      <c r="L142" s="1" t="str">
        <f t="shared" si="4"/>
        <v/>
      </c>
      <c r="M142" s="4" t="str">
        <f t="shared" si="5"/>
        <v/>
      </c>
      <c r="N142" s="17" t="str">
        <f>if(M142&lt;&gt;"",'Actuals - Billing - 2025'!BG374,"")</f>
        <v/>
      </c>
    </row>
    <row r="143">
      <c r="A143" s="7" t="str">
        <f t="shared" si="1"/>
        <v/>
      </c>
      <c r="B143" s="8" t="str">
        <f>if(and('Actuals - Billing - 2025'!E$261=True,C143&lt;&gt;""),'Actuals - Billing - 2025'!C375,"")</f>
        <v/>
      </c>
      <c r="C143" s="9" t="str">
        <f>IF(sum('Actuals - Billing - 2025'!AR375:BA375)&gt;0,'Actuals - Billing - 2025'!B375,"")</f>
        <v/>
      </c>
      <c r="D143" s="148" t="str">
        <f>if(or(E143&lt;&gt;"",F143&lt;&gt;""),'Actuals - Billing - 2025'!AU143,if(G143&lt;&gt;"",35,if(H143&lt;&gt;"",'Actuals - Billing - 2025'!AY143,if(I143&lt;&gt;"",'Actuals - Billing - 2025'!BA143,""))))</f>
        <v/>
      </c>
      <c r="E143" s="11" t="str">
        <f t="array" ref="E143">if($C143="","",index('Actuals - Billing - 2025'!$B143:$BA1041,Match($C143,'Actuals - Billing - 2025'!$B143:$B1041,0),Match(E$1,'Actuals - Billing - 2025'!$B$2:$BA$2,0)))</f>
        <v/>
      </c>
      <c r="F143" s="11" t="str">
        <f t="array" ref="F143">if($C143="","",index('Actuals - Billing - 2025'!$B143:$BA1041,Match($C143,'Actuals - Billing - 2025'!$B143:$B1041,0),Match(F$1,'Actuals - Billing - 2025'!$B$2:$BA$2,0)))</f>
        <v/>
      </c>
      <c r="G143" s="11" t="str">
        <f t="array" ref="G143">if($C143="","",index('Actuals - Billing - 2025'!$B143:$BA1041,Match($C143,'Actuals - Billing - 2025'!$B143:$B1041,0),Match(G$1,'Actuals - Billing - 2025'!$B$2:$BA$2,0)))</f>
        <v/>
      </c>
      <c r="H143" s="11" t="str">
        <f t="array" ref="H143">if($C143="","",index('Actuals - Billing - 2025'!$B143:$BA1041,Match($C143,'Actuals - Billing - 2025'!$B143:$B1041,0),Match(H$1,'Actuals - Billing - 2025'!$B$2:$BA$2,0)))</f>
        <v/>
      </c>
      <c r="I143" s="11" t="str">
        <f t="array" ref="I143">if($C143="","",index('Actuals - Billing - 2025'!$B143:$BA1041,Match($C143,'Actuals - Billing - 2025'!$B143:$B1041,0),Match(I$1,'Actuals - Billing - 2025'!$B$2:$BA$2,0)))</f>
        <v/>
      </c>
      <c r="J143" s="11" t="str">
        <f t="shared" si="2"/>
        <v/>
      </c>
      <c r="K143" s="149" t="str">
        <f t="shared" si="3"/>
        <v/>
      </c>
      <c r="L143" s="1" t="str">
        <f t="shared" si="4"/>
        <v/>
      </c>
      <c r="M143" s="4" t="str">
        <f t="shared" si="5"/>
        <v/>
      </c>
      <c r="N143" s="17" t="str">
        <f>if(M143&lt;&gt;"",'Actuals - Billing - 2025'!BG375,"")</f>
        <v/>
      </c>
    </row>
    <row r="144">
      <c r="A144" s="7" t="str">
        <f t="shared" si="1"/>
        <v/>
      </c>
      <c r="B144" s="8" t="str">
        <f>if(and('Actuals - Billing - 2025'!E$261=True,C144&lt;&gt;""),'Actuals - Billing - 2025'!C376,"")</f>
        <v/>
      </c>
      <c r="C144" s="9" t="str">
        <f>IF(sum('Actuals - Billing - 2025'!AR376:BA376)&gt;0,'Actuals - Billing - 2025'!B376,"")</f>
        <v/>
      </c>
      <c r="D144" s="148" t="str">
        <f>if(or(E144&lt;&gt;"",F144&lt;&gt;""),'Actuals - Billing - 2025'!AU144,if(G144&lt;&gt;"",35,if(H144&lt;&gt;"",'Actuals - Billing - 2025'!AY144,if(I144&lt;&gt;"",'Actuals - Billing - 2025'!BA144,""))))</f>
        <v/>
      </c>
      <c r="E144" s="11" t="str">
        <f t="array" ref="E144">if($C144="","",index('Actuals - Billing - 2025'!$B144:$BA1042,Match($C144,'Actuals - Billing - 2025'!$B144:$B1042,0),Match(E$1,'Actuals - Billing - 2025'!$B$2:$BA$2,0)))</f>
        <v/>
      </c>
      <c r="F144" s="11" t="str">
        <f t="array" ref="F144">if($C144="","",index('Actuals - Billing - 2025'!$B144:$BA1042,Match($C144,'Actuals - Billing - 2025'!$B144:$B1042,0),Match(F$1,'Actuals - Billing - 2025'!$B$2:$BA$2,0)))</f>
        <v/>
      </c>
      <c r="G144" s="11" t="str">
        <f t="array" ref="G144">if($C144="","",index('Actuals - Billing - 2025'!$B144:$BA1042,Match($C144,'Actuals - Billing - 2025'!$B144:$B1042,0),Match(G$1,'Actuals - Billing - 2025'!$B$2:$BA$2,0)))</f>
        <v/>
      </c>
      <c r="H144" s="11" t="str">
        <f t="array" ref="H144">if($C144="","",index('Actuals - Billing - 2025'!$B144:$BA1042,Match($C144,'Actuals - Billing - 2025'!$B144:$B1042,0),Match(H$1,'Actuals - Billing - 2025'!$B$2:$BA$2,0)))</f>
        <v/>
      </c>
      <c r="I144" s="11" t="str">
        <f t="array" ref="I144">if($C144="","",index('Actuals - Billing - 2025'!$B144:$BA1042,Match($C144,'Actuals - Billing - 2025'!$B144:$B1042,0),Match(I$1,'Actuals - Billing - 2025'!$B$2:$BA$2,0)))</f>
        <v/>
      </c>
      <c r="J144" s="11" t="str">
        <f t="shared" si="2"/>
        <v/>
      </c>
      <c r="K144" s="149" t="str">
        <f t="shared" si="3"/>
        <v/>
      </c>
      <c r="L144" s="1" t="str">
        <f t="shared" si="4"/>
        <v/>
      </c>
      <c r="M144" s="4" t="str">
        <f t="shared" si="5"/>
        <v/>
      </c>
      <c r="N144" s="17" t="str">
        <f>if(M144&lt;&gt;"",'Actuals - Billing - 2025'!BG376,"")</f>
        <v/>
      </c>
    </row>
    <row r="145">
      <c r="A145" s="7" t="str">
        <f t="shared" si="1"/>
        <v/>
      </c>
      <c r="B145" s="8" t="str">
        <f>if(and('Actuals - Billing - 2025'!E$261=True,C145&lt;&gt;""),'Actuals - Billing - 2025'!C377,"")</f>
        <v/>
      </c>
      <c r="C145" s="9" t="str">
        <f>IF(sum('Actuals - Billing - 2025'!AR377:BA377)&gt;0,'Actuals - Billing - 2025'!B377,"")</f>
        <v/>
      </c>
      <c r="D145" s="148" t="str">
        <f>if(or(E145&lt;&gt;"",F145&lt;&gt;""),'Actuals - Billing - 2025'!AU145,if(G145&lt;&gt;"",35,if(H145&lt;&gt;"",'Actuals - Billing - 2025'!AY145,if(I145&lt;&gt;"",'Actuals - Billing - 2025'!BA145,""))))</f>
        <v/>
      </c>
      <c r="E145" s="11" t="str">
        <f t="array" ref="E145">if($C145="","",index('Actuals - Billing - 2025'!$B145:$BA1043,Match($C145,'Actuals - Billing - 2025'!$B145:$B1043,0),Match(E$1,'Actuals - Billing - 2025'!$B$2:$BA$2,0)))</f>
        <v/>
      </c>
      <c r="F145" s="11" t="str">
        <f t="array" ref="F145">if($C145="","",index('Actuals - Billing - 2025'!$B145:$BA1043,Match($C145,'Actuals - Billing - 2025'!$B145:$B1043,0),Match(F$1,'Actuals - Billing - 2025'!$B$2:$BA$2,0)))</f>
        <v/>
      </c>
      <c r="G145" s="11" t="str">
        <f t="array" ref="G145">if($C145="","",index('Actuals - Billing - 2025'!$B145:$BA1043,Match($C145,'Actuals - Billing - 2025'!$B145:$B1043,0),Match(G$1,'Actuals - Billing - 2025'!$B$2:$BA$2,0)))</f>
        <v/>
      </c>
      <c r="H145" s="11" t="str">
        <f t="array" ref="H145">if($C145="","",index('Actuals - Billing - 2025'!$B145:$BA1043,Match($C145,'Actuals - Billing - 2025'!$B145:$B1043,0),Match(H$1,'Actuals - Billing - 2025'!$B$2:$BA$2,0)))</f>
        <v/>
      </c>
      <c r="I145" s="11" t="str">
        <f t="array" ref="I145">if($C145="","",index('Actuals - Billing - 2025'!$B145:$BA1043,Match($C145,'Actuals - Billing - 2025'!$B145:$B1043,0),Match(I$1,'Actuals - Billing - 2025'!$B$2:$BA$2,0)))</f>
        <v/>
      </c>
      <c r="J145" s="11" t="str">
        <f t="shared" si="2"/>
        <v/>
      </c>
      <c r="K145" s="149" t="str">
        <f t="shared" si="3"/>
        <v/>
      </c>
      <c r="L145" s="1" t="str">
        <f t="shared" si="4"/>
        <v/>
      </c>
      <c r="M145" s="4" t="str">
        <f t="shared" si="5"/>
        <v/>
      </c>
      <c r="N145" s="17" t="str">
        <f>if(M145&lt;&gt;"",'Actuals - Billing - 2025'!BG377,"")</f>
        <v/>
      </c>
    </row>
    <row r="146">
      <c r="A146" s="7" t="str">
        <f t="shared" si="1"/>
        <v/>
      </c>
      <c r="B146" s="8" t="str">
        <f>if(and('Actuals - Billing - 2025'!E$261=True,C146&lt;&gt;""),'Actuals - Billing - 2025'!C378,"")</f>
        <v/>
      </c>
      <c r="C146" s="9" t="str">
        <f>IF(sum('Actuals - Billing - 2025'!AR378:BA378)&gt;0,'Actuals - Billing - 2025'!B378,"")</f>
        <v/>
      </c>
      <c r="D146" s="148" t="str">
        <f>if(or(E146&lt;&gt;"",F146&lt;&gt;""),'Actuals - Billing - 2025'!AU146,if(G146&lt;&gt;"",35,if(H146&lt;&gt;"",'Actuals - Billing - 2025'!AY146,if(I146&lt;&gt;"",'Actuals - Billing - 2025'!BA146,""))))</f>
        <v/>
      </c>
      <c r="E146" s="11" t="str">
        <f t="array" ref="E146">if($C146="","",index('Actuals - Billing - 2025'!$B146:$BA1044,Match($C146,'Actuals - Billing - 2025'!$B146:$B1044,0),Match(E$1,'Actuals - Billing - 2025'!$B$2:$BA$2,0)))</f>
        <v/>
      </c>
      <c r="F146" s="11" t="str">
        <f t="array" ref="F146">if($C146="","",index('Actuals - Billing - 2025'!$B146:$BA1044,Match($C146,'Actuals - Billing - 2025'!$B146:$B1044,0),Match(F$1,'Actuals - Billing - 2025'!$B$2:$BA$2,0)))</f>
        <v/>
      </c>
      <c r="G146" s="11" t="str">
        <f t="array" ref="G146">if($C146="","",index('Actuals - Billing - 2025'!$B146:$BA1044,Match($C146,'Actuals - Billing - 2025'!$B146:$B1044,0),Match(G$1,'Actuals - Billing - 2025'!$B$2:$BA$2,0)))</f>
        <v/>
      </c>
      <c r="H146" s="11" t="str">
        <f t="array" ref="H146">if($C146="","",index('Actuals - Billing - 2025'!$B146:$BA1044,Match($C146,'Actuals - Billing - 2025'!$B146:$B1044,0),Match(H$1,'Actuals - Billing - 2025'!$B$2:$BA$2,0)))</f>
        <v/>
      </c>
      <c r="I146" s="11" t="str">
        <f t="array" ref="I146">if($C146="","",index('Actuals - Billing - 2025'!$B146:$BA1044,Match($C146,'Actuals - Billing - 2025'!$B146:$B1044,0),Match(I$1,'Actuals - Billing - 2025'!$B$2:$BA$2,0)))</f>
        <v/>
      </c>
      <c r="J146" s="11" t="str">
        <f t="shared" si="2"/>
        <v/>
      </c>
      <c r="K146" s="149" t="str">
        <f t="shared" si="3"/>
        <v/>
      </c>
      <c r="L146" s="1" t="str">
        <f t="shared" si="4"/>
        <v/>
      </c>
      <c r="M146" s="4" t="str">
        <f t="shared" si="5"/>
        <v/>
      </c>
      <c r="N146" s="17" t="str">
        <f>if(M146&lt;&gt;"",'Actuals - Billing - 2025'!BG378,"")</f>
        <v/>
      </c>
    </row>
    <row r="147">
      <c r="A147" s="7" t="str">
        <f t="shared" si="1"/>
        <v/>
      </c>
      <c r="B147" s="8" t="str">
        <f>if(and('Actuals - Billing - 2025'!E$261=True,C147&lt;&gt;""),'Actuals - Billing - 2025'!C379,"")</f>
        <v/>
      </c>
      <c r="C147" s="9" t="str">
        <f>IF(sum('Actuals - Billing - 2025'!AR379:BA379)&gt;0,'Actuals - Billing - 2025'!B379,"")</f>
        <v/>
      </c>
      <c r="D147" s="148" t="str">
        <f>if(or(E147&lt;&gt;"",F147&lt;&gt;""),'Actuals - Billing - 2025'!AU147,if(G147&lt;&gt;"",35,if(H147&lt;&gt;"",'Actuals - Billing - 2025'!AY147,if(I147&lt;&gt;"",'Actuals - Billing - 2025'!BA147,""))))</f>
        <v/>
      </c>
      <c r="E147" s="11" t="str">
        <f t="array" ref="E147">if($C147="","",index('Actuals - Billing - 2025'!$B147:$BA1045,Match($C147,'Actuals - Billing - 2025'!$B147:$B1045,0),Match(E$1,'Actuals - Billing - 2025'!$B$2:$BA$2,0)))</f>
        <v/>
      </c>
      <c r="F147" s="11" t="str">
        <f t="array" ref="F147">if($C147="","",index('Actuals - Billing - 2025'!$B147:$BA1045,Match($C147,'Actuals - Billing - 2025'!$B147:$B1045,0),Match(F$1,'Actuals - Billing - 2025'!$B$2:$BA$2,0)))</f>
        <v/>
      </c>
      <c r="G147" s="11" t="str">
        <f t="array" ref="G147">if($C147="","",index('Actuals - Billing - 2025'!$B147:$BA1045,Match($C147,'Actuals - Billing - 2025'!$B147:$B1045,0),Match(G$1,'Actuals - Billing - 2025'!$B$2:$BA$2,0)))</f>
        <v/>
      </c>
      <c r="H147" s="11" t="str">
        <f t="array" ref="H147">if($C147="","",index('Actuals - Billing - 2025'!$B147:$BA1045,Match($C147,'Actuals - Billing - 2025'!$B147:$B1045,0),Match(H$1,'Actuals - Billing - 2025'!$B$2:$BA$2,0)))</f>
        <v/>
      </c>
      <c r="I147" s="11" t="str">
        <f t="array" ref="I147">if($C147="","",index('Actuals - Billing - 2025'!$B147:$BA1045,Match($C147,'Actuals - Billing - 2025'!$B147:$B1045,0),Match(I$1,'Actuals - Billing - 2025'!$B$2:$BA$2,0)))</f>
        <v/>
      </c>
      <c r="J147" s="11" t="str">
        <f t="shared" si="2"/>
        <v/>
      </c>
      <c r="K147" s="149" t="str">
        <f t="shared" si="3"/>
        <v/>
      </c>
      <c r="L147" s="1" t="str">
        <f t="shared" si="4"/>
        <v/>
      </c>
      <c r="M147" s="4" t="str">
        <f t="shared" si="5"/>
        <v/>
      </c>
      <c r="N147" s="17" t="str">
        <f>if(M147&lt;&gt;"",'Actuals - Billing - 2025'!BG379,"")</f>
        <v/>
      </c>
    </row>
    <row r="148">
      <c r="A148" s="7" t="str">
        <f t="shared" si="1"/>
        <v/>
      </c>
      <c r="B148" s="8" t="str">
        <f>if(and('Actuals - Billing - 2025'!E$261=True,C148&lt;&gt;""),'Actuals - Billing - 2025'!C380,"")</f>
        <v/>
      </c>
      <c r="C148" s="9" t="str">
        <f>IF(sum('Actuals - Billing - 2025'!AR380:BA380)&gt;0,'Actuals - Billing - 2025'!B380,"")</f>
        <v/>
      </c>
      <c r="D148" s="148" t="str">
        <f>if(or(E148&lt;&gt;"",F148&lt;&gt;""),'Actuals - Billing - 2025'!AU148,if(G148&lt;&gt;"",35,if(H148&lt;&gt;"",'Actuals - Billing - 2025'!AY148,if(I148&lt;&gt;"",'Actuals - Billing - 2025'!BA148,""))))</f>
        <v/>
      </c>
      <c r="E148" s="11" t="str">
        <f t="array" ref="E148">if($C148="","",index('Actuals - Billing - 2025'!$B148:$BA1046,Match($C148,'Actuals - Billing - 2025'!$B148:$B1046,0),Match(E$1,'Actuals - Billing - 2025'!$B$2:$BA$2,0)))</f>
        <v/>
      </c>
      <c r="F148" s="11" t="str">
        <f t="array" ref="F148">if($C148="","",index('Actuals - Billing - 2025'!$B148:$BA1046,Match($C148,'Actuals - Billing - 2025'!$B148:$B1046,0),Match(F$1,'Actuals - Billing - 2025'!$B$2:$BA$2,0)))</f>
        <v/>
      </c>
      <c r="G148" s="11" t="str">
        <f t="array" ref="G148">if($C148="","",index('Actuals - Billing - 2025'!$B148:$BA1046,Match($C148,'Actuals - Billing - 2025'!$B148:$B1046,0),Match(G$1,'Actuals - Billing - 2025'!$B$2:$BA$2,0)))</f>
        <v/>
      </c>
      <c r="H148" s="11" t="str">
        <f t="array" ref="H148">if($C148="","",index('Actuals - Billing - 2025'!$B148:$BA1046,Match($C148,'Actuals - Billing - 2025'!$B148:$B1046,0),Match(H$1,'Actuals - Billing - 2025'!$B$2:$BA$2,0)))</f>
        <v/>
      </c>
      <c r="I148" s="11" t="str">
        <f t="array" ref="I148">if($C148="","",index('Actuals - Billing - 2025'!$B148:$BA1046,Match($C148,'Actuals - Billing - 2025'!$B148:$B1046,0),Match(I$1,'Actuals - Billing - 2025'!$B$2:$BA$2,0)))</f>
        <v/>
      </c>
      <c r="J148" s="11" t="str">
        <f t="shared" si="2"/>
        <v/>
      </c>
      <c r="K148" s="149" t="str">
        <f t="shared" si="3"/>
        <v/>
      </c>
      <c r="L148" s="1" t="str">
        <f t="shared" si="4"/>
        <v/>
      </c>
      <c r="M148" s="4" t="str">
        <f t="shared" si="5"/>
        <v/>
      </c>
      <c r="N148" s="17" t="str">
        <f>if(M148&lt;&gt;"",'Actuals - Billing - 2025'!BG380,"")</f>
        <v/>
      </c>
    </row>
    <row r="149">
      <c r="A149" s="7" t="str">
        <f t="shared" si="1"/>
        <v/>
      </c>
      <c r="B149" s="8" t="str">
        <f>if(and('Actuals - Billing - 2025'!E$261=True,C149&lt;&gt;""),'Actuals - Billing - 2025'!C381,"")</f>
        <v/>
      </c>
      <c r="C149" s="9" t="str">
        <f>IF(sum('Actuals - Billing - 2025'!AR381:BA381)&gt;0,'Actuals - Billing - 2025'!B381,"")</f>
        <v/>
      </c>
      <c r="D149" s="148" t="str">
        <f>if(or(E149&lt;&gt;"",F149&lt;&gt;""),'Actuals - Billing - 2025'!AU149,if(G149&lt;&gt;"",35,if(H149&lt;&gt;"",'Actuals - Billing - 2025'!AY149,if(I149&lt;&gt;"",'Actuals - Billing - 2025'!BA149,""))))</f>
        <v/>
      </c>
      <c r="E149" s="11" t="str">
        <f t="array" ref="E149">if($C149="","",index('Actuals - Billing - 2025'!$B149:$BA1047,Match($C149,'Actuals - Billing - 2025'!$B149:$B1047,0),Match(E$1,'Actuals - Billing - 2025'!$B$2:$BA$2,0)))</f>
        <v/>
      </c>
      <c r="F149" s="11" t="str">
        <f t="array" ref="F149">if($C149="","",index('Actuals - Billing - 2025'!$B149:$BA1047,Match($C149,'Actuals - Billing - 2025'!$B149:$B1047,0),Match(F$1,'Actuals - Billing - 2025'!$B$2:$BA$2,0)))</f>
        <v/>
      </c>
      <c r="G149" s="11" t="str">
        <f t="array" ref="G149">if($C149="","",index('Actuals - Billing - 2025'!$B149:$BA1047,Match($C149,'Actuals - Billing - 2025'!$B149:$B1047,0),Match(G$1,'Actuals - Billing - 2025'!$B$2:$BA$2,0)))</f>
        <v/>
      </c>
      <c r="H149" s="11" t="str">
        <f t="array" ref="H149">if($C149="","",index('Actuals - Billing - 2025'!$B149:$BA1047,Match($C149,'Actuals - Billing - 2025'!$B149:$B1047,0),Match(H$1,'Actuals - Billing - 2025'!$B$2:$BA$2,0)))</f>
        <v/>
      </c>
      <c r="I149" s="11" t="str">
        <f t="array" ref="I149">if($C149="","",index('Actuals - Billing - 2025'!$B149:$BA1047,Match($C149,'Actuals - Billing - 2025'!$B149:$B1047,0),Match(I$1,'Actuals - Billing - 2025'!$B$2:$BA$2,0)))</f>
        <v/>
      </c>
      <c r="J149" s="11" t="str">
        <f t="shared" si="2"/>
        <v/>
      </c>
      <c r="K149" s="149" t="str">
        <f t="shared" si="3"/>
        <v/>
      </c>
      <c r="L149" s="1" t="str">
        <f t="shared" si="4"/>
        <v/>
      </c>
      <c r="M149" s="4" t="str">
        <f t="shared" si="5"/>
        <v/>
      </c>
      <c r="N149" s="17" t="str">
        <f>if(M149&lt;&gt;"",'Actuals - Billing - 2025'!BG381,"")</f>
        <v/>
      </c>
    </row>
    <row r="150">
      <c r="A150" s="7" t="str">
        <f t="shared" si="1"/>
        <v/>
      </c>
      <c r="B150" s="8" t="str">
        <f>if(and('Actuals - Billing - 2025'!E$261=True,C150&lt;&gt;""),'Actuals - Billing - 2025'!C382,"")</f>
        <v/>
      </c>
      <c r="C150" s="9" t="str">
        <f>IF(sum('Actuals - Billing - 2025'!AR382:BA382)&gt;0,'Actuals - Billing - 2025'!B382,"")</f>
        <v/>
      </c>
      <c r="D150" s="148" t="str">
        <f>if(or(E150&lt;&gt;"",F150&lt;&gt;""),'Actuals - Billing - 2025'!AU150,if(G150&lt;&gt;"",35,if(H150&lt;&gt;"",'Actuals - Billing - 2025'!AY150,if(I150&lt;&gt;"",'Actuals - Billing - 2025'!BA150,""))))</f>
        <v/>
      </c>
      <c r="E150" s="11" t="str">
        <f t="array" ref="E150">if($C150="","",index('Actuals - Billing - 2025'!$B150:$BA1048,Match($C150,'Actuals - Billing - 2025'!$B150:$B1048,0),Match(E$1,'Actuals - Billing - 2025'!$B$2:$BA$2,0)))</f>
        <v/>
      </c>
      <c r="F150" s="11" t="str">
        <f t="array" ref="F150">if($C150="","",index('Actuals - Billing - 2025'!$B150:$BA1048,Match($C150,'Actuals - Billing - 2025'!$B150:$B1048,0),Match(F$1,'Actuals - Billing - 2025'!$B$2:$BA$2,0)))</f>
        <v/>
      </c>
      <c r="G150" s="11" t="str">
        <f t="array" ref="G150">if($C150="","",index('Actuals - Billing - 2025'!$B150:$BA1048,Match($C150,'Actuals - Billing - 2025'!$B150:$B1048,0),Match(G$1,'Actuals - Billing - 2025'!$B$2:$BA$2,0)))</f>
        <v/>
      </c>
      <c r="H150" s="11" t="str">
        <f t="array" ref="H150">if($C150="","",index('Actuals - Billing - 2025'!$B150:$BA1048,Match($C150,'Actuals - Billing - 2025'!$B150:$B1048,0),Match(H$1,'Actuals - Billing - 2025'!$B$2:$BA$2,0)))</f>
        <v/>
      </c>
      <c r="I150" s="11" t="str">
        <f t="array" ref="I150">if($C150="","",index('Actuals - Billing - 2025'!$B150:$BA1048,Match($C150,'Actuals - Billing - 2025'!$B150:$B1048,0),Match(I$1,'Actuals - Billing - 2025'!$B$2:$BA$2,0)))</f>
        <v/>
      </c>
      <c r="J150" s="11" t="str">
        <f t="shared" si="2"/>
        <v/>
      </c>
      <c r="K150" s="149" t="str">
        <f t="shared" si="3"/>
        <v/>
      </c>
      <c r="L150" s="1" t="str">
        <f t="shared" si="4"/>
        <v/>
      </c>
      <c r="M150" s="4" t="str">
        <f t="shared" si="5"/>
        <v/>
      </c>
      <c r="N150" s="17" t="str">
        <f>if(M150&lt;&gt;"",'Actuals - Billing - 2025'!BG382,"")</f>
        <v/>
      </c>
    </row>
    <row r="151">
      <c r="A151" s="7" t="str">
        <f t="shared" si="1"/>
        <v/>
      </c>
      <c r="B151" s="8" t="str">
        <f>if(and('Actuals - Billing - 2025'!E$261=True,C151&lt;&gt;""),'Actuals - Billing - 2025'!C383,"")</f>
        <v/>
      </c>
      <c r="C151" s="9" t="str">
        <f>IF(sum('Actuals - Billing - 2025'!AR383:BA383)&gt;0,'Actuals - Billing - 2025'!B383,"")</f>
        <v/>
      </c>
      <c r="D151" s="148" t="str">
        <f>if(or(E151&lt;&gt;"",F151&lt;&gt;""),'Actuals - Billing - 2025'!AU151,if(G151&lt;&gt;"",35,if(H151&lt;&gt;"",'Actuals - Billing - 2025'!AY151,if(I151&lt;&gt;"",'Actuals - Billing - 2025'!BA151,""))))</f>
        <v/>
      </c>
      <c r="E151" s="11" t="str">
        <f t="array" ref="E151">if($C151="","",index('Actuals - Billing - 2025'!$B151:$BA1049,Match($C151,'Actuals - Billing - 2025'!$B151:$B1049,0),Match(E$1,'Actuals - Billing - 2025'!$B$2:$BA$2,0)))</f>
        <v/>
      </c>
      <c r="F151" s="11" t="str">
        <f t="array" ref="F151">if($C151="","",index('Actuals - Billing - 2025'!$B151:$BA1049,Match($C151,'Actuals - Billing - 2025'!$B151:$B1049,0),Match(F$1,'Actuals - Billing - 2025'!$B$2:$BA$2,0)))</f>
        <v/>
      </c>
      <c r="G151" s="11" t="str">
        <f t="array" ref="G151">if($C151="","",index('Actuals - Billing - 2025'!$B151:$BA1049,Match($C151,'Actuals - Billing - 2025'!$B151:$B1049,0),Match(G$1,'Actuals - Billing - 2025'!$B$2:$BA$2,0)))</f>
        <v/>
      </c>
      <c r="H151" s="11" t="str">
        <f t="array" ref="H151">if($C151="","",index('Actuals - Billing - 2025'!$B151:$BA1049,Match($C151,'Actuals - Billing - 2025'!$B151:$B1049,0),Match(H$1,'Actuals - Billing - 2025'!$B$2:$BA$2,0)))</f>
        <v/>
      </c>
      <c r="I151" s="11" t="str">
        <f t="array" ref="I151">if($C151="","",index('Actuals - Billing - 2025'!$B151:$BA1049,Match($C151,'Actuals - Billing - 2025'!$B151:$B1049,0),Match(I$1,'Actuals - Billing - 2025'!$B$2:$BA$2,0)))</f>
        <v/>
      </c>
      <c r="J151" s="11" t="str">
        <f t="shared" si="2"/>
        <v/>
      </c>
      <c r="K151" s="149" t="str">
        <f t="shared" si="3"/>
        <v/>
      </c>
      <c r="L151" s="1" t="str">
        <f t="shared" si="4"/>
        <v/>
      </c>
      <c r="M151" s="4" t="str">
        <f t="shared" si="5"/>
        <v/>
      </c>
      <c r="N151" s="17" t="str">
        <f>if(M151&lt;&gt;"",'Actuals - Billing - 2025'!BG383,"")</f>
        <v/>
      </c>
    </row>
    <row r="152">
      <c r="A152" s="7" t="str">
        <f t="shared" si="1"/>
        <v/>
      </c>
      <c r="B152" s="8" t="str">
        <f>if(and('Actuals - Billing - 2025'!E$261=True,C152&lt;&gt;""),'Actuals - Billing - 2025'!C384,"")</f>
        <v/>
      </c>
      <c r="C152" s="9" t="str">
        <f>IF(sum('Actuals - Billing - 2025'!AR384:BA384)&gt;0,'Actuals - Billing - 2025'!B384,"")</f>
        <v/>
      </c>
      <c r="D152" s="148" t="str">
        <f>if(or(E152&lt;&gt;"",F152&lt;&gt;""),'Actuals - Billing - 2025'!AU152,if(G152&lt;&gt;"",35,if(H152&lt;&gt;"",'Actuals - Billing - 2025'!AY152,if(I152&lt;&gt;"",'Actuals - Billing - 2025'!BA152,""))))</f>
        <v/>
      </c>
      <c r="E152" s="11" t="str">
        <f t="array" ref="E152">if($C152="","",index('Actuals - Billing - 2025'!$B152:$BA1050,Match($C152,'Actuals - Billing - 2025'!$B152:$B1050,0),Match(E$1,'Actuals - Billing - 2025'!$B$2:$BA$2,0)))</f>
        <v/>
      </c>
      <c r="F152" s="11" t="str">
        <f t="array" ref="F152">if($C152="","",index('Actuals - Billing - 2025'!$B152:$BA1050,Match($C152,'Actuals - Billing - 2025'!$B152:$B1050,0),Match(F$1,'Actuals - Billing - 2025'!$B$2:$BA$2,0)))</f>
        <v/>
      </c>
      <c r="G152" s="11" t="str">
        <f t="array" ref="G152">if($C152="","",index('Actuals - Billing - 2025'!$B152:$BA1050,Match($C152,'Actuals - Billing - 2025'!$B152:$B1050,0),Match(G$1,'Actuals - Billing - 2025'!$B$2:$BA$2,0)))</f>
        <v/>
      </c>
      <c r="H152" s="11" t="str">
        <f t="array" ref="H152">if($C152="","",index('Actuals - Billing - 2025'!$B152:$BA1050,Match($C152,'Actuals - Billing - 2025'!$B152:$B1050,0),Match(H$1,'Actuals - Billing - 2025'!$B$2:$BA$2,0)))</f>
        <v/>
      </c>
      <c r="I152" s="11" t="str">
        <f t="array" ref="I152">if($C152="","",index('Actuals - Billing - 2025'!$B152:$BA1050,Match($C152,'Actuals - Billing - 2025'!$B152:$B1050,0),Match(I$1,'Actuals - Billing - 2025'!$B$2:$BA$2,0)))</f>
        <v/>
      </c>
      <c r="J152" s="11" t="str">
        <f t="shared" si="2"/>
        <v/>
      </c>
      <c r="K152" s="149" t="str">
        <f t="shared" si="3"/>
        <v/>
      </c>
      <c r="L152" s="1" t="str">
        <f t="shared" si="4"/>
        <v/>
      </c>
      <c r="M152" s="4" t="str">
        <f t="shared" si="5"/>
        <v/>
      </c>
      <c r="N152" s="17" t="str">
        <f>if(M152&lt;&gt;"",'Actuals - Billing - 2025'!BG384,"")</f>
        <v/>
      </c>
    </row>
    <row r="153">
      <c r="A153" s="7" t="str">
        <f t="shared" si="1"/>
        <v/>
      </c>
      <c r="B153" s="8" t="str">
        <f>if(and('Actuals - Billing - 2025'!E$261=True,C153&lt;&gt;""),'Actuals - Billing - 2025'!C385,"")</f>
        <v/>
      </c>
      <c r="C153" s="9" t="str">
        <f>IF(sum('Actuals - Billing - 2025'!AR385:BA385)&gt;0,'Actuals - Billing - 2025'!B385,"")</f>
        <v/>
      </c>
      <c r="D153" s="148" t="str">
        <f>if(or(E153&lt;&gt;"",F153&lt;&gt;""),'Actuals - Billing - 2025'!AU153,if(G153&lt;&gt;"",35,if(H153&lt;&gt;"",'Actuals - Billing - 2025'!AY153,if(I153&lt;&gt;"",'Actuals - Billing - 2025'!BA153,""))))</f>
        <v/>
      </c>
      <c r="E153" s="11" t="str">
        <f t="array" ref="E153">if($C153="","",index('Actuals - Billing - 2025'!$B153:$BA1051,Match($C153,'Actuals - Billing - 2025'!$B153:$B1051,0),Match(E$1,'Actuals - Billing - 2025'!$B$2:$BA$2,0)))</f>
        <v/>
      </c>
      <c r="F153" s="11" t="str">
        <f t="array" ref="F153">if($C153="","",index('Actuals - Billing - 2025'!$B153:$BA1051,Match($C153,'Actuals - Billing - 2025'!$B153:$B1051,0),Match(F$1,'Actuals - Billing - 2025'!$B$2:$BA$2,0)))</f>
        <v/>
      </c>
      <c r="G153" s="11" t="str">
        <f t="array" ref="G153">if($C153="","",index('Actuals - Billing - 2025'!$B153:$BA1051,Match($C153,'Actuals - Billing - 2025'!$B153:$B1051,0),Match(G$1,'Actuals - Billing - 2025'!$B$2:$BA$2,0)))</f>
        <v/>
      </c>
      <c r="H153" s="11" t="str">
        <f t="array" ref="H153">if($C153="","",index('Actuals - Billing - 2025'!$B153:$BA1051,Match($C153,'Actuals - Billing - 2025'!$B153:$B1051,0),Match(H$1,'Actuals - Billing - 2025'!$B$2:$BA$2,0)))</f>
        <v/>
      </c>
      <c r="I153" s="11" t="str">
        <f t="array" ref="I153">if($C153="","",index('Actuals - Billing - 2025'!$B153:$BA1051,Match($C153,'Actuals - Billing - 2025'!$B153:$B1051,0),Match(I$1,'Actuals - Billing - 2025'!$B$2:$BA$2,0)))</f>
        <v/>
      </c>
      <c r="J153" s="11" t="str">
        <f t="shared" si="2"/>
        <v/>
      </c>
      <c r="K153" s="149" t="str">
        <f t="shared" si="3"/>
        <v/>
      </c>
      <c r="L153" s="1" t="str">
        <f t="shared" si="4"/>
        <v/>
      </c>
      <c r="M153" s="4" t="str">
        <f t="shared" si="5"/>
        <v/>
      </c>
      <c r="N153" s="17" t="str">
        <f>if(M153&lt;&gt;"",'Actuals - Billing - 2025'!BG385,"")</f>
        <v/>
      </c>
    </row>
    <row r="154">
      <c r="A154" s="7" t="str">
        <f t="shared" si="1"/>
        <v/>
      </c>
      <c r="B154" s="8" t="str">
        <f>if(and('Actuals - Billing - 2025'!E$261=True,C154&lt;&gt;""),'Actuals - Billing - 2025'!C386,"")</f>
        <v/>
      </c>
      <c r="C154" s="9" t="str">
        <f>IF(sum('Actuals - Billing - 2025'!AR386:BA386)&gt;0,'Actuals - Billing - 2025'!B386,"")</f>
        <v/>
      </c>
      <c r="D154" s="148" t="str">
        <f>if(or(E154&lt;&gt;"",F154&lt;&gt;""),'Actuals - Billing - 2025'!AU154,if(G154&lt;&gt;"",35,if(H154&lt;&gt;"",'Actuals - Billing - 2025'!AY154,if(I154&lt;&gt;"",'Actuals - Billing - 2025'!BA154,""))))</f>
        <v/>
      </c>
      <c r="E154" s="11" t="str">
        <f t="array" ref="E154">if($C154="","",index('Actuals - Billing - 2025'!$B154:$BA1052,Match($C154,'Actuals - Billing - 2025'!$B154:$B1052,0),Match(E$1,'Actuals - Billing - 2025'!$B$2:$BA$2,0)))</f>
        <v/>
      </c>
      <c r="F154" s="11" t="str">
        <f t="array" ref="F154">if($C154="","",index('Actuals - Billing - 2025'!$B154:$BA1052,Match($C154,'Actuals - Billing - 2025'!$B154:$B1052,0),Match(F$1,'Actuals - Billing - 2025'!$B$2:$BA$2,0)))</f>
        <v/>
      </c>
      <c r="G154" s="11" t="str">
        <f t="array" ref="G154">if($C154="","",index('Actuals - Billing - 2025'!$B154:$BA1052,Match($C154,'Actuals - Billing - 2025'!$B154:$B1052,0),Match(G$1,'Actuals - Billing - 2025'!$B$2:$BA$2,0)))</f>
        <v/>
      </c>
      <c r="H154" s="11" t="str">
        <f t="array" ref="H154">if($C154="","",index('Actuals - Billing - 2025'!$B154:$BA1052,Match($C154,'Actuals - Billing - 2025'!$B154:$B1052,0),Match(H$1,'Actuals - Billing - 2025'!$B$2:$BA$2,0)))</f>
        <v/>
      </c>
      <c r="I154" s="11" t="str">
        <f t="array" ref="I154">if($C154="","",index('Actuals - Billing - 2025'!$B154:$BA1052,Match($C154,'Actuals - Billing - 2025'!$B154:$B1052,0),Match(I$1,'Actuals - Billing - 2025'!$B$2:$BA$2,0)))</f>
        <v/>
      </c>
      <c r="J154" s="11" t="str">
        <f t="shared" si="2"/>
        <v/>
      </c>
      <c r="K154" s="149" t="str">
        <f t="shared" si="3"/>
        <v/>
      </c>
      <c r="L154" s="1" t="str">
        <f t="shared" si="4"/>
        <v/>
      </c>
      <c r="M154" s="4" t="str">
        <f t="shared" si="5"/>
        <v/>
      </c>
      <c r="N154" s="17" t="str">
        <f>if(M154&lt;&gt;"",'Actuals - Billing - 2025'!BG386,"")</f>
        <v/>
      </c>
    </row>
    <row r="155">
      <c r="A155" s="7" t="str">
        <f t="shared" si="1"/>
        <v/>
      </c>
      <c r="B155" s="8" t="str">
        <f>if(and('Actuals - Billing - 2025'!E$261=True,C155&lt;&gt;""),'Actuals - Billing - 2025'!C387,"")</f>
        <v/>
      </c>
      <c r="C155" s="9" t="str">
        <f>IF(sum('Actuals - Billing - 2025'!AR387:BA387)&gt;0,'Actuals - Billing - 2025'!B387,"")</f>
        <v/>
      </c>
      <c r="D155" s="148" t="str">
        <f>if(or(E155&lt;&gt;"",F155&lt;&gt;""),'Actuals - Billing - 2025'!AU155,if(G155&lt;&gt;"",35,if(H155&lt;&gt;"",'Actuals - Billing - 2025'!AY155,if(I155&lt;&gt;"",'Actuals - Billing - 2025'!BA155,""))))</f>
        <v/>
      </c>
      <c r="E155" s="11" t="str">
        <f t="array" ref="E155">if($C155="","",index('Actuals - Billing - 2025'!$B155:$BA1053,Match($C155,'Actuals - Billing - 2025'!$B155:$B1053,0),Match(E$1,'Actuals - Billing - 2025'!$B$2:$BA$2,0)))</f>
        <v/>
      </c>
      <c r="F155" s="11" t="str">
        <f t="array" ref="F155">if($C155="","",index('Actuals - Billing - 2025'!$B155:$BA1053,Match($C155,'Actuals - Billing - 2025'!$B155:$B1053,0),Match(F$1,'Actuals - Billing - 2025'!$B$2:$BA$2,0)))</f>
        <v/>
      </c>
      <c r="G155" s="11" t="str">
        <f t="array" ref="G155">if($C155="","",index('Actuals - Billing - 2025'!$B155:$BA1053,Match($C155,'Actuals - Billing - 2025'!$B155:$B1053,0),Match(G$1,'Actuals - Billing - 2025'!$B$2:$BA$2,0)))</f>
        <v/>
      </c>
      <c r="H155" s="11" t="str">
        <f t="array" ref="H155">if($C155="","",index('Actuals - Billing - 2025'!$B155:$BA1053,Match($C155,'Actuals - Billing - 2025'!$B155:$B1053,0),Match(H$1,'Actuals - Billing - 2025'!$B$2:$BA$2,0)))</f>
        <v/>
      </c>
      <c r="I155" s="11" t="str">
        <f t="array" ref="I155">if($C155="","",index('Actuals - Billing - 2025'!$B155:$BA1053,Match($C155,'Actuals - Billing - 2025'!$B155:$B1053,0),Match(I$1,'Actuals - Billing - 2025'!$B$2:$BA$2,0)))</f>
        <v/>
      </c>
      <c r="J155" s="11" t="str">
        <f t="shared" si="2"/>
        <v/>
      </c>
      <c r="K155" s="149" t="str">
        <f t="shared" si="3"/>
        <v/>
      </c>
      <c r="L155" s="1" t="str">
        <f t="shared" si="4"/>
        <v/>
      </c>
      <c r="M155" s="4" t="str">
        <f t="shared" si="5"/>
        <v/>
      </c>
      <c r="N155" s="17" t="str">
        <f>if(M155&lt;&gt;"",'Actuals - Billing - 2025'!BG387,"")</f>
        <v/>
      </c>
    </row>
    <row r="156">
      <c r="A156" s="7" t="str">
        <f t="shared" si="1"/>
        <v/>
      </c>
      <c r="B156" s="8" t="str">
        <f>if(and('Actuals - Billing - 2025'!E$261=True,C156&lt;&gt;""),'Actuals - Billing - 2025'!C388,"")</f>
        <v/>
      </c>
      <c r="C156" s="9" t="str">
        <f>IF(sum('Actuals - Billing - 2025'!AR388:BA388)&gt;0,'Actuals - Billing - 2025'!B388,"")</f>
        <v/>
      </c>
      <c r="D156" s="148" t="str">
        <f>if(or(E156&lt;&gt;"",F156&lt;&gt;""),'Actuals - Billing - 2025'!AU156,if(G156&lt;&gt;"",35,if(H156&lt;&gt;"",'Actuals - Billing - 2025'!AY156,if(I156&lt;&gt;"",'Actuals - Billing - 2025'!BA156,""))))</f>
        <v/>
      </c>
      <c r="E156" s="11" t="str">
        <f t="array" ref="E156">if($C156="","",index('Actuals - Billing - 2025'!$B156:$BA1054,Match($C156,'Actuals - Billing - 2025'!$B156:$B1054,0),Match(E$1,'Actuals - Billing - 2025'!$B$2:$BA$2,0)))</f>
        <v/>
      </c>
      <c r="F156" s="11" t="str">
        <f t="array" ref="F156">if($C156="","",index('Actuals - Billing - 2025'!$B156:$BA1054,Match($C156,'Actuals - Billing - 2025'!$B156:$B1054,0),Match(F$1,'Actuals - Billing - 2025'!$B$2:$BA$2,0)))</f>
        <v/>
      </c>
      <c r="G156" s="11" t="str">
        <f t="array" ref="G156">if($C156="","",index('Actuals - Billing - 2025'!$B156:$BA1054,Match($C156,'Actuals - Billing - 2025'!$B156:$B1054,0),Match(G$1,'Actuals - Billing - 2025'!$B$2:$BA$2,0)))</f>
        <v/>
      </c>
      <c r="H156" s="11" t="str">
        <f t="array" ref="H156">if($C156="","",index('Actuals - Billing - 2025'!$B156:$BA1054,Match($C156,'Actuals - Billing - 2025'!$B156:$B1054,0),Match(H$1,'Actuals - Billing - 2025'!$B$2:$BA$2,0)))</f>
        <v/>
      </c>
      <c r="I156" s="11" t="str">
        <f t="array" ref="I156">if($C156="","",index('Actuals - Billing - 2025'!$B156:$BA1054,Match($C156,'Actuals - Billing - 2025'!$B156:$B1054,0),Match(I$1,'Actuals - Billing - 2025'!$B$2:$BA$2,0)))</f>
        <v/>
      </c>
      <c r="J156" s="11" t="str">
        <f t="shared" si="2"/>
        <v/>
      </c>
      <c r="K156" s="149" t="str">
        <f t="shared" si="3"/>
        <v/>
      </c>
      <c r="L156" s="1" t="str">
        <f t="shared" si="4"/>
        <v/>
      </c>
      <c r="M156" s="4" t="str">
        <f t="shared" si="5"/>
        <v/>
      </c>
      <c r="N156" s="17" t="str">
        <f>if(M156&lt;&gt;"",'Actuals - Billing - 2025'!BG388,"")</f>
        <v/>
      </c>
    </row>
    <row r="157">
      <c r="A157" s="7" t="str">
        <f t="shared" si="1"/>
        <v/>
      </c>
      <c r="B157" s="8" t="str">
        <f>if(and('Actuals - Billing - 2025'!E$261=True,C157&lt;&gt;""),'Actuals - Billing - 2025'!C389,"")</f>
        <v/>
      </c>
      <c r="C157" s="9" t="str">
        <f>IF(sum('Actuals - Billing - 2025'!AR389:BA389)&gt;0,'Actuals - Billing - 2025'!B389,"")</f>
        <v/>
      </c>
      <c r="D157" s="148" t="str">
        <f>if(or(E157&lt;&gt;"",F157&lt;&gt;""),'Actuals - Billing - 2025'!AU157,if(G157&lt;&gt;"",35,if(H157&lt;&gt;"",'Actuals - Billing - 2025'!AY157,if(I157&lt;&gt;"",'Actuals - Billing - 2025'!BA157,""))))</f>
        <v/>
      </c>
      <c r="E157" s="11" t="str">
        <f t="array" ref="E157">if($C157="","",index('Actuals - Billing - 2025'!$B157:$BA1055,Match($C157,'Actuals - Billing - 2025'!$B157:$B1055,0),Match(E$1,'Actuals - Billing - 2025'!$B$2:$BA$2,0)))</f>
        <v/>
      </c>
      <c r="F157" s="11" t="str">
        <f t="array" ref="F157">if($C157="","",index('Actuals - Billing - 2025'!$B157:$BA1055,Match($C157,'Actuals - Billing - 2025'!$B157:$B1055,0),Match(F$1,'Actuals - Billing - 2025'!$B$2:$BA$2,0)))</f>
        <v/>
      </c>
      <c r="G157" s="11" t="str">
        <f t="array" ref="G157">if($C157="","",index('Actuals - Billing - 2025'!$B157:$BA1055,Match($C157,'Actuals - Billing - 2025'!$B157:$B1055,0),Match(G$1,'Actuals - Billing - 2025'!$B$2:$BA$2,0)))</f>
        <v/>
      </c>
      <c r="H157" s="11" t="str">
        <f t="array" ref="H157">if($C157="","",index('Actuals - Billing - 2025'!$B157:$BA1055,Match($C157,'Actuals - Billing - 2025'!$B157:$B1055,0),Match(H$1,'Actuals - Billing - 2025'!$B$2:$BA$2,0)))</f>
        <v/>
      </c>
      <c r="I157" s="11" t="str">
        <f t="array" ref="I157">if($C157="","",index('Actuals - Billing - 2025'!$B157:$BA1055,Match($C157,'Actuals - Billing - 2025'!$B157:$B1055,0),Match(I$1,'Actuals - Billing - 2025'!$B$2:$BA$2,0)))</f>
        <v/>
      </c>
      <c r="J157" s="11" t="str">
        <f t="shared" si="2"/>
        <v/>
      </c>
      <c r="K157" s="149" t="str">
        <f t="shared" si="3"/>
        <v/>
      </c>
      <c r="L157" s="1" t="str">
        <f t="shared" si="4"/>
        <v/>
      </c>
      <c r="M157" s="4" t="str">
        <f t="shared" si="5"/>
        <v/>
      </c>
      <c r="N157" s="17" t="str">
        <f>if(M157&lt;&gt;"",'Actuals - Billing - 2025'!BG389,"")</f>
        <v/>
      </c>
    </row>
    <row r="158">
      <c r="A158" s="7" t="str">
        <f t="shared" si="1"/>
        <v/>
      </c>
      <c r="B158" s="8" t="str">
        <f>if(and('Actuals - Billing - 2025'!E$261=True,C158&lt;&gt;""),'Actuals - Billing - 2025'!C390,"")</f>
        <v/>
      </c>
      <c r="C158" s="9" t="str">
        <f>IF(sum('Actuals - Billing - 2025'!AR390:BA390)&gt;0,'Actuals - Billing - 2025'!B390,"")</f>
        <v/>
      </c>
      <c r="D158" s="148" t="str">
        <f>if(or(E158&lt;&gt;"",F158&lt;&gt;""),'Actuals - Billing - 2025'!AU158,if(G158&lt;&gt;"",35,if(H158&lt;&gt;"",'Actuals - Billing - 2025'!AY158,if(I158&lt;&gt;"",'Actuals - Billing - 2025'!BA158,""))))</f>
        <v/>
      </c>
      <c r="E158" s="11" t="str">
        <f t="array" ref="E158">if($C158="","",index('Actuals - Billing - 2025'!$B158:$BA1056,Match($C158,'Actuals - Billing - 2025'!$B158:$B1056,0),Match(E$1,'Actuals - Billing - 2025'!$B$2:$BA$2,0)))</f>
        <v/>
      </c>
      <c r="F158" s="11" t="str">
        <f t="array" ref="F158">if($C158="","",index('Actuals - Billing - 2025'!$B158:$BA1056,Match($C158,'Actuals - Billing - 2025'!$B158:$B1056,0),Match(F$1,'Actuals - Billing - 2025'!$B$2:$BA$2,0)))</f>
        <v/>
      </c>
      <c r="G158" s="11" t="str">
        <f t="array" ref="G158">if($C158="","",index('Actuals - Billing - 2025'!$B158:$BA1056,Match($C158,'Actuals - Billing - 2025'!$B158:$B1056,0),Match(G$1,'Actuals - Billing - 2025'!$B$2:$BA$2,0)))</f>
        <v/>
      </c>
      <c r="H158" s="11" t="str">
        <f t="array" ref="H158">if($C158="","",index('Actuals - Billing - 2025'!$B158:$BA1056,Match($C158,'Actuals - Billing - 2025'!$B158:$B1056,0),Match(H$1,'Actuals - Billing - 2025'!$B$2:$BA$2,0)))</f>
        <v/>
      </c>
      <c r="I158" s="11" t="str">
        <f t="array" ref="I158">if($C158="","",index('Actuals - Billing - 2025'!$B158:$BA1056,Match($C158,'Actuals - Billing - 2025'!$B158:$B1056,0),Match(I$1,'Actuals - Billing - 2025'!$B$2:$BA$2,0)))</f>
        <v/>
      </c>
      <c r="J158" s="11" t="str">
        <f t="shared" si="2"/>
        <v/>
      </c>
      <c r="K158" s="149" t="str">
        <f t="shared" si="3"/>
        <v/>
      </c>
      <c r="L158" s="1" t="str">
        <f t="shared" si="4"/>
        <v/>
      </c>
      <c r="M158" s="4" t="str">
        <f t="shared" si="5"/>
        <v/>
      </c>
      <c r="N158" s="17" t="str">
        <f>if(M158&lt;&gt;"",'Actuals - Billing - 2025'!BG390,"")</f>
        <v/>
      </c>
    </row>
    <row r="159">
      <c r="A159" s="7" t="str">
        <f t="shared" si="1"/>
        <v/>
      </c>
      <c r="B159" s="8" t="str">
        <f>if(and('Actuals - Billing - 2025'!E$261=True,C159&lt;&gt;""),'Actuals - Billing - 2025'!C391,"")</f>
        <v/>
      </c>
      <c r="C159" s="9" t="str">
        <f>IF(sum('Actuals - Billing - 2025'!AR391:BA391)&gt;0,'Actuals - Billing - 2025'!B391,"")</f>
        <v/>
      </c>
      <c r="D159" s="148" t="str">
        <f>if(or(E159&lt;&gt;"",F159&lt;&gt;""),'Actuals - Billing - 2025'!AU159,if(G159&lt;&gt;"",35,if(H159&lt;&gt;"",'Actuals - Billing - 2025'!AY159,if(I159&lt;&gt;"",'Actuals - Billing - 2025'!BA159,""))))</f>
        <v/>
      </c>
      <c r="E159" s="11" t="str">
        <f t="array" ref="E159">if($C159="","",index('Actuals - Billing - 2025'!$B159:$BA1057,Match($C159,'Actuals - Billing - 2025'!$B159:$B1057,0),Match(E$1,'Actuals - Billing - 2025'!$B$2:$BA$2,0)))</f>
        <v/>
      </c>
      <c r="F159" s="11" t="str">
        <f t="array" ref="F159">if($C159="","",index('Actuals - Billing - 2025'!$B159:$BA1057,Match($C159,'Actuals - Billing - 2025'!$B159:$B1057,0),Match(F$1,'Actuals - Billing - 2025'!$B$2:$BA$2,0)))</f>
        <v/>
      </c>
      <c r="G159" s="11" t="str">
        <f t="array" ref="G159">if($C159="","",index('Actuals - Billing - 2025'!$B159:$BA1057,Match($C159,'Actuals - Billing - 2025'!$B159:$B1057,0),Match(G$1,'Actuals - Billing - 2025'!$B$2:$BA$2,0)))</f>
        <v/>
      </c>
      <c r="H159" s="11" t="str">
        <f t="array" ref="H159">if($C159="","",index('Actuals - Billing - 2025'!$B159:$BA1057,Match($C159,'Actuals - Billing - 2025'!$B159:$B1057,0),Match(H$1,'Actuals - Billing - 2025'!$B$2:$BA$2,0)))</f>
        <v/>
      </c>
      <c r="I159" s="11" t="str">
        <f t="array" ref="I159">if($C159="","",index('Actuals - Billing - 2025'!$B159:$BA1057,Match($C159,'Actuals - Billing - 2025'!$B159:$B1057,0),Match(I$1,'Actuals - Billing - 2025'!$B$2:$BA$2,0)))</f>
        <v/>
      </c>
      <c r="J159" s="11" t="str">
        <f t="shared" si="2"/>
        <v/>
      </c>
      <c r="K159" s="149" t="str">
        <f t="shared" si="3"/>
        <v/>
      </c>
      <c r="L159" s="1" t="str">
        <f t="shared" si="4"/>
        <v/>
      </c>
      <c r="M159" s="4" t="str">
        <f t="shared" si="5"/>
        <v/>
      </c>
      <c r="N159" s="17" t="str">
        <f>if(M159&lt;&gt;"",'Actuals - Billing - 2025'!BG391,"")</f>
        <v/>
      </c>
    </row>
    <row r="160">
      <c r="A160" s="7" t="str">
        <f t="shared" si="1"/>
        <v/>
      </c>
      <c r="B160" s="8" t="str">
        <f>if(and('Actuals - Billing - 2025'!E$261=True,C160&lt;&gt;""),'Actuals - Billing - 2025'!C392,"")</f>
        <v/>
      </c>
      <c r="C160" s="9" t="str">
        <f>IF(sum('Actuals - Billing - 2025'!AR392:BA392)&gt;0,'Actuals - Billing - 2025'!B392,"")</f>
        <v/>
      </c>
      <c r="D160" s="148" t="str">
        <f>if(or(E160&lt;&gt;"",F160&lt;&gt;""),'Actuals - Billing - 2025'!AU160,if(G160&lt;&gt;"",35,if(H160&lt;&gt;"",'Actuals - Billing - 2025'!AY160,if(I160&lt;&gt;"",'Actuals - Billing - 2025'!BA160,""))))</f>
        <v/>
      </c>
      <c r="E160" s="11" t="str">
        <f t="array" ref="E160">if($C160="","",index('Actuals - Billing - 2025'!$B160:$BA1058,Match($C160,'Actuals - Billing - 2025'!$B160:$B1058,0),Match(E$1,'Actuals - Billing - 2025'!$B$2:$BA$2,0)))</f>
        <v/>
      </c>
      <c r="F160" s="11" t="str">
        <f t="array" ref="F160">if($C160="","",index('Actuals - Billing - 2025'!$B160:$BA1058,Match($C160,'Actuals - Billing - 2025'!$B160:$B1058,0),Match(F$1,'Actuals - Billing - 2025'!$B$2:$BA$2,0)))</f>
        <v/>
      </c>
      <c r="G160" s="11" t="str">
        <f t="array" ref="G160">if($C160="","",index('Actuals - Billing - 2025'!$B160:$BA1058,Match($C160,'Actuals - Billing - 2025'!$B160:$B1058,0),Match(G$1,'Actuals - Billing - 2025'!$B$2:$BA$2,0)))</f>
        <v/>
      </c>
      <c r="H160" s="11" t="str">
        <f t="array" ref="H160">if($C160="","",index('Actuals - Billing - 2025'!$B160:$BA1058,Match($C160,'Actuals - Billing - 2025'!$B160:$B1058,0),Match(H$1,'Actuals - Billing - 2025'!$B$2:$BA$2,0)))</f>
        <v/>
      </c>
      <c r="I160" s="11" t="str">
        <f t="array" ref="I160">if($C160="","",index('Actuals - Billing - 2025'!$B160:$BA1058,Match($C160,'Actuals - Billing - 2025'!$B160:$B1058,0),Match(I$1,'Actuals - Billing - 2025'!$B$2:$BA$2,0)))</f>
        <v/>
      </c>
      <c r="J160" s="11" t="str">
        <f t="shared" si="2"/>
        <v/>
      </c>
      <c r="K160" s="149" t="str">
        <f t="shared" si="3"/>
        <v/>
      </c>
      <c r="L160" s="1" t="str">
        <f t="shared" si="4"/>
        <v/>
      </c>
      <c r="M160" s="4" t="str">
        <f t="shared" si="5"/>
        <v/>
      </c>
      <c r="N160" s="17" t="str">
        <f>if(M160&lt;&gt;"",'Actuals - Billing - 2025'!BG392,"")</f>
        <v/>
      </c>
    </row>
    <row r="161">
      <c r="A161" s="7" t="str">
        <f t="shared" si="1"/>
        <v/>
      </c>
      <c r="B161" s="8" t="str">
        <f>if(and('Actuals - Billing - 2025'!E$261=True,C161&lt;&gt;""),'Actuals - Billing - 2025'!C393,"")</f>
        <v/>
      </c>
      <c r="C161" s="9" t="str">
        <f>IF(sum('Actuals - Billing - 2025'!AR393:BA393)&gt;0,'Actuals - Billing - 2025'!B393,"")</f>
        <v/>
      </c>
      <c r="D161" s="148" t="str">
        <f>if(or(E161&lt;&gt;"",F161&lt;&gt;""),'Actuals - Billing - 2025'!AU161,if(G161&lt;&gt;"",35,if(H161&lt;&gt;"",'Actuals - Billing - 2025'!AY161,if(I161&lt;&gt;"",'Actuals - Billing - 2025'!BA161,""))))</f>
        <v/>
      </c>
      <c r="E161" s="11" t="str">
        <f t="array" ref="E161">if($C161="","",index('Actuals - Billing - 2025'!$B161:$BA1059,Match($C161,'Actuals - Billing - 2025'!$B161:$B1059,0),Match(E$1,'Actuals - Billing - 2025'!$B$2:$BA$2,0)))</f>
        <v/>
      </c>
      <c r="F161" s="11" t="str">
        <f t="array" ref="F161">if($C161="","",index('Actuals - Billing - 2025'!$B161:$BA1059,Match($C161,'Actuals - Billing - 2025'!$B161:$B1059,0),Match(F$1,'Actuals - Billing - 2025'!$B$2:$BA$2,0)))</f>
        <v/>
      </c>
      <c r="G161" s="11" t="str">
        <f t="array" ref="G161">if($C161="","",index('Actuals - Billing - 2025'!$B161:$BA1059,Match($C161,'Actuals - Billing - 2025'!$B161:$B1059,0),Match(G$1,'Actuals - Billing - 2025'!$B$2:$BA$2,0)))</f>
        <v/>
      </c>
      <c r="H161" s="11" t="str">
        <f t="array" ref="H161">if($C161="","",index('Actuals - Billing - 2025'!$B161:$BA1059,Match($C161,'Actuals - Billing - 2025'!$B161:$B1059,0),Match(H$1,'Actuals - Billing - 2025'!$B$2:$BA$2,0)))</f>
        <v/>
      </c>
      <c r="I161" s="11" t="str">
        <f t="array" ref="I161">if($C161="","",index('Actuals - Billing - 2025'!$B161:$BA1059,Match($C161,'Actuals - Billing - 2025'!$B161:$B1059,0),Match(I$1,'Actuals - Billing - 2025'!$B$2:$BA$2,0)))</f>
        <v/>
      </c>
      <c r="J161" s="11" t="str">
        <f t="shared" si="2"/>
        <v/>
      </c>
      <c r="K161" s="149" t="str">
        <f t="shared" si="3"/>
        <v/>
      </c>
      <c r="L161" s="1" t="str">
        <f t="shared" si="4"/>
        <v/>
      </c>
      <c r="M161" s="4" t="str">
        <f t="shared" si="5"/>
        <v/>
      </c>
      <c r="N161" s="17" t="str">
        <f>if(M161&lt;&gt;"",'Actuals - Billing - 2025'!BG393,"")</f>
        <v/>
      </c>
    </row>
    <row r="162">
      <c r="A162" s="7" t="str">
        <f t="shared" si="1"/>
        <v/>
      </c>
      <c r="B162" s="8" t="str">
        <f>if(and('Actuals - Billing - 2025'!E$261=True,C162&lt;&gt;""),'Actuals - Billing - 2025'!C394,"")</f>
        <v/>
      </c>
      <c r="C162" s="9" t="str">
        <f>IF(sum('Actuals - Billing - 2025'!AR394:BA394)&gt;0,'Actuals - Billing - 2025'!B394,"")</f>
        <v/>
      </c>
      <c r="D162" s="148" t="str">
        <f>if(or(E162&lt;&gt;"",F162&lt;&gt;""),'Actuals - Billing - 2025'!AU162,if(G162&lt;&gt;"",35,if(H162&lt;&gt;"",'Actuals - Billing - 2025'!AY162,if(I162&lt;&gt;"",'Actuals - Billing - 2025'!BA162,""))))</f>
        <v/>
      </c>
      <c r="E162" s="11" t="str">
        <f t="array" ref="E162">if($C162="","",index('Actuals - Billing - 2025'!$B162:$BA1060,Match($C162,'Actuals - Billing - 2025'!$B162:$B1060,0),Match(E$1,'Actuals - Billing - 2025'!$B$2:$BA$2,0)))</f>
        <v/>
      </c>
      <c r="F162" s="11" t="str">
        <f t="array" ref="F162">if($C162="","",index('Actuals - Billing - 2025'!$B162:$BA1060,Match($C162,'Actuals - Billing - 2025'!$B162:$B1060,0),Match(F$1,'Actuals - Billing - 2025'!$B$2:$BA$2,0)))</f>
        <v/>
      </c>
      <c r="G162" s="11" t="str">
        <f t="array" ref="G162">if($C162="","",index('Actuals - Billing - 2025'!$B162:$BA1060,Match($C162,'Actuals - Billing - 2025'!$B162:$B1060,0),Match(G$1,'Actuals - Billing - 2025'!$B$2:$BA$2,0)))</f>
        <v/>
      </c>
      <c r="H162" s="11" t="str">
        <f t="array" ref="H162">if($C162="","",index('Actuals - Billing - 2025'!$B162:$BA1060,Match($C162,'Actuals - Billing - 2025'!$B162:$B1060,0),Match(H$1,'Actuals - Billing - 2025'!$B$2:$BA$2,0)))</f>
        <v/>
      </c>
      <c r="I162" s="11" t="str">
        <f t="array" ref="I162">if($C162="","",index('Actuals - Billing - 2025'!$B162:$BA1060,Match($C162,'Actuals - Billing - 2025'!$B162:$B1060,0),Match(I$1,'Actuals - Billing - 2025'!$B$2:$BA$2,0)))</f>
        <v/>
      </c>
      <c r="J162" s="11" t="str">
        <f t="shared" si="2"/>
        <v/>
      </c>
      <c r="K162" s="149" t="str">
        <f t="shared" si="3"/>
        <v/>
      </c>
      <c r="L162" s="1" t="str">
        <f t="shared" si="4"/>
        <v/>
      </c>
      <c r="M162" s="4" t="str">
        <f t="shared" si="5"/>
        <v/>
      </c>
      <c r="N162" s="17" t="str">
        <f>if(M162&lt;&gt;"",'Actuals - Billing - 2025'!BG394,"")</f>
        <v/>
      </c>
    </row>
    <row r="163">
      <c r="A163" s="7" t="str">
        <f t="shared" si="1"/>
        <v/>
      </c>
      <c r="B163" s="8" t="str">
        <f>if(and('Actuals - Billing - 2025'!E$261=True,C163&lt;&gt;""),'Actuals - Billing - 2025'!C395,"")</f>
        <v/>
      </c>
      <c r="C163" s="9" t="str">
        <f>IF(sum('Actuals - Billing - 2025'!AR395:BA395)&gt;0,'Actuals - Billing - 2025'!B395,"")</f>
        <v/>
      </c>
      <c r="D163" s="148" t="str">
        <f>if(or(E163&lt;&gt;"",F163&lt;&gt;""),'Actuals - Billing - 2025'!AU163,if(G163&lt;&gt;"",35,if(H163&lt;&gt;"",'Actuals - Billing - 2025'!AY163,if(I163&lt;&gt;"",'Actuals - Billing - 2025'!BA163,""))))</f>
        <v/>
      </c>
      <c r="E163" s="11" t="str">
        <f t="array" ref="E163">if($C163="","",index('Actuals - Billing - 2025'!$B163:$BA1061,Match($C163,'Actuals - Billing - 2025'!$B163:$B1061,0),Match(E$1,'Actuals - Billing - 2025'!$B$2:$BA$2,0)))</f>
        <v/>
      </c>
      <c r="F163" s="11" t="str">
        <f t="array" ref="F163">if($C163="","",index('Actuals - Billing - 2025'!$B163:$BA1061,Match($C163,'Actuals - Billing - 2025'!$B163:$B1061,0),Match(F$1,'Actuals - Billing - 2025'!$B$2:$BA$2,0)))</f>
        <v/>
      </c>
      <c r="G163" s="11" t="str">
        <f t="array" ref="G163">if($C163="","",index('Actuals - Billing - 2025'!$B163:$BA1061,Match($C163,'Actuals - Billing - 2025'!$B163:$B1061,0),Match(G$1,'Actuals - Billing - 2025'!$B$2:$BA$2,0)))</f>
        <v/>
      </c>
      <c r="H163" s="11" t="str">
        <f t="array" ref="H163">if($C163="","",index('Actuals - Billing - 2025'!$B163:$BA1061,Match($C163,'Actuals - Billing - 2025'!$B163:$B1061,0),Match(H$1,'Actuals - Billing - 2025'!$B$2:$BA$2,0)))</f>
        <v/>
      </c>
      <c r="I163" s="11" t="str">
        <f t="array" ref="I163">if($C163="","",index('Actuals - Billing - 2025'!$B163:$BA1061,Match($C163,'Actuals - Billing - 2025'!$B163:$B1061,0),Match(I$1,'Actuals - Billing - 2025'!$B$2:$BA$2,0)))</f>
        <v/>
      </c>
      <c r="J163" s="11" t="str">
        <f t="shared" si="2"/>
        <v/>
      </c>
      <c r="K163" s="149" t="str">
        <f t="shared" si="3"/>
        <v/>
      </c>
      <c r="L163" s="1" t="str">
        <f t="shared" si="4"/>
        <v/>
      </c>
      <c r="M163" s="4" t="str">
        <f t="shared" si="5"/>
        <v/>
      </c>
      <c r="N163" s="17" t="str">
        <f>if(M163&lt;&gt;"",'Actuals - Billing - 2025'!BG395,"")</f>
        <v/>
      </c>
    </row>
    <row r="164">
      <c r="A164" s="7" t="str">
        <f t="shared" si="1"/>
        <v/>
      </c>
      <c r="B164" s="8" t="str">
        <f>if(and('Actuals - Billing - 2025'!E$261=True,C164&lt;&gt;""),'Actuals - Billing - 2025'!C396,"")</f>
        <v/>
      </c>
      <c r="C164" s="9" t="str">
        <f>IF(sum('Actuals - Billing - 2025'!AR396:BA396)&gt;0,'Actuals - Billing - 2025'!B396,"")</f>
        <v/>
      </c>
      <c r="D164" s="148" t="str">
        <f>if(or(E164&lt;&gt;"",F164&lt;&gt;""),'Actuals - Billing - 2025'!AU164,if(G164&lt;&gt;"",35,if(H164&lt;&gt;"",'Actuals - Billing - 2025'!AY164,if(I164&lt;&gt;"",'Actuals - Billing - 2025'!BA164,""))))</f>
        <v/>
      </c>
      <c r="E164" s="11" t="str">
        <f t="array" ref="E164">if($C164="","",index('Actuals - Billing - 2025'!$B164:$BA1062,Match($C164,'Actuals - Billing - 2025'!$B164:$B1062,0),Match(E$1,'Actuals - Billing - 2025'!$B$2:$BA$2,0)))</f>
        <v/>
      </c>
      <c r="F164" s="11" t="str">
        <f t="array" ref="F164">if($C164="","",index('Actuals - Billing - 2025'!$B164:$BA1062,Match($C164,'Actuals - Billing - 2025'!$B164:$B1062,0),Match(F$1,'Actuals - Billing - 2025'!$B$2:$BA$2,0)))</f>
        <v/>
      </c>
      <c r="G164" s="11" t="str">
        <f t="array" ref="G164">if($C164="","",index('Actuals - Billing - 2025'!$B164:$BA1062,Match($C164,'Actuals - Billing - 2025'!$B164:$B1062,0),Match(G$1,'Actuals - Billing - 2025'!$B$2:$BA$2,0)))</f>
        <v/>
      </c>
      <c r="H164" s="11" t="str">
        <f t="array" ref="H164">if($C164="","",index('Actuals - Billing - 2025'!$B164:$BA1062,Match($C164,'Actuals - Billing - 2025'!$B164:$B1062,0),Match(H$1,'Actuals - Billing - 2025'!$B$2:$BA$2,0)))</f>
        <v/>
      </c>
      <c r="I164" s="11" t="str">
        <f t="array" ref="I164">if($C164="","",index('Actuals - Billing - 2025'!$B164:$BA1062,Match($C164,'Actuals - Billing - 2025'!$B164:$B1062,0),Match(I$1,'Actuals - Billing - 2025'!$B$2:$BA$2,0)))</f>
        <v/>
      </c>
      <c r="J164" s="11" t="str">
        <f t="shared" si="2"/>
        <v/>
      </c>
      <c r="K164" s="149" t="str">
        <f t="shared" si="3"/>
        <v/>
      </c>
      <c r="L164" s="1" t="str">
        <f t="shared" si="4"/>
        <v/>
      </c>
      <c r="M164" s="4" t="str">
        <f t="shared" si="5"/>
        <v/>
      </c>
      <c r="N164" s="17" t="str">
        <f>if(M164&lt;&gt;"",'Actuals - Billing - 2025'!BG396,"")</f>
        <v/>
      </c>
    </row>
    <row r="165">
      <c r="A165" s="7" t="str">
        <f t="shared" si="1"/>
        <v/>
      </c>
      <c r="B165" s="8" t="str">
        <f>if(and('Actuals - Billing - 2025'!E$261=True,C165&lt;&gt;""),'Actuals - Billing - 2025'!C397,"")</f>
        <v/>
      </c>
      <c r="C165" s="9" t="str">
        <f>IF(sum('Actuals - Billing - 2025'!AR397:BA397)&gt;0,'Actuals - Billing - 2025'!B397,"")</f>
        <v/>
      </c>
      <c r="D165" s="148" t="str">
        <f>if(or(E165&lt;&gt;"",F165&lt;&gt;""),'Actuals - Billing - 2025'!AU165,if(G165&lt;&gt;"",35,if(H165&lt;&gt;"",'Actuals - Billing - 2025'!AY165,if(I165&lt;&gt;"",'Actuals - Billing - 2025'!BA165,""))))</f>
        <v/>
      </c>
      <c r="E165" s="11" t="str">
        <f t="array" ref="E165">if($C165="","",index('Actuals - Billing - 2025'!$B165:$BA1063,Match($C165,'Actuals - Billing - 2025'!$B165:$B1063,0),Match(E$1,'Actuals - Billing - 2025'!$B$2:$BA$2,0)))</f>
        <v/>
      </c>
      <c r="F165" s="11" t="str">
        <f t="array" ref="F165">if($C165="","",index('Actuals - Billing - 2025'!$B165:$BA1063,Match($C165,'Actuals - Billing - 2025'!$B165:$B1063,0),Match(F$1,'Actuals - Billing - 2025'!$B$2:$BA$2,0)))</f>
        <v/>
      </c>
      <c r="G165" s="11" t="str">
        <f t="array" ref="G165">if($C165="","",index('Actuals - Billing - 2025'!$B165:$BA1063,Match($C165,'Actuals - Billing - 2025'!$B165:$B1063,0),Match(G$1,'Actuals - Billing - 2025'!$B$2:$BA$2,0)))</f>
        <v/>
      </c>
      <c r="H165" s="11" t="str">
        <f t="array" ref="H165">if($C165="","",index('Actuals - Billing - 2025'!$B165:$BA1063,Match($C165,'Actuals - Billing - 2025'!$B165:$B1063,0),Match(H$1,'Actuals - Billing - 2025'!$B$2:$BA$2,0)))</f>
        <v/>
      </c>
      <c r="I165" s="11" t="str">
        <f t="array" ref="I165">if($C165="","",index('Actuals - Billing - 2025'!$B165:$BA1063,Match($C165,'Actuals - Billing - 2025'!$B165:$B1063,0),Match(I$1,'Actuals - Billing - 2025'!$B$2:$BA$2,0)))</f>
        <v/>
      </c>
      <c r="J165" s="11" t="str">
        <f t="shared" si="2"/>
        <v/>
      </c>
      <c r="K165" s="149" t="str">
        <f t="shared" si="3"/>
        <v/>
      </c>
      <c r="L165" s="1" t="str">
        <f t="shared" si="4"/>
        <v/>
      </c>
      <c r="M165" s="4" t="str">
        <f t="shared" si="5"/>
        <v/>
      </c>
      <c r="N165" s="17" t="str">
        <f>if(M165&lt;&gt;"",'Actuals - Billing - 2025'!BG397,"")</f>
        <v/>
      </c>
    </row>
    <row r="166">
      <c r="A166" s="7" t="str">
        <f t="shared" si="1"/>
        <v/>
      </c>
      <c r="B166" s="8" t="str">
        <f>if(and('Actuals - Billing - 2025'!E$261=True,C166&lt;&gt;""),'Actuals - Billing - 2025'!C398,"")</f>
        <v/>
      </c>
      <c r="C166" s="9" t="str">
        <f>IF(sum('Actuals - Billing - 2025'!AR398:BA398)&gt;0,'Actuals - Billing - 2025'!B398,"")</f>
        <v/>
      </c>
      <c r="D166" s="148" t="str">
        <f>if(or(E166&lt;&gt;"",F166&lt;&gt;""),'Actuals - Billing - 2025'!AU166,if(G166&lt;&gt;"",35,if(H166&lt;&gt;"",'Actuals - Billing - 2025'!AY166,if(I166&lt;&gt;"",'Actuals - Billing - 2025'!BA166,""))))</f>
        <v/>
      </c>
      <c r="E166" s="11" t="str">
        <f t="array" ref="E166">if($C166="","",index('Actuals - Billing - 2025'!$B166:$BA1064,Match($C166,'Actuals - Billing - 2025'!$B166:$B1064,0),Match(E$1,'Actuals - Billing - 2025'!$B$2:$BA$2,0)))</f>
        <v/>
      </c>
      <c r="F166" s="11" t="str">
        <f t="array" ref="F166">if($C166="","",index('Actuals - Billing - 2025'!$B166:$BA1064,Match($C166,'Actuals - Billing - 2025'!$B166:$B1064,0),Match(F$1,'Actuals - Billing - 2025'!$B$2:$BA$2,0)))</f>
        <v/>
      </c>
      <c r="G166" s="11" t="str">
        <f t="array" ref="G166">if($C166="","",index('Actuals - Billing - 2025'!$B166:$BA1064,Match($C166,'Actuals - Billing - 2025'!$B166:$B1064,0),Match(G$1,'Actuals - Billing - 2025'!$B$2:$BA$2,0)))</f>
        <v/>
      </c>
      <c r="H166" s="11" t="str">
        <f t="array" ref="H166">if($C166="","",index('Actuals - Billing - 2025'!$B166:$BA1064,Match($C166,'Actuals - Billing - 2025'!$B166:$B1064,0),Match(H$1,'Actuals - Billing - 2025'!$B$2:$BA$2,0)))</f>
        <v/>
      </c>
      <c r="I166" s="11" t="str">
        <f t="array" ref="I166">if($C166="","",index('Actuals - Billing - 2025'!$B166:$BA1064,Match($C166,'Actuals - Billing - 2025'!$B166:$B1064,0),Match(I$1,'Actuals - Billing - 2025'!$B$2:$BA$2,0)))</f>
        <v/>
      </c>
      <c r="J166" s="11" t="str">
        <f t="shared" si="2"/>
        <v/>
      </c>
      <c r="K166" s="149" t="str">
        <f t="shared" si="3"/>
        <v/>
      </c>
      <c r="L166" s="1" t="str">
        <f t="shared" si="4"/>
        <v/>
      </c>
      <c r="M166" s="4" t="str">
        <f t="shared" si="5"/>
        <v/>
      </c>
      <c r="N166" s="17" t="str">
        <f>if(M166&lt;&gt;"",'Actuals - Billing - 2025'!BG398,"")</f>
        <v/>
      </c>
    </row>
    <row r="167">
      <c r="A167" s="7" t="str">
        <f t="shared" si="1"/>
        <v/>
      </c>
      <c r="B167" s="8" t="str">
        <f>if(and('Actuals - Billing - 2025'!E$261=True,C167&lt;&gt;""),'Actuals - Billing - 2025'!C399,"")</f>
        <v/>
      </c>
      <c r="C167" s="9" t="str">
        <f>IF(sum('Actuals - Billing - 2025'!AR399:BA399)&gt;0,'Actuals - Billing - 2025'!B399,"")</f>
        <v/>
      </c>
      <c r="D167" s="148" t="str">
        <f>if(or(E167&lt;&gt;"",F167&lt;&gt;""),'Actuals - Billing - 2025'!AU167,if(G167&lt;&gt;"",35,if(H167&lt;&gt;"",'Actuals - Billing - 2025'!AY167,if(I167&lt;&gt;"",'Actuals - Billing - 2025'!BA167,""))))</f>
        <v/>
      </c>
      <c r="E167" s="11" t="str">
        <f t="array" ref="E167">if($C167="","",index('Actuals - Billing - 2025'!$B167:$BA1065,Match($C167,'Actuals - Billing - 2025'!$B167:$B1065,0),Match(E$1,'Actuals - Billing - 2025'!$B$2:$BA$2,0)))</f>
        <v/>
      </c>
      <c r="F167" s="11" t="str">
        <f t="array" ref="F167">if($C167="","",index('Actuals - Billing - 2025'!$B167:$BA1065,Match($C167,'Actuals - Billing - 2025'!$B167:$B1065,0),Match(F$1,'Actuals - Billing - 2025'!$B$2:$BA$2,0)))</f>
        <v/>
      </c>
      <c r="G167" s="11" t="str">
        <f t="array" ref="G167">if($C167="","",index('Actuals - Billing - 2025'!$B167:$BA1065,Match($C167,'Actuals - Billing - 2025'!$B167:$B1065,0),Match(G$1,'Actuals - Billing - 2025'!$B$2:$BA$2,0)))</f>
        <v/>
      </c>
      <c r="H167" s="11" t="str">
        <f t="array" ref="H167">if($C167="","",index('Actuals - Billing - 2025'!$B167:$BA1065,Match($C167,'Actuals - Billing - 2025'!$B167:$B1065,0),Match(H$1,'Actuals - Billing - 2025'!$B$2:$BA$2,0)))</f>
        <v/>
      </c>
      <c r="I167" s="11" t="str">
        <f t="array" ref="I167">if($C167="","",index('Actuals - Billing - 2025'!$B167:$BA1065,Match($C167,'Actuals - Billing - 2025'!$B167:$B1065,0),Match(I$1,'Actuals - Billing - 2025'!$B$2:$BA$2,0)))</f>
        <v/>
      </c>
      <c r="J167" s="11" t="str">
        <f t="shared" si="2"/>
        <v/>
      </c>
      <c r="K167" s="149" t="str">
        <f t="shared" si="3"/>
        <v/>
      </c>
      <c r="L167" s="1" t="str">
        <f t="shared" si="4"/>
        <v/>
      </c>
      <c r="M167" s="4" t="str">
        <f t="shared" si="5"/>
        <v/>
      </c>
      <c r="N167" s="17" t="str">
        <f>if(M167&lt;&gt;"",'Actuals - Billing - 2025'!BG399,"")</f>
        <v/>
      </c>
    </row>
    <row r="168">
      <c r="A168" s="7" t="str">
        <f t="shared" si="1"/>
        <v/>
      </c>
      <c r="B168" s="8" t="str">
        <f>if(and('Actuals - Billing - 2025'!E$261=True,C168&lt;&gt;""),'Actuals - Billing - 2025'!C400,"")</f>
        <v/>
      </c>
      <c r="C168" s="9" t="str">
        <f>IF(sum('Actuals - Billing - 2025'!AR400:BA400)&gt;0,'Actuals - Billing - 2025'!B400,"")</f>
        <v/>
      </c>
      <c r="D168" s="148" t="str">
        <f>if(or(E168&lt;&gt;"",F168&lt;&gt;""),'Actuals - Billing - 2025'!AU168,if(G168&lt;&gt;"",35,if(H168&lt;&gt;"",'Actuals - Billing - 2025'!AY168,if(I168&lt;&gt;"",'Actuals - Billing - 2025'!BA168,""))))</f>
        <v/>
      </c>
      <c r="E168" s="11" t="str">
        <f t="array" ref="E168">if($C168="","",index('Actuals - Billing - 2025'!$B168:$BA1066,Match($C168,'Actuals - Billing - 2025'!$B168:$B1066,0),Match(E$1,'Actuals - Billing - 2025'!$B$2:$BA$2,0)))</f>
        <v/>
      </c>
      <c r="F168" s="11" t="str">
        <f t="array" ref="F168">if($C168="","",index('Actuals - Billing - 2025'!$B168:$BA1066,Match($C168,'Actuals - Billing - 2025'!$B168:$B1066,0),Match(F$1,'Actuals - Billing - 2025'!$B$2:$BA$2,0)))</f>
        <v/>
      </c>
      <c r="G168" s="11" t="str">
        <f t="array" ref="G168">if($C168="","",index('Actuals - Billing - 2025'!$B168:$BA1066,Match($C168,'Actuals - Billing - 2025'!$B168:$B1066,0),Match(G$1,'Actuals - Billing - 2025'!$B$2:$BA$2,0)))</f>
        <v/>
      </c>
      <c r="H168" s="11" t="str">
        <f t="array" ref="H168">if($C168="","",index('Actuals - Billing - 2025'!$B168:$BA1066,Match($C168,'Actuals - Billing - 2025'!$B168:$B1066,0),Match(H$1,'Actuals - Billing - 2025'!$B$2:$BA$2,0)))</f>
        <v/>
      </c>
      <c r="I168" s="11" t="str">
        <f t="array" ref="I168">if($C168="","",index('Actuals - Billing - 2025'!$B168:$BA1066,Match($C168,'Actuals - Billing - 2025'!$B168:$B1066,0),Match(I$1,'Actuals - Billing - 2025'!$B$2:$BA$2,0)))</f>
        <v/>
      </c>
      <c r="J168" s="11" t="str">
        <f t="shared" si="2"/>
        <v/>
      </c>
      <c r="K168" s="149" t="str">
        <f t="shared" si="3"/>
        <v/>
      </c>
      <c r="L168" s="1" t="str">
        <f t="shared" si="4"/>
        <v/>
      </c>
      <c r="M168" s="4" t="str">
        <f t="shared" si="5"/>
        <v/>
      </c>
      <c r="N168" s="17" t="str">
        <f>if(M168&lt;&gt;"",'Actuals - Billing - 2025'!BG400,"")</f>
        <v/>
      </c>
    </row>
    <row r="169">
      <c r="A169" s="7" t="str">
        <f t="shared" si="1"/>
        <v/>
      </c>
      <c r="B169" s="8" t="str">
        <f>if(and('Actuals - Billing - 2025'!E$261=True,C169&lt;&gt;""),'Actuals - Billing - 2025'!C401,"")</f>
        <v/>
      </c>
      <c r="C169" s="9" t="str">
        <f>IF(sum('Actuals - Billing - 2025'!AR401:BA401)&gt;0,'Actuals - Billing - 2025'!B401,"")</f>
        <v/>
      </c>
      <c r="D169" s="148" t="str">
        <f>if(or(E169&lt;&gt;"",F169&lt;&gt;""),'Actuals - Billing - 2025'!AU169,if(G169&lt;&gt;"",35,if(H169&lt;&gt;"",'Actuals - Billing - 2025'!AY169,if(I169&lt;&gt;"",'Actuals - Billing - 2025'!BA169,""))))</f>
        <v/>
      </c>
      <c r="E169" s="11" t="str">
        <f t="array" ref="E169">if($C169="","",index('Actuals - Billing - 2025'!$B169:$BA1067,Match($C169,'Actuals - Billing - 2025'!$B169:$B1067,0),Match(E$1,'Actuals - Billing - 2025'!$B$2:$BA$2,0)))</f>
        <v/>
      </c>
      <c r="F169" s="11" t="str">
        <f t="array" ref="F169">if($C169="","",index('Actuals - Billing - 2025'!$B169:$BA1067,Match($C169,'Actuals - Billing - 2025'!$B169:$B1067,0),Match(F$1,'Actuals - Billing - 2025'!$B$2:$BA$2,0)))</f>
        <v/>
      </c>
      <c r="G169" s="11" t="str">
        <f t="array" ref="G169">if($C169="","",index('Actuals - Billing - 2025'!$B169:$BA1067,Match($C169,'Actuals - Billing - 2025'!$B169:$B1067,0),Match(G$1,'Actuals - Billing - 2025'!$B$2:$BA$2,0)))</f>
        <v/>
      </c>
      <c r="H169" s="11" t="str">
        <f t="array" ref="H169">if($C169="","",index('Actuals - Billing - 2025'!$B169:$BA1067,Match($C169,'Actuals - Billing - 2025'!$B169:$B1067,0),Match(H$1,'Actuals - Billing - 2025'!$B$2:$BA$2,0)))</f>
        <v/>
      </c>
      <c r="I169" s="11" t="str">
        <f t="array" ref="I169">if($C169="","",index('Actuals - Billing - 2025'!$B169:$BA1067,Match($C169,'Actuals - Billing - 2025'!$B169:$B1067,0),Match(I$1,'Actuals - Billing - 2025'!$B$2:$BA$2,0)))</f>
        <v/>
      </c>
      <c r="J169" s="11" t="str">
        <f t="shared" si="2"/>
        <v/>
      </c>
      <c r="K169" s="149" t="str">
        <f t="shared" si="3"/>
        <v/>
      </c>
      <c r="L169" s="1" t="str">
        <f t="shared" si="4"/>
        <v/>
      </c>
      <c r="M169" s="4" t="str">
        <f t="shared" si="5"/>
        <v/>
      </c>
      <c r="N169" s="17" t="str">
        <f>if(M169&lt;&gt;"",'Actuals - Billing - 2025'!BG401,"")</f>
        <v/>
      </c>
    </row>
    <row r="170">
      <c r="A170" s="7" t="str">
        <f t="shared" si="1"/>
        <v/>
      </c>
      <c r="B170" s="8" t="str">
        <f>if(and('Actuals - Billing - 2025'!E$261=True,C170&lt;&gt;""),'Actuals - Billing - 2025'!C402,"")</f>
        <v/>
      </c>
      <c r="C170" s="9" t="str">
        <f>IF(sum('Actuals - Billing - 2025'!AR402:BA402)&gt;0,'Actuals - Billing - 2025'!B402,"")</f>
        <v/>
      </c>
      <c r="D170" s="148" t="str">
        <f>if(or(E170&lt;&gt;"",F170&lt;&gt;""),'Actuals - Billing - 2025'!AU170,if(G170&lt;&gt;"",35,if(H170&lt;&gt;"",'Actuals - Billing - 2025'!AY170,if(I170&lt;&gt;"",'Actuals - Billing - 2025'!BA170,""))))</f>
        <v/>
      </c>
      <c r="E170" s="11" t="str">
        <f t="array" ref="E170">if($C170="","",index('Actuals - Billing - 2025'!$B170:$BA1068,Match($C170,'Actuals - Billing - 2025'!$B170:$B1068,0),Match(E$1,'Actuals - Billing - 2025'!$B$2:$BA$2,0)))</f>
        <v/>
      </c>
      <c r="F170" s="11" t="str">
        <f t="array" ref="F170">if($C170="","",index('Actuals - Billing - 2025'!$B170:$BA1068,Match($C170,'Actuals - Billing - 2025'!$B170:$B1068,0),Match(F$1,'Actuals - Billing - 2025'!$B$2:$BA$2,0)))</f>
        <v/>
      </c>
      <c r="G170" s="11" t="str">
        <f t="array" ref="G170">if($C170="","",index('Actuals - Billing - 2025'!$B170:$BA1068,Match($C170,'Actuals - Billing - 2025'!$B170:$B1068,0),Match(G$1,'Actuals - Billing - 2025'!$B$2:$BA$2,0)))</f>
        <v/>
      </c>
      <c r="H170" s="11" t="str">
        <f t="array" ref="H170">if($C170="","",index('Actuals - Billing - 2025'!$B170:$BA1068,Match($C170,'Actuals - Billing - 2025'!$B170:$B1068,0),Match(H$1,'Actuals - Billing - 2025'!$B$2:$BA$2,0)))</f>
        <v/>
      </c>
      <c r="I170" s="11" t="str">
        <f t="array" ref="I170">if($C170="","",index('Actuals - Billing - 2025'!$B170:$BA1068,Match($C170,'Actuals - Billing - 2025'!$B170:$B1068,0),Match(I$1,'Actuals - Billing - 2025'!$B$2:$BA$2,0)))</f>
        <v/>
      </c>
      <c r="J170" s="11" t="str">
        <f t="shared" si="2"/>
        <v/>
      </c>
      <c r="K170" s="149" t="str">
        <f t="shared" si="3"/>
        <v/>
      </c>
      <c r="L170" s="1" t="str">
        <f t="shared" si="4"/>
        <v/>
      </c>
      <c r="M170" s="4" t="str">
        <f t="shared" si="5"/>
        <v/>
      </c>
      <c r="N170" s="17" t="str">
        <f>if(M170&lt;&gt;"",'Actuals - Billing - 2025'!BG402,"")</f>
        <v/>
      </c>
    </row>
    <row r="171">
      <c r="A171" s="7" t="str">
        <f t="shared" si="1"/>
        <v/>
      </c>
      <c r="B171" s="8" t="str">
        <f>if(and('Actuals - Billing - 2025'!E$261=True,C171&lt;&gt;""),'Actuals - Billing - 2025'!C403,"")</f>
        <v/>
      </c>
      <c r="C171" s="9" t="str">
        <f>IF(sum('Actuals - Billing - 2025'!AR403:BA403)&gt;0,'Actuals - Billing - 2025'!B403,"")</f>
        <v/>
      </c>
      <c r="D171" s="148" t="str">
        <f>if(or(E171&lt;&gt;"",F171&lt;&gt;""),'Actuals - Billing - 2025'!AU171,if(G171&lt;&gt;"",35,if(H171&lt;&gt;"",'Actuals - Billing - 2025'!AY171,if(I171&lt;&gt;"",'Actuals - Billing - 2025'!BA171,""))))</f>
        <v/>
      </c>
      <c r="E171" s="11" t="str">
        <f t="array" ref="E171">if($C171="","",index('Actuals - Billing - 2025'!$B171:$BA1069,Match($C171,'Actuals - Billing - 2025'!$B171:$B1069,0),Match(E$1,'Actuals - Billing - 2025'!$B$2:$BA$2,0)))</f>
        <v/>
      </c>
      <c r="F171" s="11" t="str">
        <f t="array" ref="F171">if($C171="","",index('Actuals - Billing - 2025'!$B171:$BA1069,Match($C171,'Actuals - Billing - 2025'!$B171:$B1069,0),Match(F$1,'Actuals - Billing - 2025'!$B$2:$BA$2,0)))</f>
        <v/>
      </c>
      <c r="G171" s="11" t="str">
        <f t="array" ref="G171">if($C171="","",index('Actuals - Billing - 2025'!$B171:$BA1069,Match($C171,'Actuals - Billing - 2025'!$B171:$B1069,0),Match(G$1,'Actuals - Billing - 2025'!$B$2:$BA$2,0)))</f>
        <v/>
      </c>
      <c r="H171" s="11" t="str">
        <f t="array" ref="H171">if($C171="","",index('Actuals - Billing - 2025'!$B171:$BA1069,Match($C171,'Actuals - Billing - 2025'!$B171:$B1069,0),Match(H$1,'Actuals - Billing - 2025'!$B$2:$BA$2,0)))</f>
        <v/>
      </c>
      <c r="I171" s="11" t="str">
        <f t="array" ref="I171">if($C171="","",index('Actuals - Billing - 2025'!$B171:$BA1069,Match($C171,'Actuals - Billing - 2025'!$B171:$B1069,0),Match(I$1,'Actuals - Billing - 2025'!$B$2:$BA$2,0)))</f>
        <v/>
      </c>
      <c r="J171" s="11" t="str">
        <f t="shared" si="2"/>
        <v/>
      </c>
      <c r="K171" s="149" t="str">
        <f t="shared" si="3"/>
        <v/>
      </c>
      <c r="L171" s="1" t="str">
        <f t="shared" si="4"/>
        <v/>
      </c>
      <c r="M171" s="4" t="str">
        <f t="shared" si="5"/>
        <v/>
      </c>
      <c r="N171" s="17" t="str">
        <f>if(M171&lt;&gt;"",'Actuals - Billing - 2025'!BG403,"")</f>
        <v/>
      </c>
    </row>
    <row r="172">
      <c r="A172" s="7" t="str">
        <f t="shared" si="1"/>
        <v/>
      </c>
      <c r="B172" s="8" t="str">
        <f>if(and('Actuals - Billing - 2025'!E$261=True,C172&lt;&gt;""),'Actuals - Billing - 2025'!C404,"")</f>
        <v/>
      </c>
      <c r="C172" s="9" t="str">
        <f>IF(sum('Actuals - Billing - 2025'!AR404:BA404)&gt;0,'Actuals - Billing - 2025'!B404,"")</f>
        <v/>
      </c>
      <c r="D172" s="148" t="str">
        <f>if(or(E172&lt;&gt;"",F172&lt;&gt;""),'Actuals - Billing - 2025'!AU172,if(G172&lt;&gt;"",35,if(H172&lt;&gt;"",'Actuals - Billing - 2025'!AY172,if(I172&lt;&gt;"",'Actuals - Billing - 2025'!BA172,""))))</f>
        <v/>
      </c>
      <c r="E172" s="11" t="str">
        <f t="array" ref="E172">if($C172="","",index('Actuals - Billing - 2025'!$B172:$BA1070,Match($C172,'Actuals - Billing - 2025'!$B172:$B1070,0),Match(E$1,'Actuals - Billing - 2025'!$B$2:$BA$2,0)))</f>
        <v/>
      </c>
      <c r="F172" s="11" t="str">
        <f t="array" ref="F172">if($C172="","",index('Actuals - Billing - 2025'!$B172:$BA1070,Match($C172,'Actuals - Billing - 2025'!$B172:$B1070,0),Match(F$1,'Actuals - Billing - 2025'!$B$2:$BA$2,0)))</f>
        <v/>
      </c>
      <c r="G172" s="11" t="str">
        <f t="array" ref="G172">if($C172="","",index('Actuals - Billing - 2025'!$B172:$BA1070,Match($C172,'Actuals - Billing - 2025'!$B172:$B1070,0),Match(G$1,'Actuals - Billing - 2025'!$B$2:$BA$2,0)))</f>
        <v/>
      </c>
      <c r="H172" s="11" t="str">
        <f t="array" ref="H172">if($C172="","",index('Actuals - Billing - 2025'!$B172:$BA1070,Match($C172,'Actuals - Billing - 2025'!$B172:$B1070,0),Match(H$1,'Actuals - Billing - 2025'!$B$2:$BA$2,0)))</f>
        <v/>
      </c>
      <c r="I172" s="11" t="str">
        <f t="array" ref="I172">if($C172="","",index('Actuals - Billing - 2025'!$B172:$BA1070,Match($C172,'Actuals - Billing - 2025'!$B172:$B1070,0),Match(I$1,'Actuals - Billing - 2025'!$B$2:$BA$2,0)))</f>
        <v/>
      </c>
      <c r="J172" s="11" t="str">
        <f t="shared" si="2"/>
        <v/>
      </c>
      <c r="K172" s="149" t="str">
        <f t="shared" si="3"/>
        <v/>
      </c>
      <c r="L172" s="1" t="str">
        <f t="shared" si="4"/>
        <v/>
      </c>
      <c r="M172" s="4" t="str">
        <f t="shared" si="5"/>
        <v/>
      </c>
      <c r="N172" s="17" t="str">
        <f>if(M172&lt;&gt;"",'Actuals - Billing - 2025'!BG404,"")</f>
        <v/>
      </c>
    </row>
    <row r="173">
      <c r="A173" s="7" t="str">
        <f t="shared" si="1"/>
        <v/>
      </c>
      <c r="B173" s="8" t="str">
        <f>if(and('Actuals - Billing - 2025'!E$261=True,C173&lt;&gt;""),'Actuals - Billing - 2025'!C405,"")</f>
        <v/>
      </c>
      <c r="C173" s="9" t="str">
        <f>IF(sum('Actuals - Billing - 2025'!AR405:BA405)&gt;0,'Actuals - Billing - 2025'!B405,"")</f>
        <v/>
      </c>
      <c r="D173" s="148" t="str">
        <f>if(or(E173&lt;&gt;"",F173&lt;&gt;""),'Actuals - Billing - 2025'!AU173,if(G173&lt;&gt;"",35,if(H173&lt;&gt;"",'Actuals - Billing - 2025'!AY173,if(I173&lt;&gt;"",'Actuals - Billing - 2025'!BA173,""))))</f>
        <v/>
      </c>
      <c r="E173" s="11" t="str">
        <f t="array" ref="E173">if($C173="","",index('Actuals - Billing - 2025'!$B173:$BA1071,Match($C173,'Actuals - Billing - 2025'!$B173:$B1071,0),Match(E$1,'Actuals - Billing - 2025'!$B$2:$BA$2,0)))</f>
        <v/>
      </c>
      <c r="F173" s="11" t="str">
        <f t="array" ref="F173">if($C173="","",index('Actuals - Billing - 2025'!$B173:$BA1071,Match($C173,'Actuals - Billing - 2025'!$B173:$B1071,0),Match(F$1,'Actuals - Billing - 2025'!$B$2:$BA$2,0)))</f>
        <v/>
      </c>
      <c r="G173" s="11" t="str">
        <f t="array" ref="G173">if($C173="","",index('Actuals - Billing - 2025'!$B173:$BA1071,Match($C173,'Actuals - Billing - 2025'!$B173:$B1071,0),Match(G$1,'Actuals - Billing - 2025'!$B$2:$BA$2,0)))</f>
        <v/>
      </c>
      <c r="H173" s="11" t="str">
        <f t="array" ref="H173">if($C173="","",index('Actuals - Billing - 2025'!$B173:$BA1071,Match($C173,'Actuals - Billing - 2025'!$B173:$B1071,0),Match(H$1,'Actuals - Billing - 2025'!$B$2:$BA$2,0)))</f>
        <v/>
      </c>
      <c r="I173" s="11" t="str">
        <f t="array" ref="I173">if($C173="","",index('Actuals - Billing - 2025'!$B173:$BA1071,Match($C173,'Actuals - Billing - 2025'!$B173:$B1071,0),Match(I$1,'Actuals - Billing - 2025'!$B$2:$BA$2,0)))</f>
        <v/>
      </c>
      <c r="J173" s="11" t="str">
        <f t="shared" si="2"/>
        <v/>
      </c>
      <c r="K173" s="149" t="str">
        <f t="shared" si="3"/>
        <v/>
      </c>
      <c r="L173" s="1" t="str">
        <f t="shared" si="4"/>
        <v/>
      </c>
      <c r="M173" s="4" t="str">
        <f t="shared" si="5"/>
        <v/>
      </c>
      <c r="N173" s="17" t="str">
        <f>if(M173&lt;&gt;"",'Actuals - Billing - 2025'!BG405,"")</f>
        <v/>
      </c>
    </row>
    <row r="174">
      <c r="A174" s="7" t="str">
        <f t="shared" si="1"/>
        <v/>
      </c>
      <c r="B174" s="8" t="str">
        <f>if(and('Actuals - Billing - 2025'!E$261=True,C174&lt;&gt;""),'Actuals - Billing - 2025'!C406,"")</f>
        <v/>
      </c>
      <c r="C174" s="9" t="str">
        <f>IF(sum('Actuals - Billing - 2025'!AR406:BA406)&gt;0,'Actuals - Billing - 2025'!B406,"")</f>
        <v/>
      </c>
      <c r="D174" s="148" t="str">
        <f>if(or(E174&lt;&gt;"",F174&lt;&gt;""),'Actuals - Billing - 2025'!AU174,if(G174&lt;&gt;"",35,if(H174&lt;&gt;"",'Actuals - Billing - 2025'!AY174,if(I174&lt;&gt;"",'Actuals - Billing - 2025'!BA174,""))))</f>
        <v/>
      </c>
      <c r="E174" s="11" t="str">
        <f t="array" ref="E174">if($C174="","",index('Actuals - Billing - 2025'!$B174:$BA1072,Match($C174,'Actuals - Billing - 2025'!$B174:$B1072,0),Match(E$1,'Actuals - Billing - 2025'!$B$2:$BA$2,0)))</f>
        <v/>
      </c>
      <c r="F174" s="11" t="str">
        <f t="array" ref="F174">if($C174="","",index('Actuals - Billing - 2025'!$B174:$BA1072,Match($C174,'Actuals - Billing - 2025'!$B174:$B1072,0),Match(F$1,'Actuals - Billing - 2025'!$B$2:$BA$2,0)))</f>
        <v/>
      </c>
      <c r="G174" s="11" t="str">
        <f t="array" ref="G174">if($C174="","",index('Actuals - Billing - 2025'!$B174:$BA1072,Match($C174,'Actuals - Billing - 2025'!$B174:$B1072,0),Match(G$1,'Actuals - Billing - 2025'!$B$2:$BA$2,0)))</f>
        <v/>
      </c>
      <c r="H174" s="11" t="str">
        <f t="array" ref="H174">if($C174="","",index('Actuals - Billing - 2025'!$B174:$BA1072,Match($C174,'Actuals - Billing - 2025'!$B174:$B1072,0),Match(H$1,'Actuals - Billing - 2025'!$B$2:$BA$2,0)))</f>
        <v/>
      </c>
      <c r="I174" s="11" t="str">
        <f t="array" ref="I174">if($C174="","",index('Actuals - Billing - 2025'!$B174:$BA1072,Match($C174,'Actuals - Billing - 2025'!$B174:$B1072,0),Match(I$1,'Actuals - Billing - 2025'!$B$2:$BA$2,0)))</f>
        <v/>
      </c>
      <c r="J174" s="11" t="str">
        <f t="shared" si="2"/>
        <v/>
      </c>
      <c r="K174" s="149" t="str">
        <f t="shared" si="3"/>
        <v/>
      </c>
      <c r="L174" s="1" t="str">
        <f t="shared" si="4"/>
        <v/>
      </c>
      <c r="M174" s="4" t="str">
        <f t="shared" si="5"/>
        <v/>
      </c>
      <c r="N174" s="17" t="str">
        <f>if(M174&lt;&gt;"",'Actuals - Billing - 2025'!BG406,"")</f>
        <v/>
      </c>
    </row>
    <row r="175">
      <c r="A175" s="7" t="str">
        <f t="shared" si="1"/>
        <v/>
      </c>
      <c r="B175" s="8" t="str">
        <f>if(and('Actuals - Billing - 2025'!E$261=True,C175&lt;&gt;""),'Actuals - Billing - 2025'!C407,"")</f>
        <v/>
      </c>
      <c r="C175" s="9" t="str">
        <f>IF(sum('Actuals - Billing - 2025'!AR407:BA407)&gt;0,'Actuals - Billing - 2025'!B407,"")</f>
        <v/>
      </c>
      <c r="D175" s="148" t="str">
        <f>if(or(E175&lt;&gt;"",F175&lt;&gt;""),'Actuals - Billing - 2025'!AU175,if(G175&lt;&gt;"",35,if(H175&lt;&gt;"",'Actuals - Billing - 2025'!AY175,if(I175&lt;&gt;"",'Actuals - Billing - 2025'!BA175,""))))</f>
        <v/>
      </c>
      <c r="E175" s="11" t="str">
        <f t="array" ref="E175">if($C175="","",index('Actuals - Billing - 2025'!$B175:$BA1073,Match($C175,'Actuals - Billing - 2025'!$B175:$B1073,0),Match(E$1,'Actuals - Billing - 2025'!$B$2:$BA$2,0)))</f>
        <v/>
      </c>
      <c r="F175" s="11" t="str">
        <f t="array" ref="F175">if($C175="","",index('Actuals - Billing - 2025'!$B175:$BA1073,Match($C175,'Actuals - Billing - 2025'!$B175:$B1073,0),Match(F$1,'Actuals - Billing - 2025'!$B$2:$BA$2,0)))</f>
        <v/>
      </c>
      <c r="G175" s="11" t="str">
        <f t="array" ref="G175">if($C175="","",index('Actuals - Billing - 2025'!$B175:$BA1073,Match($C175,'Actuals - Billing - 2025'!$B175:$B1073,0),Match(G$1,'Actuals - Billing - 2025'!$B$2:$BA$2,0)))</f>
        <v/>
      </c>
      <c r="H175" s="11" t="str">
        <f t="array" ref="H175">if($C175="","",index('Actuals - Billing - 2025'!$B175:$BA1073,Match($C175,'Actuals - Billing - 2025'!$B175:$B1073,0),Match(H$1,'Actuals - Billing - 2025'!$B$2:$BA$2,0)))</f>
        <v/>
      </c>
      <c r="I175" s="11" t="str">
        <f t="array" ref="I175">if($C175="","",index('Actuals - Billing - 2025'!$B175:$BA1073,Match($C175,'Actuals - Billing - 2025'!$B175:$B1073,0),Match(I$1,'Actuals - Billing - 2025'!$B$2:$BA$2,0)))</f>
        <v/>
      </c>
      <c r="J175" s="11" t="str">
        <f t="shared" si="2"/>
        <v/>
      </c>
      <c r="K175" s="149" t="str">
        <f t="shared" si="3"/>
        <v/>
      </c>
      <c r="L175" s="1" t="str">
        <f t="shared" si="4"/>
        <v/>
      </c>
      <c r="M175" s="4" t="str">
        <f t="shared" si="5"/>
        <v/>
      </c>
      <c r="N175" s="17" t="str">
        <f>if(M175&lt;&gt;"",'Actuals - Billing - 2025'!BG407,"")</f>
        <v/>
      </c>
    </row>
    <row r="176">
      <c r="A176" s="7" t="str">
        <f t="shared" si="1"/>
        <v/>
      </c>
      <c r="B176" s="8" t="str">
        <f>if(and('Actuals - Billing - 2025'!E$261=True,C176&lt;&gt;""),'Actuals - Billing - 2025'!C408,"")</f>
        <v/>
      </c>
      <c r="C176" s="9" t="str">
        <f>IF(sum('Actuals - Billing - 2025'!AR408:BA408)&gt;0,'Actuals - Billing - 2025'!B408,"")</f>
        <v/>
      </c>
      <c r="D176" s="148" t="str">
        <f>if(or(E176&lt;&gt;"",F176&lt;&gt;""),'Actuals - Billing - 2025'!AU176,if(G176&lt;&gt;"",35,if(H176&lt;&gt;"",'Actuals - Billing - 2025'!AY176,if(I176&lt;&gt;"",'Actuals - Billing - 2025'!BA176,""))))</f>
        <v/>
      </c>
      <c r="E176" s="11" t="str">
        <f t="array" ref="E176">if($C176="","",index('Actuals - Billing - 2025'!$B176:$BA1074,Match($C176,'Actuals - Billing - 2025'!$B176:$B1074,0),Match(E$1,'Actuals - Billing - 2025'!$B$2:$BA$2,0)))</f>
        <v/>
      </c>
      <c r="F176" s="11" t="str">
        <f t="array" ref="F176">if($C176="","",index('Actuals - Billing - 2025'!$B176:$BA1074,Match($C176,'Actuals - Billing - 2025'!$B176:$B1074,0),Match(F$1,'Actuals - Billing - 2025'!$B$2:$BA$2,0)))</f>
        <v/>
      </c>
      <c r="G176" s="11" t="str">
        <f t="array" ref="G176">if($C176="","",index('Actuals - Billing - 2025'!$B176:$BA1074,Match($C176,'Actuals - Billing - 2025'!$B176:$B1074,0),Match(G$1,'Actuals - Billing - 2025'!$B$2:$BA$2,0)))</f>
        <v/>
      </c>
      <c r="H176" s="11" t="str">
        <f t="array" ref="H176">if($C176="","",index('Actuals - Billing - 2025'!$B176:$BA1074,Match($C176,'Actuals - Billing - 2025'!$B176:$B1074,0),Match(H$1,'Actuals - Billing - 2025'!$B$2:$BA$2,0)))</f>
        <v/>
      </c>
      <c r="I176" s="11" t="str">
        <f t="array" ref="I176">if($C176="","",index('Actuals - Billing - 2025'!$B176:$BA1074,Match($C176,'Actuals - Billing - 2025'!$B176:$B1074,0),Match(I$1,'Actuals - Billing - 2025'!$B$2:$BA$2,0)))</f>
        <v/>
      </c>
      <c r="J176" s="11" t="str">
        <f t="shared" si="2"/>
        <v/>
      </c>
      <c r="K176" s="149" t="str">
        <f t="shared" si="3"/>
        <v/>
      </c>
      <c r="L176" s="1" t="str">
        <f t="shared" si="4"/>
        <v/>
      </c>
      <c r="M176" s="4" t="str">
        <f t="shared" si="5"/>
        <v/>
      </c>
      <c r="N176" s="17" t="str">
        <f>if(M176&lt;&gt;"",'Actuals - Billing - 2025'!BG408,"")</f>
        <v/>
      </c>
    </row>
    <row r="177">
      <c r="A177" s="7" t="str">
        <f t="shared" si="1"/>
        <v/>
      </c>
      <c r="B177" s="8" t="str">
        <f>if(and('Actuals - Billing - 2025'!E$261=True,C177&lt;&gt;""),'Actuals - Billing - 2025'!C409,"")</f>
        <v/>
      </c>
      <c r="C177" s="9" t="str">
        <f>IF(sum('Actuals - Billing - 2025'!AR409:BA409)&gt;0,'Actuals - Billing - 2025'!B409,"")</f>
        <v/>
      </c>
      <c r="D177" s="148" t="str">
        <f>if(or(E177&lt;&gt;"",F177&lt;&gt;""),'Actuals - Billing - 2025'!AU177,if(G177&lt;&gt;"",35,if(H177&lt;&gt;"",'Actuals - Billing - 2025'!AY177,if(I177&lt;&gt;"",'Actuals - Billing - 2025'!BA177,""))))</f>
        <v/>
      </c>
      <c r="E177" s="11" t="str">
        <f t="array" ref="E177">if($C177="","",index('Actuals - Billing - 2025'!$B177:$BA1075,Match($C177,'Actuals - Billing - 2025'!$B177:$B1075,0),Match(E$1,'Actuals - Billing - 2025'!$B$2:$BA$2,0)))</f>
        <v/>
      </c>
      <c r="F177" s="11" t="str">
        <f t="array" ref="F177">if($C177="","",index('Actuals - Billing - 2025'!$B177:$BA1075,Match($C177,'Actuals - Billing - 2025'!$B177:$B1075,0),Match(F$1,'Actuals - Billing - 2025'!$B$2:$BA$2,0)))</f>
        <v/>
      </c>
      <c r="G177" s="11" t="str">
        <f t="array" ref="G177">if($C177="","",index('Actuals - Billing - 2025'!$B177:$BA1075,Match($C177,'Actuals - Billing - 2025'!$B177:$B1075,0),Match(G$1,'Actuals - Billing - 2025'!$B$2:$BA$2,0)))</f>
        <v/>
      </c>
      <c r="H177" s="11" t="str">
        <f t="array" ref="H177">if($C177="","",index('Actuals - Billing - 2025'!$B177:$BA1075,Match($C177,'Actuals - Billing - 2025'!$B177:$B1075,0),Match(H$1,'Actuals - Billing - 2025'!$B$2:$BA$2,0)))</f>
        <v/>
      </c>
      <c r="I177" s="11" t="str">
        <f t="array" ref="I177">if($C177="","",index('Actuals - Billing - 2025'!$B177:$BA1075,Match($C177,'Actuals - Billing - 2025'!$B177:$B1075,0),Match(I$1,'Actuals - Billing - 2025'!$B$2:$BA$2,0)))</f>
        <v/>
      </c>
      <c r="J177" s="11" t="str">
        <f t="shared" si="2"/>
        <v/>
      </c>
      <c r="K177" s="149" t="str">
        <f t="shared" si="3"/>
        <v/>
      </c>
      <c r="L177" s="1" t="str">
        <f t="shared" si="4"/>
        <v/>
      </c>
      <c r="M177" s="4" t="str">
        <f t="shared" si="5"/>
        <v/>
      </c>
      <c r="N177" s="17" t="str">
        <f>if(M177&lt;&gt;"",'Actuals - Billing - 2025'!BG409,"")</f>
        <v/>
      </c>
    </row>
    <row r="178">
      <c r="A178" s="7" t="str">
        <f t="shared" si="1"/>
        <v/>
      </c>
      <c r="B178" s="8" t="str">
        <f>if(and('Actuals - Billing - 2025'!E$261=True,C178&lt;&gt;""),'Actuals - Billing - 2025'!C410,"")</f>
        <v/>
      </c>
      <c r="C178" s="9" t="str">
        <f>IF(sum('Actuals - Billing - 2025'!AR410:BA410)&gt;0,'Actuals - Billing - 2025'!B410,"")</f>
        <v/>
      </c>
      <c r="D178" s="148" t="str">
        <f>if(or(E178&lt;&gt;"",F178&lt;&gt;""),'Actuals - Billing - 2025'!AU178,if(G178&lt;&gt;"",35,if(H178&lt;&gt;"",'Actuals - Billing - 2025'!AY178,if(I178&lt;&gt;"",'Actuals - Billing - 2025'!BA178,""))))</f>
        <v/>
      </c>
      <c r="E178" s="11" t="str">
        <f t="array" ref="E178">if($C178="","",index('Actuals - Billing - 2025'!$B178:$BA1076,Match($C178,'Actuals - Billing - 2025'!$B178:$B1076,0),Match(E$1,'Actuals - Billing - 2025'!$B$2:$BA$2,0)))</f>
        <v/>
      </c>
      <c r="F178" s="11" t="str">
        <f t="array" ref="F178">if($C178="","",index('Actuals - Billing - 2025'!$B178:$BA1076,Match($C178,'Actuals - Billing - 2025'!$B178:$B1076,0),Match(F$1,'Actuals - Billing - 2025'!$B$2:$BA$2,0)))</f>
        <v/>
      </c>
      <c r="G178" s="11" t="str">
        <f t="array" ref="G178">if($C178="","",index('Actuals - Billing - 2025'!$B178:$BA1076,Match($C178,'Actuals - Billing - 2025'!$B178:$B1076,0),Match(G$1,'Actuals - Billing - 2025'!$B$2:$BA$2,0)))</f>
        <v/>
      </c>
      <c r="H178" s="11" t="str">
        <f t="array" ref="H178">if($C178="","",index('Actuals - Billing - 2025'!$B178:$BA1076,Match($C178,'Actuals - Billing - 2025'!$B178:$B1076,0),Match(H$1,'Actuals - Billing - 2025'!$B$2:$BA$2,0)))</f>
        <v/>
      </c>
      <c r="I178" s="11" t="str">
        <f t="array" ref="I178">if($C178="","",index('Actuals - Billing - 2025'!$B178:$BA1076,Match($C178,'Actuals - Billing - 2025'!$B178:$B1076,0),Match(I$1,'Actuals - Billing - 2025'!$B$2:$BA$2,0)))</f>
        <v/>
      </c>
      <c r="J178" s="11" t="str">
        <f t="shared" si="2"/>
        <v/>
      </c>
      <c r="K178" s="149" t="str">
        <f t="shared" si="3"/>
        <v/>
      </c>
      <c r="L178" s="1" t="str">
        <f t="shared" si="4"/>
        <v/>
      </c>
      <c r="M178" s="4" t="str">
        <f t="shared" si="5"/>
        <v/>
      </c>
      <c r="N178" s="17" t="str">
        <f>if(M178&lt;&gt;"",'Actuals - Billing - 2025'!BG410,"")</f>
        <v/>
      </c>
    </row>
    <row r="179">
      <c r="A179" s="7" t="str">
        <f t="shared" si="1"/>
        <v/>
      </c>
      <c r="B179" s="8" t="str">
        <f>if(and('Actuals - Billing - 2025'!E$261=True,C179&lt;&gt;""),'Actuals - Billing - 2025'!C411,"")</f>
        <v/>
      </c>
      <c r="C179" s="9" t="str">
        <f>IF(sum('Actuals - Billing - 2025'!AR411:BA411)&gt;0,'Actuals - Billing - 2025'!B411,"")</f>
        <v/>
      </c>
      <c r="D179" s="148" t="str">
        <f>if(or(E179&lt;&gt;"",F179&lt;&gt;""),'Actuals - Billing - 2025'!AU179,if(G179&lt;&gt;"",35,if(H179&lt;&gt;"",'Actuals - Billing - 2025'!AY179,if(I179&lt;&gt;"",'Actuals - Billing - 2025'!BA179,""))))</f>
        <v/>
      </c>
      <c r="E179" s="11" t="str">
        <f t="array" ref="E179">if($C179="","",index('Actuals - Billing - 2025'!$B179:$BA1077,Match($C179,'Actuals - Billing - 2025'!$B179:$B1077,0),Match(E$1,'Actuals - Billing - 2025'!$B$2:$BA$2,0)))</f>
        <v/>
      </c>
      <c r="F179" s="11" t="str">
        <f t="array" ref="F179">if($C179="","",index('Actuals - Billing - 2025'!$B179:$BA1077,Match($C179,'Actuals - Billing - 2025'!$B179:$B1077,0),Match(F$1,'Actuals - Billing - 2025'!$B$2:$BA$2,0)))</f>
        <v/>
      </c>
      <c r="G179" s="11" t="str">
        <f t="array" ref="G179">if($C179="","",index('Actuals - Billing - 2025'!$B179:$BA1077,Match($C179,'Actuals - Billing - 2025'!$B179:$B1077,0),Match(G$1,'Actuals - Billing - 2025'!$B$2:$BA$2,0)))</f>
        <v/>
      </c>
      <c r="H179" s="11" t="str">
        <f t="array" ref="H179">if($C179="","",index('Actuals - Billing - 2025'!$B179:$BA1077,Match($C179,'Actuals - Billing - 2025'!$B179:$B1077,0),Match(H$1,'Actuals - Billing - 2025'!$B$2:$BA$2,0)))</f>
        <v/>
      </c>
      <c r="I179" s="11" t="str">
        <f t="array" ref="I179">if($C179="","",index('Actuals - Billing - 2025'!$B179:$BA1077,Match($C179,'Actuals - Billing - 2025'!$B179:$B1077,0),Match(I$1,'Actuals - Billing - 2025'!$B$2:$BA$2,0)))</f>
        <v/>
      </c>
      <c r="J179" s="11" t="str">
        <f t="shared" si="2"/>
        <v/>
      </c>
      <c r="K179" s="149" t="str">
        <f t="shared" si="3"/>
        <v/>
      </c>
      <c r="L179" s="1" t="str">
        <f t="shared" si="4"/>
        <v/>
      </c>
      <c r="M179" s="4" t="str">
        <f t="shared" si="5"/>
        <v/>
      </c>
      <c r="N179" s="17" t="str">
        <f>if(M179&lt;&gt;"",'Actuals - Billing - 2025'!BG411,"")</f>
        <v/>
      </c>
    </row>
    <row r="180">
      <c r="A180" s="7" t="str">
        <f t="shared" si="1"/>
        <v/>
      </c>
      <c r="B180" s="8" t="str">
        <f>if(and('Actuals - Billing - 2025'!E$261=True,C180&lt;&gt;""),'Actuals - Billing - 2025'!C412,"")</f>
        <v/>
      </c>
      <c r="C180" s="9" t="str">
        <f>IF(sum('Actuals - Billing - 2025'!AR412:BA412)&gt;0,'Actuals - Billing - 2025'!B412,"")</f>
        <v/>
      </c>
      <c r="D180" s="148" t="str">
        <f>if(or(E180&lt;&gt;"",F180&lt;&gt;""),'Actuals - Billing - 2025'!AU180,if(G180&lt;&gt;"",35,if(H180&lt;&gt;"",'Actuals - Billing - 2025'!AY180,if(I180&lt;&gt;"",'Actuals - Billing - 2025'!BA180,""))))</f>
        <v/>
      </c>
      <c r="E180" s="11" t="str">
        <f t="array" ref="E180">if($C180="","",index('Actuals - Billing - 2025'!$B180:$BA1078,Match($C180,'Actuals - Billing - 2025'!$B180:$B1078,0),Match(E$1,'Actuals - Billing - 2025'!$B$2:$BA$2,0)))</f>
        <v/>
      </c>
      <c r="F180" s="11" t="str">
        <f t="array" ref="F180">if($C180="","",index('Actuals - Billing - 2025'!$B180:$BA1078,Match($C180,'Actuals - Billing - 2025'!$B180:$B1078,0),Match(F$1,'Actuals - Billing - 2025'!$B$2:$BA$2,0)))</f>
        <v/>
      </c>
      <c r="G180" s="11" t="str">
        <f t="array" ref="G180">if($C180="","",index('Actuals - Billing - 2025'!$B180:$BA1078,Match($C180,'Actuals - Billing - 2025'!$B180:$B1078,0),Match(G$1,'Actuals - Billing - 2025'!$B$2:$BA$2,0)))</f>
        <v/>
      </c>
      <c r="H180" s="11" t="str">
        <f t="array" ref="H180">if($C180="","",index('Actuals - Billing - 2025'!$B180:$BA1078,Match($C180,'Actuals - Billing - 2025'!$B180:$B1078,0),Match(H$1,'Actuals - Billing - 2025'!$B$2:$BA$2,0)))</f>
        <v/>
      </c>
      <c r="I180" s="11" t="str">
        <f t="array" ref="I180">if($C180="","",index('Actuals - Billing - 2025'!$B180:$BA1078,Match($C180,'Actuals - Billing - 2025'!$B180:$B1078,0),Match(I$1,'Actuals - Billing - 2025'!$B$2:$BA$2,0)))</f>
        <v/>
      </c>
      <c r="J180" s="11" t="str">
        <f t="shared" si="2"/>
        <v/>
      </c>
      <c r="K180" s="149" t="str">
        <f t="shared" si="3"/>
        <v/>
      </c>
      <c r="L180" s="1" t="str">
        <f t="shared" si="4"/>
        <v/>
      </c>
      <c r="M180" s="4" t="str">
        <f t="shared" si="5"/>
        <v/>
      </c>
      <c r="N180" s="17" t="str">
        <f>if(M180&lt;&gt;"",'Actuals - Billing - 2025'!BG412,"")</f>
        <v/>
      </c>
    </row>
    <row r="181">
      <c r="A181" s="7" t="str">
        <f t="shared" si="1"/>
        <v/>
      </c>
      <c r="B181" s="8" t="str">
        <f>if(and('Actuals - Billing - 2025'!E$261=True,C181&lt;&gt;""),'Actuals - Billing - 2025'!C413,"")</f>
        <v/>
      </c>
      <c r="C181" s="9" t="str">
        <f>IF(sum('Actuals - Billing - 2025'!AR413:BA413)&gt;0,'Actuals - Billing - 2025'!B413,"")</f>
        <v/>
      </c>
      <c r="D181" s="148" t="str">
        <f>if(or(E181&lt;&gt;"",F181&lt;&gt;""),'Actuals - Billing - 2025'!AU181,if(G181&lt;&gt;"",35,if(H181&lt;&gt;"",'Actuals - Billing - 2025'!AY181,if(I181&lt;&gt;"",'Actuals - Billing - 2025'!BA181,""))))</f>
        <v/>
      </c>
      <c r="E181" s="11" t="str">
        <f t="array" ref="E181">if($C181="","",index('Actuals - Billing - 2025'!$B181:$BA1079,Match($C181,'Actuals - Billing - 2025'!$B181:$B1079,0),Match(E$1,'Actuals - Billing - 2025'!$B$2:$BA$2,0)))</f>
        <v/>
      </c>
      <c r="F181" s="11" t="str">
        <f t="array" ref="F181">if($C181="","",index('Actuals - Billing - 2025'!$B181:$BA1079,Match($C181,'Actuals - Billing - 2025'!$B181:$B1079,0),Match(F$1,'Actuals - Billing - 2025'!$B$2:$BA$2,0)))</f>
        <v/>
      </c>
      <c r="G181" s="11" t="str">
        <f t="array" ref="G181">if($C181="","",index('Actuals - Billing - 2025'!$B181:$BA1079,Match($C181,'Actuals - Billing - 2025'!$B181:$B1079,0),Match(G$1,'Actuals - Billing - 2025'!$B$2:$BA$2,0)))</f>
        <v/>
      </c>
      <c r="H181" s="11" t="str">
        <f t="array" ref="H181">if($C181="","",index('Actuals - Billing - 2025'!$B181:$BA1079,Match($C181,'Actuals - Billing - 2025'!$B181:$B1079,0),Match(H$1,'Actuals - Billing - 2025'!$B$2:$BA$2,0)))</f>
        <v/>
      </c>
      <c r="I181" s="11" t="str">
        <f t="array" ref="I181">if($C181="","",index('Actuals - Billing - 2025'!$B181:$BA1079,Match($C181,'Actuals - Billing - 2025'!$B181:$B1079,0),Match(I$1,'Actuals - Billing - 2025'!$B$2:$BA$2,0)))</f>
        <v/>
      </c>
      <c r="J181" s="11" t="str">
        <f t="shared" si="2"/>
        <v/>
      </c>
      <c r="K181" s="149" t="str">
        <f t="shared" si="3"/>
        <v/>
      </c>
      <c r="L181" s="1" t="str">
        <f t="shared" si="4"/>
        <v/>
      </c>
      <c r="M181" s="4" t="str">
        <f t="shared" si="5"/>
        <v/>
      </c>
      <c r="N181" s="17" t="str">
        <f>if(M181&lt;&gt;"",'Actuals - Billing - 2025'!BG413,"")</f>
        <v/>
      </c>
    </row>
    <row r="182">
      <c r="A182" s="7" t="str">
        <f t="shared" si="1"/>
        <v/>
      </c>
      <c r="B182" s="8" t="str">
        <f>if(and('Actuals - Billing - 2025'!E$261=True,C182&lt;&gt;""),'Actuals - Billing - 2025'!C414,"")</f>
        <v/>
      </c>
      <c r="C182" s="9" t="str">
        <f>IF(sum('Actuals - Billing - 2025'!AR414:BA414)&gt;0,'Actuals - Billing - 2025'!B414,"")</f>
        <v/>
      </c>
      <c r="D182" s="148" t="str">
        <f>if(or(E182&lt;&gt;"",F182&lt;&gt;""),'Actuals - Billing - 2025'!AU182,if(G182&lt;&gt;"",35,if(H182&lt;&gt;"",'Actuals - Billing - 2025'!AY182,if(I182&lt;&gt;"",'Actuals - Billing - 2025'!BA182,""))))</f>
        <v/>
      </c>
      <c r="E182" s="11" t="str">
        <f t="array" ref="E182">if($C182="","",index('Actuals - Billing - 2025'!$B182:$BA1080,Match($C182,'Actuals - Billing - 2025'!$B182:$B1080,0),Match(E$1,'Actuals - Billing - 2025'!$B$2:$BA$2,0)))</f>
        <v/>
      </c>
      <c r="F182" s="11" t="str">
        <f t="array" ref="F182">if($C182="","",index('Actuals - Billing - 2025'!$B182:$BA1080,Match($C182,'Actuals - Billing - 2025'!$B182:$B1080,0),Match(F$1,'Actuals - Billing - 2025'!$B$2:$BA$2,0)))</f>
        <v/>
      </c>
      <c r="G182" s="11" t="str">
        <f t="array" ref="G182">if($C182="","",index('Actuals - Billing - 2025'!$B182:$BA1080,Match($C182,'Actuals - Billing - 2025'!$B182:$B1080,0),Match(G$1,'Actuals - Billing - 2025'!$B$2:$BA$2,0)))</f>
        <v/>
      </c>
      <c r="H182" s="11" t="str">
        <f t="array" ref="H182">if($C182="","",index('Actuals - Billing - 2025'!$B182:$BA1080,Match($C182,'Actuals - Billing - 2025'!$B182:$B1080,0),Match(H$1,'Actuals - Billing - 2025'!$B$2:$BA$2,0)))</f>
        <v/>
      </c>
      <c r="I182" s="11" t="str">
        <f t="array" ref="I182">if($C182="","",index('Actuals - Billing - 2025'!$B182:$BA1080,Match($C182,'Actuals - Billing - 2025'!$B182:$B1080,0),Match(I$1,'Actuals - Billing - 2025'!$B$2:$BA$2,0)))</f>
        <v/>
      </c>
      <c r="J182" s="11" t="str">
        <f t="shared" si="2"/>
        <v/>
      </c>
      <c r="K182" s="149" t="str">
        <f t="shared" si="3"/>
        <v/>
      </c>
      <c r="L182" s="1" t="str">
        <f t="shared" si="4"/>
        <v/>
      </c>
      <c r="M182" s="4" t="str">
        <f t="shared" si="5"/>
        <v/>
      </c>
      <c r="N182" s="17" t="str">
        <f>if(M182&lt;&gt;"",'Actuals - Billing - 2025'!BG414,"")</f>
        <v/>
      </c>
    </row>
    <row r="183">
      <c r="A183" s="7" t="str">
        <f t="shared" si="1"/>
        <v/>
      </c>
      <c r="B183" s="8" t="str">
        <f>if(and('Actuals - Billing - 2025'!E$261=True,C183&lt;&gt;""),'Actuals - Billing - 2025'!C415,"")</f>
        <v/>
      </c>
      <c r="C183" s="9" t="str">
        <f>IF(sum('Actuals - Billing - 2025'!AR415:BA415)&gt;0,'Actuals - Billing - 2025'!B415,"")</f>
        <v/>
      </c>
      <c r="D183" s="148" t="str">
        <f>if(or(E183&lt;&gt;"",F183&lt;&gt;""),'Actuals - Billing - 2025'!AU183,if(G183&lt;&gt;"",35,if(H183&lt;&gt;"",'Actuals - Billing - 2025'!AY183,if(I183&lt;&gt;"",'Actuals - Billing - 2025'!BA183,""))))</f>
        <v/>
      </c>
      <c r="E183" s="11" t="str">
        <f t="array" ref="E183">if($C183="","",index('Actuals - Billing - 2025'!$B183:$BA1081,Match($C183,'Actuals - Billing - 2025'!$B183:$B1081,0),Match(E$1,'Actuals - Billing - 2025'!$B$2:$BA$2,0)))</f>
        <v/>
      </c>
      <c r="F183" s="11" t="str">
        <f t="array" ref="F183">if($C183="","",index('Actuals - Billing - 2025'!$B183:$BA1081,Match($C183,'Actuals - Billing - 2025'!$B183:$B1081,0),Match(F$1,'Actuals - Billing - 2025'!$B$2:$BA$2,0)))</f>
        <v/>
      </c>
      <c r="G183" s="11" t="str">
        <f t="array" ref="G183">if($C183="","",index('Actuals - Billing - 2025'!$B183:$BA1081,Match($C183,'Actuals - Billing - 2025'!$B183:$B1081,0),Match(G$1,'Actuals - Billing - 2025'!$B$2:$BA$2,0)))</f>
        <v/>
      </c>
      <c r="H183" s="11" t="str">
        <f t="array" ref="H183">if($C183="","",index('Actuals - Billing - 2025'!$B183:$BA1081,Match($C183,'Actuals - Billing - 2025'!$B183:$B1081,0),Match(H$1,'Actuals - Billing - 2025'!$B$2:$BA$2,0)))</f>
        <v/>
      </c>
      <c r="I183" s="11" t="str">
        <f t="array" ref="I183">if($C183="","",index('Actuals - Billing - 2025'!$B183:$BA1081,Match($C183,'Actuals - Billing - 2025'!$B183:$B1081,0),Match(I$1,'Actuals - Billing - 2025'!$B$2:$BA$2,0)))</f>
        <v/>
      </c>
      <c r="J183" s="11" t="str">
        <f t="shared" si="2"/>
        <v/>
      </c>
      <c r="K183" s="149" t="str">
        <f t="shared" si="3"/>
        <v/>
      </c>
      <c r="L183" s="1" t="str">
        <f t="shared" si="4"/>
        <v/>
      </c>
      <c r="M183" s="4" t="str">
        <f t="shared" si="5"/>
        <v/>
      </c>
      <c r="N183" s="17" t="str">
        <f>if(M183&lt;&gt;"",'Actuals - Billing - 2025'!BG415,"")</f>
        <v/>
      </c>
    </row>
    <row r="184">
      <c r="A184" s="7" t="str">
        <f t="shared" si="1"/>
        <v/>
      </c>
      <c r="B184" s="8" t="str">
        <f>if(and('Actuals - Billing - 2025'!E$261=True,C184&lt;&gt;""),'Actuals - Billing - 2025'!C416,"")</f>
        <v/>
      </c>
      <c r="C184" s="9" t="str">
        <f>IF(sum('Actuals - Billing - 2025'!AR416:BA416)&gt;0,'Actuals - Billing - 2025'!B416,"")</f>
        <v/>
      </c>
      <c r="D184" s="148" t="str">
        <f>if(or(E184&lt;&gt;"",F184&lt;&gt;""),'Actuals - Billing - 2025'!AU184,if(G184&lt;&gt;"",35,if(H184&lt;&gt;"",'Actuals - Billing - 2025'!AY184,if(I184&lt;&gt;"",'Actuals - Billing - 2025'!BA184,""))))</f>
        <v/>
      </c>
      <c r="E184" s="11" t="str">
        <f t="array" ref="E184">if($C184="","",index('Actuals - Billing - 2025'!$B184:$BA1082,Match($C184,'Actuals - Billing - 2025'!$B184:$B1082,0),Match(E$1,'Actuals - Billing - 2025'!$B$2:$BA$2,0)))</f>
        <v/>
      </c>
      <c r="F184" s="11" t="str">
        <f t="array" ref="F184">if($C184="","",index('Actuals - Billing - 2025'!$B184:$BA1082,Match($C184,'Actuals - Billing - 2025'!$B184:$B1082,0),Match(F$1,'Actuals - Billing - 2025'!$B$2:$BA$2,0)))</f>
        <v/>
      </c>
      <c r="G184" s="11" t="str">
        <f t="array" ref="G184">if($C184="","",index('Actuals - Billing - 2025'!$B184:$BA1082,Match($C184,'Actuals - Billing - 2025'!$B184:$B1082,0),Match(G$1,'Actuals - Billing - 2025'!$B$2:$BA$2,0)))</f>
        <v/>
      </c>
      <c r="H184" s="11" t="str">
        <f t="array" ref="H184">if($C184="","",index('Actuals - Billing - 2025'!$B184:$BA1082,Match($C184,'Actuals - Billing - 2025'!$B184:$B1082,0),Match(H$1,'Actuals - Billing - 2025'!$B$2:$BA$2,0)))</f>
        <v/>
      </c>
      <c r="I184" s="11" t="str">
        <f t="array" ref="I184">if($C184="","",index('Actuals - Billing - 2025'!$B184:$BA1082,Match($C184,'Actuals - Billing - 2025'!$B184:$B1082,0),Match(I$1,'Actuals - Billing - 2025'!$B$2:$BA$2,0)))</f>
        <v/>
      </c>
      <c r="J184" s="11" t="str">
        <f t="shared" si="2"/>
        <v/>
      </c>
      <c r="K184" s="149" t="str">
        <f t="shared" si="3"/>
        <v/>
      </c>
      <c r="L184" s="1" t="str">
        <f t="shared" si="4"/>
        <v/>
      </c>
      <c r="M184" s="4" t="str">
        <f t="shared" si="5"/>
        <v/>
      </c>
      <c r="N184" s="17" t="str">
        <f>if(M184&lt;&gt;"",'Actuals - Billing - 2025'!BG416,"")</f>
        <v/>
      </c>
    </row>
    <row r="185">
      <c r="A185" s="7" t="str">
        <f t="shared" si="1"/>
        <v/>
      </c>
      <c r="B185" s="8" t="str">
        <f>if(and('Actuals - Billing - 2025'!E$261=True,C185&lt;&gt;""),'Actuals - Billing - 2025'!C417,"")</f>
        <v/>
      </c>
      <c r="C185" s="9" t="str">
        <f>IF(sum('Actuals - Billing - 2025'!AR417:BA417)&gt;0,'Actuals - Billing - 2025'!B417,"")</f>
        <v/>
      </c>
      <c r="D185" s="148" t="str">
        <f>if(or(E185&lt;&gt;"",F185&lt;&gt;""),'Actuals - Billing - 2025'!AU185,if(G185&lt;&gt;"",35,if(H185&lt;&gt;"",'Actuals - Billing - 2025'!AY185,if(I185&lt;&gt;"",'Actuals - Billing - 2025'!BA185,""))))</f>
        <v/>
      </c>
      <c r="E185" s="11" t="str">
        <f t="array" ref="E185">if($C185="","",index('Actuals - Billing - 2025'!$B185:$BA1083,Match($C185,'Actuals - Billing - 2025'!$B185:$B1083,0),Match(E$1,'Actuals - Billing - 2025'!$B$2:$BA$2,0)))</f>
        <v/>
      </c>
      <c r="F185" s="11" t="str">
        <f t="array" ref="F185">if($C185="","",index('Actuals - Billing - 2025'!$B185:$BA1083,Match($C185,'Actuals - Billing - 2025'!$B185:$B1083,0),Match(F$1,'Actuals - Billing - 2025'!$B$2:$BA$2,0)))</f>
        <v/>
      </c>
      <c r="G185" s="11" t="str">
        <f t="array" ref="G185">if($C185="","",index('Actuals - Billing - 2025'!$B185:$BA1083,Match($C185,'Actuals - Billing - 2025'!$B185:$B1083,0),Match(G$1,'Actuals - Billing - 2025'!$B$2:$BA$2,0)))</f>
        <v/>
      </c>
      <c r="H185" s="11" t="str">
        <f t="array" ref="H185">if($C185="","",index('Actuals - Billing - 2025'!$B185:$BA1083,Match($C185,'Actuals - Billing - 2025'!$B185:$B1083,0),Match(H$1,'Actuals - Billing - 2025'!$B$2:$BA$2,0)))</f>
        <v/>
      </c>
      <c r="I185" s="11" t="str">
        <f t="array" ref="I185">if($C185="","",index('Actuals - Billing - 2025'!$B185:$BA1083,Match($C185,'Actuals - Billing - 2025'!$B185:$B1083,0),Match(I$1,'Actuals - Billing - 2025'!$B$2:$BA$2,0)))</f>
        <v/>
      </c>
      <c r="J185" s="11" t="str">
        <f t="shared" si="2"/>
        <v/>
      </c>
      <c r="K185" s="149" t="str">
        <f t="shared" si="3"/>
        <v/>
      </c>
      <c r="L185" s="1" t="str">
        <f t="shared" si="4"/>
        <v/>
      </c>
      <c r="M185" s="4" t="str">
        <f t="shared" si="5"/>
        <v/>
      </c>
      <c r="N185" s="17" t="str">
        <f>if(M185&lt;&gt;"",'Actuals - Billing - 2025'!BG417,"")</f>
        <v/>
      </c>
    </row>
    <row r="186">
      <c r="A186" s="7" t="str">
        <f t="shared" si="1"/>
        <v/>
      </c>
      <c r="B186" s="8" t="str">
        <f>if(and('Actuals - Billing - 2025'!E$261=True,C186&lt;&gt;""),'Actuals - Billing - 2025'!C418,"")</f>
        <v/>
      </c>
      <c r="C186" s="9" t="str">
        <f>IF(sum('Actuals - Billing - 2025'!AR418:BA418)&gt;0,'Actuals - Billing - 2025'!B418,"")</f>
        <v/>
      </c>
      <c r="D186" s="148" t="str">
        <f>if(or(E186&lt;&gt;"",F186&lt;&gt;""),'Actuals - Billing - 2025'!AU186,if(G186&lt;&gt;"",35,if(H186&lt;&gt;"",'Actuals - Billing - 2025'!AY186,if(I186&lt;&gt;"",'Actuals - Billing - 2025'!BA186,""))))</f>
        <v/>
      </c>
      <c r="E186" s="11" t="str">
        <f t="array" ref="E186">if($C186="","",index('Actuals - Billing - 2025'!$B186:$BA1084,Match($C186,'Actuals - Billing - 2025'!$B186:$B1084,0),Match(E$1,'Actuals - Billing - 2025'!$B$2:$BA$2,0)))</f>
        <v/>
      </c>
      <c r="F186" s="11" t="str">
        <f t="array" ref="F186">if($C186="","",index('Actuals - Billing - 2025'!$B186:$BA1084,Match($C186,'Actuals - Billing - 2025'!$B186:$B1084,0),Match(F$1,'Actuals - Billing - 2025'!$B$2:$BA$2,0)))</f>
        <v/>
      </c>
      <c r="G186" s="11" t="str">
        <f t="array" ref="G186">if($C186="","",index('Actuals - Billing - 2025'!$B186:$BA1084,Match($C186,'Actuals - Billing - 2025'!$B186:$B1084,0),Match(G$1,'Actuals - Billing - 2025'!$B$2:$BA$2,0)))</f>
        <v/>
      </c>
      <c r="H186" s="11" t="str">
        <f t="array" ref="H186">if($C186="","",index('Actuals - Billing - 2025'!$B186:$BA1084,Match($C186,'Actuals - Billing - 2025'!$B186:$B1084,0),Match(H$1,'Actuals - Billing - 2025'!$B$2:$BA$2,0)))</f>
        <v/>
      </c>
      <c r="I186" s="11" t="str">
        <f t="array" ref="I186">if($C186="","",index('Actuals - Billing - 2025'!$B186:$BA1084,Match($C186,'Actuals - Billing - 2025'!$B186:$B1084,0),Match(I$1,'Actuals - Billing - 2025'!$B$2:$BA$2,0)))</f>
        <v/>
      </c>
      <c r="J186" s="11" t="str">
        <f t="shared" si="2"/>
        <v/>
      </c>
      <c r="K186" s="149" t="str">
        <f t="shared" si="3"/>
        <v/>
      </c>
      <c r="L186" s="1" t="str">
        <f t="shared" si="4"/>
        <v/>
      </c>
      <c r="M186" s="4" t="str">
        <f t="shared" si="5"/>
        <v/>
      </c>
      <c r="N186" s="17" t="str">
        <f>if(M186&lt;&gt;"",'Actuals - Billing - 2025'!BG418,"")</f>
        <v/>
      </c>
    </row>
    <row r="187">
      <c r="A187" s="7" t="str">
        <f t="shared" si="1"/>
        <v/>
      </c>
      <c r="B187" s="8" t="str">
        <f>if(and('Actuals - Billing - 2025'!E$261=True,C187&lt;&gt;""),'Actuals - Billing - 2025'!C419,"")</f>
        <v/>
      </c>
      <c r="C187" s="9" t="str">
        <f>IF(sum('Actuals - Billing - 2025'!AR419:BA419)&gt;0,'Actuals - Billing - 2025'!B419,"")</f>
        <v/>
      </c>
      <c r="D187" s="148" t="str">
        <f>if(or(E187&lt;&gt;"",F187&lt;&gt;""),'Actuals - Billing - 2025'!AU187,if(G187&lt;&gt;"",35,if(H187&lt;&gt;"",'Actuals - Billing - 2025'!AY187,if(I187&lt;&gt;"",'Actuals - Billing - 2025'!BA187,""))))</f>
        <v/>
      </c>
      <c r="E187" s="11" t="str">
        <f t="array" ref="E187">if($C187="","",index('Actuals - Billing - 2025'!$B187:$BA1085,Match($C187,'Actuals - Billing - 2025'!$B187:$B1085,0),Match(E$1,'Actuals - Billing - 2025'!$B$2:$BA$2,0)))</f>
        <v/>
      </c>
      <c r="F187" s="11" t="str">
        <f t="array" ref="F187">if($C187="","",index('Actuals - Billing - 2025'!$B187:$BA1085,Match($C187,'Actuals - Billing - 2025'!$B187:$B1085,0),Match(F$1,'Actuals - Billing - 2025'!$B$2:$BA$2,0)))</f>
        <v/>
      </c>
      <c r="G187" s="11" t="str">
        <f t="array" ref="G187">if($C187="","",index('Actuals - Billing - 2025'!$B187:$BA1085,Match($C187,'Actuals - Billing - 2025'!$B187:$B1085,0),Match(G$1,'Actuals - Billing - 2025'!$B$2:$BA$2,0)))</f>
        <v/>
      </c>
      <c r="H187" s="11" t="str">
        <f t="array" ref="H187">if($C187="","",index('Actuals - Billing - 2025'!$B187:$BA1085,Match($C187,'Actuals - Billing - 2025'!$B187:$B1085,0),Match(H$1,'Actuals - Billing - 2025'!$B$2:$BA$2,0)))</f>
        <v/>
      </c>
      <c r="I187" s="11" t="str">
        <f t="array" ref="I187">if($C187="","",index('Actuals - Billing - 2025'!$B187:$BA1085,Match($C187,'Actuals - Billing - 2025'!$B187:$B1085,0),Match(I$1,'Actuals - Billing - 2025'!$B$2:$BA$2,0)))</f>
        <v/>
      </c>
      <c r="J187" s="11" t="str">
        <f t="shared" si="2"/>
        <v/>
      </c>
      <c r="K187" s="149" t="str">
        <f t="shared" si="3"/>
        <v/>
      </c>
      <c r="L187" s="1" t="str">
        <f t="shared" si="4"/>
        <v/>
      </c>
      <c r="M187" s="4" t="str">
        <f t="shared" si="5"/>
        <v/>
      </c>
      <c r="N187" s="17" t="str">
        <f>if(M187&lt;&gt;"",'Actuals - Billing - 2025'!BG419,"")</f>
        <v/>
      </c>
    </row>
    <row r="188">
      <c r="A188" s="7" t="str">
        <f t="shared" si="1"/>
        <v/>
      </c>
      <c r="B188" s="8" t="str">
        <f>if(and('Actuals - Billing - 2025'!E$261=True,C188&lt;&gt;""),'Actuals - Billing - 2025'!C420,"")</f>
        <v/>
      </c>
      <c r="C188" s="9" t="str">
        <f>IF(sum('Actuals - Billing - 2025'!AR420:BA420)&gt;0,'Actuals - Billing - 2025'!B420,"")</f>
        <v/>
      </c>
      <c r="D188" s="148" t="str">
        <f>if(or(E188&lt;&gt;"",F188&lt;&gt;""),'Actuals - Billing - 2025'!AU188,if(G188&lt;&gt;"",35,if(H188&lt;&gt;"",'Actuals - Billing - 2025'!AY188,if(I188&lt;&gt;"",'Actuals - Billing - 2025'!BA188,""))))</f>
        <v/>
      </c>
      <c r="E188" s="11" t="str">
        <f t="array" ref="E188">if($C188="","",index('Actuals - Billing - 2025'!$B188:$BA1086,Match($C188,'Actuals - Billing - 2025'!$B188:$B1086,0),Match(E$1,'Actuals - Billing - 2025'!$B$2:$BA$2,0)))</f>
        <v/>
      </c>
      <c r="F188" s="11" t="str">
        <f t="array" ref="F188">if($C188="","",index('Actuals - Billing - 2025'!$B188:$BA1086,Match($C188,'Actuals - Billing - 2025'!$B188:$B1086,0),Match(F$1,'Actuals - Billing - 2025'!$B$2:$BA$2,0)))</f>
        <v/>
      </c>
      <c r="G188" s="11" t="str">
        <f t="array" ref="G188">if($C188="","",index('Actuals - Billing - 2025'!$B188:$BA1086,Match($C188,'Actuals - Billing - 2025'!$B188:$B1086,0),Match(G$1,'Actuals - Billing - 2025'!$B$2:$BA$2,0)))</f>
        <v/>
      </c>
      <c r="H188" s="11" t="str">
        <f t="array" ref="H188">if($C188="","",index('Actuals - Billing - 2025'!$B188:$BA1086,Match($C188,'Actuals - Billing - 2025'!$B188:$B1086,0),Match(H$1,'Actuals - Billing - 2025'!$B$2:$BA$2,0)))</f>
        <v/>
      </c>
      <c r="I188" s="11" t="str">
        <f t="array" ref="I188">if($C188="","",index('Actuals - Billing - 2025'!$B188:$BA1086,Match($C188,'Actuals - Billing - 2025'!$B188:$B1086,0),Match(I$1,'Actuals - Billing - 2025'!$B$2:$BA$2,0)))</f>
        <v/>
      </c>
      <c r="J188" s="11" t="str">
        <f t="shared" si="2"/>
        <v/>
      </c>
      <c r="K188" s="149" t="str">
        <f t="shared" si="3"/>
        <v/>
      </c>
      <c r="L188" s="1" t="str">
        <f t="shared" si="4"/>
        <v/>
      </c>
      <c r="M188" s="4" t="str">
        <f t="shared" si="5"/>
        <v/>
      </c>
      <c r="N188" s="17" t="str">
        <f>if(M188&lt;&gt;"",'Actuals - Billing - 2025'!BG420,"")</f>
        <v/>
      </c>
    </row>
    <row r="189">
      <c r="A189" s="7" t="str">
        <f t="shared" si="1"/>
        <v/>
      </c>
      <c r="B189" s="8" t="str">
        <f>if(and('Actuals - Billing - 2025'!E$261=True,C189&lt;&gt;""),'Actuals - Billing - 2025'!C421,"")</f>
        <v/>
      </c>
      <c r="C189" s="9" t="str">
        <f>IF(sum('Actuals - Billing - 2025'!AR421:BA421)&gt;0,'Actuals - Billing - 2025'!B421,"")</f>
        <v/>
      </c>
      <c r="D189" s="148" t="str">
        <f>if(or(E189&lt;&gt;"",F189&lt;&gt;""),'Actuals - Billing - 2025'!AU189,if(G189&lt;&gt;"",35,if(H189&lt;&gt;"",'Actuals - Billing - 2025'!AY189,if(I189&lt;&gt;"",'Actuals - Billing - 2025'!BA189,""))))</f>
        <v/>
      </c>
      <c r="E189" s="11" t="str">
        <f t="array" ref="E189">if($C189="","",index('Actuals - Billing - 2025'!$B189:$BA1087,Match($C189,'Actuals - Billing - 2025'!$B189:$B1087,0),Match(E$1,'Actuals - Billing - 2025'!$B$2:$BA$2,0)))</f>
        <v/>
      </c>
      <c r="F189" s="11" t="str">
        <f t="array" ref="F189">if($C189="","",index('Actuals - Billing - 2025'!$B189:$BA1087,Match($C189,'Actuals - Billing - 2025'!$B189:$B1087,0),Match(F$1,'Actuals - Billing - 2025'!$B$2:$BA$2,0)))</f>
        <v/>
      </c>
      <c r="G189" s="11" t="str">
        <f t="array" ref="G189">if($C189="","",index('Actuals - Billing - 2025'!$B189:$BA1087,Match($C189,'Actuals - Billing - 2025'!$B189:$B1087,0),Match(G$1,'Actuals - Billing - 2025'!$B$2:$BA$2,0)))</f>
        <v/>
      </c>
      <c r="H189" s="11" t="str">
        <f t="array" ref="H189">if($C189="","",index('Actuals - Billing - 2025'!$B189:$BA1087,Match($C189,'Actuals - Billing - 2025'!$B189:$B1087,0),Match(H$1,'Actuals - Billing - 2025'!$B$2:$BA$2,0)))</f>
        <v/>
      </c>
      <c r="I189" s="11" t="str">
        <f t="array" ref="I189">if($C189="","",index('Actuals - Billing - 2025'!$B189:$BA1087,Match($C189,'Actuals - Billing - 2025'!$B189:$B1087,0),Match(I$1,'Actuals - Billing - 2025'!$B$2:$BA$2,0)))</f>
        <v/>
      </c>
      <c r="J189" s="11" t="str">
        <f t="shared" si="2"/>
        <v/>
      </c>
      <c r="K189" s="149" t="str">
        <f t="shared" si="3"/>
        <v/>
      </c>
      <c r="L189" s="1" t="str">
        <f t="shared" si="4"/>
        <v/>
      </c>
      <c r="M189" s="4" t="str">
        <f t="shared" si="5"/>
        <v/>
      </c>
      <c r="N189" s="17" t="str">
        <f>if(M189&lt;&gt;"",'Actuals - Billing - 2025'!BG421,"")</f>
        <v/>
      </c>
    </row>
    <row r="190">
      <c r="A190" s="7" t="str">
        <f t="shared" si="1"/>
        <v/>
      </c>
      <c r="B190" s="8" t="str">
        <f>if(and('Actuals - Billing - 2025'!E$261=True,C190&lt;&gt;""),'Actuals - Billing - 2025'!C422,"")</f>
        <v/>
      </c>
      <c r="C190" s="9" t="str">
        <f>IF(sum('Actuals - Billing - 2025'!AR422:BA422)&gt;0,'Actuals - Billing - 2025'!B422,"")</f>
        <v/>
      </c>
      <c r="D190" s="148" t="str">
        <f>if(or(E190&lt;&gt;"",F190&lt;&gt;""),'Actuals - Billing - 2025'!AU190,if(G190&lt;&gt;"",35,if(H190&lt;&gt;"",'Actuals - Billing - 2025'!AY190,if(I190&lt;&gt;"",'Actuals - Billing - 2025'!BA190,""))))</f>
        <v/>
      </c>
      <c r="E190" s="11" t="str">
        <f t="array" ref="E190">if($C190="","",index('Actuals - Billing - 2025'!$B190:$BA1088,Match($C190,'Actuals - Billing - 2025'!$B190:$B1088,0),Match(E$1,'Actuals - Billing - 2025'!$B$2:$BA$2,0)))</f>
        <v/>
      </c>
      <c r="F190" s="11" t="str">
        <f t="array" ref="F190">if($C190="","",index('Actuals - Billing - 2025'!$B190:$BA1088,Match($C190,'Actuals - Billing - 2025'!$B190:$B1088,0),Match(F$1,'Actuals - Billing - 2025'!$B$2:$BA$2,0)))</f>
        <v/>
      </c>
      <c r="G190" s="11" t="str">
        <f t="array" ref="G190">if($C190="","",index('Actuals - Billing - 2025'!$B190:$BA1088,Match($C190,'Actuals - Billing - 2025'!$B190:$B1088,0),Match(G$1,'Actuals - Billing - 2025'!$B$2:$BA$2,0)))</f>
        <v/>
      </c>
      <c r="H190" s="11" t="str">
        <f t="array" ref="H190">if($C190="","",index('Actuals - Billing - 2025'!$B190:$BA1088,Match($C190,'Actuals - Billing - 2025'!$B190:$B1088,0),Match(H$1,'Actuals - Billing - 2025'!$B$2:$BA$2,0)))</f>
        <v/>
      </c>
      <c r="I190" s="11" t="str">
        <f t="array" ref="I190">if($C190="","",index('Actuals - Billing - 2025'!$B190:$BA1088,Match($C190,'Actuals - Billing - 2025'!$B190:$B1088,0),Match(I$1,'Actuals - Billing - 2025'!$B$2:$BA$2,0)))</f>
        <v/>
      </c>
      <c r="J190" s="11" t="str">
        <f t="shared" si="2"/>
        <v/>
      </c>
      <c r="K190" s="149" t="str">
        <f t="shared" si="3"/>
        <v/>
      </c>
      <c r="L190" s="1" t="str">
        <f t="shared" si="4"/>
        <v/>
      </c>
      <c r="M190" s="4" t="str">
        <f t="shared" si="5"/>
        <v/>
      </c>
      <c r="N190" s="17" t="str">
        <f>if(M190&lt;&gt;"",'Actuals - Billing - 2025'!BG422,"")</f>
        <v/>
      </c>
    </row>
    <row r="191">
      <c r="A191" s="7" t="str">
        <f t="shared" si="1"/>
        <v/>
      </c>
      <c r="B191" s="8" t="str">
        <f>if(and('Actuals - Billing - 2025'!E$261=True,C191&lt;&gt;""),'Actuals - Billing - 2025'!C423,"")</f>
        <v/>
      </c>
      <c r="C191" s="9" t="str">
        <f>IF(sum('Actuals - Billing - 2025'!AR423:BA423)&gt;0,'Actuals - Billing - 2025'!B423,"")</f>
        <v/>
      </c>
      <c r="D191" s="148" t="str">
        <f>if(or(E191&lt;&gt;"",F191&lt;&gt;""),'Actuals - Billing - 2025'!AU191,if(G191&lt;&gt;"",35,if(H191&lt;&gt;"",'Actuals - Billing - 2025'!AY191,if(I191&lt;&gt;"",'Actuals - Billing - 2025'!BA191,""))))</f>
        <v/>
      </c>
      <c r="E191" s="11" t="str">
        <f t="array" ref="E191">if($C191="","",index('Actuals - Billing - 2025'!$B191:$BA1089,Match($C191,'Actuals - Billing - 2025'!$B191:$B1089,0),Match(E$1,'Actuals - Billing - 2025'!$B$2:$BA$2,0)))</f>
        <v/>
      </c>
      <c r="F191" s="11" t="str">
        <f t="array" ref="F191">if($C191="","",index('Actuals - Billing - 2025'!$B191:$BA1089,Match($C191,'Actuals - Billing - 2025'!$B191:$B1089,0),Match(F$1,'Actuals - Billing - 2025'!$B$2:$BA$2,0)))</f>
        <v/>
      </c>
      <c r="G191" s="11" t="str">
        <f t="array" ref="G191">if($C191="","",index('Actuals - Billing - 2025'!$B191:$BA1089,Match($C191,'Actuals - Billing - 2025'!$B191:$B1089,0),Match(G$1,'Actuals - Billing - 2025'!$B$2:$BA$2,0)))</f>
        <v/>
      </c>
      <c r="H191" s="11" t="str">
        <f t="array" ref="H191">if($C191="","",index('Actuals - Billing - 2025'!$B191:$BA1089,Match($C191,'Actuals - Billing - 2025'!$B191:$B1089,0),Match(H$1,'Actuals - Billing - 2025'!$B$2:$BA$2,0)))</f>
        <v/>
      </c>
      <c r="I191" s="11" t="str">
        <f t="array" ref="I191">if($C191="","",index('Actuals - Billing - 2025'!$B191:$BA1089,Match($C191,'Actuals - Billing - 2025'!$B191:$B1089,0),Match(I$1,'Actuals - Billing - 2025'!$B$2:$BA$2,0)))</f>
        <v/>
      </c>
      <c r="J191" s="11" t="str">
        <f t="shared" si="2"/>
        <v/>
      </c>
      <c r="K191" s="149" t="str">
        <f t="shared" si="3"/>
        <v/>
      </c>
      <c r="L191" s="1" t="str">
        <f t="shared" si="4"/>
        <v/>
      </c>
      <c r="M191" s="4" t="str">
        <f t="shared" si="5"/>
        <v/>
      </c>
      <c r="N191" s="17" t="str">
        <f>if(M191&lt;&gt;"",'Actuals - Billing - 2025'!BG423,"")</f>
        <v/>
      </c>
    </row>
    <row r="192">
      <c r="A192" s="7" t="str">
        <f t="shared" si="1"/>
        <v/>
      </c>
      <c r="B192" s="8" t="str">
        <f>if(and('Actuals - Billing - 2025'!E$261=True,C192&lt;&gt;""),'Actuals - Billing - 2025'!C424,"")</f>
        <v/>
      </c>
      <c r="C192" s="9" t="str">
        <f>IF(sum('Actuals - Billing - 2025'!AR424:BA424)&gt;0,'Actuals - Billing - 2025'!B424,"")</f>
        <v/>
      </c>
      <c r="D192" s="148" t="str">
        <f>if(or(E192&lt;&gt;"",F192&lt;&gt;""),'Actuals - Billing - 2025'!AU192,if(G192&lt;&gt;"",35,if(H192&lt;&gt;"",'Actuals - Billing - 2025'!AY192,if(I192&lt;&gt;"",'Actuals - Billing - 2025'!BA192,""))))</f>
        <v/>
      </c>
      <c r="E192" s="11" t="str">
        <f t="array" ref="E192">if($C192="","",index('Actuals - Billing - 2025'!$B192:$BA1090,Match($C192,'Actuals - Billing - 2025'!$B192:$B1090,0),Match(E$1,'Actuals - Billing - 2025'!$B$2:$BA$2,0)))</f>
        <v/>
      </c>
      <c r="F192" s="11" t="str">
        <f t="array" ref="F192">if($C192="","",index('Actuals - Billing - 2025'!$B192:$BA1090,Match($C192,'Actuals - Billing - 2025'!$B192:$B1090,0),Match(F$1,'Actuals - Billing - 2025'!$B$2:$BA$2,0)))</f>
        <v/>
      </c>
      <c r="G192" s="11" t="str">
        <f t="array" ref="G192">if($C192="","",index('Actuals - Billing - 2025'!$B192:$BA1090,Match($C192,'Actuals - Billing - 2025'!$B192:$B1090,0),Match(G$1,'Actuals - Billing - 2025'!$B$2:$BA$2,0)))</f>
        <v/>
      </c>
      <c r="H192" s="11" t="str">
        <f t="array" ref="H192">if($C192="","",index('Actuals - Billing - 2025'!$B192:$BA1090,Match($C192,'Actuals - Billing - 2025'!$B192:$B1090,0),Match(H$1,'Actuals - Billing - 2025'!$B$2:$BA$2,0)))</f>
        <v/>
      </c>
      <c r="I192" s="11" t="str">
        <f t="array" ref="I192">if($C192="","",index('Actuals - Billing - 2025'!$B192:$BA1090,Match($C192,'Actuals - Billing - 2025'!$B192:$B1090,0),Match(I$1,'Actuals - Billing - 2025'!$B$2:$BA$2,0)))</f>
        <v/>
      </c>
      <c r="J192" s="11" t="str">
        <f t="shared" si="2"/>
        <v/>
      </c>
      <c r="K192" s="149" t="str">
        <f t="shared" si="3"/>
        <v/>
      </c>
      <c r="L192" s="1" t="str">
        <f t="shared" si="4"/>
        <v/>
      </c>
      <c r="M192" s="4" t="str">
        <f t="shared" si="5"/>
        <v/>
      </c>
      <c r="N192" s="17" t="str">
        <f>if(M192&lt;&gt;"",'Actuals - Billing - 2025'!BG424,"")</f>
        <v/>
      </c>
    </row>
    <row r="193">
      <c r="A193" s="7" t="str">
        <f t="shared" si="1"/>
        <v/>
      </c>
      <c r="B193" s="8" t="str">
        <f>if(and('Actuals - Billing - 2025'!E$261=True,C193&lt;&gt;""),'Actuals - Billing - 2025'!C425,"")</f>
        <v/>
      </c>
      <c r="C193" s="9" t="str">
        <f>IF(sum('Actuals - Billing - 2025'!AR425:BA425)&gt;0,'Actuals - Billing - 2025'!B425,"")</f>
        <v/>
      </c>
      <c r="D193" s="148" t="str">
        <f>if(or(E193&lt;&gt;"",F193&lt;&gt;""),'Actuals - Billing - 2025'!AU193,if(G193&lt;&gt;"",35,if(H193&lt;&gt;"",'Actuals - Billing - 2025'!AY193,if(I193&lt;&gt;"",'Actuals - Billing - 2025'!BA193,""))))</f>
        <v/>
      </c>
      <c r="E193" s="11" t="str">
        <f t="array" ref="E193">if($C193="","",index('Actuals - Billing - 2025'!$B193:$BA1091,Match($C193,'Actuals - Billing - 2025'!$B193:$B1091,0),Match(E$1,'Actuals - Billing - 2025'!$B$2:$BA$2,0)))</f>
        <v/>
      </c>
      <c r="F193" s="11" t="str">
        <f t="array" ref="F193">if($C193="","",index('Actuals - Billing - 2025'!$B193:$BA1091,Match($C193,'Actuals - Billing - 2025'!$B193:$B1091,0),Match(F$1,'Actuals - Billing - 2025'!$B$2:$BA$2,0)))</f>
        <v/>
      </c>
      <c r="G193" s="11" t="str">
        <f t="array" ref="G193">if($C193="","",index('Actuals - Billing - 2025'!$B193:$BA1091,Match($C193,'Actuals - Billing - 2025'!$B193:$B1091,0),Match(G$1,'Actuals - Billing - 2025'!$B$2:$BA$2,0)))</f>
        <v/>
      </c>
      <c r="H193" s="11" t="str">
        <f t="array" ref="H193">if($C193="","",index('Actuals - Billing - 2025'!$B193:$BA1091,Match($C193,'Actuals - Billing - 2025'!$B193:$B1091,0),Match(H$1,'Actuals - Billing - 2025'!$B$2:$BA$2,0)))</f>
        <v/>
      </c>
      <c r="I193" s="11" t="str">
        <f t="array" ref="I193">if($C193="","",index('Actuals - Billing - 2025'!$B193:$BA1091,Match($C193,'Actuals - Billing - 2025'!$B193:$B1091,0),Match(I$1,'Actuals - Billing - 2025'!$B$2:$BA$2,0)))</f>
        <v/>
      </c>
      <c r="J193" s="11" t="str">
        <f t="shared" si="2"/>
        <v/>
      </c>
      <c r="K193" s="149" t="str">
        <f t="shared" si="3"/>
        <v/>
      </c>
      <c r="L193" s="1" t="str">
        <f t="shared" si="4"/>
        <v/>
      </c>
      <c r="M193" s="4" t="str">
        <f t="shared" si="5"/>
        <v/>
      </c>
      <c r="N193" s="17" t="str">
        <f>if(M193&lt;&gt;"",'Actuals - Billing - 2025'!BG425,"")</f>
        <v/>
      </c>
    </row>
    <row r="194">
      <c r="A194" s="7" t="str">
        <f t="shared" si="1"/>
        <v/>
      </c>
      <c r="B194" s="8" t="str">
        <f>if(and('Actuals - Billing - 2025'!E$261=True,C194&lt;&gt;""),'Actuals - Billing - 2025'!C426,"")</f>
        <v/>
      </c>
      <c r="C194" s="9" t="str">
        <f>IF(sum('Actuals - Billing - 2025'!AR426:BA426)&gt;0,'Actuals - Billing - 2025'!B426,"")</f>
        <v/>
      </c>
      <c r="D194" s="148" t="str">
        <f>if(or(E194&lt;&gt;"",F194&lt;&gt;""),'Actuals - Billing - 2025'!AU194,if(G194&lt;&gt;"",35,if(H194&lt;&gt;"",'Actuals - Billing - 2025'!AY194,if(I194&lt;&gt;"",'Actuals - Billing - 2025'!BA194,""))))</f>
        <v/>
      </c>
      <c r="E194" s="11" t="str">
        <f t="array" ref="E194">if($C194="","",index('Actuals - Billing - 2025'!$B194:$BA1092,Match($C194,'Actuals - Billing - 2025'!$B194:$B1092,0),Match(E$1,'Actuals - Billing - 2025'!$B$2:$BA$2,0)))</f>
        <v/>
      </c>
      <c r="F194" s="11" t="str">
        <f t="array" ref="F194">if($C194="","",index('Actuals - Billing - 2025'!$B194:$BA1092,Match($C194,'Actuals - Billing - 2025'!$B194:$B1092,0),Match(F$1,'Actuals - Billing - 2025'!$B$2:$BA$2,0)))</f>
        <v/>
      </c>
      <c r="G194" s="11" t="str">
        <f t="array" ref="G194">if($C194="","",index('Actuals - Billing - 2025'!$B194:$BA1092,Match($C194,'Actuals - Billing - 2025'!$B194:$B1092,0),Match(G$1,'Actuals - Billing - 2025'!$B$2:$BA$2,0)))</f>
        <v/>
      </c>
      <c r="H194" s="11" t="str">
        <f t="array" ref="H194">if($C194="","",index('Actuals - Billing - 2025'!$B194:$BA1092,Match($C194,'Actuals - Billing - 2025'!$B194:$B1092,0),Match(H$1,'Actuals - Billing - 2025'!$B$2:$BA$2,0)))</f>
        <v/>
      </c>
      <c r="I194" s="11" t="str">
        <f t="array" ref="I194">if($C194="","",index('Actuals - Billing - 2025'!$B194:$BA1092,Match($C194,'Actuals - Billing - 2025'!$B194:$B1092,0),Match(I$1,'Actuals - Billing - 2025'!$B$2:$BA$2,0)))</f>
        <v/>
      </c>
      <c r="J194" s="11" t="str">
        <f t="shared" si="2"/>
        <v/>
      </c>
      <c r="K194" s="149" t="str">
        <f t="shared" si="3"/>
        <v/>
      </c>
      <c r="L194" s="1" t="str">
        <f t="shared" si="4"/>
        <v/>
      </c>
      <c r="M194" s="4" t="str">
        <f t="shared" si="5"/>
        <v/>
      </c>
      <c r="N194" s="17" t="str">
        <f>if(M194&lt;&gt;"",'Actuals - Billing - 2025'!BG426,"")</f>
        <v/>
      </c>
    </row>
    <row r="195">
      <c r="A195" s="7" t="str">
        <f t="shared" si="1"/>
        <v/>
      </c>
      <c r="B195" s="8" t="str">
        <f>if(and('Actuals - Billing - 2025'!E$261=True,C195&lt;&gt;""),'Actuals - Billing - 2025'!C427,"")</f>
        <v/>
      </c>
      <c r="C195" s="9" t="str">
        <f>IF(sum('Actuals - Billing - 2025'!AR427:BA427)&gt;0,'Actuals - Billing - 2025'!B427,"")</f>
        <v/>
      </c>
      <c r="D195" s="148" t="str">
        <f>if(or(E195&lt;&gt;"",F195&lt;&gt;""),'Actuals - Billing - 2025'!AU195,if(G195&lt;&gt;"",35,if(H195&lt;&gt;"",'Actuals - Billing - 2025'!AY195,if(I195&lt;&gt;"",'Actuals - Billing - 2025'!BA195,""))))</f>
        <v/>
      </c>
      <c r="E195" s="11" t="str">
        <f t="array" ref="E195">if($C195="","",index('Actuals - Billing - 2025'!$B195:$BA1093,Match($C195,'Actuals - Billing - 2025'!$B195:$B1093,0),Match(E$1,'Actuals - Billing - 2025'!$B$2:$BA$2,0)))</f>
        <v/>
      </c>
      <c r="F195" s="11" t="str">
        <f t="array" ref="F195">if($C195="","",index('Actuals - Billing - 2025'!$B195:$BA1093,Match($C195,'Actuals - Billing - 2025'!$B195:$B1093,0),Match(F$1,'Actuals - Billing - 2025'!$B$2:$BA$2,0)))</f>
        <v/>
      </c>
      <c r="G195" s="11" t="str">
        <f t="array" ref="G195">if($C195="","",index('Actuals - Billing - 2025'!$B195:$BA1093,Match($C195,'Actuals - Billing - 2025'!$B195:$B1093,0),Match(G$1,'Actuals - Billing - 2025'!$B$2:$BA$2,0)))</f>
        <v/>
      </c>
      <c r="H195" s="11" t="str">
        <f t="array" ref="H195">if($C195="","",index('Actuals - Billing - 2025'!$B195:$BA1093,Match($C195,'Actuals - Billing - 2025'!$B195:$B1093,0),Match(H$1,'Actuals - Billing - 2025'!$B$2:$BA$2,0)))</f>
        <v/>
      </c>
      <c r="I195" s="11" t="str">
        <f t="array" ref="I195">if($C195="","",index('Actuals - Billing - 2025'!$B195:$BA1093,Match($C195,'Actuals - Billing - 2025'!$B195:$B1093,0),Match(I$1,'Actuals - Billing - 2025'!$B$2:$BA$2,0)))</f>
        <v/>
      </c>
      <c r="J195" s="11" t="str">
        <f t="shared" si="2"/>
        <v/>
      </c>
      <c r="K195" s="149" t="str">
        <f t="shared" si="3"/>
        <v/>
      </c>
      <c r="L195" s="1" t="str">
        <f t="shared" si="4"/>
        <v/>
      </c>
      <c r="M195" s="4" t="str">
        <f t="shared" si="5"/>
        <v/>
      </c>
      <c r="N195" s="17" t="str">
        <f>if(M195&lt;&gt;"",'Actuals - Billing - 2025'!BG427,"")</f>
        <v/>
      </c>
    </row>
    <row r="196">
      <c r="A196" s="7" t="str">
        <f t="shared" si="1"/>
        <v/>
      </c>
      <c r="B196" s="8" t="str">
        <f>if(and('Actuals - Billing - 2025'!E$261=True,C196&lt;&gt;""),'Actuals - Billing - 2025'!C428,"")</f>
        <v/>
      </c>
      <c r="C196" s="9" t="str">
        <f>IF(sum('Actuals - Billing - 2025'!AR428:BA428)&gt;0,'Actuals - Billing - 2025'!B428,"")</f>
        <v/>
      </c>
      <c r="D196" s="148" t="str">
        <f>if(or(E196&lt;&gt;"",F196&lt;&gt;""),'Actuals - Billing - 2025'!AU196,if(G196&lt;&gt;"",35,if(H196&lt;&gt;"",'Actuals - Billing - 2025'!AY196,if(I196&lt;&gt;"",'Actuals - Billing - 2025'!BA196,""))))</f>
        <v/>
      </c>
      <c r="E196" s="11" t="str">
        <f t="array" ref="E196">if($C196="","",index('Actuals - Billing - 2025'!$B196:$BA1094,Match($C196,'Actuals - Billing - 2025'!$B196:$B1094,0),Match(E$1,'Actuals - Billing - 2025'!$B$2:$BA$2,0)))</f>
        <v/>
      </c>
      <c r="F196" s="11" t="str">
        <f t="array" ref="F196">if($C196="","",index('Actuals - Billing - 2025'!$B196:$BA1094,Match($C196,'Actuals - Billing - 2025'!$B196:$B1094,0),Match(F$1,'Actuals - Billing - 2025'!$B$2:$BA$2,0)))</f>
        <v/>
      </c>
      <c r="G196" s="11" t="str">
        <f t="array" ref="G196">if($C196="","",index('Actuals - Billing - 2025'!$B196:$BA1094,Match($C196,'Actuals - Billing - 2025'!$B196:$B1094,0),Match(G$1,'Actuals - Billing - 2025'!$B$2:$BA$2,0)))</f>
        <v/>
      </c>
      <c r="H196" s="11" t="str">
        <f t="array" ref="H196">if($C196="","",index('Actuals - Billing - 2025'!$B196:$BA1094,Match($C196,'Actuals - Billing - 2025'!$B196:$B1094,0),Match(H$1,'Actuals - Billing - 2025'!$B$2:$BA$2,0)))</f>
        <v/>
      </c>
      <c r="I196" s="11" t="str">
        <f t="array" ref="I196">if($C196="","",index('Actuals - Billing - 2025'!$B196:$BA1094,Match($C196,'Actuals - Billing - 2025'!$B196:$B1094,0),Match(I$1,'Actuals - Billing - 2025'!$B$2:$BA$2,0)))</f>
        <v/>
      </c>
      <c r="J196" s="11" t="str">
        <f t="shared" si="2"/>
        <v/>
      </c>
      <c r="K196" s="149" t="str">
        <f t="shared" si="3"/>
        <v/>
      </c>
      <c r="L196" s="1" t="str">
        <f t="shared" si="4"/>
        <v/>
      </c>
      <c r="M196" s="4" t="str">
        <f t="shared" si="5"/>
        <v/>
      </c>
      <c r="N196" s="17" t="str">
        <f>if(M196&lt;&gt;"",'Actuals - Billing - 2025'!BG428,"")</f>
        <v/>
      </c>
    </row>
    <row r="197">
      <c r="A197" s="7" t="str">
        <f t="shared" si="1"/>
        <v/>
      </c>
      <c r="B197" s="8" t="str">
        <f>if(and('Actuals - Billing - 2025'!E$261=True,C197&lt;&gt;""),'Actuals - Billing - 2025'!C429,"")</f>
        <v/>
      </c>
      <c r="C197" s="9" t="str">
        <f>IF(sum('Actuals - Billing - 2025'!AR429:BA429)&gt;0,'Actuals - Billing - 2025'!B429,"")</f>
        <v/>
      </c>
      <c r="D197" s="148" t="str">
        <f>if(or(E197&lt;&gt;"",F197&lt;&gt;""),'Actuals - Billing - 2025'!AU197,if(G197&lt;&gt;"",35,if(H197&lt;&gt;"",'Actuals - Billing - 2025'!AY197,if(I197&lt;&gt;"",'Actuals - Billing - 2025'!BA197,""))))</f>
        <v/>
      </c>
      <c r="E197" s="11" t="str">
        <f t="array" ref="E197">if($C197="","",index('Actuals - Billing - 2025'!$B197:$BA1095,Match($C197,'Actuals - Billing - 2025'!$B197:$B1095,0),Match(E$1,'Actuals - Billing - 2025'!$B$2:$BA$2,0)))</f>
        <v/>
      </c>
      <c r="F197" s="11" t="str">
        <f t="array" ref="F197">if($C197="","",index('Actuals - Billing - 2025'!$B197:$BA1095,Match($C197,'Actuals - Billing - 2025'!$B197:$B1095,0),Match(F$1,'Actuals - Billing - 2025'!$B$2:$BA$2,0)))</f>
        <v/>
      </c>
      <c r="G197" s="11" t="str">
        <f t="array" ref="G197">if($C197="","",index('Actuals - Billing - 2025'!$B197:$BA1095,Match($C197,'Actuals - Billing - 2025'!$B197:$B1095,0),Match(G$1,'Actuals - Billing - 2025'!$B$2:$BA$2,0)))</f>
        <v/>
      </c>
      <c r="H197" s="11" t="str">
        <f t="array" ref="H197">if($C197="","",index('Actuals - Billing - 2025'!$B197:$BA1095,Match($C197,'Actuals - Billing - 2025'!$B197:$B1095,0),Match(H$1,'Actuals - Billing - 2025'!$B$2:$BA$2,0)))</f>
        <v/>
      </c>
      <c r="I197" s="11" t="str">
        <f t="array" ref="I197">if($C197="","",index('Actuals - Billing - 2025'!$B197:$BA1095,Match($C197,'Actuals - Billing - 2025'!$B197:$B1095,0),Match(I$1,'Actuals - Billing - 2025'!$B$2:$BA$2,0)))</f>
        <v/>
      </c>
      <c r="J197" s="11" t="str">
        <f t="shared" si="2"/>
        <v/>
      </c>
      <c r="K197" s="149" t="str">
        <f t="shared" si="3"/>
        <v/>
      </c>
      <c r="L197" s="1" t="str">
        <f t="shared" si="4"/>
        <v/>
      </c>
      <c r="M197" s="4" t="str">
        <f t="shared" si="5"/>
        <v/>
      </c>
      <c r="N197" s="17" t="str">
        <f>if(M197&lt;&gt;"",'Actuals - Billing - 2025'!BG429,"")</f>
        <v/>
      </c>
    </row>
    <row r="198">
      <c r="A198" s="7" t="str">
        <f t="shared" si="1"/>
        <v/>
      </c>
      <c r="B198" s="8" t="str">
        <f>if(and('Actuals - Billing - 2025'!E$261=True,C198&lt;&gt;""),'Actuals - Billing - 2025'!C430,"")</f>
        <v/>
      </c>
      <c r="C198" s="9" t="str">
        <f>IF(sum('Actuals - Billing - 2025'!AR430:BA430)&gt;0,'Actuals - Billing - 2025'!B430,"")</f>
        <v/>
      </c>
      <c r="D198" s="148" t="str">
        <f>if(or(E198&lt;&gt;"",F198&lt;&gt;""),'Actuals - Billing - 2025'!AU198,if(G198&lt;&gt;"",35,if(H198&lt;&gt;"",'Actuals - Billing - 2025'!AY198,if(I198&lt;&gt;"",'Actuals - Billing - 2025'!BA198,""))))</f>
        <v/>
      </c>
      <c r="E198" s="11" t="str">
        <f t="array" ref="E198">if($C198="","",index('Actuals - Billing - 2025'!$B198:$BA1096,Match($C198,'Actuals - Billing - 2025'!$B198:$B1096,0),Match(E$1,'Actuals - Billing - 2025'!$B$2:$BA$2,0)))</f>
        <v/>
      </c>
      <c r="F198" s="11" t="str">
        <f t="array" ref="F198">if($C198="","",index('Actuals - Billing - 2025'!$B198:$BA1096,Match($C198,'Actuals - Billing - 2025'!$B198:$B1096,0),Match(F$1,'Actuals - Billing - 2025'!$B$2:$BA$2,0)))</f>
        <v/>
      </c>
      <c r="G198" s="11" t="str">
        <f t="array" ref="G198">if($C198="","",index('Actuals - Billing - 2025'!$B198:$BA1096,Match($C198,'Actuals - Billing - 2025'!$B198:$B1096,0),Match(G$1,'Actuals - Billing - 2025'!$B$2:$BA$2,0)))</f>
        <v/>
      </c>
      <c r="H198" s="11" t="str">
        <f t="array" ref="H198">if($C198="","",index('Actuals - Billing - 2025'!$B198:$BA1096,Match($C198,'Actuals - Billing - 2025'!$B198:$B1096,0),Match(H$1,'Actuals - Billing - 2025'!$B$2:$BA$2,0)))</f>
        <v/>
      </c>
      <c r="I198" s="11" t="str">
        <f t="array" ref="I198">if($C198="","",index('Actuals - Billing - 2025'!$B198:$BA1096,Match($C198,'Actuals - Billing - 2025'!$B198:$B1096,0),Match(I$1,'Actuals - Billing - 2025'!$B$2:$BA$2,0)))</f>
        <v/>
      </c>
      <c r="J198" s="11" t="str">
        <f t="shared" si="2"/>
        <v/>
      </c>
      <c r="K198" s="149" t="str">
        <f t="shared" si="3"/>
        <v/>
      </c>
      <c r="L198" s="1" t="str">
        <f t="shared" si="4"/>
        <v/>
      </c>
      <c r="M198" s="4" t="str">
        <f t="shared" si="5"/>
        <v/>
      </c>
      <c r="N198" s="17" t="str">
        <f>if(M198&lt;&gt;"",'Actuals - Billing - 2025'!BG430,"")</f>
        <v/>
      </c>
    </row>
    <row r="199">
      <c r="A199" s="7" t="str">
        <f t="shared" si="1"/>
        <v/>
      </c>
      <c r="B199" s="8" t="str">
        <f>if(and('Actuals - Billing - 2025'!E$261=True,C199&lt;&gt;""),'Actuals - Billing - 2025'!C431,"")</f>
        <v/>
      </c>
      <c r="C199" s="9" t="str">
        <f>IF(sum('Actuals - Billing - 2025'!AR431:BA431)&gt;0,'Actuals - Billing - 2025'!B431,"")</f>
        <v/>
      </c>
      <c r="D199" s="148" t="str">
        <f>if(or(E199&lt;&gt;"",F199&lt;&gt;""),'Actuals - Billing - 2025'!AU199,if(G199&lt;&gt;"",35,if(H199&lt;&gt;"",'Actuals - Billing - 2025'!AY199,if(I199&lt;&gt;"",'Actuals - Billing - 2025'!BA199,""))))</f>
        <v/>
      </c>
      <c r="E199" s="11" t="str">
        <f t="array" ref="E199">if($C199="","",index('Actuals - Billing - 2025'!$B199:$BA1097,Match($C199,'Actuals - Billing - 2025'!$B199:$B1097,0),Match(E$1,'Actuals - Billing - 2025'!$B$2:$BA$2,0)))</f>
        <v/>
      </c>
      <c r="F199" s="11" t="str">
        <f t="array" ref="F199">if($C199="","",index('Actuals - Billing - 2025'!$B199:$BA1097,Match($C199,'Actuals - Billing - 2025'!$B199:$B1097,0),Match(F$1,'Actuals - Billing - 2025'!$B$2:$BA$2,0)))</f>
        <v/>
      </c>
      <c r="G199" s="11" t="str">
        <f t="array" ref="G199">if($C199="","",index('Actuals - Billing - 2025'!$B199:$BA1097,Match($C199,'Actuals - Billing - 2025'!$B199:$B1097,0),Match(G$1,'Actuals - Billing - 2025'!$B$2:$BA$2,0)))</f>
        <v/>
      </c>
      <c r="H199" s="11" t="str">
        <f t="array" ref="H199">if($C199="","",index('Actuals - Billing - 2025'!$B199:$BA1097,Match($C199,'Actuals - Billing - 2025'!$B199:$B1097,0),Match(H$1,'Actuals - Billing - 2025'!$B$2:$BA$2,0)))</f>
        <v/>
      </c>
      <c r="I199" s="11" t="str">
        <f t="array" ref="I199">if($C199="","",index('Actuals - Billing - 2025'!$B199:$BA1097,Match($C199,'Actuals - Billing - 2025'!$B199:$B1097,0),Match(I$1,'Actuals - Billing - 2025'!$B$2:$BA$2,0)))</f>
        <v/>
      </c>
      <c r="J199" s="11" t="str">
        <f t="shared" si="2"/>
        <v/>
      </c>
      <c r="K199" s="149" t="str">
        <f t="shared" si="3"/>
        <v/>
      </c>
      <c r="L199" s="1" t="str">
        <f t="shared" si="4"/>
        <v/>
      </c>
      <c r="M199" s="4" t="str">
        <f t="shared" si="5"/>
        <v/>
      </c>
      <c r="N199" s="17" t="str">
        <f>if(M199&lt;&gt;"",'Actuals - Billing - 2025'!BG431,"")</f>
        <v/>
      </c>
    </row>
    <row r="200">
      <c r="A200" s="7" t="str">
        <f t="shared" si="1"/>
        <v/>
      </c>
      <c r="B200" s="8" t="str">
        <f>if(and('Actuals - Billing - 2025'!E$261=True,C200&lt;&gt;""),'Actuals - Billing - 2025'!C432,"")</f>
        <v/>
      </c>
      <c r="C200" s="9" t="str">
        <f>IF(sum('Actuals - Billing - 2025'!AR432:BA432)&gt;0,'Actuals - Billing - 2025'!B432,"")</f>
        <v/>
      </c>
      <c r="D200" s="148" t="str">
        <f>if(or(E200&lt;&gt;"",F200&lt;&gt;""),'Actuals - Billing - 2025'!AU200,if(G200&lt;&gt;"",35,if(H200&lt;&gt;"",'Actuals - Billing - 2025'!AY200,if(I200&lt;&gt;"",'Actuals - Billing - 2025'!BA200,""))))</f>
        <v/>
      </c>
      <c r="E200" s="11" t="str">
        <f t="array" ref="E200">if($C200="","",index('Actuals - Billing - 2025'!$B200:$BA1098,Match($C200,'Actuals - Billing - 2025'!$B200:$B1098,0),Match(E$1,'Actuals - Billing - 2025'!$B$2:$BA$2,0)))</f>
        <v/>
      </c>
      <c r="F200" s="11" t="str">
        <f t="array" ref="F200">if($C200="","",index('Actuals - Billing - 2025'!$B200:$BA1098,Match($C200,'Actuals - Billing - 2025'!$B200:$B1098,0),Match(F$1,'Actuals - Billing - 2025'!$B$2:$BA$2,0)))</f>
        <v/>
      </c>
      <c r="G200" s="11" t="str">
        <f t="array" ref="G200">if($C200="","",index('Actuals - Billing - 2025'!$B200:$BA1098,Match($C200,'Actuals - Billing - 2025'!$B200:$B1098,0),Match(G$1,'Actuals - Billing - 2025'!$B$2:$BA$2,0)))</f>
        <v/>
      </c>
      <c r="H200" s="11" t="str">
        <f t="array" ref="H200">if($C200="","",index('Actuals - Billing - 2025'!$B200:$BA1098,Match($C200,'Actuals - Billing - 2025'!$B200:$B1098,0),Match(H$1,'Actuals - Billing - 2025'!$B$2:$BA$2,0)))</f>
        <v/>
      </c>
      <c r="I200" s="11" t="str">
        <f t="array" ref="I200">if($C200="","",index('Actuals - Billing - 2025'!$B200:$BA1098,Match($C200,'Actuals - Billing - 2025'!$B200:$B1098,0),Match(I$1,'Actuals - Billing - 2025'!$B$2:$BA$2,0)))</f>
        <v/>
      </c>
      <c r="J200" s="11" t="str">
        <f t="shared" si="2"/>
        <v/>
      </c>
      <c r="K200" s="149" t="str">
        <f t="shared" si="3"/>
        <v/>
      </c>
      <c r="L200" s="1" t="str">
        <f t="shared" si="4"/>
        <v/>
      </c>
      <c r="M200" s="4" t="str">
        <f t="shared" si="5"/>
        <v/>
      </c>
      <c r="N200" s="17" t="str">
        <f>if(M200&lt;&gt;"",'Actuals - Billing - 2025'!BG432,"")</f>
        <v/>
      </c>
    </row>
    <row r="201">
      <c r="A201" s="7" t="str">
        <f t="shared" si="1"/>
        <v/>
      </c>
      <c r="B201" s="8" t="str">
        <f>if(and('Actuals - Billing - 2025'!E$261=True,C201&lt;&gt;""),'Actuals - Billing - 2025'!C433,"")</f>
        <v/>
      </c>
      <c r="C201" s="9" t="str">
        <f>IF(sum('Actuals - Billing - 2025'!AR433:BA433)&gt;0,'Actuals - Billing - 2025'!B433,"")</f>
        <v/>
      </c>
      <c r="D201" s="148" t="str">
        <f>if(or(E201&lt;&gt;"",F201&lt;&gt;""),'Actuals - Billing - 2025'!AU201,if(G201&lt;&gt;"",35,if(H201&lt;&gt;"",'Actuals - Billing - 2025'!AY201,if(I201&lt;&gt;"",'Actuals - Billing - 2025'!BA201,""))))</f>
        <v/>
      </c>
      <c r="E201" s="11" t="str">
        <f t="array" ref="E201">if($C201="","",index('Actuals - Billing - 2025'!$B201:$BA1099,Match($C201,'Actuals - Billing - 2025'!$B201:$B1099,0),Match(E$1,'Actuals - Billing - 2025'!$B$2:$BA$2,0)))</f>
        <v/>
      </c>
      <c r="F201" s="11" t="str">
        <f t="array" ref="F201">if($C201="","",index('Actuals - Billing - 2025'!$B201:$BA1099,Match($C201,'Actuals - Billing - 2025'!$B201:$B1099,0),Match(F$1,'Actuals - Billing - 2025'!$B$2:$BA$2,0)))</f>
        <v/>
      </c>
      <c r="G201" s="11" t="str">
        <f t="array" ref="G201">if($C201="","",index('Actuals - Billing - 2025'!$B201:$BA1099,Match($C201,'Actuals - Billing - 2025'!$B201:$B1099,0),Match(G$1,'Actuals - Billing - 2025'!$B$2:$BA$2,0)))</f>
        <v/>
      </c>
      <c r="H201" s="11" t="str">
        <f t="array" ref="H201">if($C201="","",index('Actuals - Billing - 2025'!$B201:$BA1099,Match($C201,'Actuals - Billing - 2025'!$B201:$B1099,0),Match(H$1,'Actuals - Billing - 2025'!$B$2:$BA$2,0)))</f>
        <v/>
      </c>
      <c r="I201" s="11" t="str">
        <f t="array" ref="I201">if($C201="","",index('Actuals - Billing - 2025'!$B201:$BA1099,Match($C201,'Actuals - Billing - 2025'!$B201:$B1099,0),Match(I$1,'Actuals - Billing - 2025'!$B$2:$BA$2,0)))</f>
        <v/>
      </c>
      <c r="J201" s="11" t="str">
        <f t="shared" si="2"/>
        <v/>
      </c>
      <c r="K201" s="149" t="str">
        <f t="shared" si="3"/>
        <v/>
      </c>
      <c r="L201" s="1" t="str">
        <f t="shared" si="4"/>
        <v/>
      </c>
      <c r="M201" s="4" t="str">
        <f t="shared" si="5"/>
        <v/>
      </c>
      <c r="N201" s="17" t="str">
        <f>if(M201&lt;&gt;"",'Actuals - Billing - 2025'!BG433,"")</f>
        <v/>
      </c>
    </row>
    <row r="202">
      <c r="A202" s="7" t="str">
        <f t="shared" si="1"/>
        <v/>
      </c>
      <c r="B202" s="8" t="str">
        <f>if(and('Actuals - Billing - 2025'!E$261=True,C202&lt;&gt;""),'Actuals - Billing - 2025'!C434,"")</f>
        <v/>
      </c>
      <c r="C202" s="9" t="str">
        <f>IF(sum('Actuals - Billing - 2025'!AR434:BA434)&gt;0,'Actuals - Billing - 2025'!B434,"")</f>
        <v/>
      </c>
      <c r="D202" s="148" t="str">
        <f>if(or(E202&lt;&gt;"",F202&lt;&gt;""),'Actuals - Billing - 2025'!AU202,if(G202&lt;&gt;"",35,if(H202&lt;&gt;"",'Actuals - Billing - 2025'!AY202,if(I202&lt;&gt;"",'Actuals - Billing - 2025'!BA202,""))))</f>
        <v/>
      </c>
      <c r="E202" s="11" t="str">
        <f t="array" ref="E202">if($C202="","",index('Actuals - Billing - 2025'!$B202:$BA1100,Match($C202,'Actuals - Billing - 2025'!$B202:$B1100,0),Match(E$1,'Actuals - Billing - 2025'!$B$2:$BA$2,0)))</f>
        <v/>
      </c>
      <c r="F202" s="11" t="str">
        <f t="array" ref="F202">if($C202="","",index('Actuals - Billing - 2025'!$B202:$BA1100,Match($C202,'Actuals - Billing - 2025'!$B202:$B1100,0),Match(F$1,'Actuals - Billing - 2025'!$B$2:$BA$2,0)))</f>
        <v/>
      </c>
      <c r="G202" s="11" t="str">
        <f t="array" ref="G202">if($C202="","",index('Actuals - Billing - 2025'!$B202:$BA1100,Match($C202,'Actuals - Billing - 2025'!$B202:$B1100,0),Match(G$1,'Actuals - Billing - 2025'!$B$2:$BA$2,0)))</f>
        <v/>
      </c>
      <c r="H202" s="11" t="str">
        <f t="array" ref="H202">if($C202="","",index('Actuals - Billing - 2025'!$B202:$BA1100,Match($C202,'Actuals - Billing - 2025'!$B202:$B1100,0),Match(H$1,'Actuals - Billing - 2025'!$B$2:$BA$2,0)))</f>
        <v/>
      </c>
      <c r="I202" s="11" t="str">
        <f t="array" ref="I202">if($C202="","",index('Actuals - Billing - 2025'!$B202:$BA1100,Match($C202,'Actuals - Billing - 2025'!$B202:$B1100,0),Match(I$1,'Actuals - Billing - 2025'!$B$2:$BA$2,0)))</f>
        <v/>
      </c>
      <c r="J202" s="11" t="str">
        <f t="shared" si="2"/>
        <v/>
      </c>
      <c r="K202" s="149" t="str">
        <f t="shared" si="3"/>
        <v/>
      </c>
      <c r="L202" s="1" t="str">
        <f t="shared" si="4"/>
        <v/>
      </c>
      <c r="M202" s="4" t="str">
        <f t="shared" si="5"/>
        <v/>
      </c>
      <c r="N202" s="17" t="str">
        <f>if(M202&lt;&gt;"",'Actuals - Billing - 2025'!BG434,"")</f>
        <v/>
      </c>
    </row>
    <row r="203">
      <c r="A203" s="7" t="str">
        <f t="shared" si="1"/>
        <v/>
      </c>
      <c r="B203" s="8" t="str">
        <f>if(and('Actuals - Billing - 2025'!E$261=True,C203&lt;&gt;""),'Actuals - Billing - 2025'!C435,"")</f>
        <v/>
      </c>
      <c r="C203" s="9" t="str">
        <f>IF(sum('Actuals - Billing - 2025'!AR435:BA435)&gt;0,'Actuals - Billing - 2025'!B435,"")</f>
        <v/>
      </c>
      <c r="D203" s="148" t="str">
        <f>if(or(E203&lt;&gt;"",F203&lt;&gt;""),'Actuals - Billing - 2025'!AU203,if(G203&lt;&gt;"",35,if(H203&lt;&gt;"",'Actuals - Billing - 2025'!AY203,if(I203&lt;&gt;"",'Actuals - Billing - 2025'!BA203,""))))</f>
        <v/>
      </c>
      <c r="E203" s="11" t="str">
        <f t="array" ref="E203">if($C203="","",index('Actuals - Billing - 2025'!$B203:$BA1101,Match($C203,'Actuals - Billing - 2025'!$B203:$B1101,0),Match(E$1,'Actuals - Billing - 2025'!$B$2:$BA$2,0)))</f>
        <v/>
      </c>
      <c r="F203" s="11" t="str">
        <f t="array" ref="F203">if($C203="","",index('Actuals - Billing - 2025'!$B203:$BA1101,Match($C203,'Actuals - Billing - 2025'!$B203:$B1101,0),Match(F$1,'Actuals - Billing - 2025'!$B$2:$BA$2,0)))</f>
        <v/>
      </c>
      <c r="G203" s="11" t="str">
        <f t="array" ref="G203">if($C203="","",index('Actuals - Billing - 2025'!$B203:$BA1101,Match($C203,'Actuals - Billing - 2025'!$B203:$B1101,0),Match(G$1,'Actuals - Billing - 2025'!$B$2:$BA$2,0)))</f>
        <v/>
      </c>
      <c r="H203" s="11" t="str">
        <f t="array" ref="H203">if($C203="","",index('Actuals - Billing - 2025'!$B203:$BA1101,Match($C203,'Actuals - Billing - 2025'!$B203:$B1101,0),Match(H$1,'Actuals - Billing - 2025'!$B$2:$BA$2,0)))</f>
        <v/>
      </c>
      <c r="I203" s="11" t="str">
        <f t="array" ref="I203">if($C203="","",index('Actuals - Billing - 2025'!$B203:$BA1101,Match($C203,'Actuals - Billing - 2025'!$B203:$B1101,0),Match(I$1,'Actuals - Billing - 2025'!$B$2:$BA$2,0)))</f>
        <v/>
      </c>
      <c r="J203" s="11" t="str">
        <f t="shared" si="2"/>
        <v/>
      </c>
      <c r="K203" s="149" t="str">
        <f t="shared" si="3"/>
        <v/>
      </c>
      <c r="L203" s="1" t="str">
        <f t="shared" si="4"/>
        <v/>
      </c>
      <c r="M203" s="4" t="str">
        <f t="shared" si="5"/>
        <v/>
      </c>
      <c r="N203" s="17" t="str">
        <f>if(M203&lt;&gt;"",'Actuals - Billing - 2025'!BG435,"")</f>
        <v/>
      </c>
    </row>
    <row r="204">
      <c r="A204" s="7" t="str">
        <f t="shared" si="1"/>
        <v/>
      </c>
      <c r="B204" s="8" t="str">
        <f>if(and('Actuals - Billing - 2025'!E$261=True,C204&lt;&gt;""),'Actuals - Billing - 2025'!C436,"")</f>
        <v/>
      </c>
      <c r="C204" s="9" t="str">
        <f>IF(sum('Actuals - Billing - 2025'!AR436:BA436)&gt;0,'Actuals - Billing - 2025'!B436,"")</f>
        <v/>
      </c>
      <c r="D204" s="148" t="str">
        <f>if(or(E204&lt;&gt;"",F204&lt;&gt;""),'Actuals - Billing - 2025'!AU204,if(G204&lt;&gt;"",35,if(H204&lt;&gt;"",'Actuals - Billing - 2025'!AY204,if(I204&lt;&gt;"",'Actuals - Billing - 2025'!BA204,""))))</f>
        <v/>
      </c>
      <c r="E204" s="11" t="str">
        <f t="array" ref="E204">if($C204="","",index('Actuals - Billing - 2025'!$B204:$BA1102,Match($C204,'Actuals - Billing - 2025'!$B204:$B1102,0),Match(E$1,'Actuals - Billing - 2025'!$B$2:$BA$2,0)))</f>
        <v/>
      </c>
      <c r="F204" s="11" t="str">
        <f t="array" ref="F204">if($C204="","",index('Actuals - Billing - 2025'!$B204:$BA1102,Match($C204,'Actuals - Billing - 2025'!$B204:$B1102,0),Match(F$1,'Actuals - Billing - 2025'!$B$2:$BA$2,0)))</f>
        <v/>
      </c>
      <c r="G204" s="11" t="str">
        <f t="array" ref="G204">if($C204="","",index('Actuals - Billing - 2025'!$B204:$BA1102,Match($C204,'Actuals - Billing - 2025'!$B204:$B1102,0),Match(G$1,'Actuals - Billing - 2025'!$B$2:$BA$2,0)))</f>
        <v/>
      </c>
      <c r="H204" s="11" t="str">
        <f t="array" ref="H204">if($C204="","",index('Actuals - Billing - 2025'!$B204:$BA1102,Match($C204,'Actuals - Billing - 2025'!$B204:$B1102,0),Match(H$1,'Actuals - Billing - 2025'!$B$2:$BA$2,0)))</f>
        <v/>
      </c>
      <c r="I204" s="11" t="str">
        <f t="array" ref="I204">if($C204="","",index('Actuals - Billing - 2025'!$B204:$BA1102,Match($C204,'Actuals - Billing - 2025'!$B204:$B1102,0),Match(I$1,'Actuals - Billing - 2025'!$B$2:$BA$2,0)))</f>
        <v/>
      </c>
      <c r="J204" s="11" t="str">
        <f t="shared" si="2"/>
        <v/>
      </c>
      <c r="K204" s="149" t="str">
        <f t="shared" si="3"/>
        <v/>
      </c>
      <c r="L204" s="1" t="str">
        <f t="shared" si="4"/>
        <v/>
      </c>
      <c r="M204" s="4" t="str">
        <f t="shared" si="5"/>
        <v/>
      </c>
      <c r="N204" s="17" t="str">
        <f>if(M204&lt;&gt;"",'Actuals - Billing - 2025'!BG436,"")</f>
        <v/>
      </c>
    </row>
    <row r="205">
      <c r="A205" s="7" t="str">
        <f t="shared" si="1"/>
        <v/>
      </c>
      <c r="B205" s="8" t="str">
        <f>if(and('Actuals - Billing - 2025'!E$261=True,C205&lt;&gt;""),'Actuals - Billing - 2025'!C437,"")</f>
        <v/>
      </c>
      <c r="C205" s="9" t="str">
        <f>IF(sum('Actuals - Billing - 2025'!AR437:BA437)&gt;0,'Actuals - Billing - 2025'!B437,"")</f>
        <v/>
      </c>
      <c r="D205" s="148" t="str">
        <f>if(or(E205&lt;&gt;"",F205&lt;&gt;""),'Actuals - Billing - 2025'!AU205,if(G205&lt;&gt;"",35,if(H205&lt;&gt;"",'Actuals - Billing - 2025'!AY205,if(I205&lt;&gt;"",'Actuals - Billing - 2025'!BA205,""))))</f>
        <v/>
      </c>
      <c r="E205" s="11" t="str">
        <f t="array" ref="E205">if($C205="","",index('Actuals - Billing - 2025'!$B205:$BA1103,Match($C205,'Actuals - Billing - 2025'!$B205:$B1103,0),Match(E$1,'Actuals - Billing - 2025'!$B$2:$BA$2,0)))</f>
        <v/>
      </c>
      <c r="F205" s="11" t="str">
        <f t="array" ref="F205">if($C205="","",index('Actuals - Billing - 2025'!$B205:$BA1103,Match($C205,'Actuals - Billing - 2025'!$B205:$B1103,0),Match(F$1,'Actuals - Billing - 2025'!$B$2:$BA$2,0)))</f>
        <v/>
      </c>
      <c r="G205" s="11" t="str">
        <f t="array" ref="G205">if($C205="","",index('Actuals - Billing - 2025'!$B205:$BA1103,Match($C205,'Actuals - Billing - 2025'!$B205:$B1103,0),Match(G$1,'Actuals - Billing - 2025'!$B$2:$BA$2,0)))</f>
        <v/>
      </c>
      <c r="H205" s="11" t="str">
        <f t="array" ref="H205">if($C205="","",index('Actuals - Billing - 2025'!$B205:$BA1103,Match($C205,'Actuals - Billing - 2025'!$B205:$B1103,0),Match(H$1,'Actuals - Billing - 2025'!$B$2:$BA$2,0)))</f>
        <v/>
      </c>
      <c r="I205" s="11" t="str">
        <f t="array" ref="I205">if($C205="","",index('Actuals - Billing - 2025'!$B205:$BA1103,Match($C205,'Actuals - Billing - 2025'!$B205:$B1103,0),Match(I$1,'Actuals - Billing - 2025'!$B$2:$BA$2,0)))</f>
        <v/>
      </c>
      <c r="J205" s="11" t="str">
        <f t="shared" si="2"/>
        <v/>
      </c>
      <c r="K205" s="149" t="str">
        <f t="shared" si="3"/>
        <v/>
      </c>
      <c r="L205" s="1" t="str">
        <f t="shared" si="4"/>
        <v/>
      </c>
      <c r="M205" s="4" t="str">
        <f t="shared" si="5"/>
        <v/>
      </c>
      <c r="N205" s="17" t="str">
        <f>if(M205&lt;&gt;"",'Actuals - Billing - 2025'!BG437,"")</f>
        <v/>
      </c>
    </row>
    <row r="206">
      <c r="A206" s="7" t="str">
        <f t="shared" si="1"/>
        <v/>
      </c>
      <c r="B206" s="8" t="str">
        <f>if(and('Actuals - Billing - 2025'!E$261=True,C206&lt;&gt;""),'Actuals - Billing - 2025'!C438,"")</f>
        <v/>
      </c>
      <c r="C206" s="9" t="str">
        <f>IF(sum('Actuals - Billing - 2025'!AR438:BA438)&gt;0,'Actuals - Billing - 2025'!B438,"")</f>
        <v/>
      </c>
      <c r="D206" s="148" t="str">
        <f>if(or(E206&lt;&gt;"",F206&lt;&gt;""),'Actuals - Billing - 2025'!AU206,if(G206&lt;&gt;"",35,if(H206&lt;&gt;"",'Actuals - Billing - 2025'!AY206,if(I206&lt;&gt;"",'Actuals - Billing - 2025'!BA206,""))))</f>
        <v/>
      </c>
      <c r="E206" s="11" t="str">
        <f t="array" ref="E206">if($C206="","",index('Actuals - Billing - 2025'!$B206:$BA1104,Match($C206,'Actuals - Billing - 2025'!$B206:$B1104,0),Match(E$1,'Actuals - Billing - 2025'!$B$2:$BA$2,0)))</f>
        <v/>
      </c>
      <c r="F206" s="11" t="str">
        <f t="array" ref="F206">if($C206="","",index('Actuals - Billing - 2025'!$B206:$BA1104,Match($C206,'Actuals - Billing - 2025'!$B206:$B1104,0),Match(F$1,'Actuals - Billing - 2025'!$B$2:$BA$2,0)))</f>
        <v/>
      </c>
      <c r="G206" s="11" t="str">
        <f t="array" ref="G206">if($C206="","",index('Actuals - Billing - 2025'!$B206:$BA1104,Match($C206,'Actuals - Billing - 2025'!$B206:$B1104,0),Match(G$1,'Actuals - Billing - 2025'!$B$2:$BA$2,0)))</f>
        <v/>
      </c>
      <c r="H206" s="11" t="str">
        <f t="array" ref="H206">if($C206="","",index('Actuals - Billing - 2025'!$B206:$BA1104,Match($C206,'Actuals - Billing - 2025'!$B206:$B1104,0),Match(H$1,'Actuals - Billing - 2025'!$B$2:$BA$2,0)))</f>
        <v/>
      </c>
      <c r="I206" s="11" t="str">
        <f t="array" ref="I206">if($C206="","",index('Actuals - Billing - 2025'!$B206:$BA1104,Match($C206,'Actuals - Billing - 2025'!$B206:$B1104,0),Match(I$1,'Actuals - Billing - 2025'!$B$2:$BA$2,0)))</f>
        <v/>
      </c>
      <c r="J206" s="11" t="str">
        <f t="shared" si="2"/>
        <v/>
      </c>
      <c r="K206" s="149" t="str">
        <f t="shared" si="3"/>
        <v/>
      </c>
      <c r="L206" s="1" t="str">
        <f t="shared" si="4"/>
        <v/>
      </c>
      <c r="M206" s="4" t="str">
        <f t="shared" si="5"/>
        <v/>
      </c>
      <c r="N206" s="17" t="str">
        <f>if(M206&lt;&gt;"",'Actuals - Billing - 2025'!BG438,"")</f>
        <v/>
      </c>
    </row>
    <row r="207">
      <c r="A207" s="7" t="str">
        <f t="shared" si="1"/>
        <v/>
      </c>
      <c r="B207" s="8" t="str">
        <f>if(and('Actuals - Billing - 2025'!E$261=True,C207&lt;&gt;""),'Actuals - Billing - 2025'!C439,"")</f>
        <v/>
      </c>
      <c r="C207" s="9" t="str">
        <f>IF(sum('Actuals - Billing - 2025'!AR439:BA439)&gt;0,'Actuals - Billing - 2025'!B439,"")</f>
        <v/>
      </c>
      <c r="D207" s="148" t="str">
        <f>if(or(E207&lt;&gt;"",F207&lt;&gt;""),'Actuals - Billing - 2025'!AU207,if(G207&lt;&gt;"",35,if(H207&lt;&gt;"",'Actuals - Billing - 2025'!AY207,if(I207&lt;&gt;"",'Actuals - Billing - 2025'!BA207,""))))</f>
        <v/>
      </c>
      <c r="E207" s="11" t="str">
        <f t="array" ref="E207">if($C207="","",index('Actuals - Billing - 2025'!$B207:$BA1105,Match($C207,'Actuals - Billing - 2025'!$B207:$B1105,0),Match(E$1,'Actuals - Billing - 2025'!$B$2:$BA$2,0)))</f>
        <v/>
      </c>
      <c r="F207" s="11" t="str">
        <f t="array" ref="F207">if($C207="","",index('Actuals - Billing - 2025'!$B207:$BA1105,Match($C207,'Actuals - Billing - 2025'!$B207:$B1105,0),Match(F$1,'Actuals - Billing - 2025'!$B$2:$BA$2,0)))</f>
        <v/>
      </c>
      <c r="G207" s="11" t="str">
        <f t="array" ref="G207">if($C207="","",index('Actuals - Billing - 2025'!$B207:$BA1105,Match($C207,'Actuals - Billing - 2025'!$B207:$B1105,0),Match(G$1,'Actuals - Billing - 2025'!$B$2:$BA$2,0)))</f>
        <v/>
      </c>
      <c r="H207" s="11" t="str">
        <f t="array" ref="H207">if($C207="","",index('Actuals - Billing - 2025'!$B207:$BA1105,Match($C207,'Actuals - Billing - 2025'!$B207:$B1105,0),Match(H$1,'Actuals - Billing - 2025'!$B$2:$BA$2,0)))</f>
        <v/>
      </c>
      <c r="I207" s="11" t="str">
        <f t="array" ref="I207">if($C207="","",index('Actuals - Billing - 2025'!$B207:$BA1105,Match($C207,'Actuals - Billing - 2025'!$B207:$B1105,0),Match(I$1,'Actuals - Billing - 2025'!$B$2:$BA$2,0)))</f>
        <v/>
      </c>
      <c r="J207" s="11" t="str">
        <f t="shared" si="2"/>
        <v/>
      </c>
      <c r="K207" s="149" t="str">
        <f t="shared" si="3"/>
        <v/>
      </c>
      <c r="L207" s="1" t="str">
        <f t="shared" si="4"/>
        <v/>
      </c>
      <c r="M207" s="4" t="str">
        <f t="shared" si="5"/>
        <v/>
      </c>
      <c r="N207" s="17" t="str">
        <f>if(M207&lt;&gt;"",'Actuals - Billing - 2025'!BG439,"")</f>
        <v/>
      </c>
    </row>
    <row r="208">
      <c r="A208" s="7" t="str">
        <f t="shared" si="1"/>
        <v/>
      </c>
      <c r="B208" s="8" t="str">
        <f>if(and('Actuals - Billing - 2025'!E$261=True,C208&lt;&gt;""),'Actuals - Billing - 2025'!C440,"")</f>
        <v/>
      </c>
      <c r="C208" s="9" t="str">
        <f>IF(sum('Actuals - Billing - 2025'!AR440:BA440)&gt;0,'Actuals - Billing - 2025'!B440,"")</f>
        <v/>
      </c>
      <c r="D208" s="148" t="str">
        <f>if(or(E208&lt;&gt;"",F208&lt;&gt;""),'Actuals - Billing - 2025'!AU208,if(G208&lt;&gt;"",35,if(H208&lt;&gt;"",'Actuals - Billing - 2025'!AY208,if(I208&lt;&gt;"",'Actuals - Billing - 2025'!BA208,""))))</f>
        <v/>
      </c>
      <c r="E208" s="11" t="str">
        <f t="array" ref="E208">if($C208="","",index('Actuals - Billing - 2025'!$B208:$BA1106,Match($C208,'Actuals - Billing - 2025'!$B208:$B1106,0),Match(E$1,'Actuals - Billing - 2025'!$B$2:$BA$2,0)))</f>
        <v/>
      </c>
      <c r="F208" s="11" t="str">
        <f t="array" ref="F208">if($C208="","",index('Actuals - Billing - 2025'!$B208:$BA1106,Match($C208,'Actuals - Billing - 2025'!$B208:$B1106,0),Match(F$1,'Actuals - Billing - 2025'!$B$2:$BA$2,0)))</f>
        <v/>
      </c>
      <c r="G208" s="11" t="str">
        <f t="array" ref="G208">if($C208="","",index('Actuals - Billing - 2025'!$B208:$BA1106,Match($C208,'Actuals - Billing - 2025'!$B208:$B1106,0),Match(G$1,'Actuals - Billing - 2025'!$B$2:$BA$2,0)))</f>
        <v/>
      </c>
      <c r="H208" s="11" t="str">
        <f t="array" ref="H208">if($C208="","",index('Actuals - Billing - 2025'!$B208:$BA1106,Match($C208,'Actuals - Billing - 2025'!$B208:$B1106,0),Match(H$1,'Actuals - Billing - 2025'!$B$2:$BA$2,0)))</f>
        <v/>
      </c>
      <c r="I208" s="11" t="str">
        <f t="array" ref="I208">if($C208="","",index('Actuals - Billing - 2025'!$B208:$BA1106,Match($C208,'Actuals - Billing - 2025'!$B208:$B1106,0),Match(I$1,'Actuals - Billing - 2025'!$B$2:$BA$2,0)))</f>
        <v/>
      </c>
      <c r="J208" s="11" t="str">
        <f t="shared" si="2"/>
        <v/>
      </c>
      <c r="K208" s="149" t="str">
        <f t="shared" si="3"/>
        <v/>
      </c>
      <c r="L208" s="1" t="str">
        <f t="shared" si="4"/>
        <v/>
      </c>
      <c r="M208" s="4" t="str">
        <f t="shared" si="5"/>
        <v/>
      </c>
      <c r="N208" s="17" t="str">
        <f>if(M208&lt;&gt;"",'Actuals - Billing - 2025'!BG440,"")</f>
        <v/>
      </c>
    </row>
    <row r="209">
      <c r="A209" s="7" t="str">
        <f t="shared" si="1"/>
        <v/>
      </c>
      <c r="B209" s="8" t="str">
        <f>if(and('Actuals - Billing - 2025'!E$261=True,C209&lt;&gt;""),'Actuals - Billing - 2025'!C441,"")</f>
        <v/>
      </c>
      <c r="C209" s="9" t="str">
        <f>IF(sum('Actuals - Billing - 2025'!AR441:BA441)&gt;0,'Actuals - Billing - 2025'!B441,"")</f>
        <v/>
      </c>
      <c r="D209" s="148" t="str">
        <f>if(or(E209&lt;&gt;"",F209&lt;&gt;""),'Actuals - Billing - 2025'!AU209,if(G209&lt;&gt;"",35,if(H209&lt;&gt;"",'Actuals - Billing - 2025'!AY209,if(I209&lt;&gt;"",'Actuals - Billing - 2025'!BA209,""))))</f>
        <v/>
      </c>
      <c r="E209" s="11" t="str">
        <f t="array" ref="E209">if($C209="","",index('Actuals - Billing - 2025'!$B209:$BA1107,Match($C209,'Actuals - Billing - 2025'!$B209:$B1107,0),Match(E$1,'Actuals - Billing - 2025'!$B$2:$BA$2,0)))</f>
        <v/>
      </c>
      <c r="F209" s="11" t="str">
        <f t="array" ref="F209">if($C209="","",index('Actuals - Billing - 2025'!$B209:$BA1107,Match($C209,'Actuals - Billing - 2025'!$B209:$B1107,0),Match(F$1,'Actuals - Billing - 2025'!$B$2:$BA$2,0)))</f>
        <v/>
      </c>
      <c r="G209" s="11" t="str">
        <f t="array" ref="G209">if($C209="","",index('Actuals - Billing - 2025'!$B209:$BA1107,Match($C209,'Actuals - Billing - 2025'!$B209:$B1107,0),Match(G$1,'Actuals - Billing - 2025'!$B$2:$BA$2,0)))</f>
        <v/>
      </c>
      <c r="H209" s="11" t="str">
        <f t="array" ref="H209">if($C209="","",index('Actuals - Billing - 2025'!$B209:$BA1107,Match($C209,'Actuals - Billing - 2025'!$B209:$B1107,0),Match(H$1,'Actuals - Billing - 2025'!$B$2:$BA$2,0)))</f>
        <v/>
      </c>
      <c r="I209" s="11" t="str">
        <f t="array" ref="I209">if($C209="","",index('Actuals - Billing - 2025'!$B209:$BA1107,Match($C209,'Actuals - Billing - 2025'!$B209:$B1107,0),Match(I$1,'Actuals - Billing - 2025'!$B$2:$BA$2,0)))</f>
        <v/>
      </c>
      <c r="J209" s="11" t="str">
        <f t="shared" si="2"/>
        <v/>
      </c>
      <c r="K209" s="149" t="str">
        <f t="shared" si="3"/>
        <v/>
      </c>
      <c r="L209" s="1" t="str">
        <f t="shared" si="4"/>
        <v/>
      </c>
      <c r="M209" s="4" t="str">
        <f t="shared" si="5"/>
        <v/>
      </c>
      <c r="N209" s="17" t="str">
        <f>if(M209&lt;&gt;"",'Actuals - Billing - 2025'!BG441,"")</f>
        <v/>
      </c>
    </row>
    <row r="210">
      <c r="A210" s="7" t="str">
        <f t="shared" si="1"/>
        <v/>
      </c>
      <c r="B210" s="8" t="str">
        <f>if(and('Actuals - Billing - 2025'!E$261=True,C210&lt;&gt;""),'Actuals - Billing - 2025'!C442,"")</f>
        <v/>
      </c>
      <c r="C210" s="9" t="str">
        <f>IF(sum('Actuals - Billing - 2025'!AR442:BA442)&gt;0,'Actuals - Billing - 2025'!B442,"")</f>
        <v/>
      </c>
      <c r="D210" s="148" t="str">
        <f>if(or(E210&lt;&gt;"",F210&lt;&gt;""),'Actuals - Billing - 2025'!AU210,if(G210&lt;&gt;"",35,if(H210&lt;&gt;"",'Actuals - Billing - 2025'!AY210,if(I210&lt;&gt;"",'Actuals - Billing - 2025'!BA210,""))))</f>
        <v/>
      </c>
      <c r="E210" s="11" t="str">
        <f t="array" ref="E210">if($C210="","",index('Actuals - Billing - 2025'!$B210:$BA1108,Match($C210,'Actuals - Billing - 2025'!$B210:$B1108,0),Match(E$1,'Actuals - Billing - 2025'!$B$2:$BA$2,0)))</f>
        <v/>
      </c>
      <c r="F210" s="11" t="str">
        <f t="array" ref="F210">if($C210="","",index('Actuals - Billing - 2025'!$B210:$BA1108,Match($C210,'Actuals - Billing - 2025'!$B210:$B1108,0),Match(F$1,'Actuals - Billing - 2025'!$B$2:$BA$2,0)))</f>
        <v/>
      </c>
      <c r="G210" s="11" t="str">
        <f t="array" ref="G210">if($C210="","",index('Actuals - Billing - 2025'!$B210:$BA1108,Match($C210,'Actuals - Billing - 2025'!$B210:$B1108,0),Match(G$1,'Actuals - Billing - 2025'!$B$2:$BA$2,0)))</f>
        <v/>
      </c>
      <c r="H210" s="11" t="str">
        <f t="array" ref="H210">if($C210="","",index('Actuals - Billing - 2025'!$B210:$BA1108,Match($C210,'Actuals - Billing - 2025'!$B210:$B1108,0),Match(H$1,'Actuals - Billing - 2025'!$B$2:$BA$2,0)))</f>
        <v/>
      </c>
      <c r="I210" s="11" t="str">
        <f t="array" ref="I210">if($C210="","",index('Actuals - Billing - 2025'!$B210:$BA1108,Match($C210,'Actuals - Billing - 2025'!$B210:$B1108,0),Match(I$1,'Actuals - Billing - 2025'!$B$2:$BA$2,0)))</f>
        <v/>
      </c>
      <c r="J210" s="11" t="str">
        <f t="shared" si="2"/>
        <v/>
      </c>
      <c r="K210" s="149" t="str">
        <f t="shared" si="3"/>
        <v/>
      </c>
      <c r="L210" s="1" t="str">
        <f t="shared" si="4"/>
        <v/>
      </c>
      <c r="M210" s="4" t="str">
        <f t="shared" si="5"/>
        <v/>
      </c>
      <c r="N210" s="17" t="str">
        <f>if(M210&lt;&gt;"",'Actuals - Billing - 2025'!BG442,"")</f>
        <v/>
      </c>
    </row>
    <row r="211">
      <c r="A211" s="7" t="str">
        <f t="shared" si="1"/>
        <v/>
      </c>
      <c r="B211" s="8" t="str">
        <f>if(and('Actuals - Billing - 2025'!E$261=True,C211&lt;&gt;""),'Actuals - Billing - 2025'!C443,"")</f>
        <v/>
      </c>
      <c r="C211" s="9" t="str">
        <f>IF(sum('Actuals - Billing - 2025'!AR443:BA443)&gt;0,'Actuals - Billing - 2025'!B443,"")</f>
        <v/>
      </c>
      <c r="M211" s="4" t="str">
        <f t="shared" si="5"/>
        <v/>
      </c>
      <c r="N211" s="17" t="str">
        <f>if(M211&lt;&gt;"",'Actuals - Billing - 2025'!BG443,"")</f>
        <v/>
      </c>
    </row>
    <row r="212">
      <c r="A212" s="7" t="str">
        <f t="shared" si="1"/>
        <v/>
      </c>
      <c r="B212" s="8" t="str">
        <f>if(and('Actuals - Billing - 2025'!E$261=True,C212&lt;&gt;""),'Actuals - Billing - 2025'!C444,"")</f>
        <v/>
      </c>
      <c r="C212" s="9" t="str">
        <f>IF(sum('Actuals - Billing - 2025'!AR444:BA444)&gt;0,'Actuals - Billing - 2025'!B444,"")</f>
        <v/>
      </c>
      <c r="M212" s="4" t="str">
        <f t="shared" si="5"/>
        <v/>
      </c>
      <c r="N212" s="17" t="str">
        <f>if(M212&lt;&gt;"",'Actuals - Billing - 2025'!BG444,"")</f>
        <v/>
      </c>
    </row>
    <row r="213">
      <c r="B213" s="8" t="str">
        <f>if(and('Actuals - Billing - 2025'!E$261=True,C213&lt;&gt;""),'Actuals - Billing - 2025'!C445,"")</f>
        <v/>
      </c>
      <c r="C213" s="9" t="str">
        <f>IF(sum('Actuals - Billing - 2025'!AR445:BA445)&gt;0,'Actuals - Billing - 2025'!B445,"")</f>
        <v/>
      </c>
      <c r="M213" s="4" t="str">
        <f t="shared" si="5"/>
        <v/>
      </c>
      <c r="N213" s="17" t="str">
        <f>if(M213&lt;&gt;"",'Actuals - Billing - 2025'!BG445,"")</f>
        <v/>
      </c>
    </row>
    <row r="214">
      <c r="B214" s="8" t="str">
        <f>if(and('Actuals - Billing - 2025'!E$261=True,C214&lt;&gt;""),'Actuals - Billing - 2025'!C446,"")</f>
        <v/>
      </c>
      <c r="C214" s="9" t="str">
        <f>IF(sum('Actuals - Billing - 2025'!AR446:BA446)&gt;0,'Actuals - Billing - 2025'!B446,"")</f>
        <v/>
      </c>
      <c r="M214" s="4" t="str">
        <f t="shared" si="5"/>
        <v/>
      </c>
      <c r="N214" s="17" t="str">
        <f>if(M214&lt;&gt;"",'Actuals - Billing - 2025'!BG446,"")</f>
        <v/>
      </c>
    </row>
    <row r="215">
      <c r="B215" s="8" t="str">
        <f>if(and('Actuals - Billing - 2025'!E$261=True,C215&lt;&gt;""),'Actuals - Billing - 2025'!C447,"")</f>
        <v/>
      </c>
      <c r="C215" s="9" t="str">
        <f>IF(sum('Actuals - Billing - 2025'!AR447:BA447)&gt;0,'Actuals - Billing - 2025'!B447,"")</f>
        <v/>
      </c>
      <c r="M215" s="4" t="str">
        <f t="shared" si="5"/>
        <v/>
      </c>
      <c r="N215" s="17" t="str">
        <f>if(M215&lt;&gt;"",'Actuals - Billing - 2025'!BG447,"")</f>
        <v/>
      </c>
    </row>
    <row r="216">
      <c r="B216" s="8" t="str">
        <f>if(and('Actuals - Billing - 2025'!E$261=True,C216&lt;&gt;""),'Actuals - Billing - 2025'!C448,"")</f>
        <v/>
      </c>
      <c r="C216" s="9" t="str">
        <f>IF(sum('Actuals - Billing - 2025'!AR448:BA448)&gt;0,'Actuals - Billing - 2025'!B448,"")</f>
        <v/>
      </c>
      <c r="M216" s="4" t="str">
        <f t="shared" si="5"/>
        <v/>
      </c>
      <c r="N216" s="17" t="str">
        <f>if(M216&lt;&gt;"",'Actuals - Billing - 2025'!BG448,"")</f>
        <v/>
      </c>
    </row>
    <row r="217">
      <c r="B217" s="8" t="str">
        <f>if(and('Actuals - Billing - 2025'!E$261=True,C217&lt;&gt;""),'Actuals - Billing - 2025'!C449,"")</f>
        <v/>
      </c>
      <c r="C217" s="9" t="str">
        <f>IF(sum('Actuals - Billing - 2025'!AR449:BA449)&gt;0,'Actuals - Billing - 2025'!B449,"")</f>
        <v/>
      </c>
      <c r="M217" s="4" t="str">
        <f t="shared" si="5"/>
        <v/>
      </c>
      <c r="N217" s="17" t="str">
        <f>if(M217&lt;&gt;"",'Actuals - Billing - 2025'!BG449,"")</f>
        <v/>
      </c>
    </row>
    <row r="218">
      <c r="B218" s="8" t="str">
        <f>if(and('Actuals - Billing - 2025'!E$261=True,C218&lt;&gt;""),'Actuals - Billing - 2025'!C450,"")</f>
        <v/>
      </c>
      <c r="C218" s="9" t="str">
        <f>IF(sum('Actuals - Billing - 2025'!AR450:BA450)&gt;0,'Actuals - Billing - 2025'!B450,"")</f>
        <v/>
      </c>
      <c r="M218" s="4" t="str">
        <f t="shared" si="5"/>
        <v/>
      </c>
      <c r="N218" s="17" t="str">
        <f>if(M218&lt;&gt;"",'Actuals - Billing - 2025'!BG450,"")</f>
        <v/>
      </c>
    </row>
    <row r="219">
      <c r="B219" s="8" t="str">
        <f>if(and('Actuals - Billing - 2025'!E$261=True,C219&lt;&gt;""),'Actuals - Billing - 2025'!C451,"")</f>
        <v/>
      </c>
      <c r="C219" s="9" t="str">
        <f>IF(sum('Actuals - Billing - 2025'!AR451:BA451)&gt;0,'Actuals - Billing - 2025'!B451,"")</f>
        <v/>
      </c>
      <c r="M219" s="4" t="str">
        <f t="shared" si="5"/>
        <v/>
      </c>
      <c r="N219" s="17" t="str">
        <f>if(M219&lt;&gt;"",'Actuals - Billing - 2025'!BG451,"")</f>
        <v/>
      </c>
    </row>
    <row r="220">
      <c r="B220" s="8" t="str">
        <f>if(and('Actuals - Billing - 2025'!E$261=True,C220&lt;&gt;""),'Actuals - Billing - 2025'!C452,"")</f>
        <v/>
      </c>
      <c r="C220" s="9" t="str">
        <f>IF(sum('Actuals - Billing - 2025'!AR452:BA452)&gt;0,'Actuals - Billing - 2025'!B452,"")</f>
        <v/>
      </c>
      <c r="M220" s="4" t="str">
        <f t="shared" si="5"/>
        <v/>
      </c>
      <c r="N220" s="17" t="str">
        <f>if(M220&lt;&gt;"",'Actuals - Billing - 2025'!BG452,"")</f>
        <v/>
      </c>
    </row>
    <row r="221">
      <c r="B221" s="8" t="str">
        <f>if(and('Actuals - Billing - 2025'!E$261=True,C221&lt;&gt;""),'Actuals - Billing - 2025'!C453,"")</f>
        <v/>
      </c>
      <c r="C221" s="9" t="str">
        <f>IF(sum('Actuals - Billing - 2025'!AR453:BA453)&gt;0,'Actuals - Billing - 2025'!B453,"")</f>
        <v/>
      </c>
      <c r="M221" s="4" t="str">
        <f t="shared" si="5"/>
        <v/>
      </c>
      <c r="N221" s="17" t="str">
        <f>if(M221&lt;&gt;"",'Actuals - Billing - 2025'!BG453,"")</f>
        <v/>
      </c>
    </row>
    <row r="222">
      <c r="B222" s="8" t="str">
        <f>if(and('Actuals - Billing - 2025'!E$261=True,C222&lt;&gt;""),'Actuals - Billing - 2025'!C454,"")</f>
        <v/>
      </c>
      <c r="C222" s="9" t="str">
        <f>IF(sum('Actuals - Billing - 2025'!AR454:BA454)&gt;0,'Actuals - Billing - 2025'!B454,"")</f>
        <v/>
      </c>
      <c r="M222" s="4" t="str">
        <f t="shared" si="5"/>
        <v/>
      </c>
      <c r="N222" s="17" t="str">
        <f>if(M222&lt;&gt;"",'Actuals - Billing - 2025'!BG454,"")</f>
        <v/>
      </c>
    </row>
    <row r="223">
      <c r="B223" s="8" t="str">
        <f>if(and('Actuals - Billing - 2025'!E$261=True,C223&lt;&gt;""),'Actuals - Billing - 2025'!C455,"")</f>
        <v/>
      </c>
      <c r="C223" s="9" t="str">
        <f>IF(sum('Actuals - Billing - 2025'!AR455:BA455)&gt;0,'Actuals - Billing - 2025'!B455,"")</f>
        <v/>
      </c>
      <c r="M223" s="4" t="str">
        <f t="shared" si="5"/>
        <v/>
      </c>
      <c r="N223" s="17" t="str">
        <f>if(M223&lt;&gt;"",'Actuals - Billing - 2025'!BG455,"")</f>
        <v/>
      </c>
    </row>
    <row r="224">
      <c r="B224" s="8" t="str">
        <f>if(and('Actuals - Billing - 2025'!E$261=True,C224&lt;&gt;""),'Actuals - Billing - 2025'!C456,"")</f>
        <v/>
      </c>
      <c r="C224" s="9" t="str">
        <f>IF(sum('Actuals - Billing - 2025'!AR456:BA456)&gt;0,'Actuals - Billing - 2025'!B456,"")</f>
        <v/>
      </c>
      <c r="M224" s="4" t="str">
        <f t="shared" si="5"/>
        <v/>
      </c>
      <c r="N224" s="17" t="str">
        <f>if(M224&lt;&gt;"",'Actuals - Billing - 2025'!BG456,"")</f>
        <v/>
      </c>
    </row>
    <row r="225">
      <c r="B225" s="8" t="str">
        <f>if(and('Actuals - Billing - 2025'!E$261=True,C225&lt;&gt;""),'Actuals - Billing - 2025'!C457,"")</f>
        <v/>
      </c>
      <c r="C225" s="9" t="str">
        <f>IF(sum('Actuals - Billing - 2025'!AR457:BA457)&gt;0,'Actuals - Billing - 2025'!B457,"")</f>
        <v/>
      </c>
      <c r="M225" s="4" t="str">
        <f t="shared" si="5"/>
        <v/>
      </c>
      <c r="N225" s="17" t="str">
        <f>if(M225&lt;&gt;"",'Actuals - Billing - 2025'!BG457,"")</f>
        <v/>
      </c>
    </row>
    <row r="226">
      <c r="B226" s="8" t="str">
        <f>if(and('Actuals - Billing - 2025'!E$261=True,C226&lt;&gt;""),'Actuals - Billing - 2025'!C458,"")</f>
        <v/>
      </c>
      <c r="C226" s="9" t="str">
        <f>IF(sum('Actuals - Billing - 2025'!AR458:BA458)&gt;0,'Actuals - Billing - 2025'!B458,"")</f>
        <v/>
      </c>
      <c r="M226" s="4" t="str">
        <f t="shared" si="5"/>
        <v/>
      </c>
      <c r="N226" s="17" t="str">
        <f>if(M226&lt;&gt;"",'Actuals - Billing - 2025'!BG458,"")</f>
        <v/>
      </c>
    </row>
    <row r="227">
      <c r="B227" s="8" t="str">
        <f>if(and('Actuals - Billing - 2025'!E$261=True,C227&lt;&gt;""),'Actuals - Billing - 2025'!C459,"")</f>
        <v/>
      </c>
      <c r="C227" s="9" t="str">
        <f>IF(sum('Actuals - Billing - 2025'!AR459:BA459)&gt;0,'Actuals - Billing - 2025'!B459,"")</f>
        <v/>
      </c>
      <c r="M227" s="4" t="str">
        <f t="shared" si="5"/>
        <v/>
      </c>
      <c r="N227" s="17" t="str">
        <f>if(M227&lt;&gt;"",'Actuals - Billing - 2025'!BG459,"")</f>
        <v/>
      </c>
    </row>
    <row r="228">
      <c r="B228" s="8" t="str">
        <f>if(and('Actuals - Billing - 2025'!E$261=True,C228&lt;&gt;""),'Actuals - Billing - 2025'!C460,"")</f>
        <v/>
      </c>
      <c r="C228" s="9" t="str">
        <f>IF(sum('Actuals - Billing - 2025'!AR460:BA460)&gt;0,'Actuals - Billing - 2025'!B460,"")</f>
        <v/>
      </c>
      <c r="M228" s="4" t="str">
        <f t="shared" si="5"/>
        <v/>
      </c>
      <c r="N228" s="17" t="str">
        <f>if(M228&lt;&gt;"",'Actuals - Billing - 2025'!BG460,"")</f>
        <v/>
      </c>
    </row>
    <row r="229">
      <c r="B229" s="8" t="str">
        <f>if(and('Actuals - Billing - 2025'!E$261=True,C229&lt;&gt;""),'Actuals - Billing - 2025'!C461,"")</f>
        <v/>
      </c>
      <c r="C229" s="9" t="str">
        <f>IF(sum('Actuals - Billing - 2025'!AR461:BA461)&gt;0,'Actuals - Billing - 2025'!B461,"")</f>
        <v/>
      </c>
      <c r="M229" s="4" t="str">
        <f t="shared" si="5"/>
        <v/>
      </c>
      <c r="N229" s="17" t="str">
        <f>if(M229&lt;&gt;"",'Actuals - Billing - 2025'!BG461,"")</f>
        <v/>
      </c>
    </row>
    <row r="230">
      <c r="B230" s="8" t="str">
        <f>if(and('Actuals - Billing - 2025'!E$261=True,C230&lt;&gt;""),'Actuals - Billing - 2025'!C462,"")</f>
        <v/>
      </c>
      <c r="C230" s="9" t="str">
        <f>IF(sum('Actuals - Billing - 2025'!AR462:BA462)&gt;0,'Actuals - Billing - 2025'!B462,"")</f>
        <v/>
      </c>
      <c r="M230" s="4" t="str">
        <f t="shared" si="5"/>
        <v/>
      </c>
      <c r="N230" s="17" t="str">
        <f>if(M230&lt;&gt;"",'Actuals - Billing - 2025'!BG462,"")</f>
        <v/>
      </c>
    </row>
    <row r="231">
      <c r="B231" s="8" t="str">
        <f>if(and('Actuals - Billing - 2025'!E$261=True,C231&lt;&gt;""),'Actuals - Billing - 2025'!C463,"")</f>
        <v/>
      </c>
      <c r="C231" s="9" t="str">
        <f>IF(sum('Actuals - Billing - 2025'!AR463:BA463)&gt;0,'Actuals - Billing - 2025'!B463,"")</f>
        <v/>
      </c>
      <c r="M231" s="4" t="str">
        <f t="shared" si="5"/>
        <v/>
      </c>
      <c r="N231" s="17" t="str">
        <f>if(M231&lt;&gt;"",'Actuals - Billing - 2025'!BG463,"")</f>
        <v/>
      </c>
    </row>
    <row r="232">
      <c r="B232" s="8" t="str">
        <f>if(and('Actuals - Billing - 2025'!E$261=True,C232&lt;&gt;""),'Actuals - Billing - 2025'!C464,"")</f>
        <v/>
      </c>
      <c r="C232" s="9" t="str">
        <f>IF(sum('Actuals - Billing - 2025'!AR464:BA464)&gt;0,'Actuals - Billing - 2025'!B464,"")</f>
        <v/>
      </c>
      <c r="M232" s="4" t="str">
        <f t="shared" si="5"/>
        <v/>
      </c>
      <c r="N232" s="17" t="str">
        <f>if(M232&lt;&gt;"",'Actuals - Billing - 2025'!BG464,"")</f>
        <v/>
      </c>
    </row>
    <row r="233">
      <c r="B233" s="8" t="str">
        <f>if(and('Actuals - Billing - 2025'!E$261=True,C233&lt;&gt;""),'Actuals - Billing - 2025'!C465,"")</f>
        <v/>
      </c>
      <c r="C233" s="9" t="str">
        <f>IF(sum('Actuals - Billing - 2025'!AR465:BA465)&gt;0,'Actuals - Billing - 2025'!B465,"")</f>
        <v/>
      </c>
      <c r="M233" s="4" t="str">
        <f t="shared" si="5"/>
        <v/>
      </c>
      <c r="N233" s="17" t="str">
        <f>if(M233&lt;&gt;"",'Actuals - Billing - 2025'!BG465,"")</f>
        <v/>
      </c>
    </row>
    <row r="234">
      <c r="B234" s="8" t="str">
        <f>if(and('Actuals - Billing - 2025'!E$261=True,C234&lt;&gt;""),'Actuals - Billing - 2025'!C466,"")</f>
        <v/>
      </c>
      <c r="C234" s="9" t="str">
        <f>IF(sum('Actuals - Billing - 2025'!AR466:BA466)&gt;0,'Actuals - Billing - 2025'!B466,"")</f>
        <v/>
      </c>
      <c r="M234" s="4" t="str">
        <f t="shared" si="5"/>
        <v/>
      </c>
      <c r="N234" s="17" t="str">
        <f>if(M234&lt;&gt;"",'Actuals - Billing - 2025'!BG466,"")</f>
        <v/>
      </c>
    </row>
    <row r="235">
      <c r="B235" s="8" t="str">
        <f>if(and('Actuals - Billing - 2025'!E$261=True,C235&lt;&gt;""),'Actuals - Billing - 2025'!C467,"")</f>
        <v/>
      </c>
      <c r="C235" s="9" t="str">
        <f>IF(sum('Actuals - Billing - 2025'!AR467:BA467)&gt;0,'Actuals - Billing - 2025'!B467,"")</f>
        <v/>
      </c>
      <c r="M235" s="4" t="str">
        <f t="shared" si="5"/>
        <v/>
      </c>
      <c r="N235" s="17" t="str">
        <f>if(M235&lt;&gt;"",'Actuals - Billing - 2025'!BG467,"")</f>
        <v/>
      </c>
    </row>
    <row r="236">
      <c r="B236" s="8" t="str">
        <f>if(and('Actuals - Billing - 2025'!E$261=True,C236&lt;&gt;""),'Actuals - Billing - 2025'!C468,"")</f>
        <v/>
      </c>
      <c r="C236" s="9" t="str">
        <f>IF(sum('Actuals - Billing - 2025'!AR468:BA468)&gt;0,'Actuals - Billing - 2025'!B468,"")</f>
        <v/>
      </c>
      <c r="M236" s="4" t="str">
        <f t="shared" si="5"/>
        <v/>
      </c>
      <c r="N236" s="17" t="str">
        <f>if(M236&lt;&gt;"",'Actuals - Billing - 2025'!BG468,"")</f>
        <v/>
      </c>
    </row>
    <row r="237">
      <c r="B237" s="8" t="str">
        <f>if(and('Actuals - Billing - 2025'!E$261=True,C237&lt;&gt;""),'Actuals - Billing - 2025'!C469,"")</f>
        <v/>
      </c>
      <c r="C237" s="9" t="str">
        <f>IF(sum('Actuals - Billing - 2025'!AR469:BA469)&gt;0,'Actuals - Billing - 2025'!B469,"")</f>
        <v/>
      </c>
      <c r="M237" s="4" t="str">
        <f t="shared" si="5"/>
        <v/>
      </c>
      <c r="N237" s="17" t="str">
        <f>if(M237&lt;&gt;"",'Actuals - Billing - 2025'!BG469,"")</f>
        <v/>
      </c>
    </row>
    <row r="238">
      <c r="B238" s="8" t="str">
        <f>if(and('Actuals - Billing - 2025'!E$261=True,C238&lt;&gt;""),'Actuals - Billing - 2025'!C470,"")</f>
        <v/>
      </c>
      <c r="C238" s="9" t="str">
        <f>IF(sum('Actuals - Billing - 2025'!AR470:BA470)&gt;0,'Actuals - Billing - 2025'!B470,"")</f>
        <v/>
      </c>
      <c r="M238" s="4" t="str">
        <f t="shared" si="5"/>
        <v/>
      </c>
      <c r="N238" s="17" t="str">
        <f>if(M238&lt;&gt;"",'Actuals - Billing - 2025'!BG470,"")</f>
        <v/>
      </c>
    </row>
    <row r="239">
      <c r="B239" s="8" t="str">
        <f>if(and('Actuals - Billing - 2025'!E$261=True,C239&lt;&gt;""),'Actuals - Billing - 2025'!C471,"")</f>
        <v/>
      </c>
      <c r="C239" s="9" t="str">
        <f>IF(sum('Actuals - Billing - 2025'!AR471:BA471)&gt;0,'Actuals - Billing - 2025'!B471,"")</f>
        <v/>
      </c>
      <c r="M239" s="4" t="str">
        <f t="shared" si="5"/>
        <v/>
      </c>
      <c r="N239" s="17" t="str">
        <f>if(M239&lt;&gt;"",'Actuals - Billing - 2025'!BG471,"")</f>
        <v/>
      </c>
    </row>
    <row r="240">
      <c r="B240" s="8" t="str">
        <f>if(and('Actuals - Billing - 2025'!E$261=True,C240&lt;&gt;""),'Actuals - Billing - 2025'!C472,"")</f>
        <v/>
      </c>
      <c r="C240" s="9" t="str">
        <f>IF(sum('Actuals - Billing - 2025'!AR472:BA472)&gt;0,'Actuals - Billing - 2025'!B472,"")</f>
        <v/>
      </c>
      <c r="M240" s="4" t="str">
        <f t="shared" si="5"/>
        <v/>
      </c>
      <c r="N240" s="17" t="str">
        <f>if(M240&lt;&gt;"",'Actuals - Billing - 2025'!BG472,"")</f>
        <v/>
      </c>
    </row>
    <row r="241">
      <c r="B241" s="8" t="str">
        <f>if(and('Actuals - Billing - 2025'!E$261=True,C241&lt;&gt;""),'Actuals - Billing - 2025'!C473,"")</f>
        <v/>
      </c>
      <c r="C241" s="9" t="str">
        <f>IF(sum('Actuals - Billing - 2025'!AR473:BA473)&gt;0,'Actuals - Billing - 2025'!B473,"")</f>
        <v/>
      </c>
      <c r="M241" s="4" t="str">
        <f t="shared" si="5"/>
        <v/>
      </c>
      <c r="N241" s="17" t="str">
        <f>if(M241&lt;&gt;"",'Actuals - Billing - 2025'!BG473,"")</f>
        <v/>
      </c>
    </row>
    <row r="242">
      <c r="B242" s="8" t="str">
        <f>if(and('Actuals - Billing - 2025'!E$261=True,C242&lt;&gt;""),'Actuals - Billing - 2025'!C474,"")</f>
        <v/>
      </c>
      <c r="C242" s="9" t="str">
        <f>IF(sum('Actuals - Billing - 2025'!AR474:BA474)&gt;0,'Actuals - Billing - 2025'!B474,"")</f>
        <v/>
      </c>
      <c r="M242" s="4" t="str">
        <f t="shared" si="5"/>
        <v/>
      </c>
      <c r="N242" s="17" t="str">
        <f>if(M242&lt;&gt;"",'Actuals - Billing - 2025'!BG474,"")</f>
        <v/>
      </c>
    </row>
    <row r="243">
      <c r="B243" s="8" t="str">
        <f>if(and('Actuals - Billing - 2025'!E$261=True,C243&lt;&gt;""),'Actuals - Billing - 2025'!C475,"")</f>
        <v/>
      </c>
      <c r="C243" s="9" t="str">
        <f>IF(sum('Actuals - Billing - 2025'!AR475:BA475)&gt;0,'Actuals - Billing - 2025'!B475,"")</f>
        <v/>
      </c>
      <c r="M243" s="4" t="str">
        <f t="shared" si="5"/>
        <v/>
      </c>
      <c r="N243" s="17" t="str">
        <f>if(M243&lt;&gt;"",'Actuals - Billing - 2025'!BG475,"")</f>
        <v/>
      </c>
    </row>
    <row r="244">
      <c r="B244" s="8" t="str">
        <f>if(and('Actuals - Billing - 2025'!E$261=True,C244&lt;&gt;""),'Actuals - Billing - 2025'!C476,"")</f>
        <v/>
      </c>
      <c r="C244" s="9" t="str">
        <f>IF(sum('Actuals - Billing - 2025'!AR476:BA476)&gt;0,'Actuals - Billing - 2025'!B476,"")</f>
        <v/>
      </c>
      <c r="M244" s="4" t="str">
        <f t="shared" si="5"/>
        <v/>
      </c>
      <c r="N244" s="17" t="str">
        <f>if(M244&lt;&gt;"",'Actuals - Billing - 2025'!BG476,"")</f>
        <v/>
      </c>
    </row>
    <row r="245">
      <c r="B245" s="8" t="str">
        <f>if(and('Actuals - Billing - 2025'!E$261=True,C245&lt;&gt;""),'Actuals - Billing - 2025'!C477,"")</f>
        <v/>
      </c>
      <c r="C245" s="9" t="str">
        <f>IF(sum('Actuals - Billing - 2025'!AR477:BA477)&gt;0,'Actuals - Billing - 2025'!B477,"")</f>
        <v/>
      </c>
      <c r="M245" s="4" t="str">
        <f t="shared" si="5"/>
        <v/>
      </c>
      <c r="N245" s="17" t="str">
        <f>if(M245&lt;&gt;"",'Actuals - Billing - 2025'!BG477,"")</f>
        <v/>
      </c>
    </row>
    <row r="246">
      <c r="B246" s="8" t="str">
        <f>if(and('Actuals - Billing - 2025'!E$261=True,C246&lt;&gt;""),'Actuals - Billing - 2025'!C478,"")</f>
        <v/>
      </c>
      <c r="C246" s="9" t="str">
        <f>IF(sum('Actuals - Billing - 2025'!AR478:BA478)&gt;0,'Actuals - Billing - 2025'!B478,"")</f>
        <v/>
      </c>
      <c r="M246" s="4" t="str">
        <f t="shared" si="5"/>
        <v/>
      </c>
      <c r="N246" s="17" t="str">
        <f>if(M246&lt;&gt;"",'Actuals - Billing - 2025'!BG478,"")</f>
        <v/>
      </c>
    </row>
    <row r="247">
      <c r="B247" s="8" t="str">
        <f>if(and('Actuals - Billing - 2025'!E$261=True,C247&lt;&gt;""),'Actuals - Billing - 2025'!C479,"")</f>
        <v/>
      </c>
      <c r="C247" s="9" t="str">
        <f>IF(sum('Actuals - Billing - 2025'!AR479:BA479)&gt;0,'Actuals - Billing - 2025'!B479,"")</f>
        <v/>
      </c>
      <c r="N247" s="17" t="str">
        <f>if(M247&lt;&gt;"",'Actuals - Billing - 2025'!BG479,"")</f>
        <v/>
      </c>
    </row>
    <row r="248">
      <c r="B248" s="8" t="str">
        <f>if(and('Actuals - Billing - 2025'!E$261=True,C248&lt;&gt;""),'Actuals - Billing - 2025'!C480,"")</f>
        <v/>
      </c>
      <c r="C248" s="9" t="str">
        <f>IF(sum('Actuals - Billing - 2025'!AR480:BA480)&gt;0,'Actuals - Billing - 2025'!B480,"")</f>
        <v/>
      </c>
      <c r="N248" s="17" t="str">
        <f>if(M248&lt;&gt;"",'Actuals - Billing - 2025'!BG480,"")</f>
        <v/>
      </c>
    </row>
    <row r="249">
      <c r="B249" s="8" t="str">
        <f>if(and('Actuals - Billing - 2025'!E$261=True,C249&lt;&gt;""),'Actuals - Billing - 2025'!C481,"")</f>
        <v/>
      </c>
      <c r="C249" s="9" t="str">
        <f>IF(sum('Actuals - Billing - 2025'!AR481:BA481)&gt;0,'Actuals - Billing - 2025'!B481,"")</f>
        <v/>
      </c>
      <c r="N249" s="17" t="str">
        <f>if(M249&lt;&gt;"",'Actuals - Billing - 2025'!BG481,"")</f>
        <v/>
      </c>
    </row>
    <row r="250">
      <c r="B250" s="8" t="str">
        <f>if(and('Actuals - Billing - 2025'!E$261=True,C250&lt;&gt;""),'Actuals - Billing - 2025'!C482,"")</f>
        <v/>
      </c>
      <c r="C250" s="9" t="str">
        <f>IF(sum('Actuals - Billing - 2025'!AR482:BA482)&gt;0,'Actuals - Billing - 2025'!B482,"")</f>
        <v/>
      </c>
      <c r="N250" s="17" t="str">
        <f>if(M250&lt;&gt;"",'Actuals - Billing - 2025'!BG482,"")</f>
        <v/>
      </c>
    </row>
    <row r="251">
      <c r="B251" s="8" t="str">
        <f>if(and('Actuals - Billing - 2025'!E$261=True,C251&lt;&gt;""),'Actuals - Billing - 2025'!C483,"")</f>
        <v/>
      </c>
      <c r="C251" s="9" t="str">
        <f>IF(sum('Actuals - Billing - 2025'!AR483:BA483)&gt;0,'Actuals - Billing - 2025'!B483,"")</f>
        <v/>
      </c>
      <c r="N251" s="17" t="str">
        <f>if(M251&lt;&gt;"",'Actuals - Billing - 2025'!BG483,"")</f>
        <v/>
      </c>
    </row>
    <row r="252">
      <c r="B252" s="8" t="str">
        <f>if(and('Actuals - Billing - 2025'!E$261=True,C252&lt;&gt;""),'Actuals - Billing - 2025'!C484,"")</f>
        <v/>
      </c>
      <c r="C252" s="9" t="str">
        <f>IF(sum('Actuals - Billing - 2025'!AR484:BA484)&gt;0,'Actuals - Billing - 2025'!B484,"")</f>
        <v/>
      </c>
      <c r="N252" s="17" t="str">
        <f>if(M252&lt;&gt;"",'Actuals - Billing - 2025'!BG484,"")</f>
        <v/>
      </c>
    </row>
    <row r="253">
      <c r="B253" s="8" t="str">
        <f>if(and('Actuals - Billing - 2025'!E$261=True,C253&lt;&gt;""),'Actuals - Billing - 2025'!C485,"")</f>
        <v/>
      </c>
      <c r="C253" s="9" t="str">
        <f>IF(sum('Actuals - Billing - 2025'!AR485:BA485)&gt;0,'Actuals - Billing - 2025'!B485,"")</f>
        <v/>
      </c>
      <c r="N253" s="17" t="str">
        <f>if(M253&lt;&gt;"",'Actuals - Billing - 2025'!BG485,"")</f>
        <v/>
      </c>
    </row>
    <row r="254">
      <c r="B254" s="8" t="str">
        <f>if(and('Actuals - Billing - 2025'!E$261=True,C254&lt;&gt;""),'Actuals - Billing - 2025'!C486,"")</f>
        <v/>
      </c>
      <c r="C254" s="9" t="str">
        <f>IF(sum('Actuals - Billing - 2025'!AR486:BA486)&gt;0,'Actuals - Billing - 2025'!B486,"")</f>
        <v/>
      </c>
      <c r="N254" s="17" t="str">
        <f>if(M254&lt;&gt;"",'Actuals - Billing - 2025'!BG486,"")</f>
        <v/>
      </c>
    </row>
    <row r="255">
      <c r="B255" s="8" t="str">
        <f>if(and('Actuals - Billing - 2025'!E$261=True,C255&lt;&gt;""),'Actuals - Billing - 2025'!C487,"")</f>
        <v/>
      </c>
      <c r="C255" s="9" t="str">
        <f>IF(sum('Actuals - Billing - 2025'!AR487:BA487)&gt;0,'Actuals - Billing - 2025'!B487,"")</f>
        <v/>
      </c>
      <c r="N255" s="17" t="str">
        <f>if(M255&lt;&gt;"",'Actuals - Billing - 2025'!BG487,"")</f>
        <v/>
      </c>
    </row>
    <row r="256">
      <c r="B256" s="8" t="str">
        <f>if(and('Actuals - Billing - 2025'!E$261=True,C256&lt;&gt;""),'Actuals - Billing - 2025'!C488,"")</f>
        <v/>
      </c>
      <c r="C256" s="9" t="str">
        <f>IF(sum('Actuals - Billing - 2025'!AR488:BA488)&gt;0,'Actuals - Billing - 2025'!B488,"")</f>
        <v/>
      </c>
      <c r="N256" s="17" t="str">
        <f>if(M256&lt;&gt;"",'Actuals - Billing - 2025'!BG488,"")</f>
        <v/>
      </c>
    </row>
    <row r="257">
      <c r="B257" s="8" t="str">
        <f>if(and('Actuals - Billing - 2025'!E$261=True,C257&lt;&gt;""),'Actuals - Billing - 2025'!C489,"")</f>
        <v/>
      </c>
      <c r="C257" s="9" t="str">
        <f>IF(sum('Actuals - Billing - 2025'!AR489:BA489)&gt;0,'Actuals - Billing - 2025'!B489,"")</f>
        <v/>
      </c>
      <c r="N257" s="17" t="str">
        <f>if(M257&lt;&gt;"",'Actuals - Billing - 2025'!BG489,"")</f>
        <v/>
      </c>
    </row>
    <row r="258">
      <c r="B258" s="8" t="str">
        <f>if(and('Actuals - Billing - 2025'!E$261=True,C258&lt;&gt;""),'Actuals - Billing - 2025'!C490,"")</f>
        <v/>
      </c>
      <c r="C258" s="9" t="str">
        <f>IF(sum('Actuals - Billing - 2025'!AR490:BA490)&gt;0,'Actuals - Billing - 2025'!B490,"")</f>
        <v/>
      </c>
      <c r="N258" s="17" t="str">
        <f>if(M258&lt;&gt;"",'Actuals - Billing - 2025'!BG490,"")</f>
        <v/>
      </c>
    </row>
    <row r="259">
      <c r="B259" s="8" t="str">
        <f>if(and('Actuals - Billing - 2025'!E$261=True,C259&lt;&gt;""),'Actuals - Billing - 2025'!C491,"")</f>
        <v/>
      </c>
      <c r="C259" s="9" t="str">
        <f>IF(sum('Actuals - Billing - 2025'!AR491:BA491)&gt;0,'Actuals - Billing - 2025'!B491,"")</f>
        <v/>
      </c>
      <c r="N259" s="17" t="str">
        <f>if(M259&lt;&gt;"",'Actuals - Billing - 2025'!BG491,"")</f>
        <v/>
      </c>
    </row>
    <row r="260">
      <c r="B260" s="8" t="str">
        <f>if(and('Actuals - Billing - 2025'!E$261=True,C260&lt;&gt;""),'Actuals - Billing - 2025'!C492,"")</f>
        <v/>
      </c>
      <c r="C260" s="9" t="str">
        <f>IF(sum('Actuals - Billing - 2025'!AR492:BA492)&gt;0,'Actuals - Billing - 2025'!B492,"")</f>
        <v/>
      </c>
      <c r="N260" s="17" t="str">
        <f>if(M260&lt;&gt;"",'Actuals - Billing - 2025'!BG492,"")</f>
        <v/>
      </c>
    </row>
    <row r="261">
      <c r="B261" s="8" t="str">
        <f>if(and('Actuals - Billing - 2025'!E$261=True,C261&lt;&gt;""),'Actuals - Billing - 2025'!C493,"")</f>
        <v/>
      </c>
      <c r="N261" s="17" t="str">
        <f>if(M261&lt;&gt;"",'Actuals - Billing - 2025'!BG493,"")</f>
        <v/>
      </c>
    </row>
    <row r="262">
      <c r="B262" s="8" t="str">
        <f>if(and('Actuals - Billing - 2025'!E$261=True,C262&lt;&gt;""),'Actuals - Billing - 2025'!C494,"")</f>
        <v/>
      </c>
      <c r="N262" s="17" t="str">
        <f>if(M262&lt;&gt;"",'Actuals - Billing - 2025'!BG494,"")</f>
        <v/>
      </c>
    </row>
    <row r="263">
      <c r="B263" s="8" t="str">
        <f>if(and('Actuals - Billing - 2025'!E$261=True,C263&lt;&gt;""),'Actuals - Billing - 2025'!C495,"")</f>
        <v/>
      </c>
      <c r="N263" s="17" t="str">
        <f>if(M263&lt;&gt;"",'Actuals - Billing - 2025'!BG495,"")</f>
        <v/>
      </c>
    </row>
    <row r="264">
      <c r="B264" s="8" t="str">
        <f>if(and('Actuals - Billing - 2025'!E$261=True,C264&lt;&gt;""),'Actuals - Billing - 2025'!C496,"")</f>
        <v/>
      </c>
      <c r="N264" s="17" t="str">
        <f>if(M264&lt;&gt;"",'Actuals - Billing - 2025'!BG496,"")</f>
        <v/>
      </c>
    </row>
    <row r="265">
      <c r="B265" s="8" t="str">
        <f>if(and('Actuals - Billing - 2025'!E$261=True,C265&lt;&gt;""),'Actuals - Billing - 2025'!C497,"")</f>
        <v/>
      </c>
      <c r="N265" s="17" t="str">
        <f>if(M265&lt;&gt;"",'Actuals - Billing - 2025'!BG497,"")</f>
        <v/>
      </c>
    </row>
    <row r="266">
      <c r="B266" s="8" t="str">
        <f>if(and('Actuals - Billing - 2025'!E$261=True,C266&lt;&gt;""),'Actuals - Billing - 2025'!C498,"")</f>
        <v/>
      </c>
      <c r="N266" s="17" t="str">
        <f>if(M266&lt;&gt;"",'Actuals - Billing - 2025'!BG498,"")</f>
        <v/>
      </c>
    </row>
    <row r="267">
      <c r="B267" s="8" t="str">
        <f>if(and('Actuals - Billing - 2025'!E$261=True,C267&lt;&gt;""),'Actuals - Billing - 2025'!C499,"")</f>
        <v/>
      </c>
      <c r="N267" s="17" t="str">
        <f>if(M267&lt;&gt;"",'Actuals - Billing - 2025'!BG499,"")</f>
        <v/>
      </c>
    </row>
    <row r="268">
      <c r="B268" s="8" t="str">
        <f>if(and('Actuals - Billing - 2025'!E$261=True,C268&lt;&gt;""),'Actuals - Billing - 2025'!C500,"")</f>
        <v/>
      </c>
      <c r="N268" s="17" t="str">
        <f>if(M268&lt;&gt;"",'Actuals - Billing - 2025'!BG500,"")</f>
        <v/>
      </c>
    </row>
    <row r="269">
      <c r="B269" s="8" t="str">
        <f>if(and('Actuals - Billing - 2025'!E$261=True,C269&lt;&gt;""),'Actuals - Billing - 2025'!C501,"")</f>
        <v/>
      </c>
      <c r="N269" s="17" t="str">
        <f>if(M269&lt;&gt;"",'Actuals - Billing - 2025'!BG501,"")</f>
        <v/>
      </c>
    </row>
    <row r="270">
      <c r="B270" s="8" t="str">
        <f>if(and('Actuals - Billing - 2025'!E$261=True,C270&lt;&gt;""),'Actuals - Billing - 2025'!C502,"")</f>
        <v/>
      </c>
      <c r="N270" s="17" t="str">
        <f>if(M270&lt;&gt;"",'Actuals - Billing - 2025'!BG502,"")</f>
        <v/>
      </c>
    </row>
    <row r="271">
      <c r="B271" s="8" t="str">
        <f>if(and('Actuals - Billing - 2025'!E$261=True,C271&lt;&gt;""),'Actuals - Billing - 2025'!C503,"")</f>
        <v/>
      </c>
      <c r="N271" s="17" t="str">
        <f>if(M271&lt;&gt;"",'Actuals - Billing - 2025'!BG503,"")</f>
        <v/>
      </c>
    </row>
    <row r="272">
      <c r="B272" s="8" t="str">
        <f>if(and('Actuals - Billing - 2025'!E$261=True,C272&lt;&gt;""),'Actuals - Billing - 2025'!C504,"")</f>
        <v/>
      </c>
      <c r="N272" s="17" t="str">
        <f>if(M272&lt;&gt;"",'Actuals - Billing - 2025'!BG504,"")</f>
        <v/>
      </c>
    </row>
    <row r="273">
      <c r="B273" s="8" t="str">
        <f>if(and('Actuals - Billing - 2025'!E$261=True,C273&lt;&gt;""),'Actuals - Billing - 2025'!C505,"")</f>
        <v/>
      </c>
      <c r="N273" s="17" t="str">
        <f>if(M273&lt;&gt;"",'Actuals - Billing - 2025'!BG505,"")</f>
        <v/>
      </c>
    </row>
    <row r="274">
      <c r="B274" s="8" t="str">
        <f>if(and('Actuals - Billing - 2025'!E$261=True,C274&lt;&gt;""),'Actuals - Billing - 2025'!C506,"")</f>
        <v/>
      </c>
      <c r="N274" s="17" t="str">
        <f>if(M274&lt;&gt;"",'Actuals - Billing - 2025'!BG506,"")</f>
        <v/>
      </c>
    </row>
    <row r="275">
      <c r="B275" s="8" t="str">
        <f>if(and('Actuals - Billing - 2025'!E$261=True,C275&lt;&gt;""),'Actuals - Billing - 2025'!C507,"")</f>
        <v/>
      </c>
      <c r="N275" s="17" t="str">
        <f>if(M275&lt;&gt;"",'Actuals - Billing - 2025'!BG507,"")</f>
        <v/>
      </c>
    </row>
    <row r="276">
      <c r="B276" s="8" t="str">
        <f>if(and('Actuals - Billing - 2025'!E$261=True,C276&lt;&gt;""),'Actuals - Billing - 2025'!C508,"")</f>
        <v/>
      </c>
      <c r="N276" s="17" t="str">
        <f>if(M276&lt;&gt;"",'Actuals - Billing - 2025'!BG508,"")</f>
        <v/>
      </c>
    </row>
    <row r="277">
      <c r="B277" s="8" t="str">
        <f>if(and('Actuals - Billing - 2025'!E$261=True,C277&lt;&gt;""),'Actuals - Billing - 2025'!C509,"")</f>
        <v/>
      </c>
      <c r="N277" s="17" t="str">
        <f>if(M277&lt;&gt;"",'Actuals - Billing - 2025'!BG509,"")</f>
        <v/>
      </c>
    </row>
    <row r="278">
      <c r="B278" s="8" t="str">
        <f>if(and('Actuals - Billing - 2025'!E$261=True,C278&lt;&gt;""),'Actuals - Billing - 2025'!C510,"")</f>
        <v/>
      </c>
      <c r="N278" s="17" t="str">
        <f>if(M278&lt;&gt;"",'Actuals - Billing - 2025'!BG510,"")</f>
        <v/>
      </c>
    </row>
    <row r="279">
      <c r="B279" s="8" t="str">
        <f>if(and('Actuals - Billing - 2025'!E$261=True,C279&lt;&gt;""),'Actuals - Billing - 2025'!C511,"")</f>
        <v/>
      </c>
      <c r="N279" s="17" t="str">
        <f>if(M279&lt;&gt;"",'Actuals - Billing - 2025'!BG511,"")</f>
        <v/>
      </c>
    </row>
    <row r="280">
      <c r="B280" s="8" t="str">
        <f>if(and('Actuals - Billing - 2025'!E$261=True,C280&lt;&gt;""),'Actuals - Billing - 2025'!C512,"")</f>
        <v/>
      </c>
      <c r="N280" s="17" t="str">
        <f>if(M280&lt;&gt;"",'Actuals - Billing - 2025'!BG512,"")</f>
        <v/>
      </c>
    </row>
    <row r="281">
      <c r="B281" s="8" t="str">
        <f>if(and('Actuals - Billing - 2025'!E$261=True,C281&lt;&gt;""),'Actuals - Billing - 2025'!C513,"")</f>
        <v/>
      </c>
      <c r="N281" s="17" t="str">
        <f>if(M281&lt;&gt;"",'Actuals - Billing - 2025'!BG513,"")</f>
        <v/>
      </c>
    </row>
    <row r="282">
      <c r="B282" s="8" t="str">
        <f>if(and('Actuals - Billing - 2025'!E$261=True,C282&lt;&gt;""),'Actuals - Billing - 2025'!C514,"")</f>
        <v/>
      </c>
      <c r="N282" s="17" t="str">
        <f>if(M282&lt;&gt;"",'Actuals - Billing - 2025'!BG514,"")</f>
        <v/>
      </c>
    </row>
    <row r="283">
      <c r="B283" s="8" t="str">
        <f>if(and('Actuals - Billing - 2025'!E$261=True,C283&lt;&gt;""),'Actuals - Billing - 2025'!C515,"")</f>
        <v/>
      </c>
      <c r="N283" s="17" t="str">
        <f>if(M283&lt;&gt;"",'Actuals - Billing - 2025'!BG515,"")</f>
        <v/>
      </c>
    </row>
    <row r="284">
      <c r="B284" s="8" t="str">
        <f>if(and('Actuals - Billing - 2025'!E$261=True,C284&lt;&gt;""),'Actuals - Billing - 2025'!C516,"")</f>
        <v/>
      </c>
      <c r="N284" s="17" t="str">
        <f>if(M284&lt;&gt;"",'Actuals - Billing - 2025'!BG516,"")</f>
        <v/>
      </c>
    </row>
    <row r="285">
      <c r="B285" s="8" t="str">
        <f>if(and('Actuals - Billing - 2025'!E$261=True,C285&lt;&gt;""),'Actuals - Billing - 2025'!C517,"")</f>
        <v/>
      </c>
      <c r="N285" s="17" t="str">
        <f>if(M285&lt;&gt;"",'Actuals - Billing - 2025'!BG517,"")</f>
        <v/>
      </c>
    </row>
    <row r="286">
      <c r="B286" s="8" t="str">
        <f>if(and('Actuals - Billing - 2025'!E$261=True,C286&lt;&gt;""),'Actuals - Billing - 2025'!C518,"")</f>
        <v/>
      </c>
      <c r="N286" s="17" t="str">
        <f>if(M286&lt;&gt;"",'Actuals - Billing - 2025'!BG518,"")</f>
        <v/>
      </c>
    </row>
    <row r="287">
      <c r="B287" s="8" t="str">
        <f>if(and('Actuals - Billing - 2025'!E$261=True,C287&lt;&gt;""),'Actuals - Billing - 2025'!C519,"")</f>
        <v/>
      </c>
      <c r="N287" s="17" t="str">
        <f>if(M287&lt;&gt;"",'Actuals - Billing - 2025'!BG519,"")</f>
        <v/>
      </c>
    </row>
    <row r="288">
      <c r="B288" s="8" t="str">
        <f>if(and('Actuals - Billing - 2025'!E$261=True,C288&lt;&gt;""),'Actuals - Billing - 2025'!C520,"")</f>
        <v/>
      </c>
      <c r="N288" s="17" t="str">
        <f>if(M288&lt;&gt;"",'Actuals - Billing - 2025'!BG520,"")</f>
        <v/>
      </c>
    </row>
    <row r="289">
      <c r="B289" s="8" t="str">
        <f>if(and('Actuals - Billing - 2025'!E$261=True,C289&lt;&gt;""),'Actuals - Billing - 2025'!C521,"")</f>
        <v/>
      </c>
      <c r="N289" s="17" t="str">
        <f>if(M289&lt;&gt;"",'Actuals - Billing - 2025'!BG521,"")</f>
        <v/>
      </c>
    </row>
    <row r="290">
      <c r="B290" s="8" t="str">
        <f>if(and('Actuals - Billing - 2025'!E$261=True,C290&lt;&gt;""),'Actuals - Billing - 2025'!C522,"")</f>
        <v/>
      </c>
      <c r="N290" s="17" t="str">
        <f>if(M290&lt;&gt;"",'Actuals - Billing - 2025'!BG522,"")</f>
        <v/>
      </c>
    </row>
    <row r="291">
      <c r="B291" s="8" t="str">
        <f>if(and('Actuals - Billing - 2025'!E$261=True,C291&lt;&gt;""),'Actuals - Billing - 2025'!C523,"")</f>
        <v/>
      </c>
      <c r="N291" s="17" t="str">
        <f>if(M291&lt;&gt;"",'Actuals - Billing - 2025'!BG523,"")</f>
        <v/>
      </c>
    </row>
    <row r="292">
      <c r="N292" s="17" t="str">
        <f>if(M292&lt;&gt;"",'Actuals - Billing - 2025'!BG524,"")</f>
        <v/>
      </c>
    </row>
    <row r="293">
      <c r="N293" s="17" t="str">
        <f>if(M293&lt;&gt;"",'Actuals - Billing - 2025'!BG525,"")</f>
        <v/>
      </c>
    </row>
    <row r="294">
      <c r="N294" s="17" t="str">
        <f>if(M294&lt;&gt;"",'Actuals - Billing - 2025'!BG526,"")</f>
        <v/>
      </c>
    </row>
    <row r="295">
      <c r="N295" s="17" t="str">
        <f>if(M295&lt;&gt;"",'Actuals - Billing - 2025'!BG527,"")</f>
        <v/>
      </c>
    </row>
    <row r="296">
      <c r="N296" s="17" t="str">
        <f>if(M296&lt;&gt;"",'Actuals - Billing - 2025'!BG528,"")</f>
        <v/>
      </c>
    </row>
    <row r="297">
      <c r="N297" s="17" t="str">
        <f>if(M297&lt;&gt;"",'Actuals - Billing - 2025'!BG529,"")</f>
        <v/>
      </c>
    </row>
    <row r="298">
      <c r="N298" s="17" t="str">
        <f>if(M298&lt;&gt;"",'Actuals - Billing - 2025'!BG530,"")</f>
        <v/>
      </c>
    </row>
    <row r="299">
      <c r="N299" s="17" t="str">
        <f>if(M299&lt;&gt;"",'Actuals - Billing - 2025'!BG531,"")</f>
        <v/>
      </c>
    </row>
    <row r="300">
      <c r="N300" s="17" t="str">
        <f>if(M300&lt;&gt;"",'Actuals - Billing - 2025'!BG532,"")</f>
        <v/>
      </c>
    </row>
    <row r="301">
      <c r="N301" s="17" t="str">
        <f>if(M301&lt;&gt;"",'Actuals - Billing - 2025'!BG533,"")</f>
        <v/>
      </c>
    </row>
    <row r="302">
      <c r="N302" s="17" t="str">
        <f>if(M302&lt;&gt;"",'Actuals - Billing - 2025'!BG534,"")</f>
        <v/>
      </c>
    </row>
    <row r="303">
      <c r="N303" s="17" t="str">
        <f>if(M303&lt;&gt;"",'Actuals - Billing - 2025'!BG535,"")</f>
        <v/>
      </c>
    </row>
    <row r="304">
      <c r="N304" s="17" t="str">
        <f>if(M304&lt;&gt;"",'Actuals - Billing - 2025'!BG536,"")</f>
        <v/>
      </c>
    </row>
    <row r="305">
      <c r="N305" s="17" t="str">
        <f>if(M305&lt;&gt;"",'Actuals - Billing - 2025'!BG537,"")</f>
        <v/>
      </c>
    </row>
    <row r="306">
      <c r="N306" s="17" t="str">
        <f>if(M306&lt;&gt;"",'Actuals - Billing - 2025'!BG538,"")</f>
        <v/>
      </c>
    </row>
    <row r="307">
      <c r="N307" s="17" t="str">
        <f>if(M307&lt;&gt;"",'Actuals - Billing - 2025'!BG539,"")</f>
        <v/>
      </c>
    </row>
    <row r="308">
      <c r="N308" s="17" t="str">
        <f>if(M308&lt;&gt;"",'Actuals - Billing - 2025'!BG540,"")</f>
        <v/>
      </c>
    </row>
    <row r="309">
      <c r="N309" s="17" t="str">
        <f>if(M309&lt;&gt;"",'Actuals - Billing - 2025'!BG541,"")</f>
        <v/>
      </c>
    </row>
    <row r="310">
      <c r="N310" s="17" t="str">
        <f>if(M310&lt;&gt;"",'Actuals - Billing - 2025'!BG542,"")</f>
        <v/>
      </c>
    </row>
    <row r="311">
      <c r="N311" s="17" t="str">
        <f>if(M311&lt;&gt;"",'Actuals - Billing - 2025'!BG543,"")</f>
        <v/>
      </c>
    </row>
    <row r="312">
      <c r="N312" s="17" t="str">
        <f>if(M312&lt;&gt;"",'Actuals - Billing - 2025'!BG544,"")</f>
        <v/>
      </c>
    </row>
    <row r="313">
      <c r="N313" s="17" t="str">
        <f>if(M313&lt;&gt;"",'Actuals - Billing - 2025'!BG545,"")</f>
        <v/>
      </c>
    </row>
    <row r="314">
      <c r="N314" s="17" t="str">
        <f>if(M314&lt;&gt;"",'Actuals - Billing - 2025'!BG546,"")</f>
        <v/>
      </c>
    </row>
    <row r="315">
      <c r="N315" s="17" t="str">
        <f>if(M315&lt;&gt;"",'Actuals - Billing - 2025'!BG547,"")</f>
        <v/>
      </c>
    </row>
    <row r="316">
      <c r="N316" s="17" t="str">
        <f>if(M316&lt;&gt;"",'Actuals - Billing - 2025'!BG548,"")</f>
        <v/>
      </c>
    </row>
    <row r="317">
      <c r="N317" s="17" t="str">
        <f>if(M317&lt;&gt;"",'Actuals - Billing - 2025'!BG549,"")</f>
        <v/>
      </c>
    </row>
    <row r="318">
      <c r="N318" s="17" t="str">
        <f>if(M318&lt;&gt;"",'Actuals - Billing - 2025'!BG550,"")</f>
        <v/>
      </c>
    </row>
    <row r="319">
      <c r="N319" s="17" t="str">
        <f>if(M319&lt;&gt;"",'Actuals - Billing - 2025'!BG551,"")</f>
        <v/>
      </c>
    </row>
    <row r="320">
      <c r="N320" s="17" t="str">
        <f>if(M320&lt;&gt;"",'Actuals - Billing - 2025'!BG552,"")</f>
        <v/>
      </c>
    </row>
    <row r="321">
      <c r="N321" s="17" t="str">
        <f>if(M321&lt;&gt;"",'Actuals - Billing - 2025'!BG553,"")</f>
        <v/>
      </c>
    </row>
    <row r="322">
      <c r="N322" s="17" t="str">
        <f>if(M322&lt;&gt;"",'Actuals - Billing - 2025'!BG554,"")</f>
        <v/>
      </c>
    </row>
    <row r="323">
      <c r="N323" s="17" t="str">
        <f>if(M323&lt;&gt;"",'Actuals - Billing - 2025'!BG555,"")</f>
        <v/>
      </c>
    </row>
    <row r="324">
      <c r="N324" s="17" t="str">
        <f>if(M324&lt;&gt;"",'Actuals - Billing - 2025'!BG556,"")</f>
        <v/>
      </c>
    </row>
    <row r="325">
      <c r="N325" s="17" t="str">
        <f>if(M325&lt;&gt;"",'Actuals - Billing - 2025'!BG557,"")</f>
        <v/>
      </c>
    </row>
    <row r="326">
      <c r="N326" s="17" t="str">
        <f>if(M326&lt;&gt;"",'Actuals - Billing - 2025'!BG558,"")</f>
        <v/>
      </c>
    </row>
    <row r="327">
      <c r="N327" s="17" t="str">
        <f>if(M327&lt;&gt;"",'Actuals - Billing - 2025'!BG559,"")</f>
        <v/>
      </c>
    </row>
    <row r="328">
      <c r="N328" s="17" t="str">
        <f>if(M328&lt;&gt;"",'Actuals - Billing - 2025'!BG560,"")</f>
        <v/>
      </c>
    </row>
    <row r="329">
      <c r="N329" s="17" t="str">
        <f>if(M329&lt;&gt;"",'Actuals - Billing - 2025'!BG561,"")</f>
        <v/>
      </c>
    </row>
    <row r="330">
      <c r="N330" s="17" t="str">
        <f>if(M330&lt;&gt;"",'Actuals - Billing - 2025'!BG562,"")</f>
        <v/>
      </c>
    </row>
    <row r="331">
      <c r="N331" s="17" t="str">
        <f>if(M331&lt;&gt;"",'Actuals - Billing - 2025'!BG563,"")</f>
        <v/>
      </c>
    </row>
    <row r="332">
      <c r="N332" s="17" t="str">
        <f>if(M332&lt;&gt;"",'Actuals - Billing - 2025'!BG564,"")</f>
        <v/>
      </c>
    </row>
    <row r="333">
      <c r="N333" s="17" t="str">
        <f>if(M333&lt;&gt;"",'Actuals - Billing - 2025'!BG565,"")</f>
        <v/>
      </c>
    </row>
    <row r="334">
      <c r="N334" s="17" t="str">
        <f>if(M334&lt;&gt;"",'Actuals - Billing - 2025'!BG566,"")</f>
        <v/>
      </c>
    </row>
    <row r="335">
      <c r="N335" s="17" t="str">
        <f>if(M335&lt;&gt;"",'Actuals - Billing - 2025'!BG567,"")</f>
        <v/>
      </c>
    </row>
    <row r="336">
      <c r="N336" s="17" t="str">
        <f>if(M336&lt;&gt;"",'Actuals - Billing - 2025'!BG568,"")</f>
        <v/>
      </c>
    </row>
    <row r="337">
      <c r="N337" s="17" t="str">
        <f>if(M337&lt;&gt;"",'Actuals - Billing - 2025'!BG569,"")</f>
        <v/>
      </c>
    </row>
    <row r="338">
      <c r="N338" s="17" t="str">
        <f>if(M338&lt;&gt;"",'Actuals - Billing - 2025'!BG570,"")</f>
        <v/>
      </c>
    </row>
    <row r="339">
      <c r="N339" s="17" t="str">
        <f>if(M339&lt;&gt;"",'Actuals - Billing - 2025'!BG571,"")</f>
        <v/>
      </c>
    </row>
    <row r="340">
      <c r="N340" s="17" t="str">
        <f>if(M340&lt;&gt;"",'Actuals - Billing - 2025'!BG572,"")</f>
        <v/>
      </c>
    </row>
    <row r="341">
      <c r="N341" s="17" t="str">
        <f>if(M341&lt;&gt;"",'Actuals - Billing - 2025'!BG573,"")</f>
        <v/>
      </c>
    </row>
    <row r="342">
      <c r="N342" s="17" t="str">
        <f>if(M342&lt;&gt;"",'Actuals - Billing - 2025'!BG574,"")</f>
        <v/>
      </c>
    </row>
    <row r="343">
      <c r="N343" s="17" t="str">
        <f>if(M343&lt;&gt;"",'Actuals - Billing - 2025'!BG575,"")</f>
        <v/>
      </c>
    </row>
    <row r="344">
      <c r="N344" s="17" t="str">
        <f>if(M344&lt;&gt;"",'Actuals - Billing - 2025'!BG576,"")</f>
        <v/>
      </c>
    </row>
    <row r="345">
      <c r="N345" s="17" t="str">
        <f>if(M345&lt;&gt;"",'Actuals - Billing - 2025'!BG577,"")</f>
        <v/>
      </c>
    </row>
    <row r="346">
      <c r="N346" s="17" t="str">
        <f>if(M346&lt;&gt;"",'Actuals - Billing - 2025'!BG578,"")</f>
        <v/>
      </c>
    </row>
    <row r="347">
      <c r="N347" s="17" t="str">
        <f>if(M347&lt;&gt;"",'Actuals - Billing - 2025'!BG579,"")</f>
        <v/>
      </c>
    </row>
    <row r="348">
      <c r="N348" s="17" t="str">
        <f>if(M348&lt;&gt;"",'Actuals - Billing - 2025'!BG580,"")</f>
        <v/>
      </c>
    </row>
    <row r="349">
      <c r="N349" s="17" t="str">
        <f>if(M349&lt;&gt;"",'Actuals - Billing - 2025'!BG581,"")</f>
        <v/>
      </c>
    </row>
    <row r="350">
      <c r="N350" s="17" t="str">
        <f>if(M350&lt;&gt;"",'Actuals - Billing - 2025'!BG582,"")</f>
        <v/>
      </c>
    </row>
    <row r="351">
      <c r="N351" s="17" t="str">
        <f>if(M351&lt;&gt;"",'Actuals - Billing - 2025'!BG583,"")</f>
        <v/>
      </c>
    </row>
    <row r="352">
      <c r="N352" s="17" t="str">
        <f>if(M352&lt;&gt;"",'Actuals - Billing - 2025'!BG584,"")</f>
        <v/>
      </c>
    </row>
    <row r="353">
      <c r="N353" s="17" t="str">
        <f>if(M353&lt;&gt;"",'Actuals - Billing - 2025'!BG585,"")</f>
        <v/>
      </c>
    </row>
    <row r="354">
      <c r="N354" s="17" t="str">
        <f>if(M354&lt;&gt;"",'Actuals - Billing - 2025'!BG586,"")</f>
        <v/>
      </c>
    </row>
    <row r="355">
      <c r="N355" s="17" t="str">
        <f>if(M355&lt;&gt;"",'Actuals - Billing - 2025'!BG587,"")</f>
        <v/>
      </c>
    </row>
    <row r="356">
      <c r="N356" s="17" t="str">
        <f>if(M356&lt;&gt;"",'Actuals - Billing - 2025'!BG588,"")</f>
        <v/>
      </c>
    </row>
    <row r="357">
      <c r="N357" s="17" t="str">
        <f>if(M357&lt;&gt;"",'Actuals - Billing - 2025'!BG589,"")</f>
        <v/>
      </c>
    </row>
    <row r="358">
      <c r="N358" s="17" t="str">
        <f>if(M358&lt;&gt;"",'Actuals - Billing - 2025'!BG590,"")</f>
        <v/>
      </c>
    </row>
    <row r="359">
      <c r="N359" s="17" t="str">
        <f>if(M359&lt;&gt;"",'Actuals - Billing - 2025'!BG591,"")</f>
        <v/>
      </c>
    </row>
    <row r="360">
      <c r="N360" s="17" t="str">
        <f>if(M360&lt;&gt;"",'Actuals - Billing - 2025'!BG592,"")</f>
        <v/>
      </c>
    </row>
    <row r="361">
      <c r="N361" s="17" t="str">
        <f>if(M361&lt;&gt;"",'Actuals - Billing - 2025'!BG593,"")</f>
        <v/>
      </c>
    </row>
    <row r="362">
      <c r="N362" s="17" t="str">
        <f>if(M362&lt;&gt;"",'Actuals - Billing - 2025'!BG594,"")</f>
        <v/>
      </c>
    </row>
    <row r="363">
      <c r="N363" s="17" t="str">
        <f>if(M363&lt;&gt;"",'Actuals - Billing - 2025'!BG595,"")</f>
        <v/>
      </c>
    </row>
    <row r="364">
      <c r="N364" s="17" t="str">
        <f>if(M364&lt;&gt;"",'Actuals - Billing - 2025'!BG596,"")</f>
        <v/>
      </c>
    </row>
    <row r="365">
      <c r="N365" s="17" t="str">
        <f>if(M365&lt;&gt;"",'Actuals - Billing - 2025'!BG597,"")</f>
        <v/>
      </c>
    </row>
    <row r="366">
      <c r="N366" s="17" t="str">
        <f>if(M366&lt;&gt;"",'Actuals - Billing - 2025'!BG598,"")</f>
        <v/>
      </c>
    </row>
    <row r="367">
      <c r="N367" s="17" t="str">
        <f>if(M367&lt;&gt;"",'Actuals - Billing - 2025'!BG599,"")</f>
        <v/>
      </c>
    </row>
    <row r="368">
      <c r="N368" s="17" t="str">
        <f>if(M368&lt;&gt;"",'Actuals - Billing - 2025'!BG600,"")</f>
        <v/>
      </c>
    </row>
    <row r="369">
      <c r="N369" s="17" t="str">
        <f>if(M369&lt;&gt;"",'Actuals - Billing - 2025'!BG601,"")</f>
        <v/>
      </c>
    </row>
    <row r="370">
      <c r="N370" s="17" t="str">
        <f>if(M370&lt;&gt;"",'Actuals - Billing - 2025'!BG602,"")</f>
        <v/>
      </c>
    </row>
    <row r="371">
      <c r="N371" s="17" t="str">
        <f>if(M371&lt;&gt;"",'Actuals - Billing - 2025'!BG603,"")</f>
        <v/>
      </c>
    </row>
    <row r="372">
      <c r="N372" s="17" t="str">
        <f>if(M372&lt;&gt;"",'Actuals - Billing - 2025'!BG604,"")</f>
        <v/>
      </c>
    </row>
    <row r="373">
      <c r="N373" s="17" t="str">
        <f>if(M373&lt;&gt;"",'Actuals - Billing - 2025'!BG605,"")</f>
        <v/>
      </c>
    </row>
    <row r="374">
      <c r="N374" s="17" t="str">
        <f>if(M374&lt;&gt;"",'Actuals - Billing - 2025'!BG606,"")</f>
        <v/>
      </c>
    </row>
    <row r="375">
      <c r="N375" s="17" t="str">
        <f>if(M375&lt;&gt;"",'Actuals - Billing - 2025'!BG607,"")</f>
        <v/>
      </c>
    </row>
    <row r="376">
      <c r="N376" s="17" t="str">
        <f>if(M376&lt;&gt;"",'Actuals - Billing - 2025'!BG608,"")</f>
        <v/>
      </c>
    </row>
    <row r="377">
      <c r="N377" s="17" t="str">
        <f>if(M377&lt;&gt;"",'Actuals - Billing - 2025'!BG609,"")</f>
        <v/>
      </c>
    </row>
    <row r="378">
      <c r="N378" s="17" t="str">
        <f>if(M378&lt;&gt;"",'Actuals - Billing - 2025'!BG610,"")</f>
        <v/>
      </c>
    </row>
    <row r="379">
      <c r="N379" s="17" t="str">
        <f>if(M379&lt;&gt;"",'Actuals - Billing - 2025'!BG611,"")</f>
        <v/>
      </c>
    </row>
    <row r="380">
      <c r="N380" s="17" t="str">
        <f>if(M380&lt;&gt;"",'Actuals - Billing - 2025'!BG612,"")</f>
        <v/>
      </c>
    </row>
    <row r="381">
      <c r="N381" s="17" t="str">
        <f>if(M381&lt;&gt;"",'Actuals - Billing - 2025'!BG613,"")</f>
        <v/>
      </c>
    </row>
    <row r="382">
      <c r="N382" s="17" t="str">
        <f>if(M382&lt;&gt;"",'Actuals - Billing - 2025'!BG614,"")</f>
        <v/>
      </c>
    </row>
    <row r="383">
      <c r="N383" s="17" t="str">
        <f>if(M383&lt;&gt;"",'Actuals - Billing - 2025'!BG615,"")</f>
        <v/>
      </c>
    </row>
    <row r="384">
      <c r="N384" s="17" t="str">
        <f>if(M384&lt;&gt;"",'Actuals - Billing - 2025'!BG616,"")</f>
        <v/>
      </c>
    </row>
    <row r="385">
      <c r="N385" s="17" t="str">
        <f>if(M385&lt;&gt;"",'Actuals - Billing - 2025'!BG617,"")</f>
        <v/>
      </c>
    </row>
    <row r="386">
      <c r="N386" s="17" t="str">
        <f>if(M386&lt;&gt;"",'Actuals - Billing - 2025'!BG618,"")</f>
        <v/>
      </c>
    </row>
    <row r="387">
      <c r="N387" s="17" t="str">
        <f>if(M387&lt;&gt;"",'Actuals - Billing - 2025'!BG619,"")</f>
        <v/>
      </c>
    </row>
  </sheetData>
  <drawing r:id="rId1"/>
</worksheet>
</file>