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Sheet" sheetId="2" state="visible" r:id="rId4"/>
    <sheet name="Projections" sheetId="3" state="visible" r:id="rId5"/>
    <sheet name="Actual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<sst xmlns="http://schemas.openxmlformats.org/spreadsheetml/2006/main" count="1117" uniqueCount="59">
  <si>
    <t xml:space="preserve">Toronto Blue Jays @ Dunedin</t>
  </si>
  <si>
    <t xml:space="preserve">2026 · SEASON TO DATE</t>
  </si>
  <si>
    <t xml:space="preserve">Jan 1 – Sep 9, 2026 · generated Sep 09, 2026</t>
  </si>
  <si>
    <t xml:space="preserve">Projected</t>
  </si>
  <si>
    <t xml:space="preserve">Actual</t>
  </si>
  <si>
    <t xml:space="preserve">Variance</t>
  </si>
  <si>
    <t xml:space="preserve">Days with service</t>
  </si>
  <si>
    <t xml:space="preserve">Meals</t>
  </si>
  <si>
    <t xml:space="preserve">Revenue</t>
  </si>
  <si>
    <t xml:space="preserve">BY SERVICE</t>
  </si>
  <si>
    <t xml:space="preserve">Group</t>
  </si>
  <si>
    <t xml:space="preserve">Service</t>
  </si>
  <si>
    <t xml:space="preserve">Rate</t>
  </si>
  <si>
    <t xml:space="preserve">Proj units</t>
  </si>
  <si>
    <t xml:space="preserve">Act units</t>
  </si>
  <si>
    <t xml:space="preserve">Var</t>
  </si>
  <si>
    <t xml:space="preserve">Proj revenue</t>
  </si>
  <si>
    <t xml:space="preserve">Act revenue</t>
  </si>
  <si>
    <t xml:space="preserve">Major League - PDC</t>
  </si>
  <si>
    <t xml:space="preserve">Breakfast</t>
  </si>
  <si>
    <t xml:space="preserve">Lunch</t>
  </si>
  <si>
    <t xml:space="preserve">Dinner</t>
  </si>
  <si>
    <t xml:space="preserve">Post Game Meal</t>
  </si>
  <si>
    <t xml:space="preserve">Minor League - PDC</t>
  </si>
  <si>
    <t xml:space="preserve">Single A Jays</t>
  </si>
  <si>
    <t xml:space="preserve">Pre-Game</t>
  </si>
  <si>
    <t xml:space="preserve">Post-Game</t>
  </si>
  <si>
    <t xml:space="preserve">SSM</t>
  </si>
  <si>
    <t xml:space="preserve">Stadium Staff Meals</t>
  </si>
  <si>
    <t xml:space="preserve">Florida Ops - PDC</t>
  </si>
  <si>
    <t xml:space="preserve">Other</t>
  </si>
  <si>
    <t xml:space="preserve">Fun $$$$ Allocated  (amount)</t>
  </si>
  <si>
    <t xml:space="preserve">Scout Meals</t>
  </si>
  <si>
    <t xml:space="preserve">Media Meals</t>
  </si>
  <si>
    <t xml:space="preserve">MLB G&amp;G - Pantry</t>
  </si>
  <si>
    <t xml:space="preserve">MiLB G&amp;G - Pantry</t>
  </si>
  <si>
    <t xml:space="preserve">Team Canada</t>
  </si>
  <si>
    <t xml:space="preserve">TOTAL</t>
  </si>
  <si>
    <t xml:space="preserve">Units are meal counts. Lines marked (amount) are dollar allocations, not billable revenue — excluded from every revenue total.</t>
  </si>
  <si>
    <t xml:space="preserve">2026 · PROJECTIONS</t>
  </si>
  <si>
    <t xml:space="preserve">Jan 1 – Sep 9, 2026</t>
  </si>
  <si>
    <t xml:space="preserve">Day</t>
  </si>
  <si>
    <t xml:space="preserve">Date</t>
  </si>
  <si>
    <t xml:space="preserve">Period</t>
  </si>
  <si>
    <t xml:space="preserve">Week</t>
  </si>
  <si>
    <t xml:space="preserve">Fun $$$$ Allocated</t>
  </si>
  <si>
    <t xml:space="preserve">amount</t>
  </si>
  <si>
    <t xml:space="preserve">Thu</t>
  </si>
  <si>
    <t xml:space="preserve">Week 1</t>
  </si>
  <si>
    <t xml:space="preserve">Fri</t>
  </si>
  <si>
    <t xml:space="preserve">Sat</t>
  </si>
  <si>
    <t xml:space="preserve">Sun</t>
  </si>
  <si>
    <t xml:space="preserve">Mon</t>
  </si>
  <si>
    <t xml:space="preserve">Week 2</t>
  </si>
  <si>
    <t xml:space="preserve">Tue</t>
  </si>
  <si>
    <t xml:space="preserve">Wed</t>
  </si>
  <si>
    <t xml:space="preserve">Week 3</t>
  </si>
  <si>
    <t xml:space="preserve">Week 4</t>
  </si>
  <si>
    <t xml:space="preserve">2026 · ACTUALS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</si>
</sst>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#,##0;[RED]\(#,##0\)"/>
    <numFmt numFmtId="167" formatCode="\$#,##0.00"/>
    <numFmt numFmtId="168" formatCode="\$#,##0.00;[RED]&quot;($&quot;#,##0.00\)"/>
    <numFmt numFmtId="169" formatCode="#,##0;;\–"/>
    <numFmt numFmtId="170" formatCode="#,##0;[RED]\(#,##0\);\–"/>
    <numFmt numFmtId="171" formatCode="\$#,##0.00;;\–"/>
    <numFmt numFmtId="172" formatCode="\$#,##0.00;[RED]&quot;($&quot;#,##0.00\);\–"/>
    <numFmt numFmtId="173" formatCode="mmm\ d"/>
    <numFmt numFmtId="174" formatCode="#,##0;;;"/>
    <numFmt numFmtId="175" formatCode="\$#,##0;;;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53968"/>
      <name val="Arial"/>
      <family val="0"/>
      <charset val="1"/>
    </font>
    <font>
      <b val="true"/>
      <sz val="11"/>
      <color rgb="FF0F6E56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0F6E56"/>
      <name val="Arial"/>
      <family val="0"/>
      <charset val="1"/>
    </font>
    <font>
      <b val="true"/>
      <sz val="9"/>
      <color rgb="FF1E3A5F"/>
      <name val="Arial"/>
      <family val="0"/>
      <charset val="1"/>
    </font>
    <font>
      <b val="true"/>
      <sz val="9"/>
      <color rgb="FF2D6A4F"/>
      <name val="Arial"/>
      <family val="0"/>
      <charset val="1"/>
    </font>
    <font>
      <b val="true"/>
      <sz val="9"/>
      <color rgb="FF8A5A16"/>
      <name val="Arial"/>
      <family val="0"/>
      <charset val="1"/>
    </font>
    <font>
      <b val="true"/>
      <sz val="9"/>
      <color rgb="FF4A3B7A"/>
      <name val="Arial"/>
      <family val="0"/>
      <charset val="1"/>
    </font>
    <font>
      <b val="true"/>
      <sz val="9"/>
      <color rgb="FF5A5F6B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8"/>
      <color rgb="FF6B7280"/>
      <name val="Arial"/>
      <family val="0"/>
      <charset val="1"/>
    </font>
    <font>
      <sz val="10"/>
      <color rgb="FFC8CDD4"/>
      <name val="Arial"/>
      <family val="0"/>
      <charset val="1"/>
    </font>
    <font>
      <sz val="10"/>
      <color rgb="FF6B728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53968"/>
        <bgColor rgb="FF1E3A5F"/>
      </patternFill>
    </fill>
    <fill>
      <patternFill patternType="solid">
        <fgColor rgb="FFFAFBFC"/>
        <bgColor rgb="FFFFFFFF"/>
      </patternFill>
    </fill>
    <fill>
      <patternFill patternType="solid">
        <fgColor rgb="FFE8EEF4"/>
        <bgColor rgb="FFE8ECF1"/>
      </patternFill>
    </fill>
    <fill>
      <patternFill patternType="solid">
        <fgColor rgb="FFE8F5EE"/>
        <bgColor rgb="FFEEF0F2"/>
      </patternFill>
    </fill>
    <fill>
      <patternFill patternType="solid">
        <fgColor rgb="FFFBF0E0"/>
        <bgColor rgb="FFEEF0F2"/>
      </patternFill>
    </fill>
    <fill>
      <patternFill patternType="solid">
        <fgColor rgb="FFEFEAF7"/>
        <bgColor rgb="FFE8ECF1"/>
      </patternFill>
    </fill>
    <fill>
      <patternFill patternType="solid">
        <fgColor rgb="FFEEF0F2"/>
        <bgColor rgb="FFE8EEF4"/>
      </patternFill>
    </fill>
    <fill>
      <patternFill patternType="solid">
        <fgColor rgb="FF1E3A5F"/>
        <bgColor rgb="FF153968"/>
      </patternFill>
    </fill>
    <fill>
      <patternFill patternType="solid">
        <fgColor rgb="FF2D6A4F"/>
        <bgColor rgb="FF0F6E56"/>
      </patternFill>
    </fill>
    <fill>
      <patternFill patternType="solid">
        <fgColor rgb="FF8A5A16"/>
        <bgColor rgb="FF993300"/>
      </patternFill>
    </fill>
    <fill>
      <patternFill patternType="solid">
        <fgColor rgb="FF4A3B7A"/>
        <bgColor rgb="FF1E3A5F"/>
      </patternFill>
    </fill>
    <fill>
      <patternFill patternType="solid">
        <fgColor rgb="FF5A5F6B"/>
        <bgColor rgb="FF6B7280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8ECF1"/>
      </bottom>
      <diagonal/>
    </border>
    <border diagonalUp="false" diagonalDown="false">
      <left/>
      <right/>
      <top style="thin">
        <color rgb="FFC9D2DC"/>
      </top>
      <bottom style="thin">
        <color rgb="FFE8ECF1"/>
      </bottom>
      <diagonal/>
    </border>
    <border diagonalUp="false" diagonalDown="false">
      <left/>
      <right/>
      <top style="medium">
        <color rgb="FF153968"/>
      </top>
      <bottom/>
      <diagonal/>
    </border>
    <border diagonalUp="false" diagonalDown="false">
      <left/>
      <right/>
      <top/>
      <bottom style="thin">
        <color rgb="FFC9D2DC"/>
      </bottom>
      <diagonal/>
    </border>
    <border diagonalUp="false" diagonalDown="false">
      <left style="thin">
        <color rgb="FFC9D2DC"/>
      </left>
      <right/>
      <top/>
      <bottom/>
      <diagonal/>
    </border>
    <border diagonalUp="false" diagonalDown="false">
      <left style="thin">
        <color rgb="FFE8ECF1"/>
      </left>
      <right/>
      <top/>
      <bottom/>
      <diagonal/>
    </border>
    <border diagonalUp="false" diagonalDown="false">
      <left/>
      <right/>
      <top style="thin">
        <color rgb="FFC9D2DC"/>
      </top>
      <bottom/>
      <diagonal/>
    </border>
    <border diagonalUp="false" diagonalDown="false">
      <left style="thin">
        <color rgb="FFC9D2DC"/>
      </left>
      <right/>
      <top style="thin">
        <color rgb="FFC9D2DC"/>
      </top>
      <bottom/>
      <diagonal/>
    </border>
    <border diagonalUp="false" diagonalDown="false">
      <left style="thin">
        <color rgb="FFE8ECF1"/>
      </left>
      <right/>
      <top style="thin">
        <color rgb="FFC9D2DC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8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4" fontId="16" fillId="7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7" fontId="17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8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8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8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9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8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9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9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9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9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9" fillId="3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3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3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8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8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9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9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8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9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16"/>
      <rgbColor rgb="FF800080"/>
      <rgbColor rgb="FF0F6E56"/>
      <rgbColor rgb="FFC8CDD4"/>
      <rgbColor rgb="FF5A5F6B"/>
      <rgbColor rgb="FF9999FF"/>
      <rgbColor rgb="FF993366"/>
      <rgbColor rgb="FFFBF0E0"/>
      <rgbColor rgb="FFE8F5EE"/>
      <rgbColor rgb="FF660066"/>
      <rgbColor rgb="FFFF8080"/>
      <rgbColor rgb="FF0066CC"/>
      <rgbColor rgb="FFC9D2DC"/>
      <rgbColor rgb="FF000080"/>
      <rgbColor rgb="FFFF00FF"/>
      <rgbColor rgb="FFFFFF00"/>
      <rgbColor rgb="FF00FFFF"/>
      <rgbColor rgb="FF800080"/>
      <rgbColor rgb="FF800000"/>
      <rgbColor rgb="FF2D6A4F"/>
      <rgbColor rgb="FF0000FF"/>
      <rgbColor rgb="FF00CCFF"/>
      <rgbColor rgb="FFE8EEF4"/>
      <rgbColor rgb="FFE8ECF1"/>
      <rgbColor rgb="FFEEF0F2"/>
      <rgbColor rgb="FFFAFBFC"/>
      <rgbColor rgb="FFFF99CC"/>
      <rgbColor rgb="FFCC99FF"/>
      <rgbColor rgb="FFEFEAF7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53968"/>
      <rgbColor rgb="FF339966"/>
      <rgbColor rgb="FF003300"/>
      <rgbColor rgb="FF1A1A1A"/>
      <rgbColor rgb="FF993300"/>
      <rgbColor rgb="FF993366"/>
      <rgbColor rgb="FF4A3B7A"/>
      <rgbColor rgb="FF1E3A5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5A16"/>
    <pageSetUpPr fitToPage="false"/>
  </sheetPr>
  <dimension ref="A1:I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"/>
    <col collapsed="false" customWidth="true" hidden="false" outlineLevel="0" max="3" min="3" style="0" width="11"/>
    <col collapsed="false" customWidth="true" hidden="false" outlineLevel="0" max="6" min="4" style="0" width="12"/>
    <col collapsed="false" customWidth="true" hidden="false" outlineLevel="0" max="9" min="7" style="0" width="1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/>
      <c r="B5" s="5" t="s">
        <v>3</v>
      </c>
      <c r="C5" s="5" t="s">
        <v>4</v>
      </c>
      <c r="D5" s="5" t="s">
        <v>5</v>
      </c>
    </row>
    <row r="6" customFormat="false" ht="15" hidden="false" customHeight="false" outlineLevel="0" collapsed="false">
      <c r="A6" s="6" t="s">
        <v>6</v>
      </c>
      <c r="B6" s="7" t="n">
        <f aca="false">COUNTIF(Projections!$F$7:$F$258,"&gt;0")</f>
        <v>216</v>
      </c>
      <c r="C6" s="7" t="n">
        <f aca="false">COUNTIF(Actuals!$F$7:$F$258,"&gt;0")</f>
        <v>156</v>
      </c>
      <c r="D6" s="8" t="n">
        <f aca="false">C6-B6</f>
        <v>-60</v>
      </c>
    </row>
    <row r="7" customFormat="false" ht="15" hidden="false" customHeight="false" outlineLevel="0" collapsed="false">
      <c r="A7" s="9" t="s">
        <v>7</v>
      </c>
      <c r="B7" s="10" t="n">
        <f aca="false">SUM(Projections!$F$7:$F$258)</f>
        <v>90396</v>
      </c>
      <c r="C7" s="10" t="n">
        <f aca="false">SUM(Actuals!$F$7:$F$258)</f>
        <v>81968</v>
      </c>
      <c r="D7" s="11" t="n">
        <f aca="false">C7-B7</f>
        <v>-8428</v>
      </c>
    </row>
    <row r="8" customFormat="false" ht="15" hidden="false" customHeight="false" outlineLevel="0" collapsed="false">
      <c r="A8" s="6" t="s">
        <v>8</v>
      </c>
      <c r="B8" s="12" t="n">
        <f aca="false">SUM(Projections!$E$7:$E$258)</f>
        <v>1223475.35</v>
      </c>
      <c r="C8" s="12" t="n">
        <f aca="false">SUM(Actuals!$E$7:$E$258)</f>
        <v>1069460.21</v>
      </c>
      <c r="D8" s="13" t="n">
        <f aca="false">C8-B8</f>
        <v>-154015.14</v>
      </c>
    </row>
    <row r="10" customFormat="false" ht="15" hidden="false" customHeight="false" outlineLevel="0" collapsed="false">
      <c r="A10" s="14" t="s">
        <v>9</v>
      </c>
    </row>
    <row r="11" customFormat="false" ht="15" hidden="false" customHeight="false" outlineLevel="0" collapsed="false">
      <c r="A11" s="4" t="s">
        <v>10</v>
      </c>
      <c r="B11" s="4" t="s">
        <v>11</v>
      </c>
      <c r="C11" s="5" t="s">
        <v>12</v>
      </c>
      <c r="D11" s="5" t="s">
        <v>13</v>
      </c>
      <c r="E11" s="5" t="s">
        <v>14</v>
      </c>
      <c r="F11" s="5" t="s">
        <v>15</v>
      </c>
      <c r="G11" s="5" t="s">
        <v>16</v>
      </c>
      <c r="H11" s="5" t="s">
        <v>17</v>
      </c>
      <c r="I11" s="5" t="s">
        <v>15</v>
      </c>
    </row>
    <row r="12" customFormat="false" ht="15" hidden="false" customHeight="false" outlineLevel="0" collapsed="false">
      <c r="A12" s="15" t="s">
        <v>18</v>
      </c>
      <c r="B12" s="16" t="s">
        <v>19</v>
      </c>
      <c r="C12" s="12" t="n">
        <v>23.12</v>
      </c>
      <c r="D12" s="17" t="n">
        <f aca="false">SUM(Projections!G7:G258)</f>
        <v>6025</v>
      </c>
      <c r="E12" s="17" t="n">
        <f aca="false">SUM(Actuals!G7:G258)</f>
        <v>6225</v>
      </c>
      <c r="F12" s="18" t="n">
        <f aca="false">E12-D12</f>
        <v>200</v>
      </c>
      <c r="G12" s="19" t="n">
        <f aca="false">D12*$C12</f>
        <v>139298</v>
      </c>
      <c r="H12" s="19" t="n">
        <f aca="false">E12*$C12</f>
        <v>143922</v>
      </c>
      <c r="I12" s="20" t="n">
        <f aca="false">H12-G12</f>
        <v>4624</v>
      </c>
    </row>
    <row r="13" customFormat="false" ht="15" hidden="false" customHeight="false" outlineLevel="0" collapsed="false">
      <c r="A13" s="15"/>
      <c r="B13" s="21" t="s">
        <v>20</v>
      </c>
      <c r="C13" s="22" t="n">
        <v>23.12</v>
      </c>
      <c r="D13" s="23" t="n">
        <f aca="false">SUM(Projections!H7:H258)</f>
        <v>6025</v>
      </c>
      <c r="E13" s="23" t="n">
        <f aca="false">SUM(Actuals!H7:H258)</f>
        <v>6415</v>
      </c>
      <c r="F13" s="24" t="n">
        <f aca="false">E13-D13</f>
        <v>390</v>
      </c>
      <c r="G13" s="25" t="n">
        <f aca="false">D13*$C13</f>
        <v>139298</v>
      </c>
      <c r="H13" s="25" t="n">
        <f aca="false">E13*$C13</f>
        <v>148314.8</v>
      </c>
      <c r="I13" s="26" t="n">
        <f aca="false">H13-G13</f>
        <v>9016.80000000002</v>
      </c>
    </row>
    <row r="14" customFormat="false" ht="15" hidden="false" customHeight="false" outlineLevel="0" collapsed="false">
      <c r="A14" s="15"/>
      <c r="B14" s="16" t="s">
        <v>21</v>
      </c>
      <c r="C14" s="12" t="n">
        <v>23.12</v>
      </c>
      <c r="D14" s="17" t="n">
        <f aca="false">SUM(Projections!I7:I258)</f>
        <v>0</v>
      </c>
      <c r="E14" s="17" t="n">
        <f aca="false">SUM(Actuals!I7:I258)</f>
        <v>21</v>
      </c>
      <c r="F14" s="18" t="n">
        <f aca="false">E14-D14</f>
        <v>21</v>
      </c>
      <c r="G14" s="19" t="n">
        <f aca="false">D14*$C14</f>
        <v>0</v>
      </c>
      <c r="H14" s="19" t="n">
        <f aca="false">E14*$C14</f>
        <v>485.52</v>
      </c>
      <c r="I14" s="20" t="n">
        <f aca="false">H14-G14</f>
        <v>485.52</v>
      </c>
    </row>
    <row r="15" customFormat="false" ht="15" hidden="false" customHeight="false" outlineLevel="0" collapsed="false">
      <c r="A15" s="15"/>
      <c r="B15" s="21" t="s">
        <v>22</v>
      </c>
      <c r="C15" s="22" t="n">
        <v>23.12</v>
      </c>
      <c r="D15" s="23" t="n">
        <f aca="false">SUM(Projections!J7:J258)</f>
        <v>845</v>
      </c>
      <c r="E15" s="23" t="n">
        <f aca="false">SUM(Actuals!J7:J258)</f>
        <v>975</v>
      </c>
      <c r="F15" s="24" t="n">
        <f aca="false">E15-D15</f>
        <v>130</v>
      </c>
      <c r="G15" s="25" t="n">
        <f aca="false">D15*$C15</f>
        <v>19536.4</v>
      </c>
      <c r="H15" s="25" t="n">
        <f aca="false">E15*$C15</f>
        <v>22542</v>
      </c>
      <c r="I15" s="26" t="n">
        <f aca="false">H15-G15</f>
        <v>3005.6</v>
      </c>
    </row>
    <row r="16" customFormat="false" ht="15" hidden="false" customHeight="false" outlineLevel="0" collapsed="false">
      <c r="A16" s="27" t="s">
        <v>23</v>
      </c>
      <c r="B16" s="28" t="s">
        <v>19</v>
      </c>
      <c r="C16" s="29" t="n">
        <v>11.55</v>
      </c>
      <c r="D16" s="30" t="n">
        <f aca="false">SUM(Projections!K7:K258)</f>
        <v>35712</v>
      </c>
      <c r="E16" s="30" t="n">
        <f aca="false">SUM(Actuals!K7:K258)</f>
        <v>28951</v>
      </c>
      <c r="F16" s="31" t="n">
        <f aca="false">E16-D16</f>
        <v>-6761</v>
      </c>
      <c r="G16" s="32" t="n">
        <f aca="false">D16*$C16</f>
        <v>412473.6</v>
      </c>
      <c r="H16" s="32" t="n">
        <f aca="false">E16*$C16</f>
        <v>334384.05</v>
      </c>
      <c r="I16" s="33" t="n">
        <f aca="false">H16-G16</f>
        <v>-78089.55</v>
      </c>
    </row>
    <row r="17" customFormat="false" ht="15" hidden="false" customHeight="false" outlineLevel="0" collapsed="false">
      <c r="A17" s="34"/>
      <c r="B17" s="21" t="s">
        <v>20</v>
      </c>
      <c r="C17" s="22" t="n">
        <v>11.55</v>
      </c>
      <c r="D17" s="23" t="n">
        <f aca="false">SUM(Projections!L7:L258)</f>
        <v>35634</v>
      </c>
      <c r="E17" s="23" t="n">
        <f aca="false">SUM(Actuals!L7:L258)</f>
        <v>28889</v>
      </c>
      <c r="F17" s="24" t="n">
        <f aca="false">E17-D17</f>
        <v>-6745</v>
      </c>
      <c r="G17" s="25" t="n">
        <f aca="false">D17*$C17</f>
        <v>411572.7</v>
      </c>
      <c r="H17" s="25" t="n">
        <f aca="false">E17*$C17</f>
        <v>333667.95</v>
      </c>
      <c r="I17" s="26" t="n">
        <f aca="false">H17-G17</f>
        <v>-77904.75</v>
      </c>
    </row>
    <row r="18" customFormat="false" ht="15" hidden="false" customHeight="false" outlineLevel="0" collapsed="false">
      <c r="A18" s="34"/>
      <c r="B18" s="16" t="s">
        <v>21</v>
      </c>
      <c r="C18" s="12" t="n">
        <v>11.55</v>
      </c>
      <c r="D18" s="17" t="n">
        <f aca="false">SUM(Projections!M7:M258)</f>
        <v>65</v>
      </c>
      <c r="E18" s="17" t="n">
        <f aca="false">SUM(Actuals!M7:M258)</f>
        <v>856</v>
      </c>
      <c r="F18" s="18" t="n">
        <f aca="false">E18-D18</f>
        <v>791</v>
      </c>
      <c r="G18" s="19" t="n">
        <f aca="false">D18*$C18</f>
        <v>750.75</v>
      </c>
      <c r="H18" s="19" t="n">
        <f aca="false">E18*$C18</f>
        <v>9886.8</v>
      </c>
      <c r="I18" s="20" t="n">
        <f aca="false">H18-G18</f>
        <v>9136.05</v>
      </c>
    </row>
    <row r="19" customFormat="false" ht="15" hidden="false" customHeight="false" outlineLevel="0" collapsed="false">
      <c r="A19" s="35" t="s">
        <v>24</v>
      </c>
      <c r="B19" s="36" t="s">
        <v>25</v>
      </c>
      <c r="C19" s="37" t="n">
        <v>16.51</v>
      </c>
      <c r="D19" s="38" t="n">
        <f aca="false">SUM(Projections!N7:N258)</f>
        <v>2500</v>
      </c>
      <c r="E19" s="38" t="n">
        <f aca="false">SUM(Actuals!N7:N258)</f>
        <v>1575</v>
      </c>
      <c r="F19" s="39" t="n">
        <f aca="false">E19-D19</f>
        <v>-925</v>
      </c>
      <c r="G19" s="40" t="n">
        <f aca="false">D19*$C19</f>
        <v>41275</v>
      </c>
      <c r="H19" s="40" t="n">
        <f aca="false">E19*$C19</f>
        <v>26003.25</v>
      </c>
      <c r="I19" s="41" t="n">
        <f aca="false">H19-G19</f>
        <v>-15271.75</v>
      </c>
    </row>
    <row r="20" customFormat="false" ht="15" hidden="false" customHeight="false" outlineLevel="0" collapsed="false">
      <c r="A20" s="42"/>
      <c r="B20" s="16" t="s">
        <v>26</v>
      </c>
      <c r="C20" s="12" t="n">
        <v>16.51</v>
      </c>
      <c r="D20" s="17" t="n">
        <f aca="false">SUM(Projections!O7:O258)</f>
        <v>2550</v>
      </c>
      <c r="E20" s="17" t="n">
        <f aca="false">SUM(Actuals!O7:O258)</f>
        <v>1210</v>
      </c>
      <c r="F20" s="18" t="n">
        <f aca="false">E20-D20</f>
        <v>-1340</v>
      </c>
      <c r="G20" s="19" t="n">
        <f aca="false">D20*$C20</f>
        <v>42100.5</v>
      </c>
      <c r="H20" s="19" t="n">
        <f aca="false">E20*$C20</f>
        <v>19977.1</v>
      </c>
      <c r="I20" s="20" t="n">
        <f aca="false">H20-G20</f>
        <v>-22123.4</v>
      </c>
    </row>
    <row r="21" customFormat="false" ht="15" hidden="false" customHeight="false" outlineLevel="0" collapsed="false">
      <c r="A21" s="43" t="s">
        <v>27</v>
      </c>
      <c r="B21" s="36" t="s">
        <v>28</v>
      </c>
      <c r="C21" s="37" t="n">
        <v>16.51</v>
      </c>
      <c r="D21" s="38" t="n">
        <f aca="false">SUM(Projections!P7:P258)</f>
        <v>1040</v>
      </c>
      <c r="E21" s="38" t="n">
        <f aca="false">SUM(Actuals!P7:P258)</f>
        <v>524</v>
      </c>
      <c r="F21" s="39" t="n">
        <f aca="false">E21-D21</f>
        <v>-516</v>
      </c>
      <c r="G21" s="40" t="n">
        <f aca="false">D21*$C21</f>
        <v>17170.4</v>
      </c>
      <c r="H21" s="40" t="n">
        <f aca="false">E21*$C21</f>
        <v>8651.24</v>
      </c>
      <c r="I21" s="41" t="n">
        <f aca="false">H21-G21</f>
        <v>-8519.16</v>
      </c>
    </row>
    <row r="22" customFormat="false" ht="15" hidden="false" customHeight="false" outlineLevel="0" collapsed="false">
      <c r="A22" s="44"/>
      <c r="B22" s="16" t="s">
        <v>29</v>
      </c>
      <c r="C22" s="12" t="n">
        <v>11.55</v>
      </c>
      <c r="D22" s="17" t="n">
        <f aca="false">SUM(Projections!Q7:Q258)</f>
        <v>0</v>
      </c>
      <c r="E22" s="17" t="n">
        <f aca="false">SUM(Actuals!Q7:Q258)</f>
        <v>164</v>
      </c>
      <c r="F22" s="18" t="n">
        <f aca="false">E22-D22</f>
        <v>164</v>
      </c>
      <c r="G22" s="19" t="n">
        <f aca="false">D22*$C22</f>
        <v>0</v>
      </c>
      <c r="H22" s="19" t="n">
        <f aca="false">E22*$C22</f>
        <v>1894.2</v>
      </c>
      <c r="I22" s="20" t="n">
        <f aca="false">H22-G22</f>
        <v>1894.2</v>
      </c>
    </row>
    <row r="23" customFormat="false" ht="15" hidden="false" customHeight="false" outlineLevel="0" collapsed="false">
      <c r="A23" s="45" t="s">
        <v>30</v>
      </c>
      <c r="B23" s="36" t="s">
        <v>31</v>
      </c>
      <c r="C23" s="37"/>
      <c r="D23" s="38" t="n">
        <f aca="false">SUM(Projections!R7:R258)</f>
        <v>0</v>
      </c>
      <c r="E23" s="38" t="n">
        <f aca="false">SUM(Actuals!R7:R258)</f>
        <v>11202.26</v>
      </c>
      <c r="F23" s="39" t="n">
        <f aca="false">E23-D23</f>
        <v>11202.26</v>
      </c>
      <c r="G23" s="40"/>
      <c r="H23" s="40"/>
      <c r="I23" s="41"/>
    </row>
    <row r="24" customFormat="false" ht="15" hidden="false" customHeight="false" outlineLevel="0" collapsed="false">
      <c r="A24" s="46"/>
      <c r="B24" s="16" t="s">
        <v>32</v>
      </c>
      <c r="C24" s="12" t="n">
        <v>11.55</v>
      </c>
      <c r="D24" s="17" t="n">
        <f aca="false">SUM(Projections!S7:S258)</f>
        <v>0</v>
      </c>
      <c r="E24" s="17" t="n">
        <f aca="false">SUM(Actuals!S7:S258)</f>
        <v>560</v>
      </c>
      <c r="F24" s="18" t="n">
        <f aca="false">E24-D24</f>
        <v>560</v>
      </c>
      <c r="G24" s="19" t="n">
        <f aca="false">D24*$C24</f>
        <v>0</v>
      </c>
      <c r="H24" s="19" t="n">
        <f aca="false">E24*$C24</f>
        <v>6468</v>
      </c>
      <c r="I24" s="20" t="n">
        <f aca="false">H24-G24</f>
        <v>6468</v>
      </c>
    </row>
    <row r="25" customFormat="false" ht="15" hidden="false" customHeight="false" outlineLevel="0" collapsed="false">
      <c r="A25" s="46"/>
      <c r="B25" s="21" t="s">
        <v>33</v>
      </c>
      <c r="C25" s="22" t="n">
        <v>15</v>
      </c>
      <c r="D25" s="23" t="n">
        <f aca="false">SUM(Projections!T7:T258)</f>
        <v>0</v>
      </c>
      <c r="E25" s="23" t="n">
        <f aca="false">SUM(Actuals!T7:T258)</f>
        <v>50</v>
      </c>
      <c r="F25" s="24" t="n">
        <f aca="false">E25-D25</f>
        <v>50</v>
      </c>
      <c r="G25" s="25" t="n">
        <f aca="false">D25*$C25</f>
        <v>0</v>
      </c>
      <c r="H25" s="25" t="n">
        <f aca="false">E25*$C25</f>
        <v>750</v>
      </c>
      <c r="I25" s="26" t="n">
        <f aca="false">H25-G25</f>
        <v>750</v>
      </c>
    </row>
    <row r="26" customFormat="false" ht="15" hidden="false" customHeight="false" outlineLevel="0" collapsed="false">
      <c r="A26" s="46"/>
      <c r="B26" s="16" t="s">
        <v>34</v>
      </c>
      <c r="C26" s="12" t="n">
        <v>1.7</v>
      </c>
      <c r="D26" s="17" t="n">
        <f aca="false">SUM(Projections!U7:U258)</f>
        <v>0</v>
      </c>
      <c r="E26" s="17" t="n">
        <f aca="false">SUM(Actuals!U7:U258)</f>
        <v>1641</v>
      </c>
      <c r="F26" s="18" t="n">
        <f aca="false">E26-D26</f>
        <v>1641</v>
      </c>
      <c r="G26" s="19" t="n">
        <f aca="false">D26*$C26</f>
        <v>0</v>
      </c>
      <c r="H26" s="19" t="n">
        <f aca="false">E26*$C26</f>
        <v>2789.7</v>
      </c>
      <c r="I26" s="20" t="n">
        <f aca="false">H26-G26</f>
        <v>2789.7</v>
      </c>
    </row>
    <row r="27" customFormat="false" ht="15" hidden="false" customHeight="false" outlineLevel="0" collapsed="false">
      <c r="A27" s="46"/>
      <c r="B27" s="21" t="s">
        <v>35</v>
      </c>
      <c r="C27" s="22" t="n">
        <v>1.7</v>
      </c>
      <c r="D27" s="23" t="n">
        <f aca="false">SUM(Projections!V7:V258)</f>
        <v>0</v>
      </c>
      <c r="E27" s="23" t="n">
        <f aca="false">SUM(Actuals!V7:V258)</f>
        <v>3600</v>
      </c>
      <c r="F27" s="24" t="n">
        <f aca="false">E27-D27</f>
        <v>3600</v>
      </c>
      <c r="G27" s="25" t="n">
        <f aca="false">D27*$C27</f>
        <v>0</v>
      </c>
      <c r="H27" s="25" t="n">
        <f aca="false">E27*$C27</f>
        <v>6120</v>
      </c>
      <c r="I27" s="26" t="n">
        <f aca="false">H27-G27</f>
        <v>6120</v>
      </c>
    </row>
    <row r="28" customFormat="false" ht="15" hidden="false" customHeight="false" outlineLevel="0" collapsed="false">
      <c r="A28" s="46"/>
      <c r="B28" s="16" t="s">
        <v>36</v>
      </c>
      <c r="C28" s="12" t="n">
        <v>11.55</v>
      </c>
      <c r="D28" s="17" t="n">
        <f aca="false">SUM(Projections!W7:W258)</f>
        <v>0</v>
      </c>
      <c r="E28" s="17" t="n">
        <f aca="false">SUM(Actuals!W7:W258)</f>
        <v>312</v>
      </c>
      <c r="F28" s="18" t="n">
        <f aca="false">E28-D28</f>
        <v>312</v>
      </c>
      <c r="G28" s="19" t="n">
        <f aca="false">D28*$C28</f>
        <v>0</v>
      </c>
      <c r="H28" s="19" t="n">
        <f aca="false">E28*$C28</f>
        <v>3603.6</v>
      </c>
      <c r="I28" s="20" t="n">
        <f aca="false">H28-G28</f>
        <v>3603.6</v>
      </c>
    </row>
    <row r="29" customFormat="false" ht="15" hidden="false" customHeight="false" outlineLevel="0" collapsed="false">
      <c r="A29" s="47"/>
      <c r="B29" s="47" t="s">
        <v>37</v>
      </c>
      <c r="C29" s="48"/>
      <c r="D29" s="48"/>
      <c r="E29" s="48"/>
      <c r="F29" s="48"/>
      <c r="G29" s="49" t="n">
        <f aca="false">SUM(G12:G28)</f>
        <v>1223475.35</v>
      </c>
      <c r="H29" s="49" t="n">
        <f aca="false">SUM(H12:H28)</f>
        <v>1069460.21</v>
      </c>
      <c r="I29" s="50" t="n">
        <f aca="false">SUM(I12:I28)</f>
        <v>-154015.14</v>
      </c>
    </row>
    <row r="31" customFormat="false" ht="15" hidden="false" customHeight="false" outlineLevel="0" collapsed="false">
      <c r="A31" s="3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3A5F"/>
    <pageSetUpPr fitToPage="false"/>
  </sheetPr>
  <dimension ref="A1:W2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6" topLeftCell="G7" activePane="bottomRight" state="frozen"/>
      <selection pane="topLeft" activeCell="A1" activeCellId="0" sqref="A1"/>
      <selection pane="topRight" activeCell="G1" activeCellId="0" sqref="G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.51"/>
    <col collapsed="false" customWidth="true" hidden="false" outlineLevel="0" max="2" min="2" style="0" width="8.5"/>
    <col collapsed="false" customWidth="true" hidden="false" outlineLevel="0" max="3" min="3" style="0" width="7"/>
    <col collapsed="false" customWidth="true" hidden="false" outlineLevel="0" max="4" min="4" style="0" width="8"/>
    <col collapsed="false" customWidth="true" hidden="false" outlineLevel="0" max="5" min="5" style="0" width="12.5"/>
    <col collapsed="false" customWidth="true" hidden="false" outlineLevel="0" max="6" min="6" style="0" width="8.5"/>
    <col collapsed="false" customWidth="true" hidden="false" outlineLevel="0" max="23" min="7" style="0" width="6.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39</v>
      </c>
    </row>
    <row r="3" customFormat="false" ht="15" hidden="false" customHeight="false" outlineLevel="0" collapsed="false">
      <c r="A3" s="3" t="s">
        <v>40</v>
      </c>
    </row>
    <row r="4" customFormat="false" ht="18" hidden="false" customHeight="true" outlineLevel="0" collapsed="false">
      <c r="A4" s="51" t="s">
        <v>41</v>
      </c>
      <c r="B4" s="51" t="s">
        <v>42</v>
      </c>
      <c r="C4" s="51" t="s">
        <v>43</v>
      </c>
      <c r="D4" s="51" t="s">
        <v>44</v>
      </c>
      <c r="E4" s="51" t="s">
        <v>8</v>
      </c>
      <c r="F4" s="51" t="s">
        <v>7</v>
      </c>
      <c r="G4" s="52" t="s">
        <v>18</v>
      </c>
      <c r="H4" s="52"/>
      <c r="I4" s="52"/>
      <c r="J4" s="52"/>
      <c r="K4" s="53" t="s">
        <v>23</v>
      </c>
      <c r="L4" s="53"/>
      <c r="M4" s="53"/>
      <c r="N4" s="54" t="s">
        <v>24</v>
      </c>
      <c r="O4" s="54"/>
      <c r="P4" s="55" t="s">
        <v>27</v>
      </c>
      <c r="Q4" s="55"/>
      <c r="R4" s="56" t="s">
        <v>30</v>
      </c>
      <c r="S4" s="56"/>
      <c r="T4" s="56"/>
      <c r="U4" s="56"/>
      <c r="V4" s="56"/>
      <c r="W4" s="56"/>
    </row>
    <row r="5" customFormat="false" ht="96" hidden="false" customHeight="true" outlineLevel="0" collapsed="false">
      <c r="A5" s="51"/>
      <c r="B5" s="51"/>
      <c r="C5" s="51"/>
      <c r="D5" s="51"/>
      <c r="E5" s="51"/>
      <c r="F5" s="51"/>
      <c r="G5" s="57" t="s">
        <v>19</v>
      </c>
      <c r="H5" s="57" t="s">
        <v>20</v>
      </c>
      <c r="I5" s="57" t="s">
        <v>21</v>
      </c>
      <c r="J5" s="57" t="s">
        <v>22</v>
      </c>
      <c r="K5" s="58" t="s">
        <v>19</v>
      </c>
      <c r="L5" s="58" t="s">
        <v>20</v>
      </c>
      <c r="M5" s="58" t="s">
        <v>21</v>
      </c>
      <c r="N5" s="59" t="s">
        <v>25</v>
      </c>
      <c r="O5" s="59" t="s">
        <v>26</v>
      </c>
      <c r="P5" s="60" t="s">
        <v>28</v>
      </c>
      <c r="Q5" s="60" t="s">
        <v>29</v>
      </c>
      <c r="R5" s="61" t="s">
        <v>45</v>
      </c>
      <c r="S5" s="61" t="s">
        <v>32</v>
      </c>
      <c r="T5" s="61" t="s">
        <v>33</v>
      </c>
      <c r="U5" s="61" t="s">
        <v>34</v>
      </c>
      <c r="V5" s="61" t="s">
        <v>35</v>
      </c>
      <c r="W5" s="61" t="s">
        <v>36</v>
      </c>
    </row>
    <row r="6" customFormat="false" ht="15" hidden="false" customHeight="true" outlineLevel="0" collapsed="false">
      <c r="A6" s="51"/>
      <c r="B6" s="51"/>
      <c r="C6" s="51"/>
      <c r="D6" s="51"/>
      <c r="E6" s="51"/>
      <c r="F6" s="51"/>
      <c r="G6" s="62" t="n">
        <v>23.12</v>
      </c>
      <c r="H6" s="62" t="n">
        <v>23.12</v>
      </c>
      <c r="I6" s="62" t="n">
        <v>23.12</v>
      </c>
      <c r="J6" s="62" t="n">
        <v>23.12</v>
      </c>
      <c r="K6" s="63" t="n">
        <v>11.55</v>
      </c>
      <c r="L6" s="63" t="n">
        <v>11.55</v>
      </c>
      <c r="M6" s="63" t="n">
        <v>11.55</v>
      </c>
      <c r="N6" s="64" t="n">
        <v>16.51</v>
      </c>
      <c r="O6" s="64" t="n">
        <v>16.51</v>
      </c>
      <c r="P6" s="65" t="n">
        <v>16.51</v>
      </c>
      <c r="Q6" s="65" t="n">
        <v>11.55</v>
      </c>
      <c r="R6" s="66" t="s">
        <v>46</v>
      </c>
      <c r="S6" s="67" t="n">
        <v>11.55</v>
      </c>
      <c r="T6" s="67" t="n">
        <v>15</v>
      </c>
      <c r="U6" s="67" t="n">
        <v>1.7</v>
      </c>
      <c r="V6" s="67" t="n">
        <v>1.7</v>
      </c>
      <c r="W6" s="67" t="n">
        <v>11.55</v>
      </c>
    </row>
    <row r="7" customFormat="false" ht="15" hidden="false" customHeight="false" outlineLevel="0" collapsed="false">
      <c r="A7" s="68" t="s">
        <v>47</v>
      </c>
      <c r="B7" s="69" t="n">
        <v>46023</v>
      </c>
      <c r="C7" s="70" t="n">
        <v>1</v>
      </c>
      <c r="D7" s="70" t="s">
        <v>48</v>
      </c>
      <c r="E7" s="71" t="n">
        <f aca="false">G7*23.12+H7*23.12+I7*23.12+J7*23.12+K7*11.55+L7*11.55+M7*11.55+N7*16.51+O7*16.51+P7*16.51+Q7*11.55+S7*11.55+T7*15+U7*1.7+V7*1.7+W7*11.55</f>
        <v>0</v>
      </c>
      <c r="F7" s="72" t="n">
        <f aca="false">G7+H7+I7+J7+K7+L7+M7+N7+O7+P7+Q7+S7+T7+U7+V7+W7</f>
        <v>0</v>
      </c>
      <c r="G7" s="73" t="n">
        <v>0</v>
      </c>
      <c r="H7" s="74" t="n">
        <v>0</v>
      </c>
      <c r="I7" s="74" t="n">
        <v>0</v>
      </c>
      <c r="J7" s="74" t="n">
        <v>0</v>
      </c>
      <c r="K7" s="73" t="n">
        <v>0</v>
      </c>
      <c r="L7" s="74" t="n">
        <v>0</v>
      </c>
      <c r="M7" s="74" t="n">
        <v>0</v>
      </c>
      <c r="N7" s="73" t="n">
        <v>0</v>
      </c>
      <c r="O7" s="74" t="n">
        <v>0</v>
      </c>
      <c r="P7" s="73" t="n">
        <v>0</v>
      </c>
      <c r="Q7" s="74" t="n">
        <v>0</v>
      </c>
      <c r="R7" s="75" t="n">
        <v>0</v>
      </c>
      <c r="S7" s="74" t="n">
        <v>0</v>
      </c>
      <c r="T7" s="74" t="n">
        <v>0</v>
      </c>
      <c r="U7" s="74" t="n">
        <v>0</v>
      </c>
      <c r="V7" s="74" t="n">
        <v>0</v>
      </c>
      <c r="W7" s="74" t="n">
        <v>0</v>
      </c>
    </row>
    <row r="8" customFormat="false" ht="15" hidden="false" customHeight="false" outlineLevel="0" collapsed="false">
      <c r="A8" s="76" t="s">
        <v>49</v>
      </c>
      <c r="B8" s="77" t="n">
        <v>46024</v>
      </c>
      <c r="C8" s="78" t="n">
        <v>1</v>
      </c>
      <c r="D8" s="78" t="s">
        <v>48</v>
      </c>
      <c r="E8" s="79" t="n">
        <f aca="false">G8*23.12+H8*23.12+I8*23.12+J8*23.12+K8*11.55+L8*11.55+M8*11.55+N8*16.51+O8*16.51+P8*16.51+Q8*11.55+S8*11.55+T8*15+U8*1.7+V8*1.7+W8*11.55</f>
        <v>0</v>
      </c>
      <c r="F8" s="80" t="n">
        <f aca="false">G8+H8+I8+J8+K8+L8+M8+N8+O8+P8+Q8+S8+T8+U8+V8+W8</f>
        <v>0</v>
      </c>
      <c r="G8" s="81" t="n">
        <v>0</v>
      </c>
      <c r="H8" s="82" t="n">
        <v>0</v>
      </c>
      <c r="I8" s="82" t="n">
        <v>0</v>
      </c>
      <c r="J8" s="82" t="n">
        <v>0</v>
      </c>
      <c r="K8" s="81" t="n">
        <v>0</v>
      </c>
      <c r="L8" s="82" t="n">
        <v>0</v>
      </c>
      <c r="M8" s="82" t="n">
        <v>0</v>
      </c>
      <c r="N8" s="81" t="n">
        <v>0</v>
      </c>
      <c r="O8" s="82" t="n">
        <v>0</v>
      </c>
      <c r="P8" s="81" t="n">
        <v>0</v>
      </c>
      <c r="Q8" s="82" t="n">
        <v>0</v>
      </c>
      <c r="R8" s="83" t="n">
        <v>0</v>
      </c>
      <c r="S8" s="82" t="n">
        <v>0</v>
      </c>
      <c r="T8" s="82" t="n">
        <v>0</v>
      </c>
      <c r="U8" s="82" t="n">
        <v>0</v>
      </c>
      <c r="V8" s="82" t="n">
        <v>0</v>
      </c>
      <c r="W8" s="82" t="n">
        <v>0</v>
      </c>
    </row>
    <row r="9" customFormat="false" ht="15" hidden="false" customHeight="false" outlineLevel="0" collapsed="false">
      <c r="A9" s="84" t="s">
        <v>50</v>
      </c>
      <c r="B9" s="69" t="n">
        <v>46025</v>
      </c>
      <c r="C9" s="70" t="n">
        <v>1</v>
      </c>
      <c r="D9" s="70" t="s">
        <v>48</v>
      </c>
      <c r="E9" s="71" t="n">
        <f aca="false">G9*23.12+H9*23.12+I9*23.12+J9*23.12+K9*11.55+L9*11.55+M9*11.55+N9*16.51+O9*16.51+P9*16.51+Q9*11.55+S9*11.55+T9*15+U9*1.7+V9*1.7+W9*11.55</f>
        <v>0</v>
      </c>
      <c r="F9" s="72" t="n">
        <f aca="false">G9+H9+I9+J9+K9+L9+M9+N9+O9+P9+Q9+S9+T9+U9+V9+W9</f>
        <v>0</v>
      </c>
      <c r="G9" s="73" t="n">
        <v>0</v>
      </c>
      <c r="H9" s="74" t="n">
        <v>0</v>
      </c>
      <c r="I9" s="74" t="n">
        <v>0</v>
      </c>
      <c r="J9" s="74" t="n">
        <v>0</v>
      </c>
      <c r="K9" s="73" t="n">
        <v>0</v>
      </c>
      <c r="L9" s="74" t="n">
        <v>0</v>
      </c>
      <c r="M9" s="74" t="n">
        <v>0</v>
      </c>
      <c r="N9" s="73" t="n">
        <v>0</v>
      </c>
      <c r="O9" s="74" t="n">
        <v>0</v>
      </c>
      <c r="P9" s="73" t="n">
        <v>0</v>
      </c>
      <c r="Q9" s="74" t="n">
        <v>0</v>
      </c>
      <c r="R9" s="75" t="n">
        <v>0</v>
      </c>
      <c r="S9" s="74" t="n">
        <v>0</v>
      </c>
      <c r="T9" s="74" t="n">
        <v>0</v>
      </c>
      <c r="U9" s="74" t="n">
        <v>0</v>
      </c>
      <c r="V9" s="74" t="n">
        <v>0</v>
      </c>
      <c r="W9" s="74" t="n">
        <v>0</v>
      </c>
    </row>
    <row r="10" customFormat="false" ht="15" hidden="false" customHeight="false" outlineLevel="0" collapsed="false">
      <c r="A10" s="85" t="s">
        <v>51</v>
      </c>
      <c r="B10" s="77" t="n">
        <v>46026</v>
      </c>
      <c r="C10" s="78" t="n">
        <v>1</v>
      </c>
      <c r="D10" s="78" t="s">
        <v>48</v>
      </c>
      <c r="E10" s="79" t="n">
        <f aca="false">G10*23.12+H10*23.12+I10*23.12+J10*23.12+K10*11.55+L10*11.55+M10*11.55+N10*16.51+O10*16.51+P10*16.51+Q10*11.55+S10*11.55+T10*15+U10*1.7+V10*1.7+W10*11.55</f>
        <v>0</v>
      </c>
      <c r="F10" s="80" t="n">
        <f aca="false">G10+H10+I10+J10+K10+L10+M10+N10+O10+P10+Q10+S10+T10+U10+V10+W10</f>
        <v>0</v>
      </c>
      <c r="G10" s="81" t="n">
        <v>0</v>
      </c>
      <c r="H10" s="82" t="n">
        <v>0</v>
      </c>
      <c r="I10" s="82" t="n">
        <v>0</v>
      </c>
      <c r="J10" s="82" t="n">
        <v>0</v>
      </c>
      <c r="K10" s="81" t="n">
        <v>0</v>
      </c>
      <c r="L10" s="82" t="n">
        <v>0</v>
      </c>
      <c r="M10" s="82" t="n">
        <v>0</v>
      </c>
      <c r="N10" s="81" t="n">
        <v>0</v>
      </c>
      <c r="O10" s="82" t="n">
        <v>0</v>
      </c>
      <c r="P10" s="81" t="n">
        <v>0</v>
      </c>
      <c r="Q10" s="82" t="n">
        <v>0</v>
      </c>
      <c r="R10" s="83" t="n">
        <v>0</v>
      </c>
      <c r="S10" s="82" t="n">
        <v>0</v>
      </c>
      <c r="T10" s="82" t="n">
        <v>0</v>
      </c>
      <c r="U10" s="82" t="n">
        <v>0</v>
      </c>
      <c r="V10" s="82" t="n">
        <v>0</v>
      </c>
      <c r="W10" s="82" t="n">
        <v>0</v>
      </c>
    </row>
    <row r="11" customFormat="false" ht="15" hidden="false" customHeight="false" outlineLevel="0" collapsed="false">
      <c r="A11" s="86" t="s">
        <v>52</v>
      </c>
      <c r="B11" s="87" t="n">
        <v>46027</v>
      </c>
      <c r="C11" s="88" t="n">
        <v>1</v>
      </c>
      <c r="D11" s="88" t="s">
        <v>53</v>
      </c>
      <c r="E11" s="89" t="n">
        <f aca="false">G11*23.12+H11*23.12+I11*23.12+J11*23.12+K11*11.55+L11*11.55+M11*11.55+N11*16.51+O11*16.51+P11*16.51+Q11*11.55+S11*11.55+T11*15+U11*1.7+V11*1.7+W11*11.55</f>
        <v>1155</v>
      </c>
      <c r="F11" s="90" t="n">
        <f aca="false">G11+H11+I11+J11+K11+L11+M11+N11+O11+P11+Q11+S11+T11+U11+V11+W11</f>
        <v>100</v>
      </c>
      <c r="G11" s="91" t="n">
        <v>0</v>
      </c>
      <c r="H11" s="92" t="n">
        <v>0</v>
      </c>
      <c r="I11" s="92" t="n">
        <v>0</v>
      </c>
      <c r="J11" s="92" t="n">
        <v>0</v>
      </c>
      <c r="K11" s="93" t="n">
        <v>50</v>
      </c>
      <c r="L11" s="94" t="n">
        <v>50</v>
      </c>
      <c r="M11" s="92" t="n">
        <v>0</v>
      </c>
      <c r="N11" s="91" t="n">
        <v>0</v>
      </c>
      <c r="O11" s="92" t="n">
        <v>0</v>
      </c>
      <c r="P11" s="91" t="n">
        <v>0</v>
      </c>
      <c r="Q11" s="92" t="n">
        <v>0</v>
      </c>
      <c r="R11" s="95" t="n">
        <v>0</v>
      </c>
      <c r="S11" s="92" t="n">
        <v>0</v>
      </c>
      <c r="T11" s="92" t="n">
        <v>0</v>
      </c>
      <c r="U11" s="92" t="n">
        <v>0</v>
      </c>
      <c r="V11" s="92" t="n">
        <v>0</v>
      </c>
      <c r="W11" s="92" t="n">
        <v>0</v>
      </c>
    </row>
    <row r="12" customFormat="false" ht="15" hidden="false" customHeight="false" outlineLevel="0" collapsed="false">
      <c r="A12" s="76" t="s">
        <v>54</v>
      </c>
      <c r="B12" s="77" t="n">
        <v>46028</v>
      </c>
      <c r="C12" s="78" t="n">
        <v>1</v>
      </c>
      <c r="D12" s="78" t="s">
        <v>53</v>
      </c>
      <c r="E12" s="79" t="n">
        <f aca="false">G12*23.12+H12*23.12+I12*23.12+J12*23.12+K12*11.55+L12*11.55+M12*11.55+N12*16.51+O12*16.51+P12*16.51+Q12*11.55+S12*11.55+T12*15+U12*1.7+V12*1.7+W12*11.55</f>
        <v>1386</v>
      </c>
      <c r="F12" s="80" t="n">
        <f aca="false">G12+H12+I12+J12+K12+L12+M12+N12+O12+P12+Q12+S12+T12+U12+V12+W12</f>
        <v>120</v>
      </c>
      <c r="G12" s="81" t="n">
        <v>0</v>
      </c>
      <c r="H12" s="82" t="n">
        <v>0</v>
      </c>
      <c r="I12" s="82" t="n">
        <v>0</v>
      </c>
      <c r="J12" s="82" t="n">
        <v>0</v>
      </c>
      <c r="K12" s="96" t="n">
        <v>60</v>
      </c>
      <c r="L12" s="97" t="n">
        <v>60</v>
      </c>
      <c r="M12" s="82" t="n">
        <v>0</v>
      </c>
      <c r="N12" s="81" t="n">
        <v>0</v>
      </c>
      <c r="O12" s="82" t="n">
        <v>0</v>
      </c>
      <c r="P12" s="81" t="n">
        <v>0</v>
      </c>
      <c r="Q12" s="82" t="n">
        <v>0</v>
      </c>
      <c r="R12" s="83" t="n">
        <v>0</v>
      </c>
      <c r="S12" s="82" t="n">
        <v>0</v>
      </c>
      <c r="T12" s="82" t="n">
        <v>0</v>
      </c>
      <c r="U12" s="82" t="n">
        <v>0</v>
      </c>
      <c r="V12" s="82" t="n">
        <v>0</v>
      </c>
      <c r="W12" s="82" t="n">
        <v>0</v>
      </c>
    </row>
    <row r="13" customFormat="false" ht="15" hidden="false" customHeight="false" outlineLevel="0" collapsed="false">
      <c r="A13" s="68" t="s">
        <v>55</v>
      </c>
      <c r="B13" s="69" t="n">
        <v>46029</v>
      </c>
      <c r="C13" s="70" t="n">
        <v>1</v>
      </c>
      <c r="D13" s="70" t="s">
        <v>53</v>
      </c>
      <c r="E13" s="71" t="n">
        <f aca="false">G13*23.12+H13*23.12+I13*23.12+J13*23.12+K13*11.55+L13*11.55+M13*11.55+N13*16.51+O13*16.51+P13*16.51+Q13*11.55+S13*11.55+T13*15+U13*1.7+V13*1.7+W13*11.55</f>
        <v>1848</v>
      </c>
      <c r="F13" s="72" t="n">
        <f aca="false">G13+H13+I13+J13+K13+L13+M13+N13+O13+P13+Q13+S13+T13+U13+V13+W13</f>
        <v>160</v>
      </c>
      <c r="G13" s="73" t="n">
        <v>0</v>
      </c>
      <c r="H13" s="74" t="n">
        <v>0</v>
      </c>
      <c r="I13" s="74" t="n">
        <v>0</v>
      </c>
      <c r="J13" s="74" t="n">
        <v>0</v>
      </c>
      <c r="K13" s="98" t="n">
        <v>80</v>
      </c>
      <c r="L13" s="99" t="n">
        <v>80</v>
      </c>
      <c r="M13" s="74" t="n">
        <v>0</v>
      </c>
      <c r="N13" s="73" t="n">
        <v>0</v>
      </c>
      <c r="O13" s="74" t="n">
        <v>0</v>
      </c>
      <c r="P13" s="73" t="n">
        <v>0</v>
      </c>
      <c r="Q13" s="74" t="n">
        <v>0</v>
      </c>
      <c r="R13" s="75" t="n">
        <v>0</v>
      </c>
      <c r="S13" s="74" t="n">
        <v>0</v>
      </c>
      <c r="T13" s="74" t="n">
        <v>0</v>
      </c>
      <c r="U13" s="74" t="n">
        <v>0</v>
      </c>
      <c r="V13" s="74" t="n">
        <v>0</v>
      </c>
      <c r="W13" s="74" t="n">
        <v>0</v>
      </c>
    </row>
    <row r="14" customFormat="false" ht="15" hidden="false" customHeight="false" outlineLevel="0" collapsed="false">
      <c r="A14" s="76" t="s">
        <v>47</v>
      </c>
      <c r="B14" s="77" t="n">
        <v>46030</v>
      </c>
      <c r="C14" s="78" t="n">
        <v>1</v>
      </c>
      <c r="D14" s="78" t="s">
        <v>53</v>
      </c>
      <c r="E14" s="79" t="n">
        <f aca="false">G14*23.12+H14*23.12+I14*23.12+J14*23.12+K14*11.55+L14*11.55+M14*11.55+N14*16.51+O14*16.51+P14*16.51+Q14*11.55+S14*11.55+T14*15+U14*1.7+V14*1.7+W14*11.55</f>
        <v>1848</v>
      </c>
      <c r="F14" s="80" t="n">
        <f aca="false">G14+H14+I14+J14+K14+L14+M14+N14+O14+P14+Q14+S14+T14+U14+V14+W14</f>
        <v>160</v>
      </c>
      <c r="G14" s="81" t="n">
        <v>0</v>
      </c>
      <c r="H14" s="82" t="n">
        <v>0</v>
      </c>
      <c r="I14" s="82" t="n">
        <v>0</v>
      </c>
      <c r="J14" s="82" t="n">
        <v>0</v>
      </c>
      <c r="K14" s="96" t="n">
        <v>80</v>
      </c>
      <c r="L14" s="97" t="n">
        <v>80</v>
      </c>
      <c r="M14" s="82" t="n">
        <v>0</v>
      </c>
      <c r="N14" s="81" t="n">
        <v>0</v>
      </c>
      <c r="O14" s="82" t="n">
        <v>0</v>
      </c>
      <c r="P14" s="81" t="n">
        <v>0</v>
      </c>
      <c r="Q14" s="82" t="n">
        <v>0</v>
      </c>
      <c r="R14" s="83" t="n">
        <v>0</v>
      </c>
      <c r="S14" s="82" t="n">
        <v>0</v>
      </c>
      <c r="T14" s="82" t="n">
        <v>0</v>
      </c>
      <c r="U14" s="82" t="n">
        <v>0</v>
      </c>
      <c r="V14" s="82" t="n">
        <v>0</v>
      </c>
      <c r="W14" s="82" t="n">
        <v>0</v>
      </c>
    </row>
    <row r="15" customFormat="false" ht="15" hidden="false" customHeight="false" outlineLevel="0" collapsed="false">
      <c r="A15" s="68" t="s">
        <v>49</v>
      </c>
      <c r="B15" s="69" t="n">
        <v>46031</v>
      </c>
      <c r="C15" s="70" t="n">
        <v>1</v>
      </c>
      <c r="D15" s="70" t="s">
        <v>53</v>
      </c>
      <c r="E15" s="71" t="n">
        <f aca="false">G15*23.12+H15*23.12+I15*23.12+J15*23.12+K15*11.55+L15*11.55+M15*11.55+N15*16.51+O15*16.51+P15*16.51+Q15*11.55+S15*11.55+T15*15+U15*1.7+V15*1.7+W15*11.55</f>
        <v>1501.5</v>
      </c>
      <c r="F15" s="72" t="n">
        <f aca="false">G15+H15+I15+J15+K15+L15+M15+N15+O15+P15+Q15+S15+T15+U15+V15+W15</f>
        <v>130</v>
      </c>
      <c r="G15" s="73" t="n">
        <v>0</v>
      </c>
      <c r="H15" s="74" t="n">
        <v>0</v>
      </c>
      <c r="I15" s="74" t="n">
        <v>0</v>
      </c>
      <c r="J15" s="74" t="n">
        <v>0</v>
      </c>
      <c r="K15" s="98" t="n">
        <v>65</v>
      </c>
      <c r="L15" s="99" t="n">
        <v>65</v>
      </c>
      <c r="M15" s="74" t="n">
        <v>0</v>
      </c>
      <c r="N15" s="73" t="n">
        <v>0</v>
      </c>
      <c r="O15" s="74" t="n">
        <v>0</v>
      </c>
      <c r="P15" s="73" t="n">
        <v>0</v>
      </c>
      <c r="Q15" s="74" t="n">
        <v>0</v>
      </c>
      <c r="R15" s="75" t="n">
        <v>0</v>
      </c>
      <c r="S15" s="74" t="n">
        <v>0</v>
      </c>
      <c r="T15" s="74" t="n">
        <v>0</v>
      </c>
      <c r="U15" s="74" t="n">
        <v>0</v>
      </c>
      <c r="V15" s="74" t="n">
        <v>0</v>
      </c>
      <c r="W15" s="74" t="n">
        <v>0</v>
      </c>
    </row>
    <row r="16" customFormat="false" ht="15" hidden="false" customHeight="false" outlineLevel="0" collapsed="false">
      <c r="A16" s="85" t="s">
        <v>50</v>
      </c>
      <c r="B16" s="77" t="n">
        <v>46032</v>
      </c>
      <c r="C16" s="78" t="n">
        <v>1</v>
      </c>
      <c r="D16" s="78" t="s">
        <v>53</v>
      </c>
      <c r="E16" s="79" t="n">
        <f aca="false">G16*23.12+H16*23.12+I16*23.12+J16*23.12+K16*11.55+L16*11.55+M16*11.55+N16*16.51+O16*16.51+P16*16.51+Q16*11.55+S16*11.55+T16*15+U16*1.7+V16*1.7+W16*11.55</f>
        <v>0</v>
      </c>
      <c r="F16" s="80" t="n">
        <f aca="false">G16+H16+I16+J16+K16+L16+M16+N16+O16+P16+Q16+S16+T16+U16+V16+W16</f>
        <v>0</v>
      </c>
      <c r="G16" s="81" t="n">
        <v>0</v>
      </c>
      <c r="H16" s="82" t="n">
        <v>0</v>
      </c>
      <c r="I16" s="82" t="n">
        <v>0</v>
      </c>
      <c r="J16" s="82" t="n">
        <v>0</v>
      </c>
      <c r="K16" s="81" t="n">
        <v>0</v>
      </c>
      <c r="L16" s="82" t="n">
        <v>0</v>
      </c>
      <c r="M16" s="82" t="n">
        <v>0</v>
      </c>
      <c r="N16" s="81" t="n">
        <v>0</v>
      </c>
      <c r="O16" s="82" t="n">
        <v>0</v>
      </c>
      <c r="P16" s="81" t="n">
        <v>0</v>
      </c>
      <c r="Q16" s="82" t="n">
        <v>0</v>
      </c>
      <c r="R16" s="83" t="n">
        <v>0</v>
      </c>
      <c r="S16" s="82" t="n">
        <v>0</v>
      </c>
      <c r="T16" s="82" t="n">
        <v>0</v>
      </c>
      <c r="U16" s="82" t="n">
        <v>0</v>
      </c>
      <c r="V16" s="82" t="n">
        <v>0</v>
      </c>
      <c r="W16" s="82" t="n">
        <v>0</v>
      </c>
    </row>
    <row r="17" customFormat="false" ht="15" hidden="false" customHeight="false" outlineLevel="0" collapsed="false">
      <c r="A17" s="84" t="s">
        <v>51</v>
      </c>
      <c r="B17" s="69" t="n">
        <v>46033</v>
      </c>
      <c r="C17" s="70" t="n">
        <v>1</v>
      </c>
      <c r="D17" s="70" t="s">
        <v>53</v>
      </c>
      <c r="E17" s="71" t="n">
        <f aca="false">G17*23.12+H17*23.12+I17*23.12+J17*23.12+K17*11.55+L17*11.55+M17*11.55+N17*16.51+O17*16.51+P17*16.51+Q17*11.55+S17*11.55+T17*15+U17*1.7+V17*1.7+W17*11.55</f>
        <v>0</v>
      </c>
      <c r="F17" s="72" t="n">
        <f aca="false">G17+H17+I17+J17+K17+L17+M17+N17+O17+P17+Q17+S17+T17+U17+V17+W17</f>
        <v>0</v>
      </c>
      <c r="G17" s="73" t="n">
        <v>0</v>
      </c>
      <c r="H17" s="74" t="n">
        <v>0</v>
      </c>
      <c r="I17" s="74" t="n">
        <v>0</v>
      </c>
      <c r="J17" s="74" t="n">
        <v>0</v>
      </c>
      <c r="K17" s="73" t="n">
        <v>0</v>
      </c>
      <c r="L17" s="74" t="n">
        <v>0</v>
      </c>
      <c r="M17" s="74" t="n">
        <v>0</v>
      </c>
      <c r="N17" s="73" t="n">
        <v>0</v>
      </c>
      <c r="O17" s="74" t="n">
        <v>0</v>
      </c>
      <c r="P17" s="73" t="n">
        <v>0</v>
      </c>
      <c r="Q17" s="74" t="n">
        <v>0</v>
      </c>
      <c r="R17" s="75" t="n">
        <v>0</v>
      </c>
      <c r="S17" s="74" t="n">
        <v>0</v>
      </c>
      <c r="T17" s="74" t="n">
        <v>0</v>
      </c>
      <c r="U17" s="74" t="n">
        <v>0</v>
      </c>
      <c r="V17" s="74" t="n">
        <v>0</v>
      </c>
      <c r="W17" s="74" t="n">
        <v>0</v>
      </c>
    </row>
    <row r="18" customFormat="false" ht="15" hidden="false" customHeight="false" outlineLevel="0" collapsed="false">
      <c r="A18" s="100" t="s">
        <v>52</v>
      </c>
      <c r="B18" s="101" t="n">
        <v>46034</v>
      </c>
      <c r="C18" s="102" t="n">
        <v>1</v>
      </c>
      <c r="D18" s="102" t="s">
        <v>56</v>
      </c>
      <c r="E18" s="103" t="n">
        <f aca="false">G18*23.12+H18*23.12+I18*23.12+J18*23.12+K18*11.55+L18*11.55+M18*11.55+N18*16.51+O18*16.51+P18*16.51+Q18*11.55+S18*11.55+T18*15+U18*1.7+V18*1.7+W18*11.55</f>
        <v>2772</v>
      </c>
      <c r="F18" s="104" t="n">
        <f aca="false">G18+H18+I18+J18+K18+L18+M18+N18+O18+P18+Q18+S18+T18+U18+V18+W18</f>
        <v>240</v>
      </c>
      <c r="G18" s="105" t="n">
        <v>0</v>
      </c>
      <c r="H18" s="106" t="n">
        <v>0</v>
      </c>
      <c r="I18" s="106" t="n">
        <v>0</v>
      </c>
      <c r="J18" s="106" t="n">
        <v>0</v>
      </c>
      <c r="K18" s="107" t="n">
        <v>120</v>
      </c>
      <c r="L18" s="108" t="n">
        <v>120</v>
      </c>
      <c r="M18" s="106" t="n">
        <v>0</v>
      </c>
      <c r="N18" s="105" t="n">
        <v>0</v>
      </c>
      <c r="O18" s="106" t="n">
        <v>0</v>
      </c>
      <c r="P18" s="105" t="n">
        <v>0</v>
      </c>
      <c r="Q18" s="106" t="n">
        <v>0</v>
      </c>
      <c r="R18" s="109" t="n">
        <v>0</v>
      </c>
      <c r="S18" s="106" t="n">
        <v>0</v>
      </c>
      <c r="T18" s="106" t="n">
        <v>0</v>
      </c>
      <c r="U18" s="106" t="n">
        <v>0</v>
      </c>
      <c r="V18" s="106" t="n">
        <v>0</v>
      </c>
      <c r="W18" s="106" t="n">
        <v>0</v>
      </c>
    </row>
    <row r="19" customFormat="false" ht="15" hidden="false" customHeight="false" outlineLevel="0" collapsed="false">
      <c r="A19" s="68" t="s">
        <v>54</v>
      </c>
      <c r="B19" s="69" t="n">
        <v>46035</v>
      </c>
      <c r="C19" s="70" t="n">
        <v>1</v>
      </c>
      <c r="D19" s="70" t="s">
        <v>56</v>
      </c>
      <c r="E19" s="71" t="n">
        <f aca="false">G19*23.12+H19*23.12+I19*23.12+J19*23.12+K19*11.55+L19*11.55+M19*11.55+N19*16.51+O19*16.51+P19*16.51+Q19*11.55+S19*11.55+T19*15+U19*1.7+V19*1.7+W19*11.55</f>
        <v>2772</v>
      </c>
      <c r="F19" s="72" t="n">
        <f aca="false">G19+H19+I19+J19+K19+L19+M19+N19+O19+P19+Q19+S19+T19+U19+V19+W19</f>
        <v>240</v>
      </c>
      <c r="G19" s="73" t="n">
        <v>0</v>
      </c>
      <c r="H19" s="74" t="n">
        <v>0</v>
      </c>
      <c r="I19" s="74" t="n">
        <v>0</v>
      </c>
      <c r="J19" s="74" t="n">
        <v>0</v>
      </c>
      <c r="K19" s="98" t="n">
        <v>120</v>
      </c>
      <c r="L19" s="99" t="n">
        <v>120</v>
      </c>
      <c r="M19" s="74" t="n">
        <v>0</v>
      </c>
      <c r="N19" s="73" t="n">
        <v>0</v>
      </c>
      <c r="O19" s="74" t="n">
        <v>0</v>
      </c>
      <c r="P19" s="73" t="n">
        <v>0</v>
      </c>
      <c r="Q19" s="74" t="n">
        <v>0</v>
      </c>
      <c r="R19" s="75" t="n">
        <v>0</v>
      </c>
      <c r="S19" s="74" t="n">
        <v>0</v>
      </c>
      <c r="T19" s="74" t="n">
        <v>0</v>
      </c>
      <c r="U19" s="74" t="n">
        <v>0</v>
      </c>
      <c r="V19" s="74" t="n">
        <v>0</v>
      </c>
      <c r="W19" s="74" t="n">
        <v>0</v>
      </c>
    </row>
    <row r="20" customFormat="false" ht="15" hidden="false" customHeight="false" outlineLevel="0" collapsed="false">
      <c r="A20" s="76" t="s">
        <v>55</v>
      </c>
      <c r="B20" s="77" t="n">
        <v>46036</v>
      </c>
      <c r="C20" s="78" t="n">
        <v>1</v>
      </c>
      <c r="D20" s="78" t="s">
        <v>56</v>
      </c>
      <c r="E20" s="79" t="n">
        <f aca="false">G20*23.12+H20*23.12+I20*23.12+J20*23.12+K20*11.55+L20*11.55+M20*11.55+N20*16.51+O20*16.51+P20*16.51+Q20*11.55+S20*11.55+T20*15+U20*1.7+V20*1.7+W20*11.55</f>
        <v>2772</v>
      </c>
      <c r="F20" s="80" t="n">
        <f aca="false">G20+H20+I20+J20+K20+L20+M20+N20+O20+P20+Q20+S20+T20+U20+V20+W20</f>
        <v>240</v>
      </c>
      <c r="G20" s="81" t="n">
        <v>0</v>
      </c>
      <c r="H20" s="82" t="n">
        <v>0</v>
      </c>
      <c r="I20" s="82" t="n">
        <v>0</v>
      </c>
      <c r="J20" s="82" t="n">
        <v>0</v>
      </c>
      <c r="K20" s="96" t="n">
        <v>120</v>
      </c>
      <c r="L20" s="97" t="n">
        <v>120</v>
      </c>
      <c r="M20" s="82" t="n">
        <v>0</v>
      </c>
      <c r="N20" s="81" t="n">
        <v>0</v>
      </c>
      <c r="O20" s="82" t="n">
        <v>0</v>
      </c>
      <c r="P20" s="81" t="n">
        <v>0</v>
      </c>
      <c r="Q20" s="82" t="n">
        <v>0</v>
      </c>
      <c r="R20" s="83" t="n">
        <v>0</v>
      </c>
      <c r="S20" s="82" t="n">
        <v>0</v>
      </c>
      <c r="T20" s="82" t="n">
        <v>0</v>
      </c>
      <c r="U20" s="82" t="n">
        <v>0</v>
      </c>
      <c r="V20" s="82" t="n">
        <v>0</v>
      </c>
      <c r="W20" s="82" t="n">
        <v>0</v>
      </c>
    </row>
    <row r="21" customFormat="false" ht="15" hidden="false" customHeight="false" outlineLevel="0" collapsed="false">
      <c r="A21" s="68" t="s">
        <v>47</v>
      </c>
      <c r="B21" s="69" t="n">
        <v>46037</v>
      </c>
      <c r="C21" s="70" t="n">
        <v>1</v>
      </c>
      <c r="D21" s="70" t="s">
        <v>56</v>
      </c>
      <c r="E21" s="71" t="n">
        <f aca="false">G21*23.12+H21*23.12+I21*23.12+J21*23.12+K21*11.55+L21*11.55+M21*11.55+N21*16.51+O21*16.51+P21*16.51+Q21*11.55+S21*11.55+T21*15+U21*1.7+V21*1.7+W21*11.55</f>
        <v>2772</v>
      </c>
      <c r="F21" s="72" t="n">
        <f aca="false">G21+H21+I21+J21+K21+L21+M21+N21+O21+P21+Q21+S21+T21+U21+V21+W21</f>
        <v>240</v>
      </c>
      <c r="G21" s="73" t="n">
        <v>0</v>
      </c>
      <c r="H21" s="74" t="n">
        <v>0</v>
      </c>
      <c r="I21" s="74" t="n">
        <v>0</v>
      </c>
      <c r="J21" s="74" t="n">
        <v>0</v>
      </c>
      <c r="K21" s="98" t="n">
        <v>120</v>
      </c>
      <c r="L21" s="99" t="n">
        <v>120</v>
      </c>
      <c r="M21" s="74" t="n">
        <v>0</v>
      </c>
      <c r="N21" s="73" t="n">
        <v>0</v>
      </c>
      <c r="O21" s="74" t="n">
        <v>0</v>
      </c>
      <c r="P21" s="73" t="n">
        <v>0</v>
      </c>
      <c r="Q21" s="74" t="n">
        <v>0</v>
      </c>
      <c r="R21" s="75" t="n">
        <v>0</v>
      </c>
      <c r="S21" s="74" t="n">
        <v>0</v>
      </c>
      <c r="T21" s="74" t="n">
        <v>0</v>
      </c>
      <c r="U21" s="74" t="n">
        <v>0</v>
      </c>
      <c r="V21" s="74" t="n">
        <v>0</v>
      </c>
      <c r="W21" s="74" t="n">
        <v>0</v>
      </c>
    </row>
    <row r="22" customFormat="false" ht="15" hidden="false" customHeight="false" outlineLevel="0" collapsed="false">
      <c r="A22" s="76" t="s">
        <v>49</v>
      </c>
      <c r="B22" s="77" t="n">
        <v>46038</v>
      </c>
      <c r="C22" s="78" t="n">
        <v>1</v>
      </c>
      <c r="D22" s="78" t="s">
        <v>56</v>
      </c>
      <c r="E22" s="79" t="n">
        <f aca="false">G22*23.12+H22*23.12+I22*23.12+J22*23.12+K22*11.55+L22*11.55+M22*11.55+N22*16.51+O22*16.51+P22*16.51+Q22*11.55+S22*11.55+T22*15+U22*1.7+V22*1.7+W22*11.55</f>
        <v>2772</v>
      </c>
      <c r="F22" s="80" t="n">
        <f aca="false">G22+H22+I22+J22+K22+L22+M22+N22+O22+P22+Q22+S22+T22+U22+V22+W22</f>
        <v>240</v>
      </c>
      <c r="G22" s="81" t="n">
        <v>0</v>
      </c>
      <c r="H22" s="82" t="n">
        <v>0</v>
      </c>
      <c r="I22" s="82" t="n">
        <v>0</v>
      </c>
      <c r="J22" s="82" t="n">
        <v>0</v>
      </c>
      <c r="K22" s="96" t="n">
        <v>120</v>
      </c>
      <c r="L22" s="97" t="n">
        <v>120</v>
      </c>
      <c r="M22" s="82" t="n">
        <v>0</v>
      </c>
      <c r="N22" s="81" t="n">
        <v>0</v>
      </c>
      <c r="O22" s="82" t="n">
        <v>0</v>
      </c>
      <c r="P22" s="81" t="n">
        <v>0</v>
      </c>
      <c r="Q22" s="82" t="n">
        <v>0</v>
      </c>
      <c r="R22" s="83" t="n">
        <v>0</v>
      </c>
      <c r="S22" s="82" t="n">
        <v>0</v>
      </c>
      <c r="T22" s="82" t="n">
        <v>0</v>
      </c>
      <c r="U22" s="82" t="n">
        <v>0</v>
      </c>
      <c r="V22" s="82" t="n">
        <v>0</v>
      </c>
      <c r="W22" s="82" t="n">
        <v>0</v>
      </c>
    </row>
    <row r="23" customFormat="false" ht="15" hidden="false" customHeight="false" outlineLevel="0" collapsed="false">
      <c r="A23" s="84" t="s">
        <v>50</v>
      </c>
      <c r="B23" s="69" t="n">
        <v>46039</v>
      </c>
      <c r="C23" s="70" t="n">
        <v>1</v>
      </c>
      <c r="D23" s="70" t="s">
        <v>56</v>
      </c>
      <c r="E23" s="71" t="n">
        <f aca="false">G23*23.12+H23*23.12+I23*23.12+J23*23.12+K23*11.55+L23*11.55+M23*11.55+N23*16.51+O23*16.51+P23*16.51+Q23*11.55+S23*11.55+T23*15+U23*1.7+V23*1.7+W23*11.55</f>
        <v>0</v>
      </c>
      <c r="F23" s="72" t="n">
        <f aca="false">G23+H23+I23+J23+K23+L23+M23+N23+O23+P23+Q23+S23+T23+U23+V23+W23</f>
        <v>0</v>
      </c>
      <c r="G23" s="73" t="n">
        <v>0</v>
      </c>
      <c r="H23" s="74" t="n">
        <v>0</v>
      </c>
      <c r="I23" s="74" t="n">
        <v>0</v>
      </c>
      <c r="J23" s="74" t="n">
        <v>0</v>
      </c>
      <c r="K23" s="73" t="n">
        <v>0</v>
      </c>
      <c r="L23" s="74" t="n">
        <v>0</v>
      </c>
      <c r="M23" s="74" t="n">
        <v>0</v>
      </c>
      <c r="N23" s="73" t="n">
        <v>0</v>
      </c>
      <c r="O23" s="74" t="n">
        <v>0</v>
      </c>
      <c r="P23" s="73" t="n">
        <v>0</v>
      </c>
      <c r="Q23" s="74" t="n">
        <v>0</v>
      </c>
      <c r="R23" s="75" t="n">
        <v>0</v>
      </c>
      <c r="S23" s="74" t="n">
        <v>0</v>
      </c>
      <c r="T23" s="74" t="n">
        <v>0</v>
      </c>
      <c r="U23" s="74" t="n">
        <v>0</v>
      </c>
      <c r="V23" s="74" t="n">
        <v>0</v>
      </c>
      <c r="W23" s="74" t="n">
        <v>0</v>
      </c>
    </row>
    <row r="24" customFormat="false" ht="15" hidden="false" customHeight="false" outlineLevel="0" collapsed="false">
      <c r="A24" s="85" t="s">
        <v>51</v>
      </c>
      <c r="B24" s="77" t="n">
        <v>46040</v>
      </c>
      <c r="C24" s="78" t="n">
        <v>1</v>
      </c>
      <c r="D24" s="78" t="s">
        <v>56</v>
      </c>
      <c r="E24" s="79" t="n">
        <f aca="false">G24*23.12+H24*23.12+I24*23.12+J24*23.12+K24*11.55+L24*11.55+M24*11.55+N24*16.51+O24*16.51+P24*16.51+Q24*11.55+S24*11.55+T24*15+U24*1.7+V24*1.7+W24*11.55</f>
        <v>0</v>
      </c>
      <c r="F24" s="80" t="n">
        <f aca="false">G24+H24+I24+J24+K24+L24+M24+N24+O24+P24+Q24+S24+T24+U24+V24+W24</f>
        <v>0</v>
      </c>
      <c r="G24" s="81" t="n">
        <v>0</v>
      </c>
      <c r="H24" s="82" t="n">
        <v>0</v>
      </c>
      <c r="I24" s="82" t="n">
        <v>0</v>
      </c>
      <c r="J24" s="82" t="n">
        <v>0</v>
      </c>
      <c r="K24" s="81" t="n">
        <v>0</v>
      </c>
      <c r="L24" s="82" t="n">
        <v>0</v>
      </c>
      <c r="M24" s="82" t="n">
        <v>0</v>
      </c>
      <c r="N24" s="81" t="n">
        <v>0</v>
      </c>
      <c r="O24" s="82" t="n">
        <v>0</v>
      </c>
      <c r="P24" s="81" t="n">
        <v>0</v>
      </c>
      <c r="Q24" s="82" t="n">
        <v>0</v>
      </c>
      <c r="R24" s="83" t="n">
        <v>0</v>
      </c>
      <c r="S24" s="82" t="n">
        <v>0</v>
      </c>
      <c r="T24" s="82" t="n">
        <v>0</v>
      </c>
      <c r="U24" s="82" t="n">
        <v>0</v>
      </c>
      <c r="V24" s="82" t="n">
        <v>0</v>
      </c>
      <c r="W24" s="82" t="n">
        <v>0</v>
      </c>
    </row>
    <row r="25" customFormat="false" ht="15" hidden="false" customHeight="false" outlineLevel="0" collapsed="false">
      <c r="A25" s="86" t="s">
        <v>52</v>
      </c>
      <c r="B25" s="87" t="n">
        <v>46041</v>
      </c>
      <c r="C25" s="88" t="n">
        <v>1</v>
      </c>
      <c r="D25" s="88" t="s">
        <v>57</v>
      </c>
      <c r="E25" s="89" t="n">
        <f aca="false">G25*23.12+H25*23.12+I25*23.12+J25*23.12+K25*11.55+L25*11.55+M25*11.55+N25*16.51+O25*16.51+P25*16.51+Q25*11.55+S25*11.55+T25*15+U25*1.7+V25*1.7+W25*11.55</f>
        <v>3465</v>
      </c>
      <c r="F25" s="90" t="n">
        <f aca="false">G25+H25+I25+J25+K25+L25+M25+N25+O25+P25+Q25+S25+T25+U25+V25+W25</f>
        <v>300</v>
      </c>
      <c r="G25" s="91" t="n">
        <v>0</v>
      </c>
      <c r="H25" s="92" t="n">
        <v>0</v>
      </c>
      <c r="I25" s="92" t="n">
        <v>0</v>
      </c>
      <c r="J25" s="92" t="n">
        <v>0</v>
      </c>
      <c r="K25" s="93" t="n">
        <v>150</v>
      </c>
      <c r="L25" s="94" t="n">
        <v>150</v>
      </c>
      <c r="M25" s="92" t="n">
        <v>0</v>
      </c>
      <c r="N25" s="91" t="n">
        <v>0</v>
      </c>
      <c r="O25" s="92" t="n">
        <v>0</v>
      </c>
      <c r="P25" s="91" t="n">
        <v>0</v>
      </c>
      <c r="Q25" s="92" t="n">
        <v>0</v>
      </c>
      <c r="R25" s="95" t="n">
        <v>0</v>
      </c>
      <c r="S25" s="92" t="n">
        <v>0</v>
      </c>
      <c r="T25" s="92" t="n">
        <v>0</v>
      </c>
      <c r="U25" s="92" t="n">
        <v>0</v>
      </c>
      <c r="V25" s="92" t="n">
        <v>0</v>
      </c>
      <c r="W25" s="92" t="n">
        <v>0</v>
      </c>
    </row>
    <row r="26" customFormat="false" ht="15" hidden="false" customHeight="false" outlineLevel="0" collapsed="false">
      <c r="A26" s="76" t="s">
        <v>54</v>
      </c>
      <c r="B26" s="77" t="n">
        <v>46042</v>
      </c>
      <c r="C26" s="78" t="n">
        <v>1</v>
      </c>
      <c r="D26" s="78" t="s">
        <v>57</v>
      </c>
      <c r="E26" s="79" t="n">
        <f aca="false">G26*23.12+H26*23.12+I26*23.12+J26*23.12+K26*11.55+L26*11.55+M26*11.55+N26*16.51+O26*16.51+P26*16.51+Q26*11.55+S26*11.55+T26*15+U26*1.7+V26*1.7+W26*11.55</f>
        <v>3465</v>
      </c>
      <c r="F26" s="80" t="n">
        <f aca="false">G26+H26+I26+J26+K26+L26+M26+N26+O26+P26+Q26+S26+T26+U26+V26+W26</f>
        <v>300</v>
      </c>
      <c r="G26" s="81" t="n">
        <v>0</v>
      </c>
      <c r="H26" s="82" t="n">
        <v>0</v>
      </c>
      <c r="I26" s="82" t="n">
        <v>0</v>
      </c>
      <c r="J26" s="82" t="n">
        <v>0</v>
      </c>
      <c r="K26" s="96" t="n">
        <v>150</v>
      </c>
      <c r="L26" s="97" t="n">
        <v>150</v>
      </c>
      <c r="M26" s="82" t="n">
        <v>0</v>
      </c>
      <c r="N26" s="81" t="n">
        <v>0</v>
      </c>
      <c r="O26" s="82" t="n">
        <v>0</v>
      </c>
      <c r="P26" s="81" t="n">
        <v>0</v>
      </c>
      <c r="Q26" s="82" t="n">
        <v>0</v>
      </c>
      <c r="R26" s="83" t="n">
        <v>0</v>
      </c>
      <c r="S26" s="82" t="n">
        <v>0</v>
      </c>
      <c r="T26" s="82" t="n">
        <v>0</v>
      </c>
      <c r="U26" s="82" t="n">
        <v>0</v>
      </c>
      <c r="V26" s="82" t="n">
        <v>0</v>
      </c>
      <c r="W26" s="82" t="n">
        <v>0</v>
      </c>
    </row>
    <row r="27" customFormat="false" ht="15" hidden="false" customHeight="false" outlineLevel="0" collapsed="false">
      <c r="A27" s="68" t="s">
        <v>55</v>
      </c>
      <c r="B27" s="69" t="n">
        <v>46043</v>
      </c>
      <c r="C27" s="70" t="n">
        <v>1</v>
      </c>
      <c r="D27" s="70" t="s">
        <v>57</v>
      </c>
      <c r="E27" s="71" t="n">
        <f aca="false">G27*23.12+H27*23.12+I27*23.12+J27*23.12+K27*11.55+L27*11.55+M27*11.55+N27*16.51+O27*16.51+P27*16.51+Q27*11.55+S27*11.55+T27*15+U27*1.7+V27*1.7+W27*11.55</f>
        <v>4158</v>
      </c>
      <c r="F27" s="72" t="n">
        <f aca="false">G27+H27+I27+J27+K27+L27+M27+N27+O27+P27+Q27+S27+T27+U27+V27+W27</f>
        <v>360</v>
      </c>
      <c r="G27" s="73" t="n">
        <v>0</v>
      </c>
      <c r="H27" s="74" t="n">
        <v>0</v>
      </c>
      <c r="I27" s="74" t="n">
        <v>0</v>
      </c>
      <c r="J27" s="74" t="n">
        <v>0</v>
      </c>
      <c r="K27" s="98" t="n">
        <v>180</v>
      </c>
      <c r="L27" s="99" t="n">
        <v>180</v>
      </c>
      <c r="M27" s="74" t="n">
        <v>0</v>
      </c>
      <c r="N27" s="73" t="n">
        <v>0</v>
      </c>
      <c r="O27" s="74" t="n">
        <v>0</v>
      </c>
      <c r="P27" s="73" t="n">
        <v>0</v>
      </c>
      <c r="Q27" s="74" t="n">
        <v>0</v>
      </c>
      <c r="R27" s="75" t="n">
        <v>0</v>
      </c>
      <c r="S27" s="74" t="n">
        <v>0</v>
      </c>
      <c r="T27" s="74" t="n">
        <v>0</v>
      </c>
      <c r="U27" s="74" t="n">
        <v>0</v>
      </c>
      <c r="V27" s="74" t="n">
        <v>0</v>
      </c>
      <c r="W27" s="74" t="n">
        <v>0</v>
      </c>
    </row>
    <row r="28" customFormat="false" ht="15" hidden="false" customHeight="false" outlineLevel="0" collapsed="false">
      <c r="A28" s="76" t="s">
        <v>47</v>
      </c>
      <c r="B28" s="77" t="n">
        <v>46044</v>
      </c>
      <c r="C28" s="78" t="n">
        <v>1</v>
      </c>
      <c r="D28" s="78" t="s">
        <v>57</v>
      </c>
      <c r="E28" s="79" t="n">
        <f aca="false">G28*23.12+H28*23.12+I28*23.12+J28*23.12+K28*11.55+L28*11.55+M28*11.55+N28*16.51+O28*16.51+P28*16.51+Q28*11.55+S28*11.55+T28*15+U28*1.7+V28*1.7+W28*11.55</f>
        <v>4158</v>
      </c>
      <c r="F28" s="80" t="n">
        <f aca="false">G28+H28+I28+J28+K28+L28+M28+N28+O28+P28+Q28+S28+T28+U28+V28+W28</f>
        <v>360</v>
      </c>
      <c r="G28" s="81" t="n">
        <v>0</v>
      </c>
      <c r="H28" s="82" t="n">
        <v>0</v>
      </c>
      <c r="I28" s="82" t="n">
        <v>0</v>
      </c>
      <c r="J28" s="82" t="n">
        <v>0</v>
      </c>
      <c r="K28" s="96" t="n">
        <v>180</v>
      </c>
      <c r="L28" s="97" t="n">
        <v>180</v>
      </c>
      <c r="M28" s="82" t="n">
        <v>0</v>
      </c>
      <c r="N28" s="81" t="n">
        <v>0</v>
      </c>
      <c r="O28" s="82" t="n">
        <v>0</v>
      </c>
      <c r="P28" s="81" t="n">
        <v>0</v>
      </c>
      <c r="Q28" s="82" t="n">
        <v>0</v>
      </c>
      <c r="R28" s="83" t="n">
        <v>0</v>
      </c>
      <c r="S28" s="82" t="n">
        <v>0</v>
      </c>
      <c r="T28" s="82" t="n">
        <v>0</v>
      </c>
      <c r="U28" s="82" t="n">
        <v>0</v>
      </c>
      <c r="V28" s="82" t="n">
        <v>0</v>
      </c>
      <c r="W28" s="82" t="n">
        <v>0</v>
      </c>
    </row>
    <row r="29" customFormat="false" ht="15" hidden="false" customHeight="false" outlineLevel="0" collapsed="false">
      <c r="A29" s="68" t="s">
        <v>49</v>
      </c>
      <c r="B29" s="69" t="n">
        <v>46045</v>
      </c>
      <c r="C29" s="70" t="n">
        <v>1</v>
      </c>
      <c r="D29" s="70" t="s">
        <v>57</v>
      </c>
      <c r="E29" s="71" t="n">
        <f aca="false">G29*23.12+H29*23.12+I29*23.12+J29*23.12+K29*11.55+L29*11.55+M29*11.55+N29*16.51+O29*16.51+P29*16.51+Q29*11.55+S29*11.55+T29*15+U29*1.7+V29*1.7+W29*11.55</f>
        <v>4158</v>
      </c>
      <c r="F29" s="72" t="n">
        <f aca="false">G29+H29+I29+J29+K29+L29+M29+N29+O29+P29+Q29+S29+T29+U29+V29+W29</f>
        <v>360</v>
      </c>
      <c r="G29" s="73" t="n">
        <v>0</v>
      </c>
      <c r="H29" s="74" t="n">
        <v>0</v>
      </c>
      <c r="I29" s="74" t="n">
        <v>0</v>
      </c>
      <c r="J29" s="74" t="n">
        <v>0</v>
      </c>
      <c r="K29" s="98" t="n">
        <v>180</v>
      </c>
      <c r="L29" s="99" t="n">
        <v>180</v>
      </c>
      <c r="M29" s="74" t="n">
        <v>0</v>
      </c>
      <c r="N29" s="73" t="n">
        <v>0</v>
      </c>
      <c r="O29" s="74" t="n">
        <v>0</v>
      </c>
      <c r="P29" s="73" t="n">
        <v>0</v>
      </c>
      <c r="Q29" s="74" t="n">
        <v>0</v>
      </c>
      <c r="R29" s="75" t="n">
        <v>0</v>
      </c>
      <c r="S29" s="74" t="n">
        <v>0</v>
      </c>
      <c r="T29" s="74" t="n">
        <v>0</v>
      </c>
      <c r="U29" s="74" t="n">
        <v>0</v>
      </c>
      <c r="V29" s="74" t="n">
        <v>0</v>
      </c>
      <c r="W29" s="74" t="n">
        <v>0</v>
      </c>
    </row>
    <row r="30" customFormat="false" ht="15" hidden="false" customHeight="false" outlineLevel="0" collapsed="false">
      <c r="A30" s="85" t="s">
        <v>50</v>
      </c>
      <c r="B30" s="77" t="n">
        <v>46046</v>
      </c>
      <c r="C30" s="78" t="n">
        <v>1</v>
      </c>
      <c r="D30" s="78" t="s">
        <v>57</v>
      </c>
      <c r="E30" s="79" t="n">
        <f aca="false">G30*23.12+H30*23.12+I30*23.12+J30*23.12+K30*11.55+L30*11.55+M30*11.55+N30*16.51+O30*16.51+P30*16.51+Q30*11.55+S30*11.55+T30*15+U30*1.7+V30*1.7+W30*11.55</f>
        <v>0</v>
      </c>
      <c r="F30" s="80" t="n">
        <f aca="false">G30+H30+I30+J30+K30+L30+M30+N30+O30+P30+Q30+S30+T30+U30+V30+W30</f>
        <v>0</v>
      </c>
      <c r="G30" s="81" t="n">
        <v>0</v>
      </c>
      <c r="H30" s="82" t="n">
        <v>0</v>
      </c>
      <c r="I30" s="82" t="n">
        <v>0</v>
      </c>
      <c r="J30" s="82" t="n">
        <v>0</v>
      </c>
      <c r="K30" s="81" t="n">
        <v>0</v>
      </c>
      <c r="L30" s="82" t="n">
        <v>0</v>
      </c>
      <c r="M30" s="82" t="n">
        <v>0</v>
      </c>
      <c r="N30" s="81" t="n">
        <v>0</v>
      </c>
      <c r="O30" s="82" t="n">
        <v>0</v>
      </c>
      <c r="P30" s="81" t="n">
        <v>0</v>
      </c>
      <c r="Q30" s="82" t="n">
        <v>0</v>
      </c>
      <c r="R30" s="83" t="n">
        <v>0</v>
      </c>
      <c r="S30" s="82" t="n">
        <v>0</v>
      </c>
      <c r="T30" s="82" t="n">
        <v>0</v>
      </c>
      <c r="U30" s="82" t="n">
        <v>0</v>
      </c>
      <c r="V30" s="82" t="n">
        <v>0</v>
      </c>
      <c r="W30" s="82" t="n">
        <v>0</v>
      </c>
    </row>
    <row r="31" customFormat="false" ht="15" hidden="false" customHeight="false" outlineLevel="0" collapsed="false">
      <c r="A31" s="84" t="s">
        <v>51</v>
      </c>
      <c r="B31" s="69" t="n">
        <v>46047</v>
      </c>
      <c r="C31" s="70" t="n">
        <v>1</v>
      </c>
      <c r="D31" s="70" t="s">
        <v>57</v>
      </c>
      <c r="E31" s="71" t="n">
        <f aca="false">G31*23.12+H31*23.12+I31*23.12+J31*23.12+K31*11.55+L31*11.55+M31*11.55+N31*16.51+O31*16.51+P31*16.51+Q31*11.55+S31*11.55+T31*15+U31*1.7+V31*1.7+W31*11.55</f>
        <v>0</v>
      </c>
      <c r="F31" s="72" t="n">
        <f aca="false">G31+H31+I31+J31+K31+L31+M31+N31+O31+P31+Q31+S31+T31+U31+V31+W31</f>
        <v>0</v>
      </c>
      <c r="G31" s="73" t="n">
        <v>0</v>
      </c>
      <c r="H31" s="74" t="n">
        <v>0</v>
      </c>
      <c r="I31" s="74" t="n">
        <v>0</v>
      </c>
      <c r="J31" s="74" t="n">
        <v>0</v>
      </c>
      <c r="K31" s="73" t="n">
        <v>0</v>
      </c>
      <c r="L31" s="74" t="n">
        <v>0</v>
      </c>
      <c r="M31" s="74" t="n">
        <v>0</v>
      </c>
      <c r="N31" s="73" t="n">
        <v>0</v>
      </c>
      <c r="O31" s="74" t="n">
        <v>0</v>
      </c>
      <c r="P31" s="73" t="n">
        <v>0</v>
      </c>
      <c r="Q31" s="74" t="n">
        <v>0</v>
      </c>
      <c r="R31" s="75" t="n">
        <v>0</v>
      </c>
      <c r="S31" s="74" t="n">
        <v>0</v>
      </c>
      <c r="T31" s="74" t="n">
        <v>0</v>
      </c>
      <c r="U31" s="74" t="n">
        <v>0</v>
      </c>
      <c r="V31" s="74" t="n">
        <v>0</v>
      </c>
      <c r="W31" s="74" t="n">
        <v>0</v>
      </c>
    </row>
    <row r="32" customFormat="false" ht="15" hidden="false" customHeight="false" outlineLevel="0" collapsed="false">
      <c r="A32" s="100" t="s">
        <v>52</v>
      </c>
      <c r="B32" s="101" t="n">
        <v>46048</v>
      </c>
      <c r="C32" s="102" t="n">
        <v>2</v>
      </c>
      <c r="D32" s="102" t="s">
        <v>48</v>
      </c>
      <c r="E32" s="103" t="n">
        <f aca="false">G32*23.12+H32*23.12+I32*23.12+J32*23.12+K32*11.55+L32*11.55+M32*11.55+N32*16.51+O32*16.51+P32*16.51+Q32*11.55+S32*11.55+T32*15+U32*1.7+V32*1.7+W32*11.55</f>
        <v>4853.4</v>
      </c>
      <c r="F32" s="104" t="n">
        <f aca="false">G32+H32+I32+J32+K32+L32+M32+N32+O32+P32+Q32+S32+T32+U32+V32+W32</f>
        <v>300</v>
      </c>
      <c r="G32" s="107" t="n">
        <v>60</v>
      </c>
      <c r="H32" s="108" t="n">
        <v>60</v>
      </c>
      <c r="I32" s="106" t="n">
        <v>0</v>
      </c>
      <c r="J32" s="106" t="n">
        <v>0</v>
      </c>
      <c r="K32" s="107" t="n">
        <v>90</v>
      </c>
      <c r="L32" s="108" t="n">
        <v>90</v>
      </c>
      <c r="M32" s="106" t="n">
        <v>0</v>
      </c>
      <c r="N32" s="105" t="n">
        <v>0</v>
      </c>
      <c r="O32" s="106" t="n">
        <v>0</v>
      </c>
      <c r="P32" s="105" t="n">
        <v>0</v>
      </c>
      <c r="Q32" s="106" t="n">
        <v>0</v>
      </c>
      <c r="R32" s="109" t="n">
        <v>0</v>
      </c>
      <c r="S32" s="106" t="n">
        <v>0</v>
      </c>
      <c r="T32" s="106" t="n">
        <v>0</v>
      </c>
      <c r="U32" s="106" t="n">
        <v>0</v>
      </c>
      <c r="V32" s="106" t="n">
        <v>0</v>
      </c>
      <c r="W32" s="106" t="n">
        <v>0</v>
      </c>
    </row>
    <row r="33" customFormat="false" ht="15" hidden="false" customHeight="false" outlineLevel="0" collapsed="false">
      <c r="A33" s="68" t="s">
        <v>54</v>
      </c>
      <c r="B33" s="69" t="n">
        <v>46049</v>
      </c>
      <c r="C33" s="70" t="n">
        <v>2</v>
      </c>
      <c r="D33" s="70" t="s">
        <v>48</v>
      </c>
      <c r="E33" s="71" t="n">
        <f aca="false">G33*23.12+H33*23.12+I33*23.12+J33*23.12+K33*11.55+L33*11.55+M33*11.55+N33*16.51+O33*16.51+P33*16.51+Q33*11.55+S33*11.55+T33*15+U33*1.7+V33*1.7+W33*11.55</f>
        <v>4853.4</v>
      </c>
      <c r="F33" s="72" t="n">
        <f aca="false">G33+H33+I33+J33+K33+L33+M33+N33+O33+P33+Q33+S33+T33+U33+V33+W33</f>
        <v>300</v>
      </c>
      <c r="G33" s="98" t="n">
        <v>60</v>
      </c>
      <c r="H33" s="99" t="n">
        <v>60</v>
      </c>
      <c r="I33" s="74" t="n">
        <v>0</v>
      </c>
      <c r="J33" s="74" t="n">
        <v>0</v>
      </c>
      <c r="K33" s="98" t="n">
        <v>90</v>
      </c>
      <c r="L33" s="99" t="n">
        <v>90</v>
      </c>
      <c r="M33" s="74" t="n">
        <v>0</v>
      </c>
      <c r="N33" s="73" t="n">
        <v>0</v>
      </c>
      <c r="O33" s="74" t="n">
        <v>0</v>
      </c>
      <c r="P33" s="73" t="n">
        <v>0</v>
      </c>
      <c r="Q33" s="74" t="n">
        <v>0</v>
      </c>
      <c r="R33" s="75" t="n">
        <v>0</v>
      </c>
      <c r="S33" s="74" t="n">
        <v>0</v>
      </c>
      <c r="T33" s="74" t="n">
        <v>0</v>
      </c>
      <c r="U33" s="74" t="n">
        <v>0</v>
      </c>
      <c r="V33" s="74" t="n">
        <v>0</v>
      </c>
      <c r="W33" s="74" t="n">
        <v>0</v>
      </c>
    </row>
    <row r="34" customFormat="false" ht="15" hidden="false" customHeight="false" outlineLevel="0" collapsed="false">
      <c r="A34" s="76" t="s">
        <v>55</v>
      </c>
      <c r="B34" s="77" t="n">
        <v>46050</v>
      </c>
      <c r="C34" s="78" t="n">
        <v>2</v>
      </c>
      <c r="D34" s="78" t="s">
        <v>48</v>
      </c>
      <c r="E34" s="79" t="n">
        <f aca="false">G34*23.12+H34*23.12+I34*23.12+J34*23.12+K34*11.55+L34*11.55+M34*11.55+N34*16.51+O34*16.51+P34*16.51+Q34*11.55+S34*11.55+T34*15+U34*1.7+V34*1.7+W34*11.55</f>
        <v>4853.4</v>
      </c>
      <c r="F34" s="80" t="n">
        <f aca="false">G34+H34+I34+J34+K34+L34+M34+N34+O34+P34+Q34+S34+T34+U34+V34+W34</f>
        <v>300</v>
      </c>
      <c r="G34" s="96" t="n">
        <v>60</v>
      </c>
      <c r="H34" s="97" t="n">
        <v>60</v>
      </c>
      <c r="I34" s="82" t="n">
        <v>0</v>
      </c>
      <c r="J34" s="82" t="n">
        <v>0</v>
      </c>
      <c r="K34" s="96" t="n">
        <v>90</v>
      </c>
      <c r="L34" s="97" t="n">
        <v>90</v>
      </c>
      <c r="M34" s="82" t="n">
        <v>0</v>
      </c>
      <c r="N34" s="81" t="n">
        <v>0</v>
      </c>
      <c r="O34" s="82" t="n">
        <v>0</v>
      </c>
      <c r="P34" s="81" t="n">
        <v>0</v>
      </c>
      <c r="Q34" s="82" t="n">
        <v>0</v>
      </c>
      <c r="R34" s="83" t="n">
        <v>0</v>
      </c>
      <c r="S34" s="82" t="n">
        <v>0</v>
      </c>
      <c r="T34" s="82" t="n">
        <v>0</v>
      </c>
      <c r="U34" s="82" t="n">
        <v>0</v>
      </c>
      <c r="V34" s="82" t="n">
        <v>0</v>
      </c>
      <c r="W34" s="82" t="n">
        <v>0</v>
      </c>
    </row>
    <row r="35" customFormat="false" ht="15" hidden="false" customHeight="false" outlineLevel="0" collapsed="false">
      <c r="A35" s="68" t="s">
        <v>47</v>
      </c>
      <c r="B35" s="69" t="n">
        <v>46051</v>
      </c>
      <c r="C35" s="70" t="n">
        <v>2</v>
      </c>
      <c r="D35" s="70" t="s">
        <v>48</v>
      </c>
      <c r="E35" s="71" t="n">
        <f aca="false">G35*23.12+H35*23.12+I35*23.12+J35*23.12+K35*11.55+L35*11.55+M35*11.55+N35*16.51+O35*16.51+P35*16.51+Q35*11.55+S35*11.55+T35*15+U35*1.7+V35*1.7+W35*11.55</f>
        <v>4853.4</v>
      </c>
      <c r="F35" s="72" t="n">
        <f aca="false">G35+H35+I35+J35+K35+L35+M35+N35+O35+P35+Q35+S35+T35+U35+V35+W35</f>
        <v>300</v>
      </c>
      <c r="G35" s="98" t="n">
        <v>60</v>
      </c>
      <c r="H35" s="99" t="n">
        <v>60</v>
      </c>
      <c r="I35" s="74" t="n">
        <v>0</v>
      </c>
      <c r="J35" s="74" t="n">
        <v>0</v>
      </c>
      <c r="K35" s="98" t="n">
        <v>90</v>
      </c>
      <c r="L35" s="99" t="n">
        <v>90</v>
      </c>
      <c r="M35" s="74" t="n">
        <v>0</v>
      </c>
      <c r="N35" s="73" t="n">
        <v>0</v>
      </c>
      <c r="O35" s="74" t="n">
        <v>0</v>
      </c>
      <c r="P35" s="73" t="n">
        <v>0</v>
      </c>
      <c r="Q35" s="74" t="n">
        <v>0</v>
      </c>
      <c r="R35" s="75" t="n">
        <v>0</v>
      </c>
      <c r="S35" s="74" t="n">
        <v>0</v>
      </c>
      <c r="T35" s="74" t="n">
        <v>0</v>
      </c>
      <c r="U35" s="74" t="n">
        <v>0</v>
      </c>
      <c r="V35" s="74" t="n">
        <v>0</v>
      </c>
      <c r="W35" s="74" t="n">
        <v>0</v>
      </c>
    </row>
    <row r="36" customFormat="false" ht="15" hidden="false" customHeight="false" outlineLevel="0" collapsed="false">
      <c r="A36" s="76" t="s">
        <v>49</v>
      </c>
      <c r="B36" s="77" t="n">
        <v>46052</v>
      </c>
      <c r="C36" s="78" t="n">
        <v>2</v>
      </c>
      <c r="D36" s="78" t="s">
        <v>48</v>
      </c>
      <c r="E36" s="79" t="n">
        <f aca="false">G36*23.12+H36*23.12+I36*23.12+J36*23.12+K36*11.55+L36*11.55+M36*11.55+N36*16.51+O36*16.51+P36*16.51+Q36*11.55+S36*11.55+T36*15+U36*1.7+V36*1.7+W36*11.55</f>
        <v>4853.4</v>
      </c>
      <c r="F36" s="80" t="n">
        <f aca="false">G36+H36+I36+J36+K36+L36+M36+N36+O36+P36+Q36+S36+T36+U36+V36+W36</f>
        <v>300</v>
      </c>
      <c r="G36" s="96" t="n">
        <v>60</v>
      </c>
      <c r="H36" s="97" t="n">
        <v>60</v>
      </c>
      <c r="I36" s="82" t="n">
        <v>0</v>
      </c>
      <c r="J36" s="82" t="n">
        <v>0</v>
      </c>
      <c r="K36" s="96" t="n">
        <v>90</v>
      </c>
      <c r="L36" s="97" t="n">
        <v>90</v>
      </c>
      <c r="M36" s="82" t="n">
        <v>0</v>
      </c>
      <c r="N36" s="81" t="n">
        <v>0</v>
      </c>
      <c r="O36" s="82" t="n">
        <v>0</v>
      </c>
      <c r="P36" s="81" t="n">
        <v>0</v>
      </c>
      <c r="Q36" s="82" t="n">
        <v>0</v>
      </c>
      <c r="R36" s="83" t="n">
        <v>0</v>
      </c>
      <c r="S36" s="82" t="n">
        <v>0</v>
      </c>
      <c r="T36" s="82" t="n">
        <v>0</v>
      </c>
      <c r="U36" s="82" t="n">
        <v>0</v>
      </c>
      <c r="V36" s="82" t="n">
        <v>0</v>
      </c>
      <c r="W36" s="82" t="n">
        <v>0</v>
      </c>
    </row>
    <row r="37" customFormat="false" ht="15" hidden="false" customHeight="false" outlineLevel="0" collapsed="false">
      <c r="A37" s="84" t="s">
        <v>50</v>
      </c>
      <c r="B37" s="69" t="n">
        <v>46053</v>
      </c>
      <c r="C37" s="70" t="n">
        <v>2</v>
      </c>
      <c r="D37" s="70" t="s">
        <v>48</v>
      </c>
      <c r="E37" s="71" t="n">
        <f aca="false">G37*23.12+H37*23.12+I37*23.12+J37*23.12+K37*11.55+L37*11.55+M37*11.55+N37*16.51+O37*16.51+P37*16.51+Q37*11.55+S37*11.55+T37*15+U37*1.7+V37*1.7+W37*11.55</f>
        <v>2774.4</v>
      </c>
      <c r="F37" s="72" t="n">
        <f aca="false">G37+H37+I37+J37+K37+L37+M37+N37+O37+P37+Q37+S37+T37+U37+V37+W37</f>
        <v>120</v>
      </c>
      <c r="G37" s="98" t="n">
        <v>60</v>
      </c>
      <c r="H37" s="99" t="n">
        <v>60</v>
      </c>
      <c r="I37" s="74" t="n">
        <v>0</v>
      </c>
      <c r="J37" s="74" t="n">
        <v>0</v>
      </c>
      <c r="K37" s="73" t="n">
        <v>0</v>
      </c>
      <c r="L37" s="74" t="n">
        <v>0</v>
      </c>
      <c r="M37" s="74" t="n">
        <v>0</v>
      </c>
      <c r="N37" s="73" t="n">
        <v>0</v>
      </c>
      <c r="O37" s="74" t="n">
        <v>0</v>
      </c>
      <c r="P37" s="73" t="n">
        <v>0</v>
      </c>
      <c r="Q37" s="74" t="n">
        <v>0</v>
      </c>
      <c r="R37" s="75" t="n">
        <v>0</v>
      </c>
      <c r="S37" s="74" t="n">
        <v>0</v>
      </c>
      <c r="T37" s="74" t="n">
        <v>0</v>
      </c>
      <c r="U37" s="74" t="n">
        <v>0</v>
      </c>
      <c r="V37" s="74" t="n">
        <v>0</v>
      </c>
      <c r="W37" s="74" t="n">
        <v>0</v>
      </c>
    </row>
    <row r="38" customFormat="false" ht="15" hidden="false" customHeight="false" outlineLevel="0" collapsed="false">
      <c r="A38" s="85" t="s">
        <v>51</v>
      </c>
      <c r="B38" s="77" t="n">
        <v>46054</v>
      </c>
      <c r="C38" s="78" t="n">
        <v>2</v>
      </c>
      <c r="D38" s="78" t="s">
        <v>48</v>
      </c>
      <c r="E38" s="79" t="n">
        <f aca="false">G38*23.12+H38*23.12+I38*23.12+J38*23.12+K38*11.55+L38*11.55+M38*11.55+N38*16.51+O38*16.51+P38*16.51+Q38*11.55+S38*11.55+T38*15+U38*1.7+V38*1.7+W38*11.55</f>
        <v>0</v>
      </c>
      <c r="F38" s="80" t="n">
        <f aca="false">G38+H38+I38+J38+K38+L38+M38+N38+O38+P38+Q38+S38+T38+U38+V38+W38</f>
        <v>0</v>
      </c>
      <c r="G38" s="81" t="n">
        <v>0</v>
      </c>
      <c r="H38" s="82" t="n">
        <v>0</v>
      </c>
      <c r="I38" s="82" t="n">
        <v>0</v>
      </c>
      <c r="J38" s="82" t="n">
        <v>0</v>
      </c>
      <c r="K38" s="81" t="n">
        <v>0</v>
      </c>
      <c r="L38" s="82" t="n">
        <v>0</v>
      </c>
      <c r="M38" s="82" t="n">
        <v>0</v>
      </c>
      <c r="N38" s="81" t="n">
        <v>0</v>
      </c>
      <c r="O38" s="82" t="n">
        <v>0</v>
      </c>
      <c r="P38" s="81" t="n">
        <v>0</v>
      </c>
      <c r="Q38" s="82" t="n">
        <v>0</v>
      </c>
      <c r="R38" s="83" t="n">
        <v>0</v>
      </c>
      <c r="S38" s="82" t="n">
        <v>0</v>
      </c>
      <c r="T38" s="82" t="n">
        <v>0</v>
      </c>
      <c r="U38" s="82" t="n">
        <v>0</v>
      </c>
      <c r="V38" s="82" t="n">
        <v>0</v>
      </c>
      <c r="W38" s="82" t="n">
        <v>0</v>
      </c>
    </row>
    <row r="39" customFormat="false" ht="15" hidden="false" customHeight="false" outlineLevel="0" collapsed="false">
      <c r="A39" s="86" t="s">
        <v>52</v>
      </c>
      <c r="B39" s="87" t="n">
        <v>46055</v>
      </c>
      <c r="C39" s="88" t="n">
        <v>2</v>
      </c>
      <c r="D39" s="88" t="s">
        <v>53</v>
      </c>
      <c r="E39" s="89" t="n">
        <f aca="false">G39*23.12+H39*23.12+I39*23.12+J39*23.12+K39*11.55+L39*11.55+M39*11.55+N39*16.51+O39*16.51+P39*16.51+Q39*11.55+S39*11.55+T39*15+U39*1.7+V39*1.7+W39*11.55</f>
        <v>8087.4</v>
      </c>
      <c r="F39" s="90" t="n">
        <f aca="false">G39+H39+I39+J39+K39+L39+M39+N39+O39+P39+Q39+S39+T39+U39+V39+W39</f>
        <v>580</v>
      </c>
      <c r="G39" s="93" t="n">
        <v>60</v>
      </c>
      <c r="H39" s="94" t="n">
        <v>60</v>
      </c>
      <c r="I39" s="92" t="n">
        <v>0</v>
      </c>
      <c r="J39" s="92" t="n">
        <v>0</v>
      </c>
      <c r="K39" s="93" t="n">
        <v>230</v>
      </c>
      <c r="L39" s="94" t="n">
        <v>230</v>
      </c>
      <c r="M39" s="92" t="n">
        <v>0</v>
      </c>
      <c r="N39" s="91" t="n">
        <v>0</v>
      </c>
      <c r="O39" s="92" t="n">
        <v>0</v>
      </c>
      <c r="P39" s="91" t="n">
        <v>0</v>
      </c>
      <c r="Q39" s="92" t="n">
        <v>0</v>
      </c>
      <c r="R39" s="95" t="n">
        <v>0</v>
      </c>
      <c r="S39" s="92" t="n">
        <v>0</v>
      </c>
      <c r="T39" s="92" t="n">
        <v>0</v>
      </c>
      <c r="U39" s="92" t="n">
        <v>0</v>
      </c>
      <c r="V39" s="92" t="n">
        <v>0</v>
      </c>
      <c r="W39" s="92" t="n">
        <v>0</v>
      </c>
    </row>
    <row r="40" customFormat="false" ht="15" hidden="false" customHeight="false" outlineLevel="0" collapsed="false">
      <c r="A40" s="76" t="s">
        <v>54</v>
      </c>
      <c r="B40" s="77" t="n">
        <v>46056</v>
      </c>
      <c r="C40" s="78" t="n">
        <v>2</v>
      </c>
      <c r="D40" s="78" t="s">
        <v>53</v>
      </c>
      <c r="E40" s="79" t="n">
        <f aca="false">G40*23.12+H40*23.12+I40*23.12+J40*23.12+K40*11.55+L40*11.55+M40*11.55+N40*16.51+O40*16.51+P40*16.51+Q40*11.55+S40*11.55+T40*15+U40*1.7+V40*1.7+W40*11.55</f>
        <v>8087.4</v>
      </c>
      <c r="F40" s="80" t="n">
        <f aca="false">G40+H40+I40+J40+K40+L40+M40+N40+O40+P40+Q40+S40+T40+U40+V40+W40</f>
        <v>580</v>
      </c>
      <c r="G40" s="96" t="n">
        <v>60</v>
      </c>
      <c r="H40" s="97" t="n">
        <v>60</v>
      </c>
      <c r="I40" s="82" t="n">
        <v>0</v>
      </c>
      <c r="J40" s="82" t="n">
        <v>0</v>
      </c>
      <c r="K40" s="96" t="n">
        <v>230</v>
      </c>
      <c r="L40" s="97" t="n">
        <v>230</v>
      </c>
      <c r="M40" s="82" t="n">
        <v>0</v>
      </c>
      <c r="N40" s="81" t="n">
        <v>0</v>
      </c>
      <c r="O40" s="82" t="n">
        <v>0</v>
      </c>
      <c r="P40" s="81" t="n">
        <v>0</v>
      </c>
      <c r="Q40" s="82" t="n">
        <v>0</v>
      </c>
      <c r="R40" s="83" t="n">
        <v>0</v>
      </c>
      <c r="S40" s="82" t="n">
        <v>0</v>
      </c>
      <c r="T40" s="82" t="n">
        <v>0</v>
      </c>
      <c r="U40" s="82" t="n">
        <v>0</v>
      </c>
      <c r="V40" s="82" t="n">
        <v>0</v>
      </c>
      <c r="W40" s="82" t="n">
        <v>0</v>
      </c>
    </row>
    <row r="41" customFormat="false" ht="15" hidden="false" customHeight="false" outlineLevel="0" collapsed="false">
      <c r="A41" s="68" t="s">
        <v>55</v>
      </c>
      <c r="B41" s="69" t="n">
        <v>46057</v>
      </c>
      <c r="C41" s="70" t="n">
        <v>2</v>
      </c>
      <c r="D41" s="70" t="s">
        <v>53</v>
      </c>
      <c r="E41" s="71" t="n">
        <f aca="false">G41*23.12+H41*23.12+I41*23.12+J41*23.12+K41*11.55+L41*11.55+M41*11.55+N41*16.51+O41*16.51+P41*16.51+Q41*11.55+S41*11.55+T41*15+U41*1.7+V41*1.7+W41*11.55</f>
        <v>8087.4</v>
      </c>
      <c r="F41" s="72" t="n">
        <f aca="false">G41+H41+I41+J41+K41+L41+M41+N41+O41+P41+Q41+S41+T41+U41+V41+W41</f>
        <v>580</v>
      </c>
      <c r="G41" s="98" t="n">
        <v>60</v>
      </c>
      <c r="H41" s="99" t="n">
        <v>60</v>
      </c>
      <c r="I41" s="74" t="n">
        <v>0</v>
      </c>
      <c r="J41" s="74" t="n">
        <v>0</v>
      </c>
      <c r="K41" s="98" t="n">
        <v>230</v>
      </c>
      <c r="L41" s="99" t="n">
        <v>230</v>
      </c>
      <c r="M41" s="74" t="n">
        <v>0</v>
      </c>
      <c r="N41" s="73" t="n">
        <v>0</v>
      </c>
      <c r="O41" s="74" t="n">
        <v>0</v>
      </c>
      <c r="P41" s="73" t="n">
        <v>0</v>
      </c>
      <c r="Q41" s="74" t="n">
        <v>0</v>
      </c>
      <c r="R41" s="75" t="n">
        <v>0</v>
      </c>
      <c r="S41" s="74" t="n">
        <v>0</v>
      </c>
      <c r="T41" s="74" t="n">
        <v>0</v>
      </c>
      <c r="U41" s="74" t="n">
        <v>0</v>
      </c>
      <c r="V41" s="74" t="n">
        <v>0</v>
      </c>
      <c r="W41" s="74" t="n">
        <v>0</v>
      </c>
    </row>
    <row r="42" customFormat="false" ht="15" hidden="false" customHeight="false" outlineLevel="0" collapsed="false">
      <c r="A42" s="76" t="s">
        <v>47</v>
      </c>
      <c r="B42" s="77" t="n">
        <v>46058</v>
      </c>
      <c r="C42" s="78" t="n">
        <v>2</v>
      </c>
      <c r="D42" s="78" t="s">
        <v>53</v>
      </c>
      <c r="E42" s="79" t="n">
        <f aca="false">G42*23.12+H42*23.12+I42*23.12+J42*23.12+K42*11.55+L42*11.55+M42*11.55+N42*16.51+O42*16.51+P42*16.51+Q42*11.55+S42*11.55+T42*15+U42*1.7+V42*1.7+W42*11.55</f>
        <v>8087.4</v>
      </c>
      <c r="F42" s="80" t="n">
        <f aca="false">G42+H42+I42+J42+K42+L42+M42+N42+O42+P42+Q42+S42+T42+U42+V42+W42</f>
        <v>580</v>
      </c>
      <c r="G42" s="96" t="n">
        <v>60</v>
      </c>
      <c r="H42" s="97" t="n">
        <v>60</v>
      </c>
      <c r="I42" s="82" t="n">
        <v>0</v>
      </c>
      <c r="J42" s="82" t="n">
        <v>0</v>
      </c>
      <c r="K42" s="96" t="n">
        <v>230</v>
      </c>
      <c r="L42" s="97" t="n">
        <v>230</v>
      </c>
      <c r="M42" s="82" t="n">
        <v>0</v>
      </c>
      <c r="N42" s="81" t="n">
        <v>0</v>
      </c>
      <c r="O42" s="82" t="n">
        <v>0</v>
      </c>
      <c r="P42" s="81" t="n">
        <v>0</v>
      </c>
      <c r="Q42" s="82" t="n">
        <v>0</v>
      </c>
      <c r="R42" s="83" t="n">
        <v>0</v>
      </c>
      <c r="S42" s="82" t="n">
        <v>0</v>
      </c>
      <c r="T42" s="82" t="n">
        <v>0</v>
      </c>
      <c r="U42" s="82" t="n">
        <v>0</v>
      </c>
      <c r="V42" s="82" t="n">
        <v>0</v>
      </c>
      <c r="W42" s="82" t="n">
        <v>0</v>
      </c>
    </row>
    <row r="43" customFormat="false" ht="15" hidden="false" customHeight="false" outlineLevel="0" collapsed="false">
      <c r="A43" s="68" t="s">
        <v>49</v>
      </c>
      <c r="B43" s="69" t="n">
        <v>46059</v>
      </c>
      <c r="C43" s="70" t="n">
        <v>2</v>
      </c>
      <c r="D43" s="70" t="s">
        <v>53</v>
      </c>
      <c r="E43" s="71" t="n">
        <f aca="false">G43*23.12+H43*23.12+I43*23.12+J43*23.12+K43*11.55+L43*11.55+M43*11.55+N43*16.51+O43*16.51+P43*16.51+Q43*11.55+S43*11.55+T43*15+U43*1.7+V43*1.7+W43*11.55</f>
        <v>8087.4</v>
      </c>
      <c r="F43" s="72" t="n">
        <f aca="false">G43+H43+I43+J43+K43+L43+M43+N43+O43+P43+Q43+S43+T43+U43+V43+W43</f>
        <v>580</v>
      </c>
      <c r="G43" s="98" t="n">
        <v>60</v>
      </c>
      <c r="H43" s="99" t="n">
        <v>60</v>
      </c>
      <c r="I43" s="74" t="n">
        <v>0</v>
      </c>
      <c r="J43" s="74" t="n">
        <v>0</v>
      </c>
      <c r="K43" s="98" t="n">
        <v>230</v>
      </c>
      <c r="L43" s="99" t="n">
        <v>230</v>
      </c>
      <c r="M43" s="74" t="n">
        <v>0</v>
      </c>
      <c r="N43" s="73" t="n">
        <v>0</v>
      </c>
      <c r="O43" s="74" t="n">
        <v>0</v>
      </c>
      <c r="P43" s="73" t="n">
        <v>0</v>
      </c>
      <c r="Q43" s="74" t="n">
        <v>0</v>
      </c>
      <c r="R43" s="75" t="n">
        <v>0</v>
      </c>
      <c r="S43" s="74" t="n">
        <v>0</v>
      </c>
      <c r="T43" s="74" t="n">
        <v>0</v>
      </c>
      <c r="U43" s="74" t="n">
        <v>0</v>
      </c>
      <c r="V43" s="74" t="n">
        <v>0</v>
      </c>
      <c r="W43" s="74" t="n">
        <v>0</v>
      </c>
    </row>
    <row r="44" customFormat="false" ht="15" hidden="false" customHeight="false" outlineLevel="0" collapsed="false">
      <c r="A44" s="85" t="s">
        <v>50</v>
      </c>
      <c r="B44" s="77" t="n">
        <v>46060</v>
      </c>
      <c r="C44" s="78" t="n">
        <v>2</v>
      </c>
      <c r="D44" s="78" t="s">
        <v>53</v>
      </c>
      <c r="E44" s="79" t="n">
        <f aca="false">G44*23.12+H44*23.12+I44*23.12+J44*23.12+K44*11.55+L44*11.55+M44*11.55+N44*16.51+O44*16.51+P44*16.51+Q44*11.55+S44*11.55+T44*15+U44*1.7+V44*1.7+W44*11.55</f>
        <v>8087.4</v>
      </c>
      <c r="F44" s="80" t="n">
        <f aca="false">G44+H44+I44+J44+K44+L44+M44+N44+O44+P44+Q44+S44+T44+U44+V44+W44</f>
        <v>580</v>
      </c>
      <c r="G44" s="96" t="n">
        <v>60</v>
      </c>
      <c r="H44" s="97" t="n">
        <v>60</v>
      </c>
      <c r="I44" s="82" t="n">
        <v>0</v>
      </c>
      <c r="J44" s="82" t="n">
        <v>0</v>
      </c>
      <c r="K44" s="96" t="n">
        <v>230</v>
      </c>
      <c r="L44" s="97" t="n">
        <v>230</v>
      </c>
      <c r="M44" s="82" t="n">
        <v>0</v>
      </c>
      <c r="N44" s="81" t="n">
        <v>0</v>
      </c>
      <c r="O44" s="82" t="n">
        <v>0</v>
      </c>
      <c r="P44" s="81" t="n">
        <v>0</v>
      </c>
      <c r="Q44" s="82" t="n">
        <v>0</v>
      </c>
      <c r="R44" s="83" t="n">
        <v>0</v>
      </c>
      <c r="S44" s="82" t="n">
        <v>0</v>
      </c>
      <c r="T44" s="82" t="n">
        <v>0</v>
      </c>
      <c r="U44" s="82" t="n">
        <v>0</v>
      </c>
      <c r="V44" s="82" t="n">
        <v>0</v>
      </c>
      <c r="W44" s="82" t="n">
        <v>0</v>
      </c>
    </row>
    <row r="45" customFormat="false" ht="15" hidden="false" customHeight="false" outlineLevel="0" collapsed="false">
      <c r="A45" s="84" t="s">
        <v>51</v>
      </c>
      <c r="B45" s="69" t="n">
        <v>46061</v>
      </c>
      <c r="C45" s="70" t="n">
        <v>2</v>
      </c>
      <c r="D45" s="70" t="s">
        <v>53</v>
      </c>
      <c r="E45" s="71" t="n">
        <f aca="false">G45*23.12+H45*23.12+I45*23.12+J45*23.12+K45*11.55+L45*11.55+M45*11.55+N45*16.51+O45*16.51+P45*16.51+Q45*11.55+S45*11.55+T45*15+U45*1.7+V45*1.7+W45*11.55</f>
        <v>0</v>
      </c>
      <c r="F45" s="72" t="n">
        <f aca="false">G45+H45+I45+J45+K45+L45+M45+N45+O45+P45+Q45+S45+T45+U45+V45+W45</f>
        <v>0</v>
      </c>
      <c r="G45" s="73" t="n">
        <v>0</v>
      </c>
      <c r="H45" s="74" t="n">
        <v>0</v>
      </c>
      <c r="I45" s="74" t="n">
        <v>0</v>
      </c>
      <c r="J45" s="74" t="n">
        <v>0</v>
      </c>
      <c r="K45" s="73" t="n">
        <v>0</v>
      </c>
      <c r="L45" s="74" t="n">
        <v>0</v>
      </c>
      <c r="M45" s="74" t="n">
        <v>0</v>
      </c>
      <c r="N45" s="73" t="n">
        <v>0</v>
      </c>
      <c r="O45" s="74" t="n">
        <v>0</v>
      </c>
      <c r="P45" s="73" t="n">
        <v>0</v>
      </c>
      <c r="Q45" s="74" t="n">
        <v>0</v>
      </c>
      <c r="R45" s="75" t="n">
        <v>0</v>
      </c>
      <c r="S45" s="74" t="n">
        <v>0</v>
      </c>
      <c r="T45" s="74" t="n">
        <v>0</v>
      </c>
      <c r="U45" s="74" t="n">
        <v>0</v>
      </c>
      <c r="V45" s="74" t="n">
        <v>0</v>
      </c>
      <c r="W45" s="74" t="n">
        <v>0</v>
      </c>
    </row>
    <row r="46" customFormat="false" ht="15" hidden="false" customHeight="false" outlineLevel="0" collapsed="false">
      <c r="A46" s="100" t="s">
        <v>52</v>
      </c>
      <c r="B46" s="101" t="n">
        <v>46062</v>
      </c>
      <c r="C46" s="102" t="n">
        <v>2</v>
      </c>
      <c r="D46" s="102" t="s">
        <v>56</v>
      </c>
      <c r="E46" s="103" t="n">
        <f aca="false">G46*23.12+H46*23.12+I46*23.12+J46*23.12+K46*11.55+L46*11.55+M46*11.55+N46*16.51+O46*16.51+P46*16.51+Q46*11.55+S46*11.55+T46*15+U46*1.7+V46*1.7+W46*11.55</f>
        <v>9243.2</v>
      </c>
      <c r="F46" s="104" t="n">
        <f aca="false">G46+H46+I46+J46+K46+L46+M46+N46+O46+P46+Q46+S46+T46+U46+V46+W46</f>
        <v>640</v>
      </c>
      <c r="G46" s="107" t="n">
        <v>80</v>
      </c>
      <c r="H46" s="108" t="n">
        <v>80</v>
      </c>
      <c r="I46" s="106" t="n">
        <v>0</v>
      </c>
      <c r="J46" s="106" t="n">
        <v>0</v>
      </c>
      <c r="K46" s="107" t="n">
        <v>240</v>
      </c>
      <c r="L46" s="108" t="n">
        <v>240</v>
      </c>
      <c r="M46" s="106" t="n">
        <v>0</v>
      </c>
      <c r="N46" s="105" t="n">
        <v>0</v>
      </c>
      <c r="O46" s="106" t="n">
        <v>0</v>
      </c>
      <c r="P46" s="105" t="n">
        <v>0</v>
      </c>
      <c r="Q46" s="106" t="n">
        <v>0</v>
      </c>
      <c r="R46" s="109" t="n">
        <v>0</v>
      </c>
      <c r="S46" s="106" t="n">
        <v>0</v>
      </c>
      <c r="T46" s="106" t="n">
        <v>0</v>
      </c>
      <c r="U46" s="106" t="n">
        <v>0</v>
      </c>
      <c r="V46" s="106" t="n">
        <v>0</v>
      </c>
      <c r="W46" s="106" t="n">
        <v>0</v>
      </c>
    </row>
    <row r="47" customFormat="false" ht="15" hidden="false" customHeight="false" outlineLevel="0" collapsed="false">
      <c r="A47" s="68" t="s">
        <v>54</v>
      </c>
      <c r="B47" s="69" t="n">
        <v>46063</v>
      </c>
      <c r="C47" s="70" t="n">
        <v>2</v>
      </c>
      <c r="D47" s="70" t="s">
        <v>56</v>
      </c>
      <c r="E47" s="71" t="n">
        <f aca="false">G47*23.12+H47*23.12+I47*23.12+J47*23.12+K47*11.55+L47*11.55+M47*11.55+N47*16.51+O47*16.51+P47*16.51+Q47*11.55+S47*11.55+T47*15+U47*1.7+V47*1.7+W47*11.55</f>
        <v>9243.2</v>
      </c>
      <c r="F47" s="72" t="n">
        <f aca="false">G47+H47+I47+J47+K47+L47+M47+N47+O47+P47+Q47+S47+T47+U47+V47+W47</f>
        <v>640</v>
      </c>
      <c r="G47" s="98" t="n">
        <v>80</v>
      </c>
      <c r="H47" s="99" t="n">
        <v>80</v>
      </c>
      <c r="I47" s="74" t="n">
        <v>0</v>
      </c>
      <c r="J47" s="74" t="n">
        <v>0</v>
      </c>
      <c r="K47" s="98" t="n">
        <v>240</v>
      </c>
      <c r="L47" s="99" t="n">
        <v>240</v>
      </c>
      <c r="M47" s="74" t="n">
        <v>0</v>
      </c>
      <c r="N47" s="73" t="n">
        <v>0</v>
      </c>
      <c r="O47" s="74" t="n">
        <v>0</v>
      </c>
      <c r="P47" s="73" t="n">
        <v>0</v>
      </c>
      <c r="Q47" s="74" t="n">
        <v>0</v>
      </c>
      <c r="R47" s="75" t="n">
        <v>0</v>
      </c>
      <c r="S47" s="74" t="n">
        <v>0</v>
      </c>
      <c r="T47" s="74" t="n">
        <v>0</v>
      </c>
      <c r="U47" s="74" t="n">
        <v>0</v>
      </c>
      <c r="V47" s="74" t="n">
        <v>0</v>
      </c>
      <c r="W47" s="74" t="n">
        <v>0</v>
      </c>
    </row>
    <row r="48" customFormat="false" ht="15" hidden="false" customHeight="false" outlineLevel="0" collapsed="false">
      <c r="A48" s="76" t="s">
        <v>55</v>
      </c>
      <c r="B48" s="77" t="n">
        <v>46064</v>
      </c>
      <c r="C48" s="78" t="n">
        <v>2</v>
      </c>
      <c r="D48" s="78" t="s">
        <v>56</v>
      </c>
      <c r="E48" s="79" t="n">
        <f aca="false">G48*23.12+H48*23.12+I48*23.12+J48*23.12+K48*11.55+L48*11.55+M48*11.55+N48*16.51+O48*16.51+P48*16.51+Q48*11.55+S48*11.55+T48*15+U48*1.7+V48*1.7+W48*11.55</f>
        <v>9243.2</v>
      </c>
      <c r="F48" s="80" t="n">
        <f aca="false">G48+H48+I48+J48+K48+L48+M48+N48+O48+P48+Q48+S48+T48+U48+V48+W48</f>
        <v>640</v>
      </c>
      <c r="G48" s="96" t="n">
        <v>80</v>
      </c>
      <c r="H48" s="97" t="n">
        <v>80</v>
      </c>
      <c r="I48" s="82" t="n">
        <v>0</v>
      </c>
      <c r="J48" s="82" t="n">
        <v>0</v>
      </c>
      <c r="K48" s="96" t="n">
        <v>240</v>
      </c>
      <c r="L48" s="97" t="n">
        <v>240</v>
      </c>
      <c r="M48" s="82" t="n">
        <v>0</v>
      </c>
      <c r="N48" s="81" t="n">
        <v>0</v>
      </c>
      <c r="O48" s="82" t="n">
        <v>0</v>
      </c>
      <c r="P48" s="81" t="n">
        <v>0</v>
      </c>
      <c r="Q48" s="82" t="n">
        <v>0</v>
      </c>
      <c r="R48" s="83" t="n">
        <v>0</v>
      </c>
      <c r="S48" s="82" t="n">
        <v>0</v>
      </c>
      <c r="T48" s="82" t="n">
        <v>0</v>
      </c>
      <c r="U48" s="82" t="n">
        <v>0</v>
      </c>
      <c r="V48" s="82" t="n">
        <v>0</v>
      </c>
      <c r="W48" s="82" t="n">
        <v>0</v>
      </c>
    </row>
    <row r="49" customFormat="false" ht="15" hidden="false" customHeight="false" outlineLevel="0" collapsed="false">
      <c r="A49" s="68" t="s">
        <v>47</v>
      </c>
      <c r="B49" s="69" t="n">
        <v>46065</v>
      </c>
      <c r="C49" s="70" t="n">
        <v>2</v>
      </c>
      <c r="D49" s="70" t="s">
        <v>56</v>
      </c>
      <c r="E49" s="71" t="n">
        <f aca="false">G49*23.12+H49*23.12+I49*23.12+J49*23.12+K49*11.55+L49*11.55+M49*11.55+N49*16.51+O49*16.51+P49*16.51+Q49*11.55+S49*11.55+T49*15+U49*1.7+V49*1.7+W49*11.55</f>
        <v>11324</v>
      </c>
      <c r="F49" s="72" t="n">
        <f aca="false">G49+H49+I49+J49+K49+L49+M49+N49+O49+P49+Q49+S49+T49+U49+V49+W49</f>
        <v>730</v>
      </c>
      <c r="G49" s="98" t="n">
        <v>125</v>
      </c>
      <c r="H49" s="99" t="n">
        <v>125</v>
      </c>
      <c r="I49" s="74" t="n">
        <v>0</v>
      </c>
      <c r="J49" s="74" t="n">
        <v>0</v>
      </c>
      <c r="K49" s="98" t="n">
        <v>240</v>
      </c>
      <c r="L49" s="99" t="n">
        <v>240</v>
      </c>
      <c r="M49" s="74" t="n">
        <v>0</v>
      </c>
      <c r="N49" s="73" t="n">
        <v>0</v>
      </c>
      <c r="O49" s="74" t="n">
        <v>0</v>
      </c>
      <c r="P49" s="73" t="n">
        <v>0</v>
      </c>
      <c r="Q49" s="74" t="n">
        <v>0</v>
      </c>
      <c r="R49" s="75" t="n">
        <v>0</v>
      </c>
      <c r="S49" s="74" t="n">
        <v>0</v>
      </c>
      <c r="T49" s="74" t="n">
        <v>0</v>
      </c>
      <c r="U49" s="74" t="n">
        <v>0</v>
      </c>
      <c r="V49" s="74" t="n">
        <v>0</v>
      </c>
      <c r="W49" s="74" t="n">
        <v>0</v>
      </c>
    </row>
    <row r="50" customFormat="false" ht="15" hidden="false" customHeight="false" outlineLevel="0" collapsed="false">
      <c r="A50" s="76" t="s">
        <v>49</v>
      </c>
      <c r="B50" s="77" t="n">
        <v>46066</v>
      </c>
      <c r="C50" s="78" t="n">
        <v>2</v>
      </c>
      <c r="D50" s="78" t="s">
        <v>56</v>
      </c>
      <c r="E50" s="79" t="n">
        <f aca="false">G50*23.12+H50*23.12+I50*23.12+J50*23.12+K50*11.55+L50*11.55+M50*11.55+N50*16.51+O50*16.51+P50*16.51+Q50*11.55+S50*11.55+T50*15+U50*1.7+V50*1.7+W50*11.55</f>
        <v>11324</v>
      </c>
      <c r="F50" s="80" t="n">
        <f aca="false">G50+H50+I50+J50+K50+L50+M50+N50+O50+P50+Q50+S50+T50+U50+V50+W50</f>
        <v>730</v>
      </c>
      <c r="G50" s="96" t="n">
        <v>125</v>
      </c>
      <c r="H50" s="97" t="n">
        <v>125</v>
      </c>
      <c r="I50" s="82" t="n">
        <v>0</v>
      </c>
      <c r="J50" s="82" t="n">
        <v>0</v>
      </c>
      <c r="K50" s="96" t="n">
        <v>240</v>
      </c>
      <c r="L50" s="97" t="n">
        <v>240</v>
      </c>
      <c r="M50" s="82" t="n">
        <v>0</v>
      </c>
      <c r="N50" s="81" t="n">
        <v>0</v>
      </c>
      <c r="O50" s="82" t="n">
        <v>0</v>
      </c>
      <c r="P50" s="81" t="n">
        <v>0</v>
      </c>
      <c r="Q50" s="82" t="n">
        <v>0</v>
      </c>
      <c r="R50" s="83" t="n">
        <v>0</v>
      </c>
      <c r="S50" s="82" t="n">
        <v>0</v>
      </c>
      <c r="T50" s="82" t="n">
        <v>0</v>
      </c>
      <c r="U50" s="82" t="n">
        <v>0</v>
      </c>
      <c r="V50" s="82" t="n">
        <v>0</v>
      </c>
      <c r="W50" s="82" t="n">
        <v>0</v>
      </c>
    </row>
    <row r="51" customFormat="false" ht="15" hidden="false" customHeight="false" outlineLevel="0" collapsed="false">
      <c r="A51" s="84" t="s">
        <v>50</v>
      </c>
      <c r="B51" s="69" t="n">
        <v>46067</v>
      </c>
      <c r="C51" s="70" t="n">
        <v>2</v>
      </c>
      <c r="D51" s="70" t="s">
        <v>56</v>
      </c>
      <c r="E51" s="71" t="n">
        <f aca="false">G51*23.12+H51*23.12+I51*23.12+J51*23.12+K51*11.55+L51*11.55+M51*11.55+N51*16.51+O51*16.51+P51*16.51+Q51*11.55+S51*11.55+T51*15+U51*1.7+V51*1.7+W51*11.55</f>
        <v>11324</v>
      </c>
      <c r="F51" s="72" t="n">
        <f aca="false">G51+H51+I51+J51+K51+L51+M51+N51+O51+P51+Q51+S51+T51+U51+V51+W51</f>
        <v>730</v>
      </c>
      <c r="G51" s="98" t="n">
        <v>125</v>
      </c>
      <c r="H51" s="99" t="n">
        <v>125</v>
      </c>
      <c r="I51" s="74" t="n">
        <v>0</v>
      </c>
      <c r="J51" s="74" t="n">
        <v>0</v>
      </c>
      <c r="K51" s="98" t="n">
        <v>240</v>
      </c>
      <c r="L51" s="99" t="n">
        <v>240</v>
      </c>
      <c r="M51" s="74" t="n">
        <v>0</v>
      </c>
      <c r="N51" s="73" t="n">
        <v>0</v>
      </c>
      <c r="O51" s="74" t="n">
        <v>0</v>
      </c>
      <c r="P51" s="73" t="n">
        <v>0</v>
      </c>
      <c r="Q51" s="74" t="n">
        <v>0</v>
      </c>
      <c r="R51" s="75" t="n">
        <v>0</v>
      </c>
      <c r="S51" s="74" t="n">
        <v>0</v>
      </c>
      <c r="T51" s="74" t="n">
        <v>0</v>
      </c>
      <c r="U51" s="74" t="n">
        <v>0</v>
      </c>
      <c r="V51" s="74" t="n">
        <v>0</v>
      </c>
      <c r="W51" s="74" t="n">
        <v>0</v>
      </c>
    </row>
    <row r="52" customFormat="false" ht="15" hidden="false" customHeight="false" outlineLevel="0" collapsed="false">
      <c r="A52" s="85" t="s">
        <v>51</v>
      </c>
      <c r="B52" s="77" t="n">
        <v>46068</v>
      </c>
      <c r="C52" s="78" t="n">
        <v>2</v>
      </c>
      <c r="D52" s="78" t="s">
        <v>56</v>
      </c>
      <c r="E52" s="79" t="n">
        <f aca="false">G52*23.12+H52*23.12+I52*23.12+J52*23.12+K52*11.55+L52*11.55+M52*11.55+N52*16.51+O52*16.51+P52*16.51+Q52*11.55+S52*11.55+T52*15+U52*1.7+V52*1.7+W52*11.55</f>
        <v>5780</v>
      </c>
      <c r="F52" s="80" t="n">
        <f aca="false">G52+H52+I52+J52+K52+L52+M52+N52+O52+P52+Q52+S52+T52+U52+V52+W52</f>
        <v>250</v>
      </c>
      <c r="G52" s="96" t="n">
        <v>125</v>
      </c>
      <c r="H52" s="97" t="n">
        <v>125</v>
      </c>
      <c r="I52" s="82" t="n">
        <v>0</v>
      </c>
      <c r="J52" s="82" t="n">
        <v>0</v>
      </c>
      <c r="K52" s="81" t="n">
        <v>0</v>
      </c>
      <c r="L52" s="82" t="n">
        <v>0</v>
      </c>
      <c r="M52" s="82" t="n">
        <v>0</v>
      </c>
      <c r="N52" s="81" t="n">
        <v>0</v>
      </c>
      <c r="O52" s="82" t="n">
        <v>0</v>
      </c>
      <c r="P52" s="81" t="n">
        <v>0</v>
      </c>
      <c r="Q52" s="82" t="n">
        <v>0</v>
      </c>
      <c r="R52" s="83" t="n">
        <v>0</v>
      </c>
      <c r="S52" s="82" t="n">
        <v>0</v>
      </c>
      <c r="T52" s="82" t="n">
        <v>0</v>
      </c>
      <c r="U52" s="82" t="n">
        <v>0</v>
      </c>
      <c r="V52" s="82" t="n">
        <v>0</v>
      </c>
      <c r="W52" s="82" t="n">
        <v>0</v>
      </c>
    </row>
    <row r="53" customFormat="false" ht="15" hidden="false" customHeight="false" outlineLevel="0" collapsed="false">
      <c r="A53" s="86" t="s">
        <v>52</v>
      </c>
      <c r="B53" s="87" t="n">
        <v>46069</v>
      </c>
      <c r="C53" s="88" t="n">
        <v>2</v>
      </c>
      <c r="D53" s="88" t="s">
        <v>57</v>
      </c>
      <c r="E53" s="89" t="n">
        <f aca="false">G53*23.12+H53*23.12+I53*23.12+J53*23.12+K53*11.55+L53*11.55+M53*11.55+N53*16.51+O53*16.51+P53*16.51+Q53*11.55+S53*11.55+T53*15+U53*1.7+V53*1.7+W53*11.55</f>
        <v>12618.6</v>
      </c>
      <c r="F53" s="90" t="n">
        <f aca="false">G53+H53+I53+J53+K53+L53+M53+N53+O53+P53+Q53+S53+T53+U53+V53+W53</f>
        <v>792</v>
      </c>
      <c r="G53" s="93" t="n">
        <v>150</v>
      </c>
      <c r="H53" s="94" t="n">
        <v>150</v>
      </c>
      <c r="I53" s="92" t="n">
        <v>0</v>
      </c>
      <c r="J53" s="92" t="n">
        <v>0</v>
      </c>
      <c r="K53" s="93" t="n">
        <v>246</v>
      </c>
      <c r="L53" s="94" t="n">
        <v>246</v>
      </c>
      <c r="M53" s="92" t="n">
        <v>0</v>
      </c>
      <c r="N53" s="91" t="n">
        <v>0</v>
      </c>
      <c r="O53" s="92" t="n">
        <v>0</v>
      </c>
      <c r="P53" s="91" t="n">
        <v>0</v>
      </c>
      <c r="Q53" s="92" t="n">
        <v>0</v>
      </c>
      <c r="R53" s="95" t="n">
        <v>0</v>
      </c>
      <c r="S53" s="92" t="n">
        <v>0</v>
      </c>
      <c r="T53" s="92" t="n">
        <v>0</v>
      </c>
      <c r="U53" s="92" t="n">
        <v>0</v>
      </c>
      <c r="V53" s="92" t="n">
        <v>0</v>
      </c>
      <c r="W53" s="92" t="n">
        <v>0</v>
      </c>
    </row>
    <row r="54" customFormat="false" ht="15" hidden="false" customHeight="false" outlineLevel="0" collapsed="false">
      <c r="A54" s="76" t="s">
        <v>54</v>
      </c>
      <c r="B54" s="77" t="n">
        <v>46070</v>
      </c>
      <c r="C54" s="78" t="n">
        <v>2</v>
      </c>
      <c r="D54" s="78" t="s">
        <v>57</v>
      </c>
      <c r="E54" s="79" t="n">
        <f aca="false">G54*23.12+H54*23.12+I54*23.12+J54*23.12+K54*11.55+L54*11.55+M54*11.55+N54*16.51+O54*16.51+P54*16.51+Q54*11.55+S54*11.55+T54*15+U54*1.7+V54*1.7+W54*11.55</f>
        <v>12618.6</v>
      </c>
      <c r="F54" s="80" t="n">
        <f aca="false">G54+H54+I54+J54+K54+L54+M54+N54+O54+P54+Q54+S54+T54+U54+V54+W54</f>
        <v>792</v>
      </c>
      <c r="G54" s="96" t="n">
        <v>150</v>
      </c>
      <c r="H54" s="97" t="n">
        <v>150</v>
      </c>
      <c r="I54" s="82" t="n">
        <v>0</v>
      </c>
      <c r="J54" s="82" t="n">
        <v>0</v>
      </c>
      <c r="K54" s="96" t="n">
        <v>246</v>
      </c>
      <c r="L54" s="97" t="n">
        <v>246</v>
      </c>
      <c r="M54" s="82" t="n">
        <v>0</v>
      </c>
      <c r="N54" s="81" t="n">
        <v>0</v>
      </c>
      <c r="O54" s="82" t="n">
        <v>0</v>
      </c>
      <c r="P54" s="81" t="n">
        <v>0</v>
      </c>
      <c r="Q54" s="82" t="n">
        <v>0</v>
      </c>
      <c r="R54" s="83" t="n">
        <v>0</v>
      </c>
      <c r="S54" s="82" t="n">
        <v>0</v>
      </c>
      <c r="T54" s="82" t="n">
        <v>0</v>
      </c>
      <c r="U54" s="82" t="n">
        <v>0</v>
      </c>
      <c r="V54" s="82" t="n">
        <v>0</v>
      </c>
      <c r="W54" s="82" t="n">
        <v>0</v>
      </c>
    </row>
    <row r="55" customFormat="false" ht="15" hidden="false" customHeight="false" outlineLevel="0" collapsed="false">
      <c r="A55" s="68" t="s">
        <v>55</v>
      </c>
      <c r="B55" s="69" t="n">
        <v>46071</v>
      </c>
      <c r="C55" s="70" t="n">
        <v>2</v>
      </c>
      <c r="D55" s="70" t="s">
        <v>57</v>
      </c>
      <c r="E55" s="71" t="n">
        <f aca="false">G55*23.12+H55*23.12+I55*23.12+J55*23.12+K55*11.55+L55*11.55+M55*11.55+N55*16.51+O55*16.51+P55*16.51+Q55*11.55+S55*11.55+T55*15+U55*1.7+V55*1.7+W55*11.55</f>
        <v>12618.6</v>
      </c>
      <c r="F55" s="72" t="n">
        <f aca="false">G55+H55+I55+J55+K55+L55+M55+N55+O55+P55+Q55+S55+T55+U55+V55+W55</f>
        <v>792</v>
      </c>
      <c r="G55" s="98" t="n">
        <v>150</v>
      </c>
      <c r="H55" s="99" t="n">
        <v>150</v>
      </c>
      <c r="I55" s="74" t="n">
        <v>0</v>
      </c>
      <c r="J55" s="74" t="n">
        <v>0</v>
      </c>
      <c r="K55" s="98" t="n">
        <v>246</v>
      </c>
      <c r="L55" s="99" t="n">
        <v>246</v>
      </c>
      <c r="M55" s="74" t="n">
        <v>0</v>
      </c>
      <c r="N55" s="73" t="n">
        <v>0</v>
      </c>
      <c r="O55" s="74" t="n">
        <v>0</v>
      </c>
      <c r="P55" s="73" t="n">
        <v>0</v>
      </c>
      <c r="Q55" s="74" t="n">
        <v>0</v>
      </c>
      <c r="R55" s="75" t="n">
        <v>0</v>
      </c>
      <c r="S55" s="74" t="n">
        <v>0</v>
      </c>
      <c r="T55" s="74" t="n">
        <v>0</v>
      </c>
      <c r="U55" s="74" t="n">
        <v>0</v>
      </c>
      <c r="V55" s="74" t="n">
        <v>0</v>
      </c>
      <c r="W55" s="74" t="n">
        <v>0</v>
      </c>
    </row>
    <row r="56" customFormat="false" ht="15" hidden="false" customHeight="false" outlineLevel="0" collapsed="false">
      <c r="A56" s="76" t="s">
        <v>47</v>
      </c>
      <c r="B56" s="77" t="n">
        <v>46072</v>
      </c>
      <c r="C56" s="78" t="n">
        <v>2</v>
      </c>
      <c r="D56" s="78" t="s">
        <v>57</v>
      </c>
      <c r="E56" s="79" t="n">
        <f aca="false">G56*23.12+H56*23.12+I56*23.12+J56*23.12+K56*11.55+L56*11.55+M56*11.55+N56*16.51+O56*16.51+P56*16.51+Q56*11.55+S56*11.55+T56*15+U56*1.7+V56*1.7+W56*11.55</f>
        <v>12618.6</v>
      </c>
      <c r="F56" s="80" t="n">
        <f aca="false">G56+H56+I56+J56+K56+L56+M56+N56+O56+P56+Q56+S56+T56+U56+V56+W56</f>
        <v>792</v>
      </c>
      <c r="G56" s="96" t="n">
        <v>150</v>
      </c>
      <c r="H56" s="97" t="n">
        <v>150</v>
      </c>
      <c r="I56" s="82" t="n">
        <v>0</v>
      </c>
      <c r="J56" s="82" t="n">
        <v>0</v>
      </c>
      <c r="K56" s="96" t="n">
        <v>246</v>
      </c>
      <c r="L56" s="97" t="n">
        <v>246</v>
      </c>
      <c r="M56" s="82" t="n">
        <v>0</v>
      </c>
      <c r="N56" s="81" t="n">
        <v>0</v>
      </c>
      <c r="O56" s="82" t="n">
        <v>0</v>
      </c>
      <c r="P56" s="81" t="n">
        <v>0</v>
      </c>
      <c r="Q56" s="82" t="n">
        <v>0</v>
      </c>
      <c r="R56" s="83" t="n">
        <v>0</v>
      </c>
      <c r="S56" s="82" t="n">
        <v>0</v>
      </c>
      <c r="T56" s="82" t="n">
        <v>0</v>
      </c>
      <c r="U56" s="82" t="n">
        <v>0</v>
      </c>
      <c r="V56" s="82" t="n">
        <v>0</v>
      </c>
      <c r="W56" s="82" t="n">
        <v>0</v>
      </c>
    </row>
    <row r="57" customFormat="false" ht="15" hidden="false" customHeight="false" outlineLevel="0" collapsed="false">
      <c r="A57" s="68" t="s">
        <v>49</v>
      </c>
      <c r="B57" s="69" t="n">
        <v>46073</v>
      </c>
      <c r="C57" s="70" t="n">
        <v>2</v>
      </c>
      <c r="D57" s="70" t="s">
        <v>57</v>
      </c>
      <c r="E57" s="71" t="n">
        <f aca="false">G57*23.12+H57*23.12+I57*23.12+J57*23.12+K57*11.55+L57*11.55+M57*11.55+N57*16.51+O57*16.51+P57*16.51+Q57*11.55+S57*11.55+T57*15+U57*1.7+V57*1.7+W57*11.55</f>
        <v>12618.6</v>
      </c>
      <c r="F57" s="72" t="n">
        <f aca="false">G57+H57+I57+J57+K57+L57+M57+N57+O57+P57+Q57+S57+T57+U57+V57+W57</f>
        <v>792</v>
      </c>
      <c r="G57" s="98" t="n">
        <v>150</v>
      </c>
      <c r="H57" s="99" t="n">
        <v>150</v>
      </c>
      <c r="I57" s="74" t="n">
        <v>0</v>
      </c>
      <c r="J57" s="74" t="n">
        <v>0</v>
      </c>
      <c r="K57" s="98" t="n">
        <v>246</v>
      </c>
      <c r="L57" s="99" t="n">
        <v>246</v>
      </c>
      <c r="M57" s="74" t="n">
        <v>0</v>
      </c>
      <c r="N57" s="73" t="n">
        <v>0</v>
      </c>
      <c r="O57" s="74" t="n">
        <v>0</v>
      </c>
      <c r="P57" s="73" t="n">
        <v>0</v>
      </c>
      <c r="Q57" s="74" t="n">
        <v>0</v>
      </c>
      <c r="R57" s="75" t="n">
        <v>0</v>
      </c>
      <c r="S57" s="74" t="n">
        <v>0</v>
      </c>
      <c r="T57" s="74" t="n">
        <v>0</v>
      </c>
      <c r="U57" s="74" t="n">
        <v>0</v>
      </c>
      <c r="V57" s="74" t="n">
        <v>0</v>
      </c>
      <c r="W57" s="74" t="n">
        <v>0</v>
      </c>
    </row>
    <row r="58" customFormat="false" ht="15" hidden="false" customHeight="false" outlineLevel="0" collapsed="false">
      <c r="A58" s="85" t="s">
        <v>50</v>
      </c>
      <c r="B58" s="77" t="n">
        <v>46074</v>
      </c>
      <c r="C58" s="78" t="n">
        <v>2</v>
      </c>
      <c r="D58" s="78" t="s">
        <v>57</v>
      </c>
      <c r="E58" s="79" t="n">
        <f aca="false">G58*23.12+H58*23.12+I58*23.12+J58*23.12+K58*11.55+L58*11.55+M58*11.55+N58*16.51+O58*16.51+P58*16.51+Q58*11.55+S58*11.55+T58*15+U58*1.7+V58*1.7+W58*11.55</f>
        <v>14121.4</v>
      </c>
      <c r="F58" s="80" t="n">
        <f aca="false">G58+H58+I58+J58+K58+L58+M58+N58+O58+P58+Q58+S58+T58+U58+V58+W58</f>
        <v>857</v>
      </c>
      <c r="G58" s="96" t="n">
        <v>150</v>
      </c>
      <c r="H58" s="97" t="n">
        <v>150</v>
      </c>
      <c r="I58" s="82" t="n">
        <v>0</v>
      </c>
      <c r="J58" s="97" t="n">
        <v>65</v>
      </c>
      <c r="K58" s="96" t="n">
        <v>246</v>
      </c>
      <c r="L58" s="97" t="n">
        <v>246</v>
      </c>
      <c r="M58" s="82" t="n">
        <v>0</v>
      </c>
      <c r="N58" s="81" t="n">
        <v>0</v>
      </c>
      <c r="O58" s="82" t="n">
        <v>0</v>
      </c>
      <c r="P58" s="81" t="n">
        <v>0</v>
      </c>
      <c r="Q58" s="82" t="n">
        <v>0</v>
      </c>
      <c r="R58" s="83" t="n">
        <v>0</v>
      </c>
      <c r="S58" s="82" t="n">
        <v>0</v>
      </c>
      <c r="T58" s="82" t="n">
        <v>0</v>
      </c>
      <c r="U58" s="82" t="n">
        <v>0</v>
      </c>
      <c r="V58" s="82" t="n">
        <v>0</v>
      </c>
      <c r="W58" s="82" t="n">
        <v>0</v>
      </c>
    </row>
    <row r="59" customFormat="false" ht="15" hidden="false" customHeight="false" outlineLevel="0" collapsed="false">
      <c r="A59" s="84" t="s">
        <v>51</v>
      </c>
      <c r="B59" s="69" t="n">
        <v>46075</v>
      </c>
      <c r="C59" s="70" t="n">
        <v>2</v>
      </c>
      <c r="D59" s="70" t="s">
        <v>57</v>
      </c>
      <c r="E59" s="71" t="n">
        <f aca="false">G59*23.12+H59*23.12+I59*23.12+J59*23.12+K59*11.55+L59*11.55+M59*11.55+N59*16.51+O59*16.51+P59*16.51+Q59*11.55+S59*11.55+T59*15+U59*1.7+V59*1.7+W59*11.55</f>
        <v>6936</v>
      </c>
      <c r="F59" s="72" t="n">
        <f aca="false">G59+H59+I59+J59+K59+L59+M59+N59+O59+P59+Q59+S59+T59+U59+V59+W59</f>
        <v>300</v>
      </c>
      <c r="G59" s="98" t="n">
        <v>150</v>
      </c>
      <c r="H59" s="99" t="n">
        <v>150</v>
      </c>
      <c r="I59" s="74" t="n">
        <v>0</v>
      </c>
      <c r="J59" s="74" t="n">
        <v>0</v>
      </c>
      <c r="K59" s="73" t="n">
        <v>0</v>
      </c>
      <c r="L59" s="74" t="n">
        <v>0</v>
      </c>
      <c r="M59" s="74" t="n">
        <v>0</v>
      </c>
      <c r="N59" s="73" t="n">
        <v>0</v>
      </c>
      <c r="O59" s="74" t="n">
        <v>0</v>
      </c>
      <c r="P59" s="73" t="n">
        <v>0</v>
      </c>
      <c r="Q59" s="74" t="n">
        <v>0</v>
      </c>
      <c r="R59" s="75" t="n">
        <v>0</v>
      </c>
      <c r="S59" s="74" t="n">
        <v>0</v>
      </c>
      <c r="T59" s="74" t="n">
        <v>0</v>
      </c>
      <c r="U59" s="74" t="n">
        <v>0</v>
      </c>
      <c r="V59" s="74" t="n">
        <v>0</v>
      </c>
      <c r="W59" s="74" t="n">
        <v>0</v>
      </c>
    </row>
    <row r="60" customFormat="false" ht="15" hidden="false" customHeight="false" outlineLevel="0" collapsed="false">
      <c r="A60" s="100" t="s">
        <v>52</v>
      </c>
      <c r="B60" s="101" t="n">
        <v>46076</v>
      </c>
      <c r="C60" s="102" t="n">
        <v>3</v>
      </c>
      <c r="D60" s="102" t="s">
        <v>48</v>
      </c>
      <c r="E60" s="103" t="n">
        <f aca="false">G60*23.12+H60*23.12+I60*23.12+J60*23.12+K60*11.55+L60*11.55+M60*11.55+N60*16.51+O60*16.51+P60*16.51+Q60*11.55+S60*11.55+T60*15+U60*1.7+V60*1.7+W60*11.55</f>
        <v>12942</v>
      </c>
      <c r="F60" s="104" t="n">
        <f aca="false">G60+H60+I60+J60+K60+L60+M60+N60+O60+P60+Q60+S60+T60+U60+V60+W60</f>
        <v>820</v>
      </c>
      <c r="G60" s="107" t="n">
        <v>150</v>
      </c>
      <c r="H60" s="108" t="n">
        <v>150</v>
      </c>
      <c r="I60" s="106" t="n">
        <v>0</v>
      </c>
      <c r="J60" s="106" t="n">
        <v>0</v>
      </c>
      <c r="K60" s="107" t="n">
        <v>260</v>
      </c>
      <c r="L60" s="108" t="n">
        <v>260</v>
      </c>
      <c r="M60" s="106" t="n">
        <v>0</v>
      </c>
      <c r="N60" s="105" t="n">
        <v>0</v>
      </c>
      <c r="O60" s="106" t="n">
        <v>0</v>
      </c>
      <c r="P60" s="105" t="n">
        <v>0</v>
      </c>
      <c r="Q60" s="106" t="n">
        <v>0</v>
      </c>
      <c r="R60" s="109" t="n">
        <v>0</v>
      </c>
      <c r="S60" s="106" t="n">
        <v>0</v>
      </c>
      <c r="T60" s="106" t="n">
        <v>0</v>
      </c>
      <c r="U60" s="106" t="n">
        <v>0</v>
      </c>
      <c r="V60" s="106" t="n">
        <v>0</v>
      </c>
      <c r="W60" s="106" t="n">
        <v>0</v>
      </c>
    </row>
    <row r="61" customFormat="false" ht="15" hidden="false" customHeight="false" outlineLevel="0" collapsed="false">
      <c r="A61" s="68" t="s">
        <v>54</v>
      </c>
      <c r="B61" s="69" t="n">
        <v>46077</v>
      </c>
      <c r="C61" s="70" t="n">
        <v>3</v>
      </c>
      <c r="D61" s="70" t="s">
        <v>48</v>
      </c>
      <c r="E61" s="71" t="n">
        <f aca="false">G61*23.12+H61*23.12+I61*23.12+J61*23.12+K61*11.55+L61*11.55+M61*11.55+N61*16.51+O61*16.51+P61*16.51+Q61*11.55+S61*11.55+T61*15+U61*1.7+V61*1.7+W61*11.55</f>
        <v>14444.8</v>
      </c>
      <c r="F61" s="72" t="n">
        <f aca="false">G61+H61+I61+J61+K61+L61+M61+N61+O61+P61+Q61+S61+T61+U61+V61+W61</f>
        <v>885</v>
      </c>
      <c r="G61" s="98" t="n">
        <v>150</v>
      </c>
      <c r="H61" s="99" t="n">
        <v>150</v>
      </c>
      <c r="I61" s="74" t="n">
        <v>0</v>
      </c>
      <c r="J61" s="99" t="n">
        <v>65</v>
      </c>
      <c r="K61" s="98" t="n">
        <v>260</v>
      </c>
      <c r="L61" s="99" t="n">
        <v>260</v>
      </c>
      <c r="M61" s="74" t="n">
        <v>0</v>
      </c>
      <c r="N61" s="73" t="n">
        <v>0</v>
      </c>
      <c r="O61" s="74" t="n">
        <v>0</v>
      </c>
      <c r="P61" s="73" t="n">
        <v>0</v>
      </c>
      <c r="Q61" s="74" t="n">
        <v>0</v>
      </c>
      <c r="R61" s="75" t="n">
        <v>0</v>
      </c>
      <c r="S61" s="74" t="n">
        <v>0</v>
      </c>
      <c r="T61" s="74" t="n">
        <v>0</v>
      </c>
      <c r="U61" s="74" t="n">
        <v>0</v>
      </c>
      <c r="V61" s="74" t="n">
        <v>0</v>
      </c>
      <c r="W61" s="74" t="n">
        <v>0</v>
      </c>
    </row>
    <row r="62" customFormat="false" ht="15" hidden="false" customHeight="false" outlineLevel="0" collapsed="false">
      <c r="A62" s="76" t="s">
        <v>55</v>
      </c>
      <c r="B62" s="77" t="n">
        <v>46078</v>
      </c>
      <c r="C62" s="78" t="n">
        <v>3</v>
      </c>
      <c r="D62" s="78" t="s">
        <v>48</v>
      </c>
      <c r="E62" s="79" t="n">
        <f aca="false">G62*23.12+H62*23.12+I62*23.12+J62*23.12+K62*11.55+L62*11.55+M62*11.55+N62*16.51+O62*16.51+P62*16.51+Q62*11.55+S62*11.55+T62*15+U62*1.7+V62*1.7+W62*11.55</f>
        <v>14906.8</v>
      </c>
      <c r="F62" s="80" t="n">
        <f aca="false">G62+H62+I62+J62+K62+L62+M62+N62+O62+P62+Q62+S62+T62+U62+V62+W62</f>
        <v>925</v>
      </c>
      <c r="G62" s="96" t="n">
        <v>150</v>
      </c>
      <c r="H62" s="97" t="n">
        <v>150</v>
      </c>
      <c r="I62" s="82" t="n">
        <v>0</v>
      </c>
      <c r="J62" s="97" t="n">
        <v>65</v>
      </c>
      <c r="K62" s="96" t="n">
        <v>280</v>
      </c>
      <c r="L62" s="97" t="n">
        <v>280</v>
      </c>
      <c r="M62" s="82" t="n">
        <v>0</v>
      </c>
      <c r="N62" s="81" t="n">
        <v>0</v>
      </c>
      <c r="O62" s="82" t="n">
        <v>0</v>
      </c>
      <c r="P62" s="81" t="n">
        <v>0</v>
      </c>
      <c r="Q62" s="82" t="n">
        <v>0</v>
      </c>
      <c r="R62" s="83" t="n">
        <v>0</v>
      </c>
      <c r="S62" s="82" t="n">
        <v>0</v>
      </c>
      <c r="T62" s="82" t="n">
        <v>0</v>
      </c>
      <c r="U62" s="82" t="n">
        <v>0</v>
      </c>
      <c r="V62" s="82" t="n">
        <v>0</v>
      </c>
      <c r="W62" s="82" t="n">
        <v>0</v>
      </c>
    </row>
    <row r="63" customFormat="false" ht="15" hidden="false" customHeight="false" outlineLevel="0" collapsed="false">
      <c r="A63" s="68" t="s">
        <v>47</v>
      </c>
      <c r="B63" s="69" t="n">
        <v>46079</v>
      </c>
      <c r="C63" s="70" t="n">
        <v>3</v>
      </c>
      <c r="D63" s="70" t="s">
        <v>48</v>
      </c>
      <c r="E63" s="71" t="n">
        <f aca="false">G63*23.12+H63*23.12+I63*23.12+J63*23.12+K63*11.55+L63*11.55+M63*11.55+N63*16.51+O63*16.51+P63*16.51+Q63*11.55+S63*11.55+T63*15+U63*1.7+V63*1.7+W63*11.55</f>
        <v>13404</v>
      </c>
      <c r="F63" s="72" t="n">
        <f aca="false">G63+H63+I63+J63+K63+L63+M63+N63+O63+P63+Q63+S63+T63+U63+V63+W63</f>
        <v>860</v>
      </c>
      <c r="G63" s="98" t="n">
        <v>150</v>
      </c>
      <c r="H63" s="99" t="n">
        <v>150</v>
      </c>
      <c r="I63" s="74" t="n">
        <v>0</v>
      </c>
      <c r="J63" s="74" t="n">
        <v>0</v>
      </c>
      <c r="K63" s="98" t="n">
        <v>280</v>
      </c>
      <c r="L63" s="99" t="n">
        <v>280</v>
      </c>
      <c r="M63" s="74" t="n">
        <v>0</v>
      </c>
      <c r="N63" s="73" t="n">
        <v>0</v>
      </c>
      <c r="O63" s="74" t="n">
        <v>0</v>
      </c>
      <c r="P63" s="73" t="n">
        <v>0</v>
      </c>
      <c r="Q63" s="74" t="n">
        <v>0</v>
      </c>
      <c r="R63" s="75" t="n">
        <v>0</v>
      </c>
      <c r="S63" s="74" t="n">
        <v>0</v>
      </c>
      <c r="T63" s="74" t="n">
        <v>0</v>
      </c>
      <c r="U63" s="74" t="n">
        <v>0</v>
      </c>
      <c r="V63" s="74" t="n">
        <v>0</v>
      </c>
      <c r="W63" s="74" t="n">
        <v>0</v>
      </c>
    </row>
    <row r="64" customFormat="false" ht="15" hidden="false" customHeight="false" outlineLevel="0" collapsed="false">
      <c r="A64" s="76" t="s">
        <v>49</v>
      </c>
      <c r="B64" s="77" t="n">
        <v>46080</v>
      </c>
      <c r="C64" s="78" t="n">
        <v>3</v>
      </c>
      <c r="D64" s="78" t="s">
        <v>48</v>
      </c>
      <c r="E64" s="79" t="n">
        <f aca="false">G64*23.12+H64*23.12+I64*23.12+J64*23.12+K64*11.55+L64*11.55+M64*11.55+N64*16.51+O64*16.51+P64*16.51+Q64*11.55+S64*11.55+T64*15+U64*1.7+V64*1.7+W64*11.55</f>
        <v>14444.8</v>
      </c>
      <c r="F64" s="80" t="n">
        <f aca="false">G64+H64+I64+J64+K64+L64+M64+N64+O64+P64+Q64+S64+T64+U64+V64+W64</f>
        <v>885</v>
      </c>
      <c r="G64" s="96" t="n">
        <v>150</v>
      </c>
      <c r="H64" s="97" t="n">
        <v>150</v>
      </c>
      <c r="I64" s="82" t="n">
        <v>0</v>
      </c>
      <c r="J64" s="97" t="n">
        <v>65</v>
      </c>
      <c r="K64" s="96" t="n">
        <v>260</v>
      </c>
      <c r="L64" s="97" t="n">
        <v>260</v>
      </c>
      <c r="M64" s="82" t="n">
        <v>0</v>
      </c>
      <c r="N64" s="81" t="n">
        <v>0</v>
      </c>
      <c r="O64" s="82" t="n">
        <v>0</v>
      </c>
      <c r="P64" s="81" t="n">
        <v>0</v>
      </c>
      <c r="Q64" s="82" t="n">
        <v>0</v>
      </c>
      <c r="R64" s="83" t="n">
        <v>0</v>
      </c>
      <c r="S64" s="82" t="n">
        <v>0</v>
      </c>
      <c r="T64" s="82" t="n">
        <v>0</v>
      </c>
      <c r="U64" s="82" t="n">
        <v>0</v>
      </c>
      <c r="V64" s="82" t="n">
        <v>0</v>
      </c>
      <c r="W64" s="82" t="n">
        <v>0</v>
      </c>
    </row>
    <row r="65" customFormat="false" ht="15" hidden="false" customHeight="false" outlineLevel="0" collapsed="false">
      <c r="A65" s="84" t="s">
        <v>50</v>
      </c>
      <c r="B65" s="69" t="n">
        <v>46081</v>
      </c>
      <c r="C65" s="70" t="n">
        <v>3</v>
      </c>
      <c r="D65" s="70" t="s">
        <v>48</v>
      </c>
      <c r="E65" s="71" t="n">
        <f aca="false">G65*23.12+H65*23.12+I65*23.12+J65*23.12+K65*11.55+L65*11.55+M65*11.55+N65*16.51+O65*16.51+P65*16.51+Q65*11.55+S65*11.55+T65*15+U65*1.7+V65*1.7+W65*11.55</f>
        <v>12942</v>
      </c>
      <c r="F65" s="72" t="n">
        <f aca="false">G65+H65+I65+J65+K65+L65+M65+N65+O65+P65+Q65+S65+T65+U65+V65+W65</f>
        <v>820</v>
      </c>
      <c r="G65" s="98" t="n">
        <v>150</v>
      </c>
      <c r="H65" s="99" t="n">
        <v>150</v>
      </c>
      <c r="I65" s="74" t="n">
        <v>0</v>
      </c>
      <c r="J65" s="74" t="n">
        <v>0</v>
      </c>
      <c r="K65" s="98" t="n">
        <v>260</v>
      </c>
      <c r="L65" s="99" t="n">
        <v>260</v>
      </c>
      <c r="M65" s="74" t="n">
        <v>0</v>
      </c>
      <c r="N65" s="73" t="n">
        <v>0</v>
      </c>
      <c r="O65" s="74" t="n">
        <v>0</v>
      </c>
      <c r="P65" s="73" t="n">
        <v>0</v>
      </c>
      <c r="Q65" s="74" t="n">
        <v>0</v>
      </c>
      <c r="R65" s="75" t="n">
        <v>0</v>
      </c>
      <c r="S65" s="74" t="n">
        <v>0</v>
      </c>
      <c r="T65" s="74" t="n">
        <v>0</v>
      </c>
      <c r="U65" s="74" t="n">
        <v>0</v>
      </c>
      <c r="V65" s="74" t="n">
        <v>0</v>
      </c>
      <c r="W65" s="74" t="n">
        <v>0</v>
      </c>
    </row>
    <row r="66" customFormat="false" ht="15" hidden="false" customHeight="false" outlineLevel="0" collapsed="false">
      <c r="A66" s="85" t="s">
        <v>51</v>
      </c>
      <c r="B66" s="77" t="n">
        <v>46082</v>
      </c>
      <c r="C66" s="78" t="n">
        <v>3</v>
      </c>
      <c r="D66" s="78" t="s">
        <v>48</v>
      </c>
      <c r="E66" s="79" t="n">
        <f aca="false">G66*23.12+H66*23.12+I66*23.12+J66*23.12+K66*11.55+L66*11.55+M66*11.55+N66*16.51+O66*16.51+P66*16.51+Q66*11.55+S66*11.55+T66*15+U66*1.7+V66*1.7+W66*11.55</f>
        <v>8438.8</v>
      </c>
      <c r="F66" s="80" t="n">
        <f aca="false">G66+H66+I66+J66+K66+L66+M66+N66+O66+P66+Q66+S66+T66+U66+V66+W66</f>
        <v>365</v>
      </c>
      <c r="G66" s="96" t="n">
        <v>150</v>
      </c>
      <c r="H66" s="97" t="n">
        <v>150</v>
      </c>
      <c r="I66" s="82" t="n">
        <v>0</v>
      </c>
      <c r="J66" s="97" t="n">
        <v>65</v>
      </c>
      <c r="K66" s="81" t="n">
        <v>0</v>
      </c>
      <c r="L66" s="82" t="n">
        <v>0</v>
      </c>
      <c r="M66" s="82" t="n">
        <v>0</v>
      </c>
      <c r="N66" s="81" t="n">
        <v>0</v>
      </c>
      <c r="O66" s="82" t="n">
        <v>0</v>
      </c>
      <c r="P66" s="81" t="n">
        <v>0</v>
      </c>
      <c r="Q66" s="82" t="n">
        <v>0</v>
      </c>
      <c r="R66" s="83" t="n">
        <v>0</v>
      </c>
      <c r="S66" s="82" t="n">
        <v>0</v>
      </c>
      <c r="T66" s="82" t="n">
        <v>0</v>
      </c>
      <c r="U66" s="82" t="n">
        <v>0</v>
      </c>
      <c r="V66" s="82" t="n">
        <v>0</v>
      </c>
      <c r="W66" s="82" t="n">
        <v>0</v>
      </c>
    </row>
    <row r="67" customFormat="false" ht="15" hidden="false" customHeight="false" outlineLevel="0" collapsed="false">
      <c r="A67" s="86" t="s">
        <v>52</v>
      </c>
      <c r="B67" s="87" t="n">
        <v>46083</v>
      </c>
      <c r="C67" s="88" t="n">
        <v>3</v>
      </c>
      <c r="D67" s="88" t="s">
        <v>53</v>
      </c>
      <c r="E67" s="89" t="n">
        <f aca="false">G67*23.12+H67*23.12+I67*23.12+J67*23.12+K67*11.55+L67*11.55+M67*11.55+N67*16.51+O67*16.51+P67*16.51+Q67*11.55+S67*11.55+T67*15+U67*1.7+V67*1.7+W67*11.55</f>
        <v>13866</v>
      </c>
      <c r="F67" s="90" t="n">
        <f aca="false">G67+H67+I67+J67+K67+L67+M67+N67+O67+P67+Q67+S67+T67+U67+V67+W67</f>
        <v>900</v>
      </c>
      <c r="G67" s="93" t="n">
        <v>150</v>
      </c>
      <c r="H67" s="94" t="n">
        <v>150</v>
      </c>
      <c r="I67" s="92" t="n">
        <v>0</v>
      </c>
      <c r="J67" s="92" t="n">
        <v>0</v>
      </c>
      <c r="K67" s="93" t="n">
        <v>300</v>
      </c>
      <c r="L67" s="94" t="n">
        <v>300</v>
      </c>
      <c r="M67" s="92" t="n">
        <v>0</v>
      </c>
      <c r="N67" s="91" t="n">
        <v>0</v>
      </c>
      <c r="O67" s="92" t="n">
        <v>0</v>
      </c>
      <c r="P67" s="91" t="n">
        <v>0</v>
      </c>
      <c r="Q67" s="92" t="n">
        <v>0</v>
      </c>
      <c r="R67" s="95" t="n">
        <v>0</v>
      </c>
      <c r="S67" s="92" t="n">
        <v>0</v>
      </c>
      <c r="T67" s="92" t="n">
        <v>0</v>
      </c>
      <c r="U67" s="92" t="n">
        <v>0</v>
      </c>
      <c r="V67" s="92" t="n">
        <v>0</v>
      </c>
      <c r="W67" s="92" t="n">
        <v>0</v>
      </c>
    </row>
    <row r="68" customFormat="false" ht="15" hidden="false" customHeight="false" outlineLevel="0" collapsed="false">
      <c r="A68" s="76" t="s">
        <v>54</v>
      </c>
      <c r="B68" s="77" t="n">
        <v>46084</v>
      </c>
      <c r="C68" s="78" t="n">
        <v>3</v>
      </c>
      <c r="D68" s="78" t="s">
        <v>53</v>
      </c>
      <c r="E68" s="79" t="n">
        <f aca="false">G68*23.12+H68*23.12+I68*23.12+J68*23.12+K68*11.55+L68*11.55+M68*11.55+N68*16.51+O68*16.51+P68*16.51+Q68*11.55+S68*11.55+T68*15+U68*1.7+V68*1.7+W68*11.55</f>
        <v>13866</v>
      </c>
      <c r="F68" s="80" t="n">
        <f aca="false">G68+H68+I68+J68+K68+L68+M68+N68+O68+P68+Q68+S68+T68+U68+V68+W68</f>
        <v>900</v>
      </c>
      <c r="G68" s="96" t="n">
        <v>150</v>
      </c>
      <c r="H68" s="97" t="n">
        <v>150</v>
      </c>
      <c r="I68" s="82" t="n">
        <v>0</v>
      </c>
      <c r="J68" s="82" t="n">
        <v>0</v>
      </c>
      <c r="K68" s="96" t="n">
        <v>300</v>
      </c>
      <c r="L68" s="97" t="n">
        <v>300</v>
      </c>
      <c r="M68" s="82" t="n">
        <v>0</v>
      </c>
      <c r="N68" s="81" t="n">
        <v>0</v>
      </c>
      <c r="O68" s="82" t="n">
        <v>0</v>
      </c>
      <c r="P68" s="81" t="n">
        <v>0</v>
      </c>
      <c r="Q68" s="82" t="n">
        <v>0</v>
      </c>
      <c r="R68" s="83" t="n">
        <v>0</v>
      </c>
      <c r="S68" s="82" t="n">
        <v>0</v>
      </c>
      <c r="T68" s="82" t="n">
        <v>0</v>
      </c>
      <c r="U68" s="82" t="n">
        <v>0</v>
      </c>
      <c r="V68" s="82" t="n">
        <v>0</v>
      </c>
      <c r="W68" s="82" t="n">
        <v>0</v>
      </c>
    </row>
    <row r="69" customFormat="false" ht="15" hidden="false" customHeight="false" outlineLevel="0" collapsed="false">
      <c r="A69" s="68" t="s">
        <v>55</v>
      </c>
      <c r="B69" s="69" t="n">
        <v>46085</v>
      </c>
      <c r="C69" s="70" t="n">
        <v>3</v>
      </c>
      <c r="D69" s="70" t="s">
        <v>53</v>
      </c>
      <c r="E69" s="71" t="n">
        <f aca="false">G69*23.12+H69*23.12+I69*23.12+J69*23.12+K69*11.55+L69*11.55+M69*11.55+N69*16.51+O69*16.51+P69*16.51+Q69*11.55+S69*11.55+T69*15+U69*1.7+V69*1.7+W69*11.55</f>
        <v>13866</v>
      </c>
      <c r="F69" s="72" t="n">
        <f aca="false">G69+H69+I69+J69+K69+L69+M69+N69+O69+P69+Q69+S69+T69+U69+V69+W69</f>
        <v>900</v>
      </c>
      <c r="G69" s="98" t="n">
        <v>150</v>
      </c>
      <c r="H69" s="99" t="n">
        <v>150</v>
      </c>
      <c r="I69" s="74" t="n">
        <v>0</v>
      </c>
      <c r="J69" s="74" t="n">
        <v>0</v>
      </c>
      <c r="K69" s="98" t="n">
        <v>300</v>
      </c>
      <c r="L69" s="99" t="n">
        <v>300</v>
      </c>
      <c r="M69" s="74" t="n">
        <v>0</v>
      </c>
      <c r="N69" s="73" t="n">
        <v>0</v>
      </c>
      <c r="O69" s="74" t="n">
        <v>0</v>
      </c>
      <c r="P69" s="73" t="n">
        <v>0</v>
      </c>
      <c r="Q69" s="74" t="n">
        <v>0</v>
      </c>
      <c r="R69" s="75" t="n">
        <v>0</v>
      </c>
      <c r="S69" s="74" t="n">
        <v>0</v>
      </c>
      <c r="T69" s="74" t="n">
        <v>0</v>
      </c>
      <c r="U69" s="74" t="n">
        <v>0</v>
      </c>
      <c r="V69" s="74" t="n">
        <v>0</v>
      </c>
      <c r="W69" s="74" t="n">
        <v>0</v>
      </c>
    </row>
    <row r="70" customFormat="false" ht="15" hidden="false" customHeight="false" outlineLevel="0" collapsed="false">
      <c r="A70" s="76" t="s">
        <v>47</v>
      </c>
      <c r="B70" s="77" t="n">
        <v>46086</v>
      </c>
      <c r="C70" s="78" t="n">
        <v>3</v>
      </c>
      <c r="D70" s="78" t="s">
        <v>53</v>
      </c>
      <c r="E70" s="79" t="n">
        <f aca="false">G70*23.12+H70*23.12+I70*23.12+J70*23.12+K70*11.55+L70*11.55+M70*11.55+N70*16.51+O70*16.51+P70*16.51+Q70*11.55+S70*11.55+T70*15+U70*1.7+V70*1.7+W70*11.55</f>
        <v>15368.8</v>
      </c>
      <c r="F70" s="80" t="n">
        <f aca="false">G70+H70+I70+J70+K70+L70+M70+N70+O70+P70+Q70+S70+T70+U70+V70+W70</f>
        <v>965</v>
      </c>
      <c r="G70" s="96" t="n">
        <v>150</v>
      </c>
      <c r="H70" s="97" t="n">
        <v>150</v>
      </c>
      <c r="I70" s="82" t="n">
        <v>0</v>
      </c>
      <c r="J70" s="97" t="n">
        <v>65</v>
      </c>
      <c r="K70" s="96" t="n">
        <v>300</v>
      </c>
      <c r="L70" s="97" t="n">
        <v>300</v>
      </c>
      <c r="M70" s="82" t="n">
        <v>0</v>
      </c>
      <c r="N70" s="81" t="n">
        <v>0</v>
      </c>
      <c r="O70" s="82" t="n">
        <v>0</v>
      </c>
      <c r="P70" s="81" t="n">
        <v>0</v>
      </c>
      <c r="Q70" s="82" t="n">
        <v>0</v>
      </c>
      <c r="R70" s="83" t="n">
        <v>0</v>
      </c>
      <c r="S70" s="82" t="n">
        <v>0</v>
      </c>
      <c r="T70" s="82" t="n">
        <v>0</v>
      </c>
      <c r="U70" s="82" t="n">
        <v>0</v>
      </c>
      <c r="V70" s="82" t="n">
        <v>0</v>
      </c>
      <c r="W70" s="82" t="n">
        <v>0</v>
      </c>
    </row>
    <row r="71" customFormat="false" ht="15" hidden="false" customHeight="false" outlineLevel="0" collapsed="false">
      <c r="A71" s="68" t="s">
        <v>49</v>
      </c>
      <c r="B71" s="69" t="n">
        <v>46087</v>
      </c>
      <c r="C71" s="70" t="n">
        <v>3</v>
      </c>
      <c r="D71" s="70" t="s">
        <v>53</v>
      </c>
      <c r="E71" s="71" t="n">
        <f aca="false">G71*23.12+H71*23.12+I71*23.12+J71*23.12+K71*11.55+L71*11.55+M71*11.55+N71*16.51+O71*16.51+P71*16.51+Q71*11.55+S71*11.55+T71*15+U71*1.7+V71*1.7+W71*11.55</f>
        <v>13866</v>
      </c>
      <c r="F71" s="72" t="n">
        <f aca="false">G71+H71+I71+J71+K71+L71+M71+N71+O71+P71+Q71+S71+T71+U71+V71+W71</f>
        <v>900</v>
      </c>
      <c r="G71" s="98" t="n">
        <v>150</v>
      </c>
      <c r="H71" s="99" t="n">
        <v>150</v>
      </c>
      <c r="I71" s="74" t="n">
        <v>0</v>
      </c>
      <c r="J71" s="74" t="n">
        <v>0</v>
      </c>
      <c r="K71" s="98" t="n">
        <v>300</v>
      </c>
      <c r="L71" s="99" t="n">
        <v>300</v>
      </c>
      <c r="M71" s="74" t="n">
        <v>0</v>
      </c>
      <c r="N71" s="73" t="n">
        <v>0</v>
      </c>
      <c r="O71" s="74" t="n">
        <v>0</v>
      </c>
      <c r="P71" s="73" t="n">
        <v>0</v>
      </c>
      <c r="Q71" s="74" t="n">
        <v>0</v>
      </c>
      <c r="R71" s="75" t="n">
        <v>0</v>
      </c>
      <c r="S71" s="74" t="n">
        <v>0</v>
      </c>
      <c r="T71" s="74" t="n">
        <v>0</v>
      </c>
      <c r="U71" s="74" t="n">
        <v>0</v>
      </c>
      <c r="V71" s="74" t="n">
        <v>0</v>
      </c>
      <c r="W71" s="74" t="n">
        <v>0</v>
      </c>
    </row>
    <row r="72" customFormat="false" ht="15" hidden="false" customHeight="false" outlineLevel="0" collapsed="false">
      <c r="A72" s="85" t="s">
        <v>50</v>
      </c>
      <c r="B72" s="77" t="n">
        <v>46088</v>
      </c>
      <c r="C72" s="78" t="n">
        <v>3</v>
      </c>
      <c r="D72" s="78" t="s">
        <v>53</v>
      </c>
      <c r="E72" s="79" t="n">
        <f aca="false">G72*23.12+H72*23.12+I72*23.12+J72*23.12+K72*11.55+L72*11.55+M72*11.55+N72*16.51+O72*16.51+P72*16.51+Q72*11.55+S72*11.55+T72*15+U72*1.7+V72*1.7+W72*11.55</f>
        <v>15368.8</v>
      </c>
      <c r="F72" s="80" t="n">
        <f aca="false">G72+H72+I72+J72+K72+L72+M72+N72+O72+P72+Q72+S72+T72+U72+V72+W72</f>
        <v>965</v>
      </c>
      <c r="G72" s="96" t="n">
        <v>150</v>
      </c>
      <c r="H72" s="97" t="n">
        <v>150</v>
      </c>
      <c r="I72" s="82" t="n">
        <v>0</v>
      </c>
      <c r="J72" s="97" t="n">
        <v>65</v>
      </c>
      <c r="K72" s="96" t="n">
        <v>300</v>
      </c>
      <c r="L72" s="97" t="n">
        <v>300</v>
      </c>
      <c r="M72" s="82" t="n">
        <v>0</v>
      </c>
      <c r="N72" s="81" t="n">
        <v>0</v>
      </c>
      <c r="O72" s="82" t="n">
        <v>0</v>
      </c>
      <c r="P72" s="81" t="n">
        <v>0</v>
      </c>
      <c r="Q72" s="82" t="n">
        <v>0</v>
      </c>
      <c r="R72" s="83" t="n">
        <v>0</v>
      </c>
      <c r="S72" s="82" t="n">
        <v>0</v>
      </c>
      <c r="T72" s="82" t="n">
        <v>0</v>
      </c>
      <c r="U72" s="82" t="n">
        <v>0</v>
      </c>
      <c r="V72" s="82" t="n">
        <v>0</v>
      </c>
      <c r="W72" s="82" t="n">
        <v>0</v>
      </c>
    </row>
    <row r="73" customFormat="false" ht="15" hidden="false" customHeight="false" outlineLevel="0" collapsed="false">
      <c r="A73" s="84" t="s">
        <v>51</v>
      </c>
      <c r="B73" s="69" t="n">
        <v>46089</v>
      </c>
      <c r="C73" s="70" t="n">
        <v>3</v>
      </c>
      <c r="D73" s="70" t="s">
        <v>53</v>
      </c>
      <c r="E73" s="71" t="n">
        <f aca="false">G73*23.12+H73*23.12+I73*23.12+J73*23.12+K73*11.55+L73*11.55+M73*11.55+N73*16.51+O73*16.51+P73*16.51+Q73*11.55+S73*11.55+T73*15+U73*1.7+V73*1.7+W73*11.55</f>
        <v>13866</v>
      </c>
      <c r="F73" s="72" t="n">
        <f aca="false">G73+H73+I73+J73+K73+L73+M73+N73+O73+P73+Q73+S73+T73+U73+V73+W73</f>
        <v>900</v>
      </c>
      <c r="G73" s="98" t="n">
        <v>150</v>
      </c>
      <c r="H73" s="99" t="n">
        <v>150</v>
      </c>
      <c r="I73" s="74" t="n">
        <v>0</v>
      </c>
      <c r="J73" s="74" t="n">
        <v>0</v>
      </c>
      <c r="K73" s="98" t="n">
        <v>300</v>
      </c>
      <c r="L73" s="99" t="n">
        <v>300</v>
      </c>
      <c r="M73" s="74" t="n">
        <v>0</v>
      </c>
      <c r="N73" s="73" t="n">
        <v>0</v>
      </c>
      <c r="O73" s="74" t="n">
        <v>0</v>
      </c>
      <c r="P73" s="73" t="n">
        <v>0</v>
      </c>
      <c r="Q73" s="74" t="n">
        <v>0</v>
      </c>
      <c r="R73" s="75" t="n">
        <v>0</v>
      </c>
      <c r="S73" s="74" t="n">
        <v>0</v>
      </c>
      <c r="T73" s="74" t="n">
        <v>0</v>
      </c>
      <c r="U73" s="74" t="n">
        <v>0</v>
      </c>
      <c r="V73" s="74" t="n">
        <v>0</v>
      </c>
      <c r="W73" s="74" t="n">
        <v>0</v>
      </c>
    </row>
    <row r="74" customFormat="false" ht="15" hidden="false" customHeight="false" outlineLevel="0" collapsed="false">
      <c r="A74" s="100" t="s">
        <v>52</v>
      </c>
      <c r="B74" s="101" t="n">
        <v>46090</v>
      </c>
      <c r="C74" s="102" t="n">
        <v>3</v>
      </c>
      <c r="D74" s="102" t="s">
        <v>56</v>
      </c>
      <c r="E74" s="103" t="n">
        <f aca="false">G74*23.12+H74*23.12+I74*23.12+J74*23.12+K74*11.55+L74*11.55+M74*11.55+N74*16.51+O74*16.51+P74*16.51+Q74*11.55+S74*11.55+T74*15+U74*1.7+V74*1.7+W74*11.55</f>
        <v>9593.8</v>
      </c>
      <c r="F74" s="104" t="n">
        <f aca="false">G74+H74+I74+J74+K74+L74+M74+N74+O74+P74+Q74+S74+T74+U74+V74+W74</f>
        <v>465</v>
      </c>
      <c r="G74" s="107" t="n">
        <v>150</v>
      </c>
      <c r="H74" s="108" t="n">
        <v>150</v>
      </c>
      <c r="I74" s="106" t="n">
        <v>0</v>
      </c>
      <c r="J74" s="108" t="n">
        <v>65</v>
      </c>
      <c r="K74" s="107" t="n">
        <v>50</v>
      </c>
      <c r="L74" s="108" t="n">
        <v>50</v>
      </c>
      <c r="M74" s="106" t="n">
        <v>0</v>
      </c>
      <c r="N74" s="105" t="n">
        <v>0</v>
      </c>
      <c r="O74" s="106" t="n">
        <v>0</v>
      </c>
      <c r="P74" s="105" t="n">
        <v>0</v>
      </c>
      <c r="Q74" s="106" t="n">
        <v>0</v>
      </c>
      <c r="R74" s="109" t="n">
        <v>0</v>
      </c>
      <c r="S74" s="106" t="n">
        <v>0</v>
      </c>
      <c r="T74" s="106" t="n">
        <v>0</v>
      </c>
      <c r="U74" s="106" t="n">
        <v>0</v>
      </c>
      <c r="V74" s="106" t="n">
        <v>0</v>
      </c>
      <c r="W74" s="106" t="n">
        <v>0</v>
      </c>
    </row>
    <row r="75" customFormat="false" ht="15" hidden="false" customHeight="false" outlineLevel="0" collapsed="false">
      <c r="A75" s="68" t="s">
        <v>54</v>
      </c>
      <c r="B75" s="69" t="n">
        <v>46091</v>
      </c>
      <c r="C75" s="70" t="n">
        <v>3</v>
      </c>
      <c r="D75" s="70" t="s">
        <v>56</v>
      </c>
      <c r="E75" s="71" t="n">
        <f aca="false">G75*23.12+H75*23.12+I75*23.12+J75*23.12+K75*11.55+L75*11.55+M75*11.55+N75*16.51+O75*16.51+P75*16.51+Q75*11.55+S75*11.55+T75*15+U75*1.7+V75*1.7+W75*11.55</f>
        <v>13750.4</v>
      </c>
      <c r="F75" s="72" t="n">
        <f aca="false">G75+H75+I75+J75+K75+L75+M75+N75+O75+P75+Q75+S75+T75+U75+V75+W75</f>
        <v>895</v>
      </c>
      <c r="G75" s="98" t="n">
        <v>115</v>
      </c>
      <c r="H75" s="99" t="n">
        <v>115</v>
      </c>
      <c r="I75" s="74" t="n">
        <v>0</v>
      </c>
      <c r="J75" s="99" t="n">
        <v>65</v>
      </c>
      <c r="K75" s="98" t="n">
        <v>300</v>
      </c>
      <c r="L75" s="99" t="n">
        <v>300</v>
      </c>
      <c r="M75" s="74" t="n">
        <v>0</v>
      </c>
      <c r="N75" s="73" t="n">
        <v>0</v>
      </c>
      <c r="O75" s="74" t="n">
        <v>0</v>
      </c>
      <c r="P75" s="73" t="n">
        <v>0</v>
      </c>
      <c r="Q75" s="74" t="n">
        <v>0</v>
      </c>
      <c r="R75" s="75" t="n">
        <v>0</v>
      </c>
      <c r="S75" s="74" t="n">
        <v>0</v>
      </c>
      <c r="T75" s="74" t="n">
        <v>0</v>
      </c>
      <c r="U75" s="74" t="n">
        <v>0</v>
      </c>
      <c r="V75" s="74" t="n">
        <v>0</v>
      </c>
      <c r="W75" s="74" t="n">
        <v>0</v>
      </c>
    </row>
    <row r="76" customFormat="false" ht="15" hidden="false" customHeight="false" outlineLevel="0" collapsed="false">
      <c r="A76" s="76" t="s">
        <v>55</v>
      </c>
      <c r="B76" s="77" t="n">
        <v>46092</v>
      </c>
      <c r="C76" s="78" t="n">
        <v>3</v>
      </c>
      <c r="D76" s="78" t="s">
        <v>56</v>
      </c>
      <c r="E76" s="79" t="n">
        <f aca="false">G76*23.12+H76*23.12+I76*23.12+J76*23.12+K76*11.55+L76*11.55+M76*11.55+N76*16.51+O76*16.51+P76*16.51+Q76*11.55+S76*11.55+T76*15+U76*1.7+V76*1.7+W76*11.55</f>
        <v>6930</v>
      </c>
      <c r="F76" s="80" t="n">
        <f aca="false">G76+H76+I76+J76+K76+L76+M76+N76+O76+P76+Q76+S76+T76+U76+V76+W76</f>
        <v>600</v>
      </c>
      <c r="G76" s="81" t="n">
        <v>0</v>
      </c>
      <c r="H76" s="82" t="n">
        <v>0</v>
      </c>
      <c r="I76" s="82" t="n">
        <v>0</v>
      </c>
      <c r="J76" s="82" t="n">
        <v>0</v>
      </c>
      <c r="K76" s="96" t="n">
        <v>300</v>
      </c>
      <c r="L76" s="97" t="n">
        <v>300</v>
      </c>
      <c r="M76" s="82" t="n">
        <v>0</v>
      </c>
      <c r="N76" s="81" t="n">
        <v>0</v>
      </c>
      <c r="O76" s="82" t="n">
        <v>0</v>
      </c>
      <c r="P76" s="81" t="n">
        <v>0</v>
      </c>
      <c r="Q76" s="82" t="n">
        <v>0</v>
      </c>
      <c r="R76" s="83" t="n">
        <v>0</v>
      </c>
      <c r="S76" s="82" t="n">
        <v>0</v>
      </c>
      <c r="T76" s="82" t="n">
        <v>0</v>
      </c>
      <c r="U76" s="82" t="n">
        <v>0</v>
      </c>
      <c r="V76" s="82" t="n">
        <v>0</v>
      </c>
      <c r="W76" s="82" t="n">
        <v>0</v>
      </c>
    </row>
    <row r="77" customFormat="false" ht="15" hidden="false" customHeight="false" outlineLevel="0" collapsed="false">
      <c r="A77" s="68" t="s">
        <v>47</v>
      </c>
      <c r="B77" s="69" t="n">
        <v>46093</v>
      </c>
      <c r="C77" s="70" t="n">
        <v>3</v>
      </c>
      <c r="D77" s="70" t="s">
        <v>56</v>
      </c>
      <c r="E77" s="71" t="n">
        <f aca="false">G77*23.12+H77*23.12+I77*23.12+J77*23.12+K77*11.55+L77*11.55+M77*11.55+N77*16.51+O77*16.51+P77*16.51+Q77*11.55+S77*11.55+T77*15+U77*1.7+V77*1.7+W77*11.55</f>
        <v>13750.4</v>
      </c>
      <c r="F77" s="72" t="n">
        <f aca="false">G77+H77+I77+J77+K77+L77+M77+N77+O77+P77+Q77+S77+T77+U77+V77+W77</f>
        <v>895</v>
      </c>
      <c r="G77" s="98" t="n">
        <v>115</v>
      </c>
      <c r="H77" s="99" t="n">
        <v>115</v>
      </c>
      <c r="I77" s="74" t="n">
        <v>0</v>
      </c>
      <c r="J77" s="99" t="n">
        <v>65</v>
      </c>
      <c r="K77" s="98" t="n">
        <v>300</v>
      </c>
      <c r="L77" s="99" t="n">
        <v>300</v>
      </c>
      <c r="M77" s="74" t="n">
        <v>0</v>
      </c>
      <c r="N77" s="73" t="n">
        <v>0</v>
      </c>
      <c r="O77" s="74" t="n">
        <v>0</v>
      </c>
      <c r="P77" s="73" t="n">
        <v>0</v>
      </c>
      <c r="Q77" s="74" t="n">
        <v>0</v>
      </c>
      <c r="R77" s="75" t="n">
        <v>0</v>
      </c>
      <c r="S77" s="74" t="n">
        <v>0</v>
      </c>
      <c r="T77" s="74" t="n">
        <v>0</v>
      </c>
      <c r="U77" s="74" t="n">
        <v>0</v>
      </c>
      <c r="V77" s="74" t="n">
        <v>0</v>
      </c>
      <c r="W77" s="74" t="n">
        <v>0</v>
      </c>
    </row>
    <row r="78" customFormat="false" ht="15" hidden="false" customHeight="false" outlineLevel="0" collapsed="false">
      <c r="A78" s="76" t="s">
        <v>49</v>
      </c>
      <c r="B78" s="77" t="n">
        <v>46094</v>
      </c>
      <c r="C78" s="78" t="n">
        <v>3</v>
      </c>
      <c r="D78" s="78" t="s">
        <v>56</v>
      </c>
      <c r="E78" s="79" t="n">
        <f aca="false">G78*23.12+H78*23.12+I78*23.12+J78*23.12+K78*11.55+L78*11.55+M78*11.55+N78*16.51+O78*16.51+P78*16.51+Q78*11.55+S78*11.55+T78*15+U78*1.7+V78*1.7+W78*11.55</f>
        <v>12247.6</v>
      </c>
      <c r="F78" s="80" t="n">
        <f aca="false">G78+H78+I78+J78+K78+L78+M78+N78+O78+P78+Q78+S78+T78+U78+V78+W78</f>
        <v>830</v>
      </c>
      <c r="G78" s="96" t="n">
        <v>115</v>
      </c>
      <c r="H78" s="97" t="n">
        <v>115</v>
      </c>
      <c r="I78" s="82" t="n">
        <v>0</v>
      </c>
      <c r="J78" s="82" t="n">
        <v>0</v>
      </c>
      <c r="K78" s="96" t="n">
        <v>300</v>
      </c>
      <c r="L78" s="97" t="n">
        <v>300</v>
      </c>
      <c r="M78" s="82" t="n">
        <v>0</v>
      </c>
      <c r="N78" s="81" t="n">
        <v>0</v>
      </c>
      <c r="O78" s="82" t="n">
        <v>0</v>
      </c>
      <c r="P78" s="81" t="n">
        <v>0</v>
      </c>
      <c r="Q78" s="82" t="n">
        <v>0</v>
      </c>
      <c r="R78" s="83" t="n">
        <v>0</v>
      </c>
      <c r="S78" s="82" t="n">
        <v>0</v>
      </c>
      <c r="T78" s="82" t="n">
        <v>0</v>
      </c>
      <c r="U78" s="82" t="n">
        <v>0</v>
      </c>
      <c r="V78" s="82" t="n">
        <v>0</v>
      </c>
      <c r="W78" s="82" t="n">
        <v>0</v>
      </c>
    </row>
    <row r="79" customFormat="false" ht="15" hidden="false" customHeight="false" outlineLevel="0" collapsed="false">
      <c r="A79" s="84" t="s">
        <v>50</v>
      </c>
      <c r="B79" s="69" t="n">
        <v>46095</v>
      </c>
      <c r="C79" s="70" t="n">
        <v>3</v>
      </c>
      <c r="D79" s="70" t="s">
        <v>56</v>
      </c>
      <c r="E79" s="71" t="n">
        <f aca="false">G79*23.12+H79*23.12+I79*23.12+J79*23.12+K79*11.55+L79*11.55+M79*11.55+N79*16.51+O79*16.51+P79*16.51+Q79*11.55+S79*11.55+T79*15+U79*1.7+V79*1.7+W79*11.55</f>
        <v>12247.6</v>
      </c>
      <c r="F79" s="72" t="n">
        <f aca="false">G79+H79+I79+J79+K79+L79+M79+N79+O79+P79+Q79+S79+T79+U79+V79+W79</f>
        <v>830</v>
      </c>
      <c r="G79" s="98" t="n">
        <v>115</v>
      </c>
      <c r="H79" s="99" t="n">
        <v>115</v>
      </c>
      <c r="I79" s="74" t="n">
        <v>0</v>
      </c>
      <c r="J79" s="74" t="n">
        <v>0</v>
      </c>
      <c r="K79" s="98" t="n">
        <v>300</v>
      </c>
      <c r="L79" s="99" t="n">
        <v>300</v>
      </c>
      <c r="M79" s="74" t="n">
        <v>0</v>
      </c>
      <c r="N79" s="73" t="n">
        <v>0</v>
      </c>
      <c r="O79" s="74" t="n">
        <v>0</v>
      </c>
      <c r="P79" s="73" t="n">
        <v>0</v>
      </c>
      <c r="Q79" s="74" t="n">
        <v>0</v>
      </c>
      <c r="R79" s="75" t="n">
        <v>0</v>
      </c>
      <c r="S79" s="74" t="n">
        <v>0</v>
      </c>
      <c r="T79" s="74" t="n">
        <v>0</v>
      </c>
      <c r="U79" s="74" t="n">
        <v>0</v>
      </c>
      <c r="V79" s="74" t="n">
        <v>0</v>
      </c>
      <c r="W79" s="74" t="n">
        <v>0</v>
      </c>
    </row>
    <row r="80" customFormat="false" ht="15" hidden="false" customHeight="false" outlineLevel="0" collapsed="false">
      <c r="A80" s="85" t="s">
        <v>51</v>
      </c>
      <c r="B80" s="77" t="n">
        <v>46096</v>
      </c>
      <c r="C80" s="78" t="n">
        <v>3</v>
      </c>
      <c r="D80" s="78" t="s">
        <v>56</v>
      </c>
      <c r="E80" s="79" t="n">
        <f aca="false">G80*23.12+H80*23.12+I80*23.12+J80*23.12+K80*11.55+L80*11.55+M80*11.55+N80*16.51+O80*16.51+P80*16.51+Q80*11.55+S80*11.55+T80*15+U80*1.7+V80*1.7+W80*11.55</f>
        <v>13750.4</v>
      </c>
      <c r="F80" s="80" t="n">
        <f aca="false">G80+H80+I80+J80+K80+L80+M80+N80+O80+P80+Q80+S80+T80+U80+V80+W80</f>
        <v>895</v>
      </c>
      <c r="G80" s="96" t="n">
        <v>115</v>
      </c>
      <c r="H80" s="97" t="n">
        <v>115</v>
      </c>
      <c r="I80" s="82" t="n">
        <v>0</v>
      </c>
      <c r="J80" s="97" t="n">
        <v>65</v>
      </c>
      <c r="K80" s="96" t="n">
        <v>300</v>
      </c>
      <c r="L80" s="97" t="n">
        <v>300</v>
      </c>
      <c r="M80" s="82" t="n">
        <v>0</v>
      </c>
      <c r="N80" s="81" t="n">
        <v>0</v>
      </c>
      <c r="O80" s="82" t="n">
        <v>0</v>
      </c>
      <c r="P80" s="81" t="n">
        <v>0</v>
      </c>
      <c r="Q80" s="82" t="n">
        <v>0</v>
      </c>
      <c r="R80" s="83" t="n">
        <v>0</v>
      </c>
      <c r="S80" s="82" t="n">
        <v>0</v>
      </c>
      <c r="T80" s="82" t="n">
        <v>0</v>
      </c>
      <c r="U80" s="82" t="n">
        <v>0</v>
      </c>
      <c r="V80" s="82" t="n">
        <v>0</v>
      </c>
      <c r="W80" s="82" t="n">
        <v>0</v>
      </c>
    </row>
    <row r="81" customFormat="false" ht="15" hidden="false" customHeight="false" outlineLevel="0" collapsed="false">
      <c r="A81" s="86" t="s">
        <v>52</v>
      </c>
      <c r="B81" s="87" t="n">
        <v>46097</v>
      </c>
      <c r="C81" s="88" t="n">
        <v>3</v>
      </c>
      <c r="D81" s="88" t="s">
        <v>57</v>
      </c>
      <c r="E81" s="89" t="n">
        <f aca="false">G81*23.12+H81*23.12+I81*23.12+J81*23.12+K81*11.55+L81*11.55+M81*11.55+N81*16.51+O81*16.51+P81*16.51+Q81*11.55+S81*11.55+T81*15+U81*1.7+V81*1.7+W81*11.55</f>
        <v>13750.4</v>
      </c>
      <c r="F81" s="90" t="n">
        <f aca="false">G81+H81+I81+J81+K81+L81+M81+N81+O81+P81+Q81+S81+T81+U81+V81+W81</f>
        <v>895</v>
      </c>
      <c r="G81" s="93" t="n">
        <v>115</v>
      </c>
      <c r="H81" s="94" t="n">
        <v>115</v>
      </c>
      <c r="I81" s="92" t="n">
        <v>0</v>
      </c>
      <c r="J81" s="94" t="n">
        <v>65</v>
      </c>
      <c r="K81" s="93" t="n">
        <v>300</v>
      </c>
      <c r="L81" s="94" t="n">
        <v>300</v>
      </c>
      <c r="M81" s="92" t="n">
        <v>0</v>
      </c>
      <c r="N81" s="91" t="n">
        <v>0</v>
      </c>
      <c r="O81" s="92" t="n">
        <v>0</v>
      </c>
      <c r="P81" s="91" t="n">
        <v>0</v>
      </c>
      <c r="Q81" s="92" t="n">
        <v>0</v>
      </c>
      <c r="R81" s="95" t="n">
        <v>0</v>
      </c>
      <c r="S81" s="92" t="n">
        <v>0</v>
      </c>
      <c r="T81" s="92" t="n">
        <v>0</v>
      </c>
      <c r="U81" s="92" t="n">
        <v>0</v>
      </c>
      <c r="V81" s="92" t="n">
        <v>0</v>
      </c>
      <c r="W81" s="92" t="n">
        <v>0</v>
      </c>
    </row>
    <row r="82" customFormat="false" ht="15" hidden="false" customHeight="false" outlineLevel="0" collapsed="false">
      <c r="A82" s="76" t="s">
        <v>54</v>
      </c>
      <c r="B82" s="77" t="n">
        <v>46098</v>
      </c>
      <c r="C82" s="78" t="n">
        <v>3</v>
      </c>
      <c r="D82" s="78" t="s">
        <v>57</v>
      </c>
      <c r="E82" s="79" t="n">
        <f aca="false">G82*23.12+H82*23.12+I82*23.12+J82*23.12+K82*11.55+L82*11.55+M82*11.55+N82*16.51+O82*16.51+P82*16.51+Q82*11.55+S82*11.55+T82*15+U82*1.7+V82*1.7+W82*11.55</f>
        <v>5317.6</v>
      </c>
      <c r="F82" s="80" t="n">
        <f aca="false">G82+H82+I82+J82+K82+L82+M82+N82+O82+P82+Q82+S82+T82+U82+V82+W82</f>
        <v>230</v>
      </c>
      <c r="G82" s="96" t="n">
        <v>115</v>
      </c>
      <c r="H82" s="97" t="n">
        <v>115</v>
      </c>
      <c r="I82" s="82" t="n">
        <v>0</v>
      </c>
      <c r="J82" s="82" t="n">
        <v>0</v>
      </c>
      <c r="K82" s="81" t="n">
        <v>0</v>
      </c>
      <c r="L82" s="82" t="n">
        <v>0</v>
      </c>
      <c r="M82" s="82" t="n">
        <v>0</v>
      </c>
      <c r="N82" s="81" t="n">
        <v>0</v>
      </c>
      <c r="O82" s="82" t="n">
        <v>0</v>
      </c>
      <c r="P82" s="81" t="n">
        <v>0</v>
      </c>
      <c r="Q82" s="82" t="n">
        <v>0</v>
      </c>
      <c r="R82" s="83" t="n">
        <v>0</v>
      </c>
      <c r="S82" s="82" t="n">
        <v>0</v>
      </c>
      <c r="T82" s="82" t="n">
        <v>0</v>
      </c>
      <c r="U82" s="82" t="n">
        <v>0</v>
      </c>
      <c r="V82" s="82" t="n">
        <v>0</v>
      </c>
      <c r="W82" s="82" t="n">
        <v>0</v>
      </c>
    </row>
    <row r="83" customFormat="false" ht="15" hidden="false" customHeight="false" outlineLevel="0" collapsed="false">
      <c r="A83" s="68" t="s">
        <v>55</v>
      </c>
      <c r="B83" s="69" t="n">
        <v>46099</v>
      </c>
      <c r="C83" s="70" t="n">
        <v>3</v>
      </c>
      <c r="D83" s="70" t="s">
        <v>57</v>
      </c>
      <c r="E83" s="71" t="n">
        <f aca="false">G83*23.12+H83*23.12+I83*23.12+J83*23.12+K83*11.55+L83*11.55+M83*11.55+N83*16.51+O83*16.51+P83*16.51+Q83*11.55+S83*11.55+T83*15+U83*1.7+V83*1.7+W83*11.55</f>
        <v>6930</v>
      </c>
      <c r="F83" s="72" t="n">
        <f aca="false">G83+H83+I83+J83+K83+L83+M83+N83+O83+P83+Q83+S83+T83+U83+V83+W83</f>
        <v>600</v>
      </c>
      <c r="G83" s="73" t="n">
        <v>0</v>
      </c>
      <c r="H83" s="74" t="n">
        <v>0</v>
      </c>
      <c r="I83" s="74" t="n">
        <v>0</v>
      </c>
      <c r="J83" s="74" t="n">
        <v>0</v>
      </c>
      <c r="K83" s="98" t="n">
        <v>300</v>
      </c>
      <c r="L83" s="99" t="n">
        <v>300</v>
      </c>
      <c r="M83" s="74" t="n">
        <v>0</v>
      </c>
      <c r="N83" s="73" t="n">
        <v>0</v>
      </c>
      <c r="O83" s="74" t="n">
        <v>0</v>
      </c>
      <c r="P83" s="73" t="n">
        <v>0</v>
      </c>
      <c r="Q83" s="74" t="n">
        <v>0</v>
      </c>
      <c r="R83" s="75" t="n">
        <v>0</v>
      </c>
      <c r="S83" s="74" t="n">
        <v>0</v>
      </c>
      <c r="T83" s="74" t="n">
        <v>0</v>
      </c>
      <c r="U83" s="74" t="n">
        <v>0</v>
      </c>
      <c r="V83" s="74" t="n">
        <v>0</v>
      </c>
      <c r="W83" s="74" t="n">
        <v>0</v>
      </c>
    </row>
    <row r="84" customFormat="false" ht="15" hidden="false" customHeight="false" outlineLevel="0" collapsed="false">
      <c r="A84" s="76" t="s">
        <v>47</v>
      </c>
      <c r="B84" s="77" t="n">
        <v>46100</v>
      </c>
      <c r="C84" s="78" t="n">
        <v>3</v>
      </c>
      <c r="D84" s="78" t="s">
        <v>57</v>
      </c>
      <c r="E84" s="79" t="n">
        <f aca="false">G84*23.12+H84*23.12+I84*23.12+J84*23.12+K84*11.55+L84*11.55+M84*11.55+N84*16.51+O84*16.51+P84*16.51+Q84*11.55+S84*11.55+T84*15+U84*1.7+V84*1.7+W84*11.55</f>
        <v>13750.4</v>
      </c>
      <c r="F84" s="80" t="n">
        <f aca="false">G84+H84+I84+J84+K84+L84+M84+N84+O84+P84+Q84+S84+T84+U84+V84+W84</f>
        <v>895</v>
      </c>
      <c r="G84" s="96" t="n">
        <v>115</v>
      </c>
      <c r="H84" s="97" t="n">
        <v>115</v>
      </c>
      <c r="I84" s="82" t="n">
        <v>0</v>
      </c>
      <c r="J84" s="97" t="n">
        <v>65</v>
      </c>
      <c r="K84" s="96" t="n">
        <v>300</v>
      </c>
      <c r="L84" s="97" t="n">
        <v>300</v>
      </c>
      <c r="M84" s="82" t="n">
        <v>0</v>
      </c>
      <c r="N84" s="81" t="n">
        <v>0</v>
      </c>
      <c r="O84" s="82" t="n">
        <v>0</v>
      </c>
      <c r="P84" s="81" t="n">
        <v>0</v>
      </c>
      <c r="Q84" s="82" t="n">
        <v>0</v>
      </c>
      <c r="R84" s="83" t="n">
        <v>0</v>
      </c>
      <c r="S84" s="82" t="n">
        <v>0</v>
      </c>
      <c r="T84" s="82" t="n">
        <v>0</v>
      </c>
      <c r="U84" s="82" t="n">
        <v>0</v>
      </c>
      <c r="V84" s="82" t="n">
        <v>0</v>
      </c>
      <c r="W84" s="82" t="n">
        <v>0</v>
      </c>
    </row>
    <row r="85" customFormat="false" ht="15" hidden="false" customHeight="false" outlineLevel="0" collapsed="false">
      <c r="A85" s="68" t="s">
        <v>49</v>
      </c>
      <c r="B85" s="69" t="n">
        <v>46101</v>
      </c>
      <c r="C85" s="70" t="n">
        <v>3</v>
      </c>
      <c r="D85" s="70" t="s">
        <v>57</v>
      </c>
      <c r="E85" s="71" t="n">
        <f aca="false">G85*23.12+H85*23.12+I85*23.12+J85*23.12+K85*11.55+L85*11.55+M85*11.55+N85*16.51+O85*16.51+P85*16.51+Q85*11.55+S85*11.55+T85*15+U85*1.7+V85*1.7+W85*11.55</f>
        <v>12247.6</v>
      </c>
      <c r="F85" s="72" t="n">
        <f aca="false">G85+H85+I85+J85+K85+L85+M85+N85+O85+P85+Q85+S85+T85+U85+V85+W85</f>
        <v>830</v>
      </c>
      <c r="G85" s="98" t="n">
        <v>115</v>
      </c>
      <c r="H85" s="99" t="n">
        <v>115</v>
      </c>
      <c r="I85" s="74" t="n">
        <v>0</v>
      </c>
      <c r="J85" s="74" t="n">
        <v>0</v>
      </c>
      <c r="K85" s="98" t="n">
        <v>300</v>
      </c>
      <c r="L85" s="99" t="n">
        <v>300</v>
      </c>
      <c r="M85" s="74" t="n">
        <v>0</v>
      </c>
      <c r="N85" s="73" t="n">
        <v>0</v>
      </c>
      <c r="O85" s="74" t="n">
        <v>0</v>
      </c>
      <c r="P85" s="73" t="n">
        <v>0</v>
      </c>
      <c r="Q85" s="74" t="n">
        <v>0</v>
      </c>
      <c r="R85" s="75" t="n">
        <v>0</v>
      </c>
      <c r="S85" s="74" t="n">
        <v>0</v>
      </c>
      <c r="T85" s="74" t="n">
        <v>0</v>
      </c>
      <c r="U85" s="74" t="n">
        <v>0</v>
      </c>
      <c r="V85" s="74" t="n">
        <v>0</v>
      </c>
      <c r="W85" s="74" t="n">
        <v>0</v>
      </c>
    </row>
    <row r="86" customFormat="false" ht="15" hidden="false" customHeight="false" outlineLevel="0" collapsed="false">
      <c r="A86" s="85" t="s">
        <v>50</v>
      </c>
      <c r="B86" s="77" t="n">
        <v>46102</v>
      </c>
      <c r="C86" s="78" t="n">
        <v>3</v>
      </c>
      <c r="D86" s="78" t="s">
        <v>57</v>
      </c>
      <c r="E86" s="79" t="n">
        <f aca="false">G86*23.12+H86*23.12+I86*23.12+J86*23.12+K86*11.55+L86*11.55+M86*11.55+N86*16.51+O86*16.51+P86*16.51+Q86*11.55+S86*11.55+T86*15+U86*1.7+V86*1.7+W86*11.55</f>
        <v>12247.6</v>
      </c>
      <c r="F86" s="80" t="n">
        <f aca="false">G86+H86+I86+J86+K86+L86+M86+N86+O86+P86+Q86+S86+T86+U86+V86+W86</f>
        <v>830</v>
      </c>
      <c r="G86" s="96" t="n">
        <v>115</v>
      </c>
      <c r="H86" s="97" t="n">
        <v>115</v>
      </c>
      <c r="I86" s="82" t="n">
        <v>0</v>
      </c>
      <c r="J86" s="82" t="n">
        <v>0</v>
      </c>
      <c r="K86" s="96" t="n">
        <v>300</v>
      </c>
      <c r="L86" s="97" t="n">
        <v>300</v>
      </c>
      <c r="M86" s="82" t="n">
        <v>0</v>
      </c>
      <c r="N86" s="81" t="n">
        <v>0</v>
      </c>
      <c r="O86" s="82" t="n">
        <v>0</v>
      </c>
      <c r="P86" s="81" t="n">
        <v>0</v>
      </c>
      <c r="Q86" s="82" t="n">
        <v>0</v>
      </c>
      <c r="R86" s="83" t="n">
        <v>0</v>
      </c>
      <c r="S86" s="82" t="n">
        <v>0</v>
      </c>
      <c r="T86" s="82" t="n">
        <v>0</v>
      </c>
      <c r="U86" s="82" t="n">
        <v>0</v>
      </c>
      <c r="V86" s="82" t="n">
        <v>0</v>
      </c>
      <c r="W86" s="82" t="n">
        <v>0</v>
      </c>
    </row>
    <row r="87" customFormat="false" ht="15" hidden="false" customHeight="false" outlineLevel="0" collapsed="false">
      <c r="A87" s="84" t="s">
        <v>51</v>
      </c>
      <c r="B87" s="69" t="n">
        <v>46103</v>
      </c>
      <c r="C87" s="70" t="n">
        <v>3</v>
      </c>
      <c r="D87" s="70" t="s">
        <v>57</v>
      </c>
      <c r="E87" s="71" t="n">
        <f aca="false">G87*23.12+H87*23.12+I87*23.12+J87*23.12+K87*11.55+L87*11.55+M87*11.55+N87*16.51+O87*16.51+P87*16.51+Q87*11.55+S87*11.55+T87*15+U87*1.7+V87*1.7+W87*11.55</f>
        <v>10861.6</v>
      </c>
      <c r="F87" s="72" t="n">
        <f aca="false">G87+H87+I87+J87+K87+L87+M87+N87+O87+P87+Q87+S87+T87+U87+V87+W87</f>
        <v>710</v>
      </c>
      <c r="G87" s="98" t="n">
        <v>115</v>
      </c>
      <c r="H87" s="99" t="n">
        <v>115</v>
      </c>
      <c r="I87" s="74" t="n">
        <v>0</v>
      </c>
      <c r="J87" s="74" t="n">
        <v>0</v>
      </c>
      <c r="K87" s="98" t="n">
        <v>240</v>
      </c>
      <c r="L87" s="99" t="n">
        <v>240</v>
      </c>
      <c r="M87" s="74" t="n">
        <v>0</v>
      </c>
      <c r="N87" s="73" t="n">
        <v>0</v>
      </c>
      <c r="O87" s="74" t="n">
        <v>0</v>
      </c>
      <c r="P87" s="73" t="n">
        <v>0</v>
      </c>
      <c r="Q87" s="74" t="n">
        <v>0</v>
      </c>
      <c r="R87" s="75" t="n">
        <v>0</v>
      </c>
      <c r="S87" s="74" t="n">
        <v>0</v>
      </c>
      <c r="T87" s="74" t="n">
        <v>0</v>
      </c>
      <c r="U87" s="74" t="n">
        <v>0</v>
      </c>
      <c r="V87" s="74" t="n">
        <v>0</v>
      </c>
      <c r="W87" s="74" t="n">
        <v>0</v>
      </c>
    </row>
    <row r="88" customFormat="false" ht="15" hidden="false" customHeight="false" outlineLevel="0" collapsed="false">
      <c r="A88" s="100" t="s">
        <v>52</v>
      </c>
      <c r="B88" s="101" t="n">
        <v>46104</v>
      </c>
      <c r="C88" s="102" t="n">
        <v>4</v>
      </c>
      <c r="D88" s="102" t="s">
        <v>48</v>
      </c>
      <c r="E88" s="103" t="n">
        <f aca="false">G88*23.12+H88*23.12+I88*23.12+J88*23.12+K88*11.55+L88*11.55+M88*11.55+N88*16.51+O88*16.51+P88*16.51+Q88*11.55+S88*11.55+T88*15+U88*1.7+V88*1.7+W88*11.55</f>
        <v>5544</v>
      </c>
      <c r="F88" s="104" t="n">
        <f aca="false">G88+H88+I88+J88+K88+L88+M88+N88+O88+P88+Q88+S88+T88+U88+V88+W88</f>
        <v>480</v>
      </c>
      <c r="G88" s="105" t="n">
        <v>0</v>
      </c>
      <c r="H88" s="106" t="n">
        <v>0</v>
      </c>
      <c r="I88" s="106" t="n">
        <v>0</v>
      </c>
      <c r="J88" s="106" t="n">
        <v>0</v>
      </c>
      <c r="K88" s="107" t="n">
        <v>240</v>
      </c>
      <c r="L88" s="108" t="n">
        <v>240</v>
      </c>
      <c r="M88" s="106" t="n">
        <v>0</v>
      </c>
      <c r="N88" s="105" t="n">
        <v>0</v>
      </c>
      <c r="O88" s="106" t="n">
        <v>0</v>
      </c>
      <c r="P88" s="105" t="n">
        <v>0</v>
      </c>
      <c r="Q88" s="106" t="n">
        <v>0</v>
      </c>
      <c r="R88" s="109" t="n">
        <v>0</v>
      </c>
      <c r="S88" s="106" t="n">
        <v>0</v>
      </c>
      <c r="T88" s="106" t="n">
        <v>0</v>
      </c>
      <c r="U88" s="106" t="n">
        <v>0</v>
      </c>
      <c r="V88" s="106" t="n">
        <v>0</v>
      </c>
      <c r="W88" s="106" t="n">
        <v>0</v>
      </c>
    </row>
    <row r="89" customFormat="false" ht="15" hidden="false" customHeight="false" outlineLevel="0" collapsed="false">
      <c r="A89" s="68" t="s">
        <v>54</v>
      </c>
      <c r="B89" s="69" t="n">
        <v>46105</v>
      </c>
      <c r="C89" s="70" t="n">
        <v>4</v>
      </c>
      <c r="D89" s="70" t="s">
        <v>48</v>
      </c>
      <c r="E89" s="71" t="n">
        <f aca="false">G89*23.12+H89*23.12+I89*23.12+J89*23.12+K89*11.55+L89*11.55+M89*11.55+N89*16.51+O89*16.51+P89*16.51+Q89*11.55+S89*11.55+T89*15+U89*1.7+V89*1.7+W89*11.55</f>
        <v>5544</v>
      </c>
      <c r="F89" s="72" t="n">
        <f aca="false">G89+H89+I89+J89+K89+L89+M89+N89+O89+P89+Q89+S89+T89+U89+V89+W89</f>
        <v>480</v>
      </c>
      <c r="G89" s="73" t="n">
        <v>0</v>
      </c>
      <c r="H89" s="74" t="n">
        <v>0</v>
      </c>
      <c r="I89" s="74" t="n">
        <v>0</v>
      </c>
      <c r="J89" s="74" t="n">
        <v>0</v>
      </c>
      <c r="K89" s="98" t="n">
        <v>240</v>
      </c>
      <c r="L89" s="99" t="n">
        <v>240</v>
      </c>
      <c r="M89" s="74" t="n">
        <v>0</v>
      </c>
      <c r="N89" s="73" t="n">
        <v>0</v>
      </c>
      <c r="O89" s="74" t="n">
        <v>0</v>
      </c>
      <c r="P89" s="73" t="n">
        <v>0</v>
      </c>
      <c r="Q89" s="74" t="n">
        <v>0</v>
      </c>
      <c r="R89" s="75" t="n">
        <v>0</v>
      </c>
      <c r="S89" s="74" t="n">
        <v>0</v>
      </c>
      <c r="T89" s="74" t="n">
        <v>0</v>
      </c>
      <c r="U89" s="74" t="n">
        <v>0</v>
      </c>
      <c r="V89" s="74" t="n">
        <v>0</v>
      </c>
      <c r="W89" s="74" t="n">
        <v>0</v>
      </c>
    </row>
    <row r="90" customFormat="false" ht="15" hidden="false" customHeight="false" outlineLevel="0" collapsed="false">
      <c r="A90" s="76" t="s">
        <v>55</v>
      </c>
      <c r="B90" s="77" t="n">
        <v>46106</v>
      </c>
      <c r="C90" s="78" t="n">
        <v>4</v>
      </c>
      <c r="D90" s="78" t="s">
        <v>48</v>
      </c>
      <c r="E90" s="79" t="n">
        <f aca="false">G90*23.12+H90*23.12+I90*23.12+J90*23.12+K90*11.55+L90*11.55+M90*11.55+N90*16.51+O90*16.51+P90*16.51+Q90*11.55+S90*11.55+T90*15+U90*1.7+V90*1.7+W90*11.55</f>
        <v>5544</v>
      </c>
      <c r="F90" s="80" t="n">
        <f aca="false">G90+H90+I90+J90+K90+L90+M90+N90+O90+P90+Q90+S90+T90+U90+V90+W90</f>
        <v>480</v>
      </c>
      <c r="G90" s="81" t="n">
        <v>0</v>
      </c>
      <c r="H90" s="82" t="n">
        <v>0</v>
      </c>
      <c r="I90" s="82" t="n">
        <v>0</v>
      </c>
      <c r="J90" s="82" t="n">
        <v>0</v>
      </c>
      <c r="K90" s="96" t="n">
        <v>240</v>
      </c>
      <c r="L90" s="97" t="n">
        <v>240</v>
      </c>
      <c r="M90" s="82" t="n">
        <v>0</v>
      </c>
      <c r="N90" s="81" t="n">
        <v>0</v>
      </c>
      <c r="O90" s="82" t="n">
        <v>0</v>
      </c>
      <c r="P90" s="81" t="n">
        <v>0</v>
      </c>
      <c r="Q90" s="82" t="n">
        <v>0</v>
      </c>
      <c r="R90" s="83" t="n">
        <v>0</v>
      </c>
      <c r="S90" s="82" t="n">
        <v>0</v>
      </c>
      <c r="T90" s="82" t="n">
        <v>0</v>
      </c>
      <c r="U90" s="82" t="n">
        <v>0</v>
      </c>
      <c r="V90" s="82" t="n">
        <v>0</v>
      </c>
      <c r="W90" s="82" t="n">
        <v>0</v>
      </c>
    </row>
    <row r="91" customFormat="false" ht="15" hidden="false" customHeight="false" outlineLevel="0" collapsed="false">
      <c r="A91" s="68" t="s">
        <v>47</v>
      </c>
      <c r="B91" s="69" t="n">
        <v>46107</v>
      </c>
      <c r="C91" s="70" t="n">
        <v>4</v>
      </c>
      <c r="D91" s="70" t="s">
        <v>48</v>
      </c>
      <c r="E91" s="71" t="n">
        <f aca="false">G91*23.12+H91*23.12+I91*23.12+J91*23.12+K91*11.55+L91*11.55+M91*11.55+N91*16.51+O91*16.51+P91*16.51+Q91*11.55+S91*11.55+T91*15+U91*1.7+V91*1.7+W91*11.55</f>
        <v>5544</v>
      </c>
      <c r="F91" s="72" t="n">
        <f aca="false">G91+H91+I91+J91+K91+L91+M91+N91+O91+P91+Q91+S91+T91+U91+V91+W91</f>
        <v>480</v>
      </c>
      <c r="G91" s="73" t="n">
        <v>0</v>
      </c>
      <c r="H91" s="74" t="n">
        <v>0</v>
      </c>
      <c r="I91" s="74" t="n">
        <v>0</v>
      </c>
      <c r="J91" s="74" t="n">
        <v>0</v>
      </c>
      <c r="K91" s="98" t="n">
        <v>240</v>
      </c>
      <c r="L91" s="99" t="n">
        <v>240</v>
      </c>
      <c r="M91" s="74" t="n">
        <v>0</v>
      </c>
      <c r="N91" s="73" t="n">
        <v>0</v>
      </c>
      <c r="O91" s="74" t="n">
        <v>0</v>
      </c>
      <c r="P91" s="73" t="n">
        <v>0</v>
      </c>
      <c r="Q91" s="74" t="n">
        <v>0</v>
      </c>
      <c r="R91" s="75" t="n">
        <v>0</v>
      </c>
      <c r="S91" s="74" t="n">
        <v>0</v>
      </c>
      <c r="T91" s="74" t="n">
        <v>0</v>
      </c>
      <c r="U91" s="74" t="n">
        <v>0</v>
      </c>
      <c r="V91" s="74" t="n">
        <v>0</v>
      </c>
      <c r="W91" s="74" t="n">
        <v>0</v>
      </c>
    </row>
    <row r="92" customFormat="false" ht="15" hidden="false" customHeight="false" outlineLevel="0" collapsed="false">
      <c r="A92" s="76" t="s">
        <v>49</v>
      </c>
      <c r="B92" s="77" t="n">
        <v>46108</v>
      </c>
      <c r="C92" s="78" t="n">
        <v>4</v>
      </c>
      <c r="D92" s="78" t="s">
        <v>48</v>
      </c>
      <c r="E92" s="79" t="n">
        <f aca="false">G92*23.12+H92*23.12+I92*23.12+J92*23.12+K92*11.55+L92*11.55+M92*11.55+N92*16.51+O92*16.51+P92*16.51+Q92*11.55+S92*11.55+T92*15+U92*1.7+V92*1.7+W92*11.55</f>
        <v>5544</v>
      </c>
      <c r="F92" s="80" t="n">
        <f aca="false">G92+H92+I92+J92+K92+L92+M92+N92+O92+P92+Q92+S92+T92+U92+V92+W92</f>
        <v>480</v>
      </c>
      <c r="G92" s="81" t="n">
        <v>0</v>
      </c>
      <c r="H92" s="82" t="n">
        <v>0</v>
      </c>
      <c r="I92" s="82" t="n">
        <v>0</v>
      </c>
      <c r="J92" s="82" t="n">
        <v>0</v>
      </c>
      <c r="K92" s="96" t="n">
        <v>240</v>
      </c>
      <c r="L92" s="97" t="n">
        <v>240</v>
      </c>
      <c r="M92" s="82" t="n">
        <v>0</v>
      </c>
      <c r="N92" s="81" t="n">
        <v>0</v>
      </c>
      <c r="O92" s="82" t="n">
        <v>0</v>
      </c>
      <c r="P92" s="81" t="n">
        <v>0</v>
      </c>
      <c r="Q92" s="82" t="n">
        <v>0</v>
      </c>
      <c r="R92" s="83" t="n">
        <v>0</v>
      </c>
      <c r="S92" s="82" t="n">
        <v>0</v>
      </c>
      <c r="T92" s="82" t="n">
        <v>0</v>
      </c>
      <c r="U92" s="82" t="n">
        <v>0</v>
      </c>
      <c r="V92" s="82" t="n">
        <v>0</v>
      </c>
      <c r="W92" s="82" t="n">
        <v>0</v>
      </c>
    </row>
    <row r="93" customFormat="false" ht="15" hidden="false" customHeight="false" outlineLevel="0" collapsed="false">
      <c r="A93" s="84" t="s">
        <v>50</v>
      </c>
      <c r="B93" s="69" t="n">
        <v>46109</v>
      </c>
      <c r="C93" s="70" t="n">
        <v>4</v>
      </c>
      <c r="D93" s="70" t="s">
        <v>48</v>
      </c>
      <c r="E93" s="71" t="n">
        <f aca="false">G93*23.12+H93*23.12+I93*23.12+J93*23.12+K93*11.55+L93*11.55+M93*11.55+N93*16.51+O93*16.51+P93*16.51+Q93*11.55+S93*11.55+T93*15+U93*1.7+V93*1.7+W93*11.55</f>
        <v>3465</v>
      </c>
      <c r="F93" s="72" t="n">
        <f aca="false">G93+H93+I93+J93+K93+L93+M93+N93+O93+P93+Q93+S93+T93+U93+V93+W93</f>
        <v>300</v>
      </c>
      <c r="G93" s="73" t="n">
        <v>0</v>
      </c>
      <c r="H93" s="74" t="n">
        <v>0</v>
      </c>
      <c r="I93" s="74" t="n">
        <v>0</v>
      </c>
      <c r="J93" s="74" t="n">
        <v>0</v>
      </c>
      <c r="K93" s="98" t="n">
        <v>150</v>
      </c>
      <c r="L93" s="99" t="n">
        <v>150</v>
      </c>
      <c r="M93" s="74" t="n">
        <v>0</v>
      </c>
      <c r="N93" s="73" t="n">
        <v>0</v>
      </c>
      <c r="O93" s="74" t="n">
        <v>0</v>
      </c>
      <c r="P93" s="73" t="n">
        <v>0</v>
      </c>
      <c r="Q93" s="74" t="n">
        <v>0</v>
      </c>
      <c r="R93" s="75" t="n">
        <v>0</v>
      </c>
      <c r="S93" s="74" t="n">
        <v>0</v>
      </c>
      <c r="T93" s="74" t="n">
        <v>0</v>
      </c>
      <c r="U93" s="74" t="n">
        <v>0</v>
      </c>
      <c r="V93" s="74" t="n">
        <v>0</v>
      </c>
      <c r="W93" s="74" t="n">
        <v>0</v>
      </c>
    </row>
    <row r="94" customFormat="false" ht="15" hidden="false" customHeight="false" outlineLevel="0" collapsed="false">
      <c r="A94" s="85" t="s">
        <v>51</v>
      </c>
      <c r="B94" s="77" t="n">
        <v>46110</v>
      </c>
      <c r="C94" s="78" t="n">
        <v>4</v>
      </c>
      <c r="D94" s="78" t="s">
        <v>48</v>
      </c>
      <c r="E94" s="79" t="n">
        <f aca="false">G94*23.12+H94*23.12+I94*23.12+J94*23.12+K94*11.55+L94*11.55+M94*11.55+N94*16.51+O94*16.51+P94*16.51+Q94*11.55+S94*11.55+T94*15+U94*1.7+V94*1.7+W94*11.55</f>
        <v>2541</v>
      </c>
      <c r="F94" s="80" t="n">
        <f aca="false">G94+H94+I94+J94+K94+L94+M94+N94+O94+P94+Q94+S94+T94+U94+V94+W94</f>
        <v>220</v>
      </c>
      <c r="G94" s="81" t="n">
        <v>0</v>
      </c>
      <c r="H94" s="82" t="n">
        <v>0</v>
      </c>
      <c r="I94" s="82" t="n">
        <v>0</v>
      </c>
      <c r="J94" s="82" t="n">
        <v>0</v>
      </c>
      <c r="K94" s="96" t="n">
        <v>110</v>
      </c>
      <c r="L94" s="97" t="n">
        <v>110</v>
      </c>
      <c r="M94" s="82" t="n">
        <v>0</v>
      </c>
      <c r="N94" s="81" t="n">
        <v>0</v>
      </c>
      <c r="O94" s="82" t="n">
        <v>0</v>
      </c>
      <c r="P94" s="81" t="n">
        <v>0</v>
      </c>
      <c r="Q94" s="82" t="n">
        <v>0</v>
      </c>
      <c r="R94" s="83" t="n">
        <v>0</v>
      </c>
      <c r="S94" s="82" t="n">
        <v>0</v>
      </c>
      <c r="T94" s="82" t="n">
        <v>0</v>
      </c>
      <c r="U94" s="82" t="n">
        <v>0</v>
      </c>
      <c r="V94" s="82" t="n">
        <v>0</v>
      </c>
      <c r="W94" s="82" t="n">
        <v>0</v>
      </c>
    </row>
    <row r="95" customFormat="false" ht="15" hidden="false" customHeight="false" outlineLevel="0" collapsed="false">
      <c r="A95" s="86" t="s">
        <v>52</v>
      </c>
      <c r="B95" s="87" t="n">
        <v>46111</v>
      </c>
      <c r="C95" s="88" t="n">
        <v>4</v>
      </c>
      <c r="D95" s="88" t="s">
        <v>53</v>
      </c>
      <c r="E95" s="89" t="n">
        <f aca="false">G95*23.12+H95*23.12+I95*23.12+J95*23.12+K95*11.55+L95*11.55+M95*11.55+N95*16.51+O95*16.51+P95*16.51+Q95*11.55+S95*11.55+T95*15+U95*1.7+V95*1.7+W95*11.55</f>
        <v>1732.5</v>
      </c>
      <c r="F95" s="90" t="n">
        <f aca="false">G95+H95+I95+J95+K95+L95+M95+N95+O95+P95+Q95+S95+T95+U95+V95+W95</f>
        <v>150</v>
      </c>
      <c r="G95" s="91" t="n">
        <v>0</v>
      </c>
      <c r="H95" s="92" t="n">
        <v>0</v>
      </c>
      <c r="I95" s="92" t="n">
        <v>0</v>
      </c>
      <c r="J95" s="92" t="n">
        <v>0</v>
      </c>
      <c r="K95" s="93" t="n">
        <v>80</v>
      </c>
      <c r="L95" s="94" t="n">
        <v>70</v>
      </c>
      <c r="M95" s="92" t="n">
        <v>0</v>
      </c>
      <c r="N95" s="91" t="n">
        <v>0</v>
      </c>
      <c r="O95" s="92" t="n">
        <v>0</v>
      </c>
      <c r="P95" s="91" t="n">
        <v>0</v>
      </c>
      <c r="Q95" s="92" t="n">
        <v>0</v>
      </c>
      <c r="R95" s="95" t="n">
        <v>0</v>
      </c>
      <c r="S95" s="92" t="n">
        <v>0</v>
      </c>
      <c r="T95" s="92" t="n">
        <v>0</v>
      </c>
      <c r="U95" s="92" t="n">
        <v>0</v>
      </c>
      <c r="V95" s="92" t="n">
        <v>0</v>
      </c>
      <c r="W95" s="92" t="n">
        <v>0</v>
      </c>
    </row>
    <row r="96" customFormat="false" ht="15" hidden="false" customHeight="false" outlineLevel="0" collapsed="false">
      <c r="A96" s="76" t="s">
        <v>54</v>
      </c>
      <c r="B96" s="77" t="n">
        <v>46112</v>
      </c>
      <c r="C96" s="78" t="n">
        <v>4</v>
      </c>
      <c r="D96" s="78" t="s">
        <v>53</v>
      </c>
      <c r="E96" s="79" t="n">
        <f aca="false">G96*23.12+H96*23.12+I96*23.12+J96*23.12+K96*11.55+L96*11.55+M96*11.55+N96*16.51+O96*16.51+P96*16.51+Q96*11.55+S96*11.55+T96*15+U96*1.7+V96*1.7+W96*11.55</f>
        <v>2772</v>
      </c>
      <c r="F96" s="80" t="n">
        <f aca="false">G96+H96+I96+J96+K96+L96+M96+N96+O96+P96+Q96+S96+T96+U96+V96+W96</f>
        <v>240</v>
      </c>
      <c r="G96" s="81" t="n">
        <v>0</v>
      </c>
      <c r="H96" s="82" t="n">
        <v>0</v>
      </c>
      <c r="I96" s="82" t="n">
        <v>0</v>
      </c>
      <c r="J96" s="82" t="n">
        <v>0</v>
      </c>
      <c r="K96" s="96" t="n">
        <v>120</v>
      </c>
      <c r="L96" s="97" t="n">
        <v>120</v>
      </c>
      <c r="M96" s="82" t="n">
        <v>0</v>
      </c>
      <c r="N96" s="81" t="n">
        <v>0</v>
      </c>
      <c r="O96" s="82" t="n">
        <v>0</v>
      </c>
      <c r="P96" s="81" t="n">
        <v>0</v>
      </c>
      <c r="Q96" s="82" t="n">
        <v>0</v>
      </c>
      <c r="R96" s="83" t="n">
        <v>0</v>
      </c>
      <c r="S96" s="82" t="n">
        <v>0</v>
      </c>
      <c r="T96" s="82" t="n">
        <v>0</v>
      </c>
      <c r="U96" s="82" t="n">
        <v>0</v>
      </c>
      <c r="V96" s="82" t="n">
        <v>0</v>
      </c>
      <c r="W96" s="82" t="n">
        <v>0</v>
      </c>
    </row>
    <row r="97" customFormat="false" ht="15" hidden="false" customHeight="false" outlineLevel="0" collapsed="false">
      <c r="A97" s="68" t="s">
        <v>55</v>
      </c>
      <c r="B97" s="69" t="n">
        <v>46113</v>
      </c>
      <c r="C97" s="70" t="n">
        <v>4</v>
      </c>
      <c r="D97" s="70" t="s">
        <v>53</v>
      </c>
      <c r="E97" s="71" t="n">
        <f aca="false">G97*23.12+H97*23.12+I97*23.12+J97*23.12+K97*11.55+L97*11.55+M97*11.55+N97*16.51+O97*16.51+P97*16.51+Q97*11.55+S97*11.55+T97*15+U97*1.7+V97*1.7+W97*11.55</f>
        <v>3072.3</v>
      </c>
      <c r="F97" s="72" t="n">
        <f aca="false">G97+H97+I97+J97+K97+L97+M97+N97+O97+P97+Q97+S97+T97+U97+V97+W97</f>
        <v>266</v>
      </c>
      <c r="G97" s="73" t="n">
        <v>0</v>
      </c>
      <c r="H97" s="74" t="n">
        <v>0</v>
      </c>
      <c r="I97" s="74" t="n">
        <v>0</v>
      </c>
      <c r="J97" s="74" t="n">
        <v>0</v>
      </c>
      <c r="K97" s="98" t="n">
        <v>133</v>
      </c>
      <c r="L97" s="99" t="n">
        <v>133</v>
      </c>
      <c r="M97" s="74" t="n">
        <v>0</v>
      </c>
      <c r="N97" s="73" t="n">
        <v>0</v>
      </c>
      <c r="O97" s="74" t="n">
        <v>0</v>
      </c>
      <c r="P97" s="73" t="n">
        <v>0</v>
      </c>
      <c r="Q97" s="74" t="n">
        <v>0</v>
      </c>
      <c r="R97" s="75" t="n">
        <v>0</v>
      </c>
      <c r="S97" s="74" t="n">
        <v>0</v>
      </c>
      <c r="T97" s="74" t="n">
        <v>0</v>
      </c>
      <c r="U97" s="74" t="n">
        <v>0</v>
      </c>
      <c r="V97" s="74" t="n">
        <v>0</v>
      </c>
      <c r="W97" s="74" t="n">
        <v>0</v>
      </c>
    </row>
    <row r="98" customFormat="false" ht="15" hidden="false" customHeight="false" outlineLevel="0" collapsed="false">
      <c r="A98" s="76" t="s">
        <v>47</v>
      </c>
      <c r="B98" s="77" t="n">
        <v>46114</v>
      </c>
      <c r="C98" s="78" t="n">
        <v>4</v>
      </c>
      <c r="D98" s="78" t="s">
        <v>53</v>
      </c>
      <c r="E98" s="79" t="n">
        <f aca="false">G98*23.12+H98*23.12+I98*23.12+J98*23.12+K98*11.55+L98*11.55+M98*11.55+N98*16.51+O98*16.51+P98*16.51+Q98*11.55+S98*11.55+T98*15+U98*1.7+V98*1.7+W98*11.55</f>
        <v>3349.5</v>
      </c>
      <c r="F98" s="80" t="n">
        <f aca="false">G98+H98+I98+J98+K98+L98+M98+N98+O98+P98+Q98+S98+T98+U98+V98+W98</f>
        <v>290</v>
      </c>
      <c r="G98" s="81" t="n">
        <v>0</v>
      </c>
      <c r="H98" s="82" t="n">
        <v>0</v>
      </c>
      <c r="I98" s="82" t="n">
        <v>0</v>
      </c>
      <c r="J98" s="82" t="n">
        <v>0</v>
      </c>
      <c r="K98" s="96" t="n">
        <v>145</v>
      </c>
      <c r="L98" s="97" t="n">
        <v>145</v>
      </c>
      <c r="M98" s="82" t="n">
        <v>0</v>
      </c>
      <c r="N98" s="81" t="n">
        <v>0</v>
      </c>
      <c r="O98" s="82" t="n">
        <v>0</v>
      </c>
      <c r="P98" s="81" t="n">
        <v>0</v>
      </c>
      <c r="Q98" s="82" t="n">
        <v>0</v>
      </c>
      <c r="R98" s="83" t="n">
        <v>0</v>
      </c>
      <c r="S98" s="82" t="n">
        <v>0</v>
      </c>
      <c r="T98" s="82" t="n">
        <v>0</v>
      </c>
      <c r="U98" s="82" t="n">
        <v>0</v>
      </c>
      <c r="V98" s="82" t="n">
        <v>0</v>
      </c>
      <c r="W98" s="82" t="n">
        <v>0</v>
      </c>
    </row>
    <row r="99" customFormat="false" ht="15" hidden="false" customHeight="false" outlineLevel="0" collapsed="false">
      <c r="A99" s="68" t="s">
        <v>49</v>
      </c>
      <c r="B99" s="69" t="n">
        <v>46115</v>
      </c>
      <c r="C99" s="70" t="n">
        <v>4</v>
      </c>
      <c r="D99" s="70" t="s">
        <v>53</v>
      </c>
      <c r="E99" s="71" t="n">
        <f aca="false">G99*23.12+H99*23.12+I99*23.12+J99*23.12+K99*11.55+L99*11.55+M99*11.55+N99*16.51+O99*16.51+P99*16.51+Q99*11.55+S99*11.55+T99*15+U99*1.7+V99*1.7+W99*11.55</f>
        <v>3696</v>
      </c>
      <c r="F99" s="72" t="n">
        <f aca="false">G99+H99+I99+J99+K99+L99+M99+N99+O99+P99+Q99+S99+T99+U99+V99+W99</f>
        <v>320</v>
      </c>
      <c r="G99" s="73" t="n">
        <v>0</v>
      </c>
      <c r="H99" s="74" t="n">
        <v>0</v>
      </c>
      <c r="I99" s="74" t="n">
        <v>0</v>
      </c>
      <c r="J99" s="74" t="n">
        <v>0</v>
      </c>
      <c r="K99" s="98" t="n">
        <v>160</v>
      </c>
      <c r="L99" s="99" t="n">
        <v>160</v>
      </c>
      <c r="M99" s="74" t="n">
        <v>0</v>
      </c>
      <c r="N99" s="73" t="n">
        <v>0</v>
      </c>
      <c r="O99" s="74" t="n">
        <v>0</v>
      </c>
      <c r="P99" s="73" t="n">
        <v>0</v>
      </c>
      <c r="Q99" s="74" t="n">
        <v>0</v>
      </c>
      <c r="R99" s="75" t="n">
        <v>0</v>
      </c>
      <c r="S99" s="74" t="n">
        <v>0</v>
      </c>
      <c r="T99" s="74" t="n">
        <v>0</v>
      </c>
      <c r="U99" s="74" t="n">
        <v>0</v>
      </c>
      <c r="V99" s="74" t="n">
        <v>0</v>
      </c>
      <c r="W99" s="74" t="n">
        <v>0</v>
      </c>
    </row>
    <row r="100" customFormat="false" ht="15" hidden="false" customHeight="false" outlineLevel="0" collapsed="false">
      <c r="A100" s="85" t="s">
        <v>50</v>
      </c>
      <c r="B100" s="77" t="n">
        <v>46116</v>
      </c>
      <c r="C100" s="78" t="n">
        <v>4</v>
      </c>
      <c r="D100" s="78" t="s">
        <v>53</v>
      </c>
      <c r="E100" s="79" t="n">
        <f aca="false">G100*23.12+H100*23.12+I100*23.12+J100*23.12+K100*11.55+L100*11.55+M100*11.55+N100*16.51+O100*16.51+P100*16.51+Q100*11.55+S100*11.55+T100*15+U100*1.7+V100*1.7+W100*11.55</f>
        <v>3696</v>
      </c>
      <c r="F100" s="80" t="n">
        <f aca="false">G100+H100+I100+J100+K100+L100+M100+N100+O100+P100+Q100+S100+T100+U100+V100+W100</f>
        <v>320</v>
      </c>
      <c r="G100" s="81" t="n">
        <v>0</v>
      </c>
      <c r="H100" s="82" t="n">
        <v>0</v>
      </c>
      <c r="I100" s="82" t="n">
        <v>0</v>
      </c>
      <c r="J100" s="82" t="n">
        <v>0</v>
      </c>
      <c r="K100" s="96" t="n">
        <v>160</v>
      </c>
      <c r="L100" s="97" t="n">
        <v>160</v>
      </c>
      <c r="M100" s="82" t="n">
        <v>0</v>
      </c>
      <c r="N100" s="81" t="n">
        <v>0</v>
      </c>
      <c r="O100" s="82" t="n">
        <v>0</v>
      </c>
      <c r="P100" s="81" t="n">
        <v>0</v>
      </c>
      <c r="Q100" s="82" t="n">
        <v>0</v>
      </c>
      <c r="R100" s="83" t="n">
        <v>0</v>
      </c>
      <c r="S100" s="82" t="n">
        <v>0</v>
      </c>
      <c r="T100" s="82" t="n">
        <v>0</v>
      </c>
      <c r="U100" s="82" t="n">
        <v>0</v>
      </c>
      <c r="V100" s="82" t="n">
        <v>0</v>
      </c>
      <c r="W100" s="82" t="n">
        <v>0</v>
      </c>
    </row>
    <row r="101" customFormat="false" ht="15" hidden="false" customHeight="false" outlineLevel="0" collapsed="false">
      <c r="A101" s="84" t="s">
        <v>51</v>
      </c>
      <c r="B101" s="69" t="n">
        <v>46117</v>
      </c>
      <c r="C101" s="70" t="n">
        <v>4</v>
      </c>
      <c r="D101" s="70" t="s">
        <v>53</v>
      </c>
      <c r="E101" s="71" t="n">
        <f aca="false">G101*23.12+H101*23.12+I101*23.12+J101*23.12+K101*11.55+L101*11.55+M101*11.55+N101*16.51+O101*16.51+P101*16.51+Q101*11.55+S101*11.55+T101*15+U101*1.7+V101*1.7+W101*11.55</f>
        <v>0</v>
      </c>
      <c r="F101" s="72" t="n">
        <f aca="false">G101+H101+I101+J101+K101+L101+M101+N101+O101+P101+Q101+S101+T101+U101+V101+W101</f>
        <v>0</v>
      </c>
      <c r="G101" s="73" t="n">
        <v>0</v>
      </c>
      <c r="H101" s="74" t="n">
        <v>0</v>
      </c>
      <c r="I101" s="74" t="n">
        <v>0</v>
      </c>
      <c r="J101" s="74" t="n">
        <v>0</v>
      </c>
      <c r="K101" s="73" t="n">
        <v>0</v>
      </c>
      <c r="L101" s="74" t="n">
        <v>0</v>
      </c>
      <c r="M101" s="74" t="n">
        <v>0</v>
      </c>
      <c r="N101" s="73" t="n">
        <v>0</v>
      </c>
      <c r="O101" s="74" t="n">
        <v>0</v>
      </c>
      <c r="P101" s="73" t="n">
        <v>0</v>
      </c>
      <c r="Q101" s="74" t="n">
        <v>0</v>
      </c>
      <c r="R101" s="75" t="n">
        <v>0</v>
      </c>
      <c r="S101" s="74" t="n">
        <v>0</v>
      </c>
      <c r="T101" s="74" t="n">
        <v>0</v>
      </c>
      <c r="U101" s="74" t="n">
        <v>0</v>
      </c>
      <c r="V101" s="74" t="n">
        <v>0</v>
      </c>
      <c r="W101" s="74" t="n">
        <v>0</v>
      </c>
    </row>
    <row r="102" customFormat="false" ht="15" hidden="false" customHeight="false" outlineLevel="0" collapsed="false">
      <c r="A102" s="100" t="s">
        <v>52</v>
      </c>
      <c r="B102" s="101" t="n">
        <v>46118</v>
      </c>
      <c r="C102" s="102" t="n">
        <v>4</v>
      </c>
      <c r="D102" s="102" t="s">
        <v>56</v>
      </c>
      <c r="E102" s="103" t="n">
        <f aca="false">G102*23.12+H102*23.12+I102*23.12+J102*23.12+K102*11.55+L102*11.55+M102*11.55+N102*16.51+O102*16.51+P102*16.51+Q102*11.55+S102*11.55+T102*15+U102*1.7+V102*1.7+W102*11.55</f>
        <v>3696</v>
      </c>
      <c r="F102" s="104" t="n">
        <f aca="false">G102+H102+I102+J102+K102+L102+M102+N102+O102+P102+Q102+S102+T102+U102+V102+W102</f>
        <v>320</v>
      </c>
      <c r="G102" s="105" t="n">
        <v>0</v>
      </c>
      <c r="H102" s="106" t="n">
        <v>0</v>
      </c>
      <c r="I102" s="106" t="n">
        <v>0</v>
      </c>
      <c r="J102" s="106" t="n">
        <v>0</v>
      </c>
      <c r="K102" s="107" t="n">
        <v>160</v>
      </c>
      <c r="L102" s="108" t="n">
        <v>160</v>
      </c>
      <c r="M102" s="106" t="n">
        <v>0</v>
      </c>
      <c r="N102" s="105" t="n">
        <v>0</v>
      </c>
      <c r="O102" s="106" t="n">
        <v>0</v>
      </c>
      <c r="P102" s="105" t="n">
        <v>0</v>
      </c>
      <c r="Q102" s="106" t="n">
        <v>0</v>
      </c>
      <c r="R102" s="109" t="n">
        <v>0</v>
      </c>
      <c r="S102" s="106" t="n">
        <v>0</v>
      </c>
      <c r="T102" s="106" t="n">
        <v>0</v>
      </c>
      <c r="U102" s="106" t="n">
        <v>0</v>
      </c>
      <c r="V102" s="106" t="n">
        <v>0</v>
      </c>
      <c r="W102" s="106" t="n">
        <v>0</v>
      </c>
    </row>
    <row r="103" customFormat="false" ht="15" hidden="false" customHeight="false" outlineLevel="0" collapsed="false">
      <c r="A103" s="68" t="s">
        <v>54</v>
      </c>
      <c r="B103" s="69" t="n">
        <v>46119</v>
      </c>
      <c r="C103" s="70" t="n">
        <v>4</v>
      </c>
      <c r="D103" s="70" t="s">
        <v>56</v>
      </c>
      <c r="E103" s="71" t="n">
        <f aca="false">G103*23.12+H103*23.12+I103*23.12+J103*23.12+K103*11.55+L103*11.55+M103*11.55+N103*16.51+O103*16.51+P103*16.51+Q103*11.55+S103*11.55+T103*15+U103*1.7+V103*1.7+W103*11.55</f>
        <v>5677.2</v>
      </c>
      <c r="F103" s="72" t="n">
        <f aca="false">G103+H103+I103+J103+K103+L103+M103+N103+O103+P103+Q103+S103+T103+U103+V103+W103</f>
        <v>440</v>
      </c>
      <c r="G103" s="73" t="n">
        <v>0</v>
      </c>
      <c r="H103" s="74" t="n">
        <v>0</v>
      </c>
      <c r="I103" s="74" t="n">
        <v>0</v>
      </c>
      <c r="J103" s="74" t="n">
        <v>0</v>
      </c>
      <c r="K103" s="98" t="n">
        <v>160</v>
      </c>
      <c r="L103" s="99" t="n">
        <v>160</v>
      </c>
      <c r="M103" s="74" t="n">
        <v>0</v>
      </c>
      <c r="N103" s="98" t="n">
        <v>50</v>
      </c>
      <c r="O103" s="99" t="n">
        <v>50</v>
      </c>
      <c r="P103" s="98" t="n">
        <v>20</v>
      </c>
      <c r="Q103" s="74" t="n">
        <v>0</v>
      </c>
      <c r="R103" s="75" t="n">
        <v>0</v>
      </c>
      <c r="S103" s="74" t="n">
        <v>0</v>
      </c>
      <c r="T103" s="74" t="n">
        <v>0</v>
      </c>
      <c r="U103" s="74" t="n">
        <v>0</v>
      </c>
      <c r="V103" s="74" t="n">
        <v>0</v>
      </c>
      <c r="W103" s="74" t="n">
        <v>0</v>
      </c>
    </row>
    <row r="104" customFormat="false" ht="15" hidden="false" customHeight="false" outlineLevel="0" collapsed="false">
      <c r="A104" s="76" t="s">
        <v>55</v>
      </c>
      <c r="B104" s="77" t="n">
        <v>46120</v>
      </c>
      <c r="C104" s="78" t="n">
        <v>4</v>
      </c>
      <c r="D104" s="78" t="s">
        <v>56</v>
      </c>
      <c r="E104" s="79" t="n">
        <f aca="false">G104*23.12+H104*23.12+I104*23.12+J104*23.12+K104*11.55+L104*11.55+M104*11.55+N104*16.51+O104*16.51+P104*16.51+Q104*11.55+S104*11.55+T104*15+U104*1.7+V104*1.7+W104*11.55</f>
        <v>5677.2</v>
      </c>
      <c r="F104" s="80" t="n">
        <f aca="false">G104+H104+I104+J104+K104+L104+M104+N104+O104+P104+Q104+S104+T104+U104+V104+W104</f>
        <v>440</v>
      </c>
      <c r="G104" s="81" t="n">
        <v>0</v>
      </c>
      <c r="H104" s="82" t="n">
        <v>0</v>
      </c>
      <c r="I104" s="82" t="n">
        <v>0</v>
      </c>
      <c r="J104" s="82" t="n">
        <v>0</v>
      </c>
      <c r="K104" s="96" t="n">
        <v>160</v>
      </c>
      <c r="L104" s="97" t="n">
        <v>160</v>
      </c>
      <c r="M104" s="82" t="n">
        <v>0</v>
      </c>
      <c r="N104" s="96" t="n">
        <v>50</v>
      </c>
      <c r="O104" s="97" t="n">
        <v>50</v>
      </c>
      <c r="P104" s="96" t="n">
        <v>20</v>
      </c>
      <c r="Q104" s="82" t="n">
        <v>0</v>
      </c>
      <c r="R104" s="83" t="n">
        <v>0</v>
      </c>
      <c r="S104" s="82" t="n">
        <v>0</v>
      </c>
      <c r="T104" s="82" t="n">
        <v>0</v>
      </c>
      <c r="U104" s="82" t="n">
        <v>0</v>
      </c>
      <c r="V104" s="82" t="n">
        <v>0</v>
      </c>
      <c r="W104" s="82" t="n">
        <v>0</v>
      </c>
    </row>
    <row r="105" customFormat="false" ht="15" hidden="false" customHeight="false" outlineLevel="0" collapsed="false">
      <c r="A105" s="68" t="s">
        <v>47</v>
      </c>
      <c r="B105" s="69" t="n">
        <v>46121</v>
      </c>
      <c r="C105" s="70" t="n">
        <v>4</v>
      </c>
      <c r="D105" s="70" t="s">
        <v>56</v>
      </c>
      <c r="E105" s="71" t="n">
        <f aca="false">G105*23.12+H105*23.12+I105*23.12+J105*23.12+K105*11.55+L105*11.55+M105*11.55+N105*16.51+O105*16.51+P105*16.51+Q105*11.55+S105*11.55+T105*15+U105*1.7+V105*1.7+W105*11.55</f>
        <v>4851.7</v>
      </c>
      <c r="F105" s="72" t="n">
        <f aca="false">G105+H105+I105+J105+K105+L105+M105+N105+O105+P105+Q105+S105+T105+U105+V105+W105</f>
        <v>390</v>
      </c>
      <c r="G105" s="73" t="n">
        <v>0</v>
      </c>
      <c r="H105" s="74" t="n">
        <v>0</v>
      </c>
      <c r="I105" s="74" t="n">
        <v>0</v>
      </c>
      <c r="J105" s="74" t="n">
        <v>0</v>
      </c>
      <c r="K105" s="98" t="n">
        <v>160</v>
      </c>
      <c r="L105" s="99" t="n">
        <v>160</v>
      </c>
      <c r="M105" s="74" t="n">
        <v>0</v>
      </c>
      <c r="N105" s="73" t="n">
        <v>0</v>
      </c>
      <c r="O105" s="99" t="n">
        <v>50</v>
      </c>
      <c r="P105" s="98" t="n">
        <v>20</v>
      </c>
      <c r="Q105" s="74" t="n">
        <v>0</v>
      </c>
      <c r="R105" s="75" t="n">
        <v>0</v>
      </c>
      <c r="S105" s="74" t="n">
        <v>0</v>
      </c>
      <c r="T105" s="74" t="n">
        <v>0</v>
      </c>
      <c r="U105" s="74" t="n">
        <v>0</v>
      </c>
      <c r="V105" s="74" t="n">
        <v>0</v>
      </c>
      <c r="W105" s="74" t="n">
        <v>0</v>
      </c>
    </row>
    <row r="106" customFormat="false" ht="15" hidden="false" customHeight="false" outlineLevel="0" collapsed="false">
      <c r="A106" s="76" t="s">
        <v>49</v>
      </c>
      <c r="B106" s="77" t="n">
        <v>46122</v>
      </c>
      <c r="C106" s="78" t="n">
        <v>4</v>
      </c>
      <c r="D106" s="78" t="s">
        <v>56</v>
      </c>
      <c r="E106" s="79" t="n">
        <f aca="false">G106*23.12+H106*23.12+I106*23.12+J106*23.12+K106*11.55+L106*11.55+M106*11.55+N106*16.51+O106*16.51+P106*16.51+Q106*11.55+S106*11.55+T106*15+U106*1.7+V106*1.7+W106*11.55</f>
        <v>5677.2</v>
      </c>
      <c r="F106" s="80" t="n">
        <f aca="false">G106+H106+I106+J106+K106+L106+M106+N106+O106+P106+Q106+S106+T106+U106+V106+W106</f>
        <v>440</v>
      </c>
      <c r="G106" s="81" t="n">
        <v>0</v>
      </c>
      <c r="H106" s="82" t="n">
        <v>0</v>
      </c>
      <c r="I106" s="82" t="n">
        <v>0</v>
      </c>
      <c r="J106" s="82" t="n">
        <v>0</v>
      </c>
      <c r="K106" s="96" t="n">
        <v>160</v>
      </c>
      <c r="L106" s="97" t="n">
        <v>160</v>
      </c>
      <c r="M106" s="82" t="n">
        <v>0</v>
      </c>
      <c r="N106" s="96" t="n">
        <v>50</v>
      </c>
      <c r="O106" s="97" t="n">
        <v>50</v>
      </c>
      <c r="P106" s="96" t="n">
        <v>20</v>
      </c>
      <c r="Q106" s="82" t="n">
        <v>0</v>
      </c>
      <c r="R106" s="83" t="n">
        <v>0</v>
      </c>
      <c r="S106" s="82" t="n">
        <v>0</v>
      </c>
      <c r="T106" s="82" t="n">
        <v>0</v>
      </c>
      <c r="U106" s="82" t="n">
        <v>0</v>
      </c>
      <c r="V106" s="82" t="n">
        <v>0</v>
      </c>
      <c r="W106" s="82" t="n">
        <v>0</v>
      </c>
    </row>
    <row r="107" customFormat="false" ht="15" hidden="false" customHeight="false" outlineLevel="0" collapsed="false">
      <c r="A107" s="84" t="s">
        <v>50</v>
      </c>
      <c r="B107" s="69" t="n">
        <v>46123</v>
      </c>
      <c r="C107" s="70" t="n">
        <v>4</v>
      </c>
      <c r="D107" s="70" t="s">
        <v>56</v>
      </c>
      <c r="E107" s="71" t="n">
        <f aca="false">G107*23.12+H107*23.12+I107*23.12+J107*23.12+K107*11.55+L107*11.55+M107*11.55+N107*16.51+O107*16.51+P107*16.51+Q107*11.55+S107*11.55+T107*15+U107*1.7+V107*1.7+W107*11.55</f>
        <v>4521.5</v>
      </c>
      <c r="F107" s="72" t="n">
        <f aca="false">G107+H107+I107+J107+K107+L107+M107+N107+O107+P107+Q107+S107+T107+U107+V107+W107</f>
        <v>370</v>
      </c>
      <c r="G107" s="73" t="n">
        <v>0</v>
      </c>
      <c r="H107" s="74" t="n">
        <v>0</v>
      </c>
      <c r="I107" s="74" t="n">
        <v>0</v>
      </c>
      <c r="J107" s="74" t="n">
        <v>0</v>
      </c>
      <c r="K107" s="98" t="n">
        <v>160</v>
      </c>
      <c r="L107" s="99" t="n">
        <v>160</v>
      </c>
      <c r="M107" s="74" t="n">
        <v>0</v>
      </c>
      <c r="N107" s="98" t="n">
        <v>50</v>
      </c>
      <c r="O107" s="74" t="n">
        <v>0</v>
      </c>
      <c r="P107" s="73" t="n">
        <v>0</v>
      </c>
      <c r="Q107" s="74" t="n">
        <v>0</v>
      </c>
      <c r="R107" s="75" t="n">
        <v>0</v>
      </c>
      <c r="S107" s="74" t="n">
        <v>0</v>
      </c>
      <c r="T107" s="74" t="n">
        <v>0</v>
      </c>
      <c r="U107" s="74" t="n">
        <v>0</v>
      </c>
      <c r="V107" s="74" t="n">
        <v>0</v>
      </c>
      <c r="W107" s="74" t="n">
        <v>0</v>
      </c>
    </row>
    <row r="108" customFormat="false" ht="15" hidden="false" customHeight="false" outlineLevel="0" collapsed="false">
      <c r="A108" s="85" t="s">
        <v>51</v>
      </c>
      <c r="B108" s="77" t="n">
        <v>46124</v>
      </c>
      <c r="C108" s="78" t="n">
        <v>4</v>
      </c>
      <c r="D108" s="78" t="s">
        <v>56</v>
      </c>
      <c r="E108" s="79" t="n">
        <f aca="false">G108*23.12+H108*23.12+I108*23.12+J108*23.12+K108*11.55+L108*11.55+M108*11.55+N108*16.51+O108*16.51+P108*16.51+Q108*11.55+S108*11.55+T108*15+U108*1.7+V108*1.7+W108*11.55</f>
        <v>0</v>
      </c>
      <c r="F108" s="80" t="n">
        <f aca="false">G108+H108+I108+J108+K108+L108+M108+N108+O108+P108+Q108+S108+T108+U108+V108+W108</f>
        <v>0</v>
      </c>
      <c r="G108" s="81" t="n">
        <v>0</v>
      </c>
      <c r="H108" s="82" t="n">
        <v>0</v>
      </c>
      <c r="I108" s="82" t="n">
        <v>0</v>
      </c>
      <c r="J108" s="82" t="n">
        <v>0</v>
      </c>
      <c r="K108" s="81" t="n">
        <v>0</v>
      </c>
      <c r="L108" s="82" t="n">
        <v>0</v>
      </c>
      <c r="M108" s="82" t="n">
        <v>0</v>
      </c>
      <c r="N108" s="81" t="n">
        <v>0</v>
      </c>
      <c r="O108" s="82" t="n">
        <v>0</v>
      </c>
      <c r="P108" s="81" t="n">
        <v>0</v>
      </c>
      <c r="Q108" s="82" t="n">
        <v>0</v>
      </c>
      <c r="R108" s="83" t="n">
        <v>0</v>
      </c>
      <c r="S108" s="82" t="n">
        <v>0</v>
      </c>
      <c r="T108" s="82" t="n">
        <v>0</v>
      </c>
      <c r="U108" s="82" t="n">
        <v>0</v>
      </c>
      <c r="V108" s="82" t="n">
        <v>0</v>
      </c>
      <c r="W108" s="82" t="n">
        <v>0</v>
      </c>
    </row>
    <row r="109" customFormat="false" ht="15" hidden="false" customHeight="false" outlineLevel="0" collapsed="false">
      <c r="A109" s="86" t="s">
        <v>52</v>
      </c>
      <c r="B109" s="87" t="n">
        <v>46125</v>
      </c>
      <c r="C109" s="88" t="n">
        <v>4</v>
      </c>
      <c r="D109" s="88" t="s">
        <v>57</v>
      </c>
      <c r="E109" s="89" t="n">
        <f aca="false">G109*23.12+H109*23.12+I109*23.12+J109*23.12+K109*11.55+L109*11.55+M109*11.55+N109*16.51+O109*16.51+P109*16.51+Q109*11.55+S109*11.55+T109*15+U109*1.7+V109*1.7+W109*11.55</f>
        <v>3696</v>
      </c>
      <c r="F109" s="90" t="n">
        <f aca="false">G109+H109+I109+J109+K109+L109+M109+N109+O109+P109+Q109+S109+T109+U109+V109+W109</f>
        <v>320</v>
      </c>
      <c r="G109" s="91" t="n">
        <v>0</v>
      </c>
      <c r="H109" s="92" t="n">
        <v>0</v>
      </c>
      <c r="I109" s="92" t="n">
        <v>0</v>
      </c>
      <c r="J109" s="92" t="n">
        <v>0</v>
      </c>
      <c r="K109" s="93" t="n">
        <v>160</v>
      </c>
      <c r="L109" s="94" t="n">
        <v>160</v>
      </c>
      <c r="M109" s="92" t="n">
        <v>0</v>
      </c>
      <c r="N109" s="91" t="n">
        <v>0</v>
      </c>
      <c r="O109" s="92" t="n">
        <v>0</v>
      </c>
      <c r="P109" s="91" t="n">
        <v>0</v>
      </c>
      <c r="Q109" s="92" t="n">
        <v>0</v>
      </c>
      <c r="R109" s="95" t="n">
        <v>0</v>
      </c>
      <c r="S109" s="92" t="n">
        <v>0</v>
      </c>
      <c r="T109" s="92" t="n">
        <v>0</v>
      </c>
      <c r="U109" s="92" t="n">
        <v>0</v>
      </c>
      <c r="V109" s="92" t="n">
        <v>0</v>
      </c>
      <c r="W109" s="92" t="n">
        <v>0</v>
      </c>
    </row>
    <row r="110" customFormat="false" ht="15" hidden="false" customHeight="false" outlineLevel="0" collapsed="false">
      <c r="A110" s="76" t="s">
        <v>54</v>
      </c>
      <c r="B110" s="77" t="n">
        <v>46126</v>
      </c>
      <c r="C110" s="78" t="n">
        <v>4</v>
      </c>
      <c r="D110" s="78" t="s">
        <v>57</v>
      </c>
      <c r="E110" s="79" t="n">
        <f aca="false">G110*23.12+H110*23.12+I110*23.12+J110*23.12+K110*11.55+L110*11.55+M110*11.55+N110*16.51+O110*16.51+P110*16.51+Q110*11.55+S110*11.55+T110*15+U110*1.7+V110*1.7+W110*11.55</f>
        <v>3696</v>
      </c>
      <c r="F110" s="80" t="n">
        <f aca="false">G110+H110+I110+J110+K110+L110+M110+N110+O110+P110+Q110+S110+T110+U110+V110+W110</f>
        <v>320</v>
      </c>
      <c r="G110" s="81" t="n">
        <v>0</v>
      </c>
      <c r="H110" s="82" t="n">
        <v>0</v>
      </c>
      <c r="I110" s="82" t="n">
        <v>0</v>
      </c>
      <c r="J110" s="82" t="n">
        <v>0</v>
      </c>
      <c r="K110" s="96" t="n">
        <v>160</v>
      </c>
      <c r="L110" s="97" t="n">
        <v>160</v>
      </c>
      <c r="M110" s="82" t="n">
        <v>0</v>
      </c>
      <c r="N110" s="81" t="n">
        <v>0</v>
      </c>
      <c r="O110" s="82" t="n">
        <v>0</v>
      </c>
      <c r="P110" s="81" t="n">
        <v>0</v>
      </c>
      <c r="Q110" s="82" t="n">
        <v>0</v>
      </c>
      <c r="R110" s="83" t="n">
        <v>0</v>
      </c>
      <c r="S110" s="82" t="n">
        <v>0</v>
      </c>
      <c r="T110" s="82" t="n">
        <v>0</v>
      </c>
      <c r="U110" s="82" t="n">
        <v>0</v>
      </c>
      <c r="V110" s="82" t="n">
        <v>0</v>
      </c>
      <c r="W110" s="82" t="n">
        <v>0</v>
      </c>
    </row>
    <row r="111" customFormat="false" ht="15" hidden="false" customHeight="false" outlineLevel="0" collapsed="false">
      <c r="A111" s="68" t="s">
        <v>55</v>
      </c>
      <c r="B111" s="69" t="n">
        <v>46127</v>
      </c>
      <c r="C111" s="70" t="n">
        <v>4</v>
      </c>
      <c r="D111" s="70" t="s">
        <v>57</v>
      </c>
      <c r="E111" s="71" t="n">
        <f aca="false">G111*23.12+H111*23.12+I111*23.12+J111*23.12+K111*11.55+L111*11.55+M111*11.55+N111*16.51+O111*16.51+P111*16.51+Q111*11.55+S111*11.55+T111*15+U111*1.7+V111*1.7+W111*11.55</f>
        <v>3696</v>
      </c>
      <c r="F111" s="72" t="n">
        <f aca="false">G111+H111+I111+J111+K111+L111+M111+N111+O111+P111+Q111+S111+T111+U111+V111+W111</f>
        <v>320</v>
      </c>
      <c r="G111" s="73" t="n">
        <v>0</v>
      </c>
      <c r="H111" s="74" t="n">
        <v>0</v>
      </c>
      <c r="I111" s="74" t="n">
        <v>0</v>
      </c>
      <c r="J111" s="74" t="n">
        <v>0</v>
      </c>
      <c r="K111" s="98" t="n">
        <v>160</v>
      </c>
      <c r="L111" s="99" t="n">
        <v>160</v>
      </c>
      <c r="M111" s="74" t="n">
        <v>0</v>
      </c>
      <c r="N111" s="73" t="n">
        <v>0</v>
      </c>
      <c r="O111" s="74" t="n">
        <v>0</v>
      </c>
      <c r="P111" s="73" t="n">
        <v>0</v>
      </c>
      <c r="Q111" s="74" t="n">
        <v>0</v>
      </c>
      <c r="R111" s="75" t="n">
        <v>0</v>
      </c>
      <c r="S111" s="74" t="n">
        <v>0</v>
      </c>
      <c r="T111" s="74" t="n">
        <v>0</v>
      </c>
      <c r="U111" s="74" t="n">
        <v>0</v>
      </c>
      <c r="V111" s="74" t="n">
        <v>0</v>
      </c>
      <c r="W111" s="74" t="n">
        <v>0</v>
      </c>
    </row>
    <row r="112" customFormat="false" ht="15" hidden="false" customHeight="false" outlineLevel="0" collapsed="false">
      <c r="A112" s="76" t="s">
        <v>47</v>
      </c>
      <c r="B112" s="77" t="n">
        <v>46128</v>
      </c>
      <c r="C112" s="78" t="n">
        <v>4</v>
      </c>
      <c r="D112" s="78" t="s">
        <v>57</v>
      </c>
      <c r="E112" s="79" t="n">
        <f aca="false">G112*23.12+H112*23.12+I112*23.12+J112*23.12+K112*11.55+L112*11.55+M112*11.55+N112*16.51+O112*16.51+P112*16.51+Q112*11.55+S112*11.55+T112*15+U112*1.7+V112*1.7+W112*11.55</f>
        <v>3696</v>
      </c>
      <c r="F112" s="80" t="n">
        <f aca="false">G112+H112+I112+J112+K112+L112+M112+N112+O112+P112+Q112+S112+T112+U112+V112+W112</f>
        <v>320</v>
      </c>
      <c r="G112" s="81" t="n">
        <v>0</v>
      </c>
      <c r="H112" s="82" t="n">
        <v>0</v>
      </c>
      <c r="I112" s="82" t="n">
        <v>0</v>
      </c>
      <c r="J112" s="82" t="n">
        <v>0</v>
      </c>
      <c r="K112" s="96" t="n">
        <v>160</v>
      </c>
      <c r="L112" s="97" t="n">
        <v>160</v>
      </c>
      <c r="M112" s="82" t="n">
        <v>0</v>
      </c>
      <c r="N112" s="81" t="n">
        <v>0</v>
      </c>
      <c r="O112" s="82" t="n">
        <v>0</v>
      </c>
      <c r="P112" s="81" t="n">
        <v>0</v>
      </c>
      <c r="Q112" s="82" t="n">
        <v>0</v>
      </c>
      <c r="R112" s="83" t="n">
        <v>0</v>
      </c>
      <c r="S112" s="82" t="n">
        <v>0</v>
      </c>
      <c r="T112" s="82" t="n">
        <v>0</v>
      </c>
      <c r="U112" s="82" t="n">
        <v>0</v>
      </c>
      <c r="V112" s="82" t="n">
        <v>0</v>
      </c>
      <c r="W112" s="82" t="n">
        <v>0</v>
      </c>
    </row>
    <row r="113" customFormat="false" ht="15" hidden="false" customHeight="false" outlineLevel="0" collapsed="false">
      <c r="A113" s="68" t="s">
        <v>49</v>
      </c>
      <c r="B113" s="69" t="n">
        <v>46129</v>
      </c>
      <c r="C113" s="70" t="n">
        <v>4</v>
      </c>
      <c r="D113" s="70" t="s">
        <v>57</v>
      </c>
      <c r="E113" s="71" t="n">
        <f aca="false">G113*23.12+H113*23.12+I113*23.12+J113*23.12+K113*11.55+L113*11.55+M113*11.55+N113*16.51+O113*16.51+P113*16.51+Q113*11.55+S113*11.55+T113*15+U113*1.7+V113*1.7+W113*11.55</f>
        <v>3580.5</v>
      </c>
      <c r="F113" s="72" t="n">
        <f aca="false">G113+H113+I113+J113+K113+L113+M113+N113+O113+P113+Q113+S113+T113+U113+V113+W113</f>
        <v>310</v>
      </c>
      <c r="G113" s="73" t="n">
        <v>0</v>
      </c>
      <c r="H113" s="74" t="n">
        <v>0</v>
      </c>
      <c r="I113" s="74" t="n">
        <v>0</v>
      </c>
      <c r="J113" s="74" t="n">
        <v>0</v>
      </c>
      <c r="K113" s="98" t="n">
        <v>155</v>
      </c>
      <c r="L113" s="99" t="n">
        <v>155</v>
      </c>
      <c r="M113" s="74" t="n">
        <v>0</v>
      </c>
      <c r="N113" s="73" t="n">
        <v>0</v>
      </c>
      <c r="O113" s="74" t="n">
        <v>0</v>
      </c>
      <c r="P113" s="73" t="n">
        <v>0</v>
      </c>
      <c r="Q113" s="74" t="n">
        <v>0</v>
      </c>
      <c r="R113" s="75" t="n">
        <v>0</v>
      </c>
      <c r="S113" s="74" t="n">
        <v>0</v>
      </c>
      <c r="T113" s="74" t="n">
        <v>0</v>
      </c>
      <c r="U113" s="74" t="n">
        <v>0</v>
      </c>
      <c r="V113" s="74" t="n">
        <v>0</v>
      </c>
      <c r="W113" s="74" t="n">
        <v>0</v>
      </c>
    </row>
    <row r="114" customFormat="false" ht="15" hidden="false" customHeight="false" outlineLevel="0" collapsed="false">
      <c r="A114" s="85" t="s">
        <v>50</v>
      </c>
      <c r="B114" s="77" t="n">
        <v>46130</v>
      </c>
      <c r="C114" s="78" t="n">
        <v>4</v>
      </c>
      <c r="D114" s="78" t="s">
        <v>57</v>
      </c>
      <c r="E114" s="79" t="n">
        <f aca="false">G114*23.12+H114*23.12+I114*23.12+J114*23.12+K114*11.55+L114*11.55+M114*11.55+N114*16.51+O114*16.51+P114*16.51+Q114*11.55+S114*11.55+T114*15+U114*1.7+V114*1.7+W114*11.55</f>
        <v>3580.5</v>
      </c>
      <c r="F114" s="80" t="n">
        <f aca="false">G114+H114+I114+J114+K114+L114+M114+N114+O114+P114+Q114+S114+T114+U114+V114+W114</f>
        <v>310</v>
      </c>
      <c r="G114" s="81" t="n">
        <v>0</v>
      </c>
      <c r="H114" s="82" t="n">
        <v>0</v>
      </c>
      <c r="I114" s="82" t="n">
        <v>0</v>
      </c>
      <c r="J114" s="82" t="n">
        <v>0</v>
      </c>
      <c r="K114" s="96" t="n">
        <v>155</v>
      </c>
      <c r="L114" s="97" t="n">
        <v>155</v>
      </c>
      <c r="M114" s="82" t="n">
        <v>0</v>
      </c>
      <c r="N114" s="81" t="n">
        <v>0</v>
      </c>
      <c r="O114" s="82" t="n">
        <v>0</v>
      </c>
      <c r="P114" s="81" t="n">
        <v>0</v>
      </c>
      <c r="Q114" s="82" t="n">
        <v>0</v>
      </c>
      <c r="R114" s="83" t="n">
        <v>0</v>
      </c>
      <c r="S114" s="82" t="n">
        <v>0</v>
      </c>
      <c r="T114" s="82" t="n">
        <v>0</v>
      </c>
      <c r="U114" s="82" t="n">
        <v>0</v>
      </c>
      <c r="V114" s="82" t="n">
        <v>0</v>
      </c>
      <c r="W114" s="82" t="n">
        <v>0</v>
      </c>
    </row>
    <row r="115" customFormat="false" ht="15" hidden="false" customHeight="false" outlineLevel="0" collapsed="false">
      <c r="A115" s="84" t="s">
        <v>51</v>
      </c>
      <c r="B115" s="69" t="n">
        <v>46131</v>
      </c>
      <c r="C115" s="70" t="n">
        <v>4</v>
      </c>
      <c r="D115" s="70" t="s">
        <v>57</v>
      </c>
      <c r="E115" s="71" t="n">
        <f aca="false">G115*23.12+H115*23.12+I115*23.12+J115*23.12+K115*11.55+L115*11.55+M115*11.55+N115*16.51+O115*16.51+P115*16.51+Q115*11.55+S115*11.55+T115*15+U115*1.7+V115*1.7+W115*11.55</f>
        <v>0</v>
      </c>
      <c r="F115" s="72" t="n">
        <f aca="false">G115+H115+I115+J115+K115+L115+M115+N115+O115+P115+Q115+S115+T115+U115+V115+W115</f>
        <v>0</v>
      </c>
      <c r="G115" s="73" t="n">
        <v>0</v>
      </c>
      <c r="H115" s="74" t="n">
        <v>0</v>
      </c>
      <c r="I115" s="74" t="n">
        <v>0</v>
      </c>
      <c r="J115" s="74" t="n">
        <v>0</v>
      </c>
      <c r="K115" s="73" t="n">
        <v>0</v>
      </c>
      <c r="L115" s="74" t="n">
        <v>0</v>
      </c>
      <c r="M115" s="74" t="n">
        <v>0</v>
      </c>
      <c r="N115" s="73" t="n">
        <v>0</v>
      </c>
      <c r="O115" s="74" t="n">
        <v>0</v>
      </c>
      <c r="P115" s="73" t="n">
        <v>0</v>
      </c>
      <c r="Q115" s="74" t="n">
        <v>0</v>
      </c>
      <c r="R115" s="75" t="n">
        <v>0</v>
      </c>
      <c r="S115" s="74" t="n">
        <v>0</v>
      </c>
      <c r="T115" s="74" t="n">
        <v>0</v>
      </c>
      <c r="U115" s="74" t="n">
        <v>0</v>
      </c>
      <c r="V115" s="74" t="n">
        <v>0</v>
      </c>
      <c r="W115" s="74" t="n">
        <v>0</v>
      </c>
    </row>
    <row r="116" customFormat="false" ht="15" hidden="false" customHeight="false" outlineLevel="0" collapsed="false">
      <c r="A116" s="100" t="s">
        <v>52</v>
      </c>
      <c r="B116" s="101" t="n">
        <v>46132</v>
      </c>
      <c r="C116" s="102" t="n">
        <v>5</v>
      </c>
      <c r="D116" s="102" t="s">
        <v>48</v>
      </c>
      <c r="E116" s="103" t="n">
        <f aca="false">G116*23.12+H116*23.12+I116*23.12+J116*23.12+K116*11.55+L116*11.55+M116*11.55+N116*16.51+O116*16.51+P116*16.51+Q116*11.55+S116*11.55+T116*15+U116*1.7+V116*1.7+W116*11.55</f>
        <v>3580.5</v>
      </c>
      <c r="F116" s="104" t="n">
        <f aca="false">G116+H116+I116+J116+K116+L116+M116+N116+O116+P116+Q116+S116+T116+U116+V116+W116</f>
        <v>310</v>
      </c>
      <c r="G116" s="105" t="n">
        <v>0</v>
      </c>
      <c r="H116" s="106" t="n">
        <v>0</v>
      </c>
      <c r="I116" s="106" t="n">
        <v>0</v>
      </c>
      <c r="J116" s="106" t="n">
        <v>0</v>
      </c>
      <c r="K116" s="107" t="n">
        <v>155</v>
      </c>
      <c r="L116" s="108" t="n">
        <v>155</v>
      </c>
      <c r="M116" s="106" t="n">
        <v>0</v>
      </c>
      <c r="N116" s="105" t="n">
        <v>0</v>
      </c>
      <c r="O116" s="106" t="n">
        <v>0</v>
      </c>
      <c r="P116" s="105" t="n">
        <v>0</v>
      </c>
      <c r="Q116" s="106" t="n">
        <v>0</v>
      </c>
      <c r="R116" s="109" t="n">
        <v>0</v>
      </c>
      <c r="S116" s="106" t="n">
        <v>0</v>
      </c>
      <c r="T116" s="106" t="n">
        <v>0</v>
      </c>
      <c r="U116" s="106" t="n">
        <v>0</v>
      </c>
      <c r="V116" s="106" t="n">
        <v>0</v>
      </c>
      <c r="W116" s="106" t="n">
        <v>0</v>
      </c>
    </row>
    <row r="117" customFormat="false" ht="15" hidden="false" customHeight="false" outlineLevel="0" collapsed="false">
      <c r="A117" s="68" t="s">
        <v>54</v>
      </c>
      <c r="B117" s="69" t="n">
        <v>46133</v>
      </c>
      <c r="C117" s="70" t="n">
        <v>5</v>
      </c>
      <c r="D117" s="70" t="s">
        <v>48</v>
      </c>
      <c r="E117" s="71" t="n">
        <f aca="false">G117*23.12+H117*23.12+I117*23.12+J117*23.12+K117*11.55+L117*11.55+M117*11.55+N117*16.51+O117*16.51+P117*16.51+Q117*11.55+S117*11.55+T117*15+U117*1.7+V117*1.7+W117*11.55</f>
        <v>5561.7</v>
      </c>
      <c r="F117" s="72" t="n">
        <f aca="false">G117+H117+I117+J117+K117+L117+M117+N117+O117+P117+Q117+S117+T117+U117+V117+W117</f>
        <v>430</v>
      </c>
      <c r="G117" s="73" t="n">
        <v>0</v>
      </c>
      <c r="H117" s="74" t="n">
        <v>0</v>
      </c>
      <c r="I117" s="74" t="n">
        <v>0</v>
      </c>
      <c r="J117" s="74" t="n">
        <v>0</v>
      </c>
      <c r="K117" s="98" t="n">
        <v>155</v>
      </c>
      <c r="L117" s="99" t="n">
        <v>155</v>
      </c>
      <c r="M117" s="74" t="n">
        <v>0</v>
      </c>
      <c r="N117" s="98" t="n">
        <v>50</v>
      </c>
      <c r="O117" s="99" t="n">
        <v>50</v>
      </c>
      <c r="P117" s="98" t="n">
        <v>20</v>
      </c>
      <c r="Q117" s="74" t="n">
        <v>0</v>
      </c>
      <c r="R117" s="75" t="n">
        <v>0</v>
      </c>
      <c r="S117" s="74" t="n">
        <v>0</v>
      </c>
      <c r="T117" s="74" t="n">
        <v>0</v>
      </c>
      <c r="U117" s="74" t="n">
        <v>0</v>
      </c>
      <c r="V117" s="74" t="n">
        <v>0</v>
      </c>
      <c r="W117" s="74" t="n">
        <v>0</v>
      </c>
    </row>
    <row r="118" customFormat="false" ht="15" hidden="false" customHeight="false" outlineLevel="0" collapsed="false">
      <c r="A118" s="76" t="s">
        <v>55</v>
      </c>
      <c r="B118" s="77" t="n">
        <v>46134</v>
      </c>
      <c r="C118" s="78" t="n">
        <v>5</v>
      </c>
      <c r="D118" s="78" t="s">
        <v>48</v>
      </c>
      <c r="E118" s="79" t="n">
        <f aca="false">G118*23.12+H118*23.12+I118*23.12+J118*23.12+K118*11.55+L118*11.55+M118*11.55+N118*16.51+O118*16.51+P118*16.51+Q118*11.55+S118*11.55+T118*15+U118*1.7+V118*1.7+W118*11.55</f>
        <v>5561.7</v>
      </c>
      <c r="F118" s="80" t="n">
        <f aca="false">G118+H118+I118+J118+K118+L118+M118+N118+O118+P118+Q118+S118+T118+U118+V118+W118</f>
        <v>430</v>
      </c>
      <c r="G118" s="81" t="n">
        <v>0</v>
      </c>
      <c r="H118" s="82" t="n">
        <v>0</v>
      </c>
      <c r="I118" s="82" t="n">
        <v>0</v>
      </c>
      <c r="J118" s="82" t="n">
        <v>0</v>
      </c>
      <c r="K118" s="96" t="n">
        <v>155</v>
      </c>
      <c r="L118" s="97" t="n">
        <v>155</v>
      </c>
      <c r="M118" s="82" t="n">
        <v>0</v>
      </c>
      <c r="N118" s="96" t="n">
        <v>50</v>
      </c>
      <c r="O118" s="97" t="n">
        <v>50</v>
      </c>
      <c r="P118" s="96" t="n">
        <v>20</v>
      </c>
      <c r="Q118" s="82" t="n">
        <v>0</v>
      </c>
      <c r="R118" s="83" t="n">
        <v>0</v>
      </c>
      <c r="S118" s="82" t="n">
        <v>0</v>
      </c>
      <c r="T118" s="82" t="n">
        <v>0</v>
      </c>
      <c r="U118" s="82" t="n">
        <v>0</v>
      </c>
      <c r="V118" s="82" t="n">
        <v>0</v>
      </c>
      <c r="W118" s="82" t="n">
        <v>0</v>
      </c>
    </row>
    <row r="119" customFormat="false" ht="15" hidden="false" customHeight="false" outlineLevel="0" collapsed="false">
      <c r="A119" s="68" t="s">
        <v>47</v>
      </c>
      <c r="B119" s="69" t="n">
        <v>46135</v>
      </c>
      <c r="C119" s="70" t="n">
        <v>5</v>
      </c>
      <c r="D119" s="70" t="s">
        <v>48</v>
      </c>
      <c r="E119" s="71" t="n">
        <f aca="false">G119*23.12+H119*23.12+I119*23.12+J119*23.12+K119*11.55+L119*11.55+M119*11.55+N119*16.51+O119*16.51+P119*16.51+Q119*11.55+S119*11.55+T119*15+U119*1.7+V119*1.7+W119*11.55</f>
        <v>4736.2</v>
      </c>
      <c r="F119" s="72" t="n">
        <f aca="false">G119+H119+I119+J119+K119+L119+M119+N119+O119+P119+Q119+S119+T119+U119+V119+W119</f>
        <v>380</v>
      </c>
      <c r="G119" s="73" t="n">
        <v>0</v>
      </c>
      <c r="H119" s="74" t="n">
        <v>0</v>
      </c>
      <c r="I119" s="74" t="n">
        <v>0</v>
      </c>
      <c r="J119" s="74" t="n">
        <v>0</v>
      </c>
      <c r="K119" s="98" t="n">
        <v>155</v>
      </c>
      <c r="L119" s="99" t="n">
        <v>155</v>
      </c>
      <c r="M119" s="74" t="n">
        <v>0</v>
      </c>
      <c r="N119" s="73" t="n">
        <v>0</v>
      </c>
      <c r="O119" s="99" t="n">
        <v>50</v>
      </c>
      <c r="P119" s="98" t="n">
        <v>20</v>
      </c>
      <c r="Q119" s="74" t="n">
        <v>0</v>
      </c>
      <c r="R119" s="75" t="n">
        <v>0</v>
      </c>
      <c r="S119" s="74" t="n">
        <v>0</v>
      </c>
      <c r="T119" s="74" t="n">
        <v>0</v>
      </c>
      <c r="U119" s="74" t="n">
        <v>0</v>
      </c>
      <c r="V119" s="74" t="n">
        <v>0</v>
      </c>
      <c r="W119" s="74" t="n">
        <v>0</v>
      </c>
    </row>
    <row r="120" customFormat="false" ht="15" hidden="false" customHeight="false" outlineLevel="0" collapsed="false">
      <c r="A120" s="76" t="s">
        <v>49</v>
      </c>
      <c r="B120" s="77" t="n">
        <v>46136</v>
      </c>
      <c r="C120" s="78" t="n">
        <v>5</v>
      </c>
      <c r="D120" s="78" t="s">
        <v>48</v>
      </c>
      <c r="E120" s="79" t="n">
        <f aca="false">G120*23.12+H120*23.12+I120*23.12+J120*23.12+K120*11.55+L120*11.55+M120*11.55+N120*16.51+O120*16.51+P120*16.51+Q120*11.55+S120*11.55+T120*15+U120*1.7+V120*1.7+W120*11.55</f>
        <v>5561.7</v>
      </c>
      <c r="F120" s="80" t="n">
        <f aca="false">G120+H120+I120+J120+K120+L120+M120+N120+O120+P120+Q120+S120+T120+U120+V120+W120</f>
        <v>430</v>
      </c>
      <c r="G120" s="81" t="n">
        <v>0</v>
      </c>
      <c r="H120" s="82" t="n">
        <v>0</v>
      </c>
      <c r="I120" s="82" t="n">
        <v>0</v>
      </c>
      <c r="J120" s="82" t="n">
        <v>0</v>
      </c>
      <c r="K120" s="96" t="n">
        <v>155</v>
      </c>
      <c r="L120" s="97" t="n">
        <v>155</v>
      </c>
      <c r="M120" s="82" t="n">
        <v>0</v>
      </c>
      <c r="N120" s="96" t="n">
        <v>50</v>
      </c>
      <c r="O120" s="97" t="n">
        <v>50</v>
      </c>
      <c r="P120" s="96" t="n">
        <v>20</v>
      </c>
      <c r="Q120" s="82" t="n">
        <v>0</v>
      </c>
      <c r="R120" s="83" t="n">
        <v>0</v>
      </c>
      <c r="S120" s="82" t="n">
        <v>0</v>
      </c>
      <c r="T120" s="82" t="n">
        <v>0</v>
      </c>
      <c r="U120" s="82" t="n">
        <v>0</v>
      </c>
      <c r="V120" s="82" t="n">
        <v>0</v>
      </c>
      <c r="W120" s="82" t="n">
        <v>0</v>
      </c>
    </row>
    <row r="121" customFormat="false" ht="15" hidden="false" customHeight="false" outlineLevel="0" collapsed="false">
      <c r="A121" s="84" t="s">
        <v>50</v>
      </c>
      <c r="B121" s="69" t="n">
        <v>46137</v>
      </c>
      <c r="C121" s="70" t="n">
        <v>5</v>
      </c>
      <c r="D121" s="70" t="s">
        <v>48</v>
      </c>
      <c r="E121" s="71" t="n">
        <f aca="false">G121*23.12+H121*23.12+I121*23.12+J121*23.12+K121*11.55+L121*11.55+M121*11.55+N121*16.51+O121*16.51+P121*16.51+Q121*11.55+S121*11.55+T121*15+U121*1.7+V121*1.7+W121*11.55</f>
        <v>4406</v>
      </c>
      <c r="F121" s="72" t="n">
        <f aca="false">G121+H121+I121+J121+K121+L121+M121+N121+O121+P121+Q121+S121+T121+U121+V121+W121</f>
        <v>360</v>
      </c>
      <c r="G121" s="73" t="n">
        <v>0</v>
      </c>
      <c r="H121" s="74" t="n">
        <v>0</v>
      </c>
      <c r="I121" s="74" t="n">
        <v>0</v>
      </c>
      <c r="J121" s="74" t="n">
        <v>0</v>
      </c>
      <c r="K121" s="98" t="n">
        <v>155</v>
      </c>
      <c r="L121" s="99" t="n">
        <v>155</v>
      </c>
      <c r="M121" s="74" t="n">
        <v>0</v>
      </c>
      <c r="N121" s="98" t="n">
        <v>50</v>
      </c>
      <c r="O121" s="74" t="n">
        <v>0</v>
      </c>
      <c r="P121" s="73" t="n">
        <v>0</v>
      </c>
      <c r="Q121" s="74" t="n">
        <v>0</v>
      </c>
      <c r="R121" s="75" t="n">
        <v>0</v>
      </c>
      <c r="S121" s="74" t="n">
        <v>0</v>
      </c>
      <c r="T121" s="74" t="n">
        <v>0</v>
      </c>
      <c r="U121" s="74" t="n">
        <v>0</v>
      </c>
      <c r="V121" s="74" t="n">
        <v>0</v>
      </c>
      <c r="W121" s="74" t="n">
        <v>0</v>
      </c>
    </row>
    <row r="122" customFormat="false" ht="15" hidden="false" customHeight="false" outlineLevel="0" collapsed="false">
      <c r="A122" s="85" t="s">
        <v>51</v>
      </c>
      <c r="B122" s="77" t="n">
        <v>46138</v>
      </c>
      <c r="C122" s="78" t="n">
        <v>5</v>
      </c>
      <c r="D122" s="78" t="s">
        <v>48</v>
      </c>
      <c r="E122" s="79" t="n">
        <f aca="false">G122*23.12+H122*23.12+I122*23.12+J122*23.12+K122*11.55+L122*11.55+M122*11.55+N122*16.51+O122*16.51+P122*16.51+Q122*11.55+S122*11.55+T122*15+U122*1.7+V122*1.7+W122*11.55</f>
        <v>0</v>
      </c>
      <c r="F122" s="80" t="n">
        <f aca="false">G122+H122+I122+J122+K122+L122+M122+N122+O122+P122+Q122+S122+T122+U122+V122+W122</f>
        <v>0</v>
      </c>
      <c r="G122" s="81" t="n">
        <v>0</v>
      </c>
      <c r="H122" s="82" t="n">
        <v>0</v>
      </c>
      <c r="I122" s="82" t="n">
        <v>0</v>
      </c>
      <c r="J122" s="82" t="n">
        <v>0</v>
      </c>
      <c r="K122" s="81" t="n">
        <v>0</v>
      </c>
      <c r="L122" s="82" t="n">
        <v>0</v>
      </c>
      <c r="M122" s="82" t="n">
        <v>0</v>
      </c>
      <c r="N122" s="81" t="n">
        <v>0</v>
      </c>
      <c r="O122" s="82" t="n">
        <v>0</v>
      </c>
      <c r="P122" s="81" t="n">
        <v>0</v>
      </c>
      <c r="Q122" s="82" t="n">
        <v>0</v>
      </c>
      <c r="R122" s="83" t="n">
        <v>0</v>
      </c>
      <c r="S122" s="82" t="n">
        <v>0</v>
      </c>
      <c r="T122" s="82" t="n">
        <v>0</v>
      </c>
      <c r="U122" s="82" t="n">
        <v>0</v>
      </c>
      <c r="V122" s="82" t="n">
        <v>0</v>
      </c>
      <c r="W122" s="82" t="n">
        <v>0</v>
      </c>
    </row>
    <row r="123" customFormat="false" ht="15" hidden="false" customHeight="false" outlineLevel="0" collapsed="false">
      <c r="A123" s="86" t="s">
        <v>52</v>
      </c>
      <c r="B123" s="87" t="n">
        <v>46139</v>
      </c>
      <c r="C123" s="88" t="n">
        <v>5</v>
      </c>
      <c r="D123" s="88" t="s">
        <v>53</v>
      </c>
      <c r="E123" s="89" t="n">
        <f aca="false">G123*23.12+H123*23.12+I123*23.12+J123*23.12+K123*11.55+L123*11.55+M123*11.55+N123*16.51+O123*16.51+P123*16.51+Q123*11.55+S123*11.55+T123*15+U123*1.7+V123*1.7+W123*11.55</f>
        <v>3580.5</v>
      </c>
      <c r="F123" s="90" t="n">
        <f aca="false">G123+H123+I123+J123+K123+L123+M123+N123+O123+P123+Q123+S123+T123+U123+V123+W123</f>
        <v>310</v>
      </c>
      <c r="G123" s="91" t="n">
        <v>0</v>
      </c>
      <c r="H123" s="92" t="n">
        <v>0</v>
      </c>
      <c r="I123" s="92" t="n">
        <v>0</v>
      </c>
      <c r="J123" s="92" t="n">
        <v>0</v>
      </c>
      <c r="K123" s="93" t="n">
        <v>155</v>
      </c>
      <c r="L123" s="94" t="n">
        <v>155</v>
      </c>
      <c r="M123" s="92" t="n">
        <v>0</v>
      </c>
      <c r="N123" s="91" t="n">
        <v>0</v>
      </c>
      <c r="O123" s="92" t="n">
        <v>0</v>
      </c>
      <c r="P123" s="91" t="n">
        <v>0</v>
      </c>
      <c r="Q123" s="92" t="n">
        <v>0</v>
      </c>
      <c r="R123" s="95" t="n">
        <v>0</v>
      </c>
      <c r="S123" s="92" t="n">
        <v>0</v>
      </c>
      <c r="T123" s="92" t="n">
        <v>0</v>
      </c>
      <c r="U123" s="92" t="n">
        <v>0</v>
      </c>
      <c r="V123" s="92" t="n">
        <v>0</v>
      </c>
      <c r="W123" s="92" t="n">
        <v>0</v>
      </c>
    </row>
    <row r="124" customFormat="false" ht="15" hidden="false" customHeight="false" outlineLevel="0" collapsed="false">
      <c r="A124" s="76" t="s">
        <v>54</v>
      </c>
      <c r="B124" s="77" t="n">
        <v>46140</v>
      </c>
      <c r="C124" s="78" t="n">
        <v>5</v>
      </c>
      <c r="D124" s="78" t="s">
        <v>53</v>
      </c>
      <c r="E124" s="79" t="n">
        <f aca="false">G124*23.12+H124*23.12+I124*23.12+J124*23.12+K124*11.55+L124*11.55+M124*11.55+N124*16.51+O124*16.51+P124*16.51+Q124*11.55+S124*11.55+T124*15+U124*1.7+V124*1.7+W124*11.55</f>
        <v>3580.5</v>
      </c>
      <c r="F124" s="80" t="n">
        <f aca="false">G124+H124+I124+J124+K124+L124+M124+N124+O124+P124+Q124+S124+T124+U124+V124+W124</f>
        <v>310</v>
      </c>
      <c r="G124" s="81" t="n">
        <v>0</v>
      </c>
      <c r="H124" s="82" t="n">
        <v>0</v>
      </c>
      <c r="I124" s="82" t="n">
        <v>0</v>
      </c>
      <c r="J124" s="82" t="n">
        <v>0</v>
      </c>
      <c r="K124" s="96" t="n">
        <v>155</v>
      </c>
      <c r="L124" s="97" t="n">
        <v>155</v>
      </c>
      <c r="M124" s="82" t="n">
        <v>0</v>
      </c>
      <c r="N124" s="81" t="n">
        <v>0</v>
      </c>
      <c r="O124" s="82" t="n">
        <v>0</v>
      </c>
      <c r="P124" s="81" t="n">
        <v>0</v>
      </c>
      <c r="Q124" s="82" t="n">
        <v>0</v>
      </c>
      <c r="R124" s="83" t="n">
        <v>0</v>
      </c>
      <c r="S124" s="82" t="n">
        <v>0</v>
      </c>
      <c r="T124" s="82" t="n">
        <v>0</v>
      </c>
      <c r="U124" s="82" t="n">
        <v>0</v>
      </c>
      <c r="V124" s="82" t="n">
        <v>0</v>
      </c>
      <c r="W124" s="82" t="n">
        <v>0</v>
      </c>
    </row>
    <row r="125" customFormat="false" ht="15" hidden="false" customHeight="false" outlineLevel="0" collapsed="false">
      <c r="A125" s="68" t="s">
        <v>55</v>
      </c>
      <c r="B125" s="69" t="n">
        <v>46141</v>
      </c>
      <c r="C125" s="70" t="n">
        <v>5</v>
      </c>
      <c r="D125" s="70" t="s">
        <v>53</v>
      </c>
      <c r="E125" s="71" t="n">
        <f aca="false">G125*23.12+H125*23.12+I125*23.12+J125*23.12+K125*11.55+L125*11.55+M125*11.55+N125*16.51+O125*16.51+P125*16.51+Q125*11.55+S125*11.55+T125*15+U125*1.7+V125*1.7+W125*11.55</f>
        <v>3580.5</v>
      </c>
      <c r="F125" s="72" t="n">
        <f aca="false">G125+H125+I125+J125+K125+L125+M125+N125+O125+P125+Q125+S125+T125+U125+V125+W125</f>
        <v>310</v>
      </c>
      <c r="G125" s="73" t="n">
        <v>0</v>
      </c>
      <c r="H125" s="74" t="n">
        <v>0</v>
      </c>
      <c r="I125" s="74" t="n">
        <v>0</v>
      </c>
      <c r="J125" s="74" t="n">
        <v>0</v>
      </c>
      <c r="K125" s="98" t="n">
        <v>155</v>
      </c>
      <c r="L125" s="99" t="n">
        <v>155</v>
      </c>
      <c r="M125" s="74" t="n">
        <v>0</v>
      </c>
      <c r="N125" s="73" t="n">
        <v>0</v>
      </c>
      <c r="O125" s="74" t="n">
        <v>0</v>
      </c>
      <c r="P125" s="73" t="n">
        <v>0</v>
      </c>
      <c r="Q125" s="74" t="n">
        <v>0</v>
      </c>
      <c r="R125" s="75" t="n">
        <v>0</v>
      </c>
      <c r="S125" s="74" t="n">
        <v>0</v>
      </c>
      <c r="T125" s="74" t="n">
        <v>0</v>
      </c>
      <c r="U125" s="74" t="n">
        <v>0</v>
      </c>
      <c r="V125" s="74" t="n">
        <v>0</v>
      </c>
      <c r="W125" s="74" t="n">
        <v>0</v>
      </c>
    </row>
    <row r="126" customFormat="false" ht="15" hidden="false" customHeight="false" outlineLevel="0" collapsed="false">
      <c r="A126" s="76" t="s">
        <v>47</v>
      </c>
      <c r="B126" s="77" t="n">
        <v>46142</v>
      </c>
      <c r="C126" s="78" t="n">
        <v>5</v>
      </c>
      <c r="D126" s="78" t="s">
        <v>53</v>
      </c>
      <c r="E126" s="79" t="n">
        <f aca="false">G126*23.12+H126*23.12+I126*23.12+J126*23.12+K126*11.55+L126*11.55+M126*11.55+N126*16.51+O126*16.51+P126*16.51+Q126*11.55+S126*11.55+T126*15+U126*1.7+V126*1.7+W126*11.55</f>
        <v>3580.5</v>
      </c>
      <c r="F126" s="80" t="n">
        <f aca="false">G126+H126+I126+J126+K126+L126+M126+N126+O126+P126+Q126+S126+T126+U126+V126+W126</f>
        <v>310</v>
      </c>
      <c r="G126" s="81" t="n">
        <v>0</v>
      </c>
      <c r="H126" s="82" t="n">
        <v>0</v>
      </c>
      <c r="I126" s="82" t="n">
        <v>0</v>
      </c>
      <c r="J126" s="82" t="n">
        <v>0</v>
      </c>
      <c r="K126" s="96" t="n">
        <v>155</v>
      </c>
      <c r="L126" s="97" t="n">
        <v>155</v>
      </c>
      <c r="M126" s="82" t="n">
        <v>0</v>
      </c>
      <c r="N126" s="81" t="n">
        <v>0</v>
      </c>
      <c r="O126" s="82" t="n">
        <v>0</v>
      </c>
      <c r="P126" s="81" t="n">
        <v>0</v>
      </c>
      <c r="Q126" s="82" t="n">
        <v>0</v>
      </c>
      <c r="R126" s="83" t="n">
        <v>0</v>
      </c>
      <c r="S126" s="82" t="n">
        <v>0</v>
      </c>
      <c r="T126" s="82" t="n">
        <v>0</v>
      </c>
      <c r="U126" s="82" t="n">
        <v>0</v>
      </c>
      <c r="V126" s="82" t="n">
        <v>0</v>
      </c>
      <c r="W126" s="82" t="n">
        <v>0</v>
      </c>
    </row>
    <row r="127" customFormat="false" ht="15" hidden="false" customHeight="false" outlineLevel="0" collapsed="false">
      <c r="A127" s="68" t="s">
        <v>49</v>
      </c>
      <c r="B127" s="69" t="n">
        <v>46143</v>
      </c>
      <c r="C127" s="70" t="n">
        <v>5</v>
      </c>
      <c r="D127" s="70" t="s">
        <v>53</v>
      </c>
      <c r="E127" s="71" t="n">
        <f aca="false">G127*23.12+H127*23.12+I127*23.12+J127*23.12+K127*11.55+L127*11.55+M127*11.55+N127*16.51+O127*16.51+P127*16.51+Q127*11.55+S127*11.55+T127*15+U127*1.7+V127*1.7+W127*11.55</f>
        <v>3580.5</v>
      </c>
      <c r="F127" s="72" t="n">
        <f aca="false">G127+H127+I127+J127+K127+L127+M127+N127+O127+P127+Q127+S127+T127+U127+V127+W127</f>
        <v>310</v>
      </c>
      <c r="G127" s="73" t="n">
        <v>0</v>
      </c>
      <c r="H127" s="74" t="n">
        <v>0</v>
      </c>
      <c r="I127" s="74" t="n">
        <v>0</v>
      </c>
      <c r="J127" s="74" t="n">
        <v>0</v>
      </c>
      <c r="K127" s="98" t="n">
        <v>155</v>
      </c>
      <c r="L127" s="99" t="n">
        <v>155</v>
      </c>
      <c r="M127" s="74" t="n">
        <v>0</v>
      </c>
      <c r="N127" s="73" t="n">
        <v>0</v>
      </c>
      <c r="O127" s="74" t="n">
        <v>0</v>
      </c>
      <c r="P127" s="73" t="n">
        <v>0</v>
      </c>
      <c r="Q127" s="74" t="n">
        <v>0</v>
      </c>
      <c r="R127" s="75" t="n">
        <v>0</v>
      </c>
      <c r="S127" s="74" t="n">
        <v>0</v>
      </c>
      <c r="T127" s="74" t="n">
        <v>0</v>
      </c>
      <c r="U127" s="74" t="n">
        <v>0</v>
      </c>
      <c r="V127" s="74" t="n">
        <v>0</v>
      </c>
      <c r="W127" s="74" t="n">
        <v>0</v>
      </c>
    </row>
    <row r="128" customFormat="false" ht="15" hidden="false" customHeight="false" outlineLevel="0" collapsed="false">
      <c r="A128" s="85" t="s">
        <v>50</v>
      </c>
      <c r="B128" s="77" t="n">
        <v>46144</v>
      </c>
      <c r="C128" s="78" t="n">
        <v>5</v>
      </c>
      <c r="D128" s="78" t="s">
        <v>53</v>
      </c>
      <c r="E128" s="79" t="n">
        <f aca="false">G128*23.12+H128*23.12+I128*23.12+J128*23.12+K128*11.55+L128*11.55+M128*11.55+N128*16.51+O128*16.51+P128*16.51+Q128*11.55+S128*11.55+T128*15+U128*1.7+V128*1.7+W128*11.55</f>
        <v>3580.5</v>
      </c>
      <c r="F128" s="80" t="n">
        <f aca="false">G128+H128+I128+J128+K128+L128+M128+N128+O128+P128+Q128+S128+T128+U128+V128+W128</f>
        <v>310</v>
      </c>
      <c r="G128" s="81" t="n">
        <v>0</v>
      </c>
      <c r="H128" s="82" t="n">
        <v>0</v>
      </c>
      <c r="I128" s="82" t="n">
        <v>0</v>
      </c>
      <c r="J128" s="82" t="n">
        <v>0</v>
      </c>
      <c r="K128" s="96" t="n">
        <v>155</v>
      </c>
      <c r="L128" s="97" t="n">
        <v>155</v>
      </c>
      <c r="M128" s="82" t="n">
        <v>0</v>
      </c>
      <c r="N128" s="81" t="n">
        <v>0</v>
      </c>
      <c r="O128" s="82" t="n">
        <v>0</v>
      </c>
      <c r="P128" s="81" t="n">
        <v>0</v>
      </c>
      <c r="Q128" s="82" t="n">
        <v>0</v>
      </c>
      <c r="R128" s="83" t="n">
        <v>0</v>
      </c>
      <c r="S128" s="82" t="n">
        <v>0</v>
      </c>
      <c r="T128" s="82" t="n">
        <v>0</v>
      </c>
      <c r="U128" s="82" t="n">
        <v>0</v>
      </c>
      <c r="V128" s="82" t="n">
        <v>0</v>
      </c>
      <c r="W128" s="82" t="n">
        <v>0</v>
      </c>
    </row>
    <row r="129" customFormat="false" ht="15" hidden="false" customHeight="false" outlineLevel="0" collapsed="false">
      <c r="A129" s="84" t="s">
        <v>51</v>
      </c>
      <c r="B129" s="69" t="n">
        <v>46145</v>
      </c>
      <c r="C129" s="70" t="n">
        <v>5</v>
      </c>
      <c r="D129" s="70" t="s">
        <v>53</v>
      </c>
      <c r="E129" s="71" t="n">
        <f aca="false">G129*23.12+H129*23.12+I129*23.12+J129*23.12+K129*11.55+L129*11.55+M129*11.55+N129*16.51+O129*16.51+P129*16.51+Q129*11.55+S129*11.55+T129*15+U129*1.7+V129*1.7+W129*11.55</f>
        <v>0</v>
      </c>
      <c r="F129" s="72" t="n">
        <f aca="false">G129+H129+I129+J129+K129+L129+M129+N129+O129+P129+Q129+S129+T129+U129+V129+W129</f>
        <v>0</v>
      </c>
      <c r="G129" s="73" t="n">
        <v>0</v>
      </c>
      <c r="H129" s="74" t="n">
        <v>0</v>
      </c>
      <c r="I129" s="74" t="n">
        <v>0</v>
      </c>
      <c r="J129" s="74" t="n">
        <v>0</v>
      </c>
      <c r="K129" s="73" t="n">
        <v>0</v>
      </c>
      <c r="L129" s="74" t="n">
        <v>0</v>
      </c>
      <c r="M129" s="74" t="n">
        <v>0</v>
      </c>
      <c r="N129" s="73" t="n">
        <v>0</v>
      </c>
      <c r="O129" s="74" t="n">
        <v>0</v>
      </c>
      <c r="P129" s="73" t="n">
        <v>0</v>
      </c>
      <c r="Q129" s="74" t="n">
        <v>0</v>
      </c>
      <c r="R129" s="75" t="n">
        <v>0</v>
      </c>
      <c r="S129" s="74" t="n">
        <v>0</v>
      </c>
      <c r="T129" s="74" t="n">
        <v>0</v>
      </c>
      <c r="U129" s="74" t="n">
        <v>0</v>
      </c>
      <c r="V129" s="74" t="n">
        <v>0</v>
      </c>
      <c r="W129" s="74" t="n">
        <v>0</v>
      </c>
    </row>
    <row r="130" customFormat="false" ht="15" hidden="false" customHeight="false" outlineLevel="0" collapsed="false">
      <c r="A130" s="100" t="s">
        <v>52</v>
      </c>
      <c r="B130" s="101" t="n">
        <v>46146</v>
      </c>
      <c r="C130" s="102" t="n">
        <v>5</v>
      </c>
      <c r="D130" s="102" t="s">
        <v>56</v>
      </c>
      <c r="E130" s="103" t="n">
        <f aca="false">G130*23.12+H130*23.12+I130*23.12+J130*23.12+K130*11.55+L130*11.55+M130*11.55+N130*16.51+O130*16.51+P130*16.51+Q130*11.55+S130*11.55+T130*15+U130*1.7+V130*1.7+W130*11.55</f>
        <v>3580.5</v>
      </c>
      <c r="F130" s="104" t="n">
        <f aca="false">G130+H130+I130+J130+K130+L130+M130+N130+O130+P130+Q130+S130+T130+U130+V130+W130</f>
        <v>310</v>
      </c>
      <c r="G130" s="105" t="n">
        <v>0</v>
      </c>
      <c r="H130" s="106" t="n">
        <v>0</v>
      </c>
      <c r="I130" s="106" t="n">
        <v>0</v>
      </c>
      <c r="J130" s="106" t="n">
        <v>0</v>
      </c>
      <c r="K130" s="107" t="n">
        <v>155</v>
      </c>
      <c r="L130" s="108" t="n">
        <v>155</v>
      </c>
      <c r="M130" s="106" t="n">
        <v>0</v>
      </c>
      <c r="N130" s="105" t="n">
        <v>0</v>
      </c>
      <c r="O130" s="106" t="n">
        <v>0</v>
      </c>
      <c r="P130" s="105" t="n">
        <v>0</v>
      </c>
      <c r="Q130" s="106" t="n">
        <v>0</v>
      </c>
      <c r="R130" s="109" t="n">
        <v>0</v>
      </c>
      <c r="S130" s="106" t="n">
        <v>0</v>
      </c>
      <c r="T130" s="106" t="n">
        <v>0</v>
      </c>
      <c r="U130" s="106" t="n">
        <v>0</v>
      </c>
      <c r="V130" s="106" t="n">
        <v>0</v>
      </c>
      <c r="W130" s="106" t="n">
        <v>0</v>
      </c>
    </row>
    <row r="131" customFormat="false" ht="15" hidden="false" customHeight="false" outlineLevel="0" collapsed="false">
      <c r="A131" s="68" t="s">
        <v>54</v>
      </c>
      <c r="B131" s="69" t="n">
        <v>46147</v>
      </c>
      <c r="C131" s="70" t="n">
        <v>5</v>
      </c>
      <c r="D131" s="70" t="s">
        <v>56</v>
      </c>
      <c r="E131" s="71" t="n">
        <f aca="false">G131*23.12+H131*23.12+I131*23.12+J131*23.12+K131*11.55+L131*11.55+M131*11.55+N131*16.51+O131*16.51+P131*16.51+Q131*11.55+S131*11.55+T131*15+U131*1.7+V131*1.7+W131*11.55</f>
        <v>5561.7</v>
      </c>
      <c r="F131" s="72" t="n">
        <f aca="false">G131+H131+I131+J131+K131+L131+M131+N131+O131+P131+Q131+S131+T131+U131+V131+W131</f>
        <v>430</v>
      </c>
      <c r="G131" s="73" t="n">
        <v>0</v>
      </c>
      <c r="H131" s="74" t="n">
        <v>0</v>
      </c>
      <c r="I131" s="74" t="n">
        <v>0</v>
      </c>
      <c r="J131" s="74" t="n">
        <v>0</v>
      </c>
      <c r="K131" s="98" t="n">
        <v>155</v>
      </c>
      <c r="L131" s="99" t="n">
        <v>155</v>
      </c>
      <c r="M131" s="74" t="n">
        <v>0</v>
      </c>
      <c r="N131" s="98" t="n">
        <v>50</v>
      </c>
      <c r="O131" s="99" t="n">
        <v>50</v>
      </c>
      <c r="P131" s="98" t="n">
        <v>20</v>
      </c>
      <c r="Q131" s="74" t="n">
        <v>0</v>
      </c>
      <c r="R131" s="75" t="n">
        <v>0</v>
      </c>
      <c r="S131" s="74" t="n">
        <v>0</v>
      </c>
      <c r="T131" s="74" t="n">
        <v>0</v>
      </c>
      <c r="U131" s="74" t="n">
        <v>0</v>
      </c>
      <c r="V131" s="74" t="n">
        <v>0</v>
      </c>
      <c r="W131" s="74" t="n">
        <v>0</v>
      </c>
    </row>
    <row r="132" customFormat="false" ht="15" hidden="false" customHeight="false" outlineLevel="0" collapsed="false">
      <c r="A132" s="76" t="s">
        <v>55</v>
      </c>
      <c r="B132" s="77" t="n">
        <v>46148</v>
      </c>
      <c r="C132" s="78" t="n">
        <v>5</v>
      </c>
      <c r="D132" s="78" t="s">
        <v>56</v>
      </c>
      <c r="E132" s="79" t="n">
        <f aca="false">G132*23.12+H132*23.12+I132*23.12+J132*23.12+K132*11.55+L132*11.55+M132*11.55+N132*16.51+O132*16.51+P132*16.51+Q132*11.55+S132*11.55+T132*15+U132*1.7+V132*1.7+W132*11.55</f>
        <v>5561.7</v>
      </c>
      <c r="F132" s="80" t="n">
        <f aca="false">G132+H132+I132+J132+K132+L132+M132+N132+O132+P132+Q132+S132+T132+U132+V132+W132</f>
        <v>430</v>
      </c>
      <c r="G132" s="81" t="n">
        <v>0</v>
      </c>
      <c r="H132" s="82" t="n">
        <v>0</v>
      </c>
      <c r="I132" s="82" t="n">
        <v>0</v>
      </c>
      <c r="J132" s="82" t="n">
        <v>0</v>
      </c>
      <c r="K132" s="96" t="n">
        <v>155</v>
      </c>
      <c r="L132" s="97" t="n">
        <v>155</v>
      </c>
      <c r="M132" s="82" t="n">
        <v>0</v>
      </c>
      <c r="N132" s="96" t="n">
        <v>50</v>
      </c>
      <c r="O132" s="97" t="n">
        <v>50</v>
      </c>
      <c r="P132" s="96" t="n">
        <v>20</v>
      </c>
      <c r="Q132" s="82" t="n">
        <v>0</v>
      </c>
      <c r="R132" s="83" t="n">
        <v>0</v>
      </c>
      <c r="S132" s="82" t="n">
        <v>0</v>
      </c>
      <c r="T132" s="82" t="n">
        <v>0</v>
      </c>
      <c r="U132" s="82" t="n">
        <v>0</v>
      </c>
      <c r="V132" s="82" t="n">
        <v>0</v>
      </c>
      <c r="W132" s="82" t="n">
        <v>0</v>
      </c>
    </row>
    <row r="133" customFormat="false" ht="15" hidden="false" customHeight="false" outlineLevel="0" collapsed="false">
      <c r="A133" s="68" t="s">
        <v>47</v>
      </c>
      <c r="B133" s="69" t="n">
        <v>46149</v>
      </c>
      <c r="C133" s="70" t="n">
        <v>5</v>
      </c>
      <c r="D133" s="70" t="s">
        <v>56</v>
      </c>
      <c r="E133" s="71" t="n">
        <f aca="false">G133*23.12+H133*23.12+I133*23.12+J133*23.12+K133*11.55+L133*11.55+M133*11.55+N133*16.51+O133*16.51+P133*16.51+Q133*11.55+S133*11.55+T133*15+U133*1.7+V133*1.7+W133*11.55</f>
        <v>4736.2</v>
      </c>
      <c r="F133" s="72" t="n">
        <f aca="false">G133+H133+I133+J133+K133+L133+M133+N133+O133+P133+Q133+S133+T133+U133+V133+W133</f>
        <v>380</v>
      </c>
      <c r="G133" s="73" t="n">
        <v>0</v>
      </c>
      <c r="H133" s="74" t="n">
        <v>0</v>
      </c>
      <c r="I133" s="74" t="n">
        <v>0</v>
      </c>
      <c r="J133" s="74" t="n">
        <v>0</v>
      </c>
      <c r="K133" s="98" t="n">
        <v>155</v>
      </c>
      <c r="L133" s="99" t="n">
        <v>155</v>
      </c>
      <c r="M133" s="74" t="n">
        <v>0</v>
      </c>
      <c r="N133" s="73" t="n">
        <v>0</v>
      </c>
      <c r="O133" s="99" t="n">
        <v>50</v>
      </c>
      <c r="P133" s="98" t="n">
        <v>20</v>
      </c>
      <c r="Q133" s="74" t="n">
        <v>0</v>
      </c>
      <c r="R133" s="75" t="n">
        <v>0</v>
      </c>
      <c r="S133" s="74" t="n">
        <v>0</v>
      </c>
      <c r="T133" s="74" t="n">
        <v>0</v>
      </c>
      <c r="U133" s="74" t="n">
        <v>0</v>
      </c>
      <c r="V133" s="74" t="n">
        <v>0</v>
      </c>
      <c r="W133" s="74" t="n">
        <v>0</v>
      </c>
    </row>
    <row r="134" customFormat="false" ht="15" hidden="false" customHeight="false" outlineLevel="0" collapsed="false">
      <c r="A134" s="76" t="s">
        <v>49</v>
      </c>
      <c r="B134" s="77" t="n">
        <v>46150</v>
      </c>
      <c r="C134" s="78" t="n">
        <v>5</v>
      </c>
      <c r="D134" s="78" t="s">
        <v>56</v>
      </c>
      <c r="E134" s="79" t="n">
        <f aca="false">G134*23.12+H134*23.12+I134*23.12+J134*23.12+K134*11.55+L134*11.55+M134*11.55+N134*16.51+O134*16.51+P134*16.51+Q134*11.55+S134*11.55+T134*15+U134*1.7+V134*1.7+W134*11.55</f>
        <v>4736.2</v>
      </c>
      <c r="F134" s="80" t="n">
        <f aca="false">G134+H134+I134+J134+K134+L134+M134+N134+O134+P134+Q134+S134+T134+U134+V134+W134</f>
        <v>380</v>
      </c>
      <c r="G134" s="81" t="n">
        <v>0</v>
      </c>
      <c r="H134" s="82" t="n">
        <v>0</v>
      </c>
      <c r="I134" s="82" t="n">
        <v>0</v>
      </c>
      <c r="J134" s="82" t="n">
        <v>0</v>
      </c>
      <c r="K134" s="96" t="n">
        <v>155</v>
      </c>
      <c r="L134" s="97" t="n">
        <v>155</v>
      </c>
      <c r="M134" s="82" t="n">
        <v>0</v>
      </c>
      <c r="N134" s="81" t="n">
        <v>0</v>
      </c>
      <c r="O134" s="97" t="n">
        <v>50</v>
      </c>
      <c r="P134" s="96" t="n">
        <v>20</v>
      </c>
      <c r="Q134" s="82" t="n">
        <v>0</v>
      </c>
      <c r="R134" s="83" t="n">
        <v>0</v>
      </c>
      <c r="S134" s="82" t="n">
        <v>0</v>
      </c>
      <c r="T134" s="82" t="n">
        <v>0</v>
      </c>
      <c r="U134" s="82" t="n">
        <v>0</v>
      </c>
      <c r="V134" s="82" t="n">
        <v>0</v>
      </c>
      <c r="W134" s="82" t="n">
        <v>0</v>
      </c>
    </row>
    <row r="135" customFormat="false" ht="15" hidden="false" customHeight="false" outlineLevel="0" collapsed="false">
      <c r="A135" s="84" t="s">
        <v>50</v>
      </c>
      <c r="B135" s="69" t="n">
        <v>46151</v>
      </c>
      <c r="C135" s="70" t="n">
        <v>5</v>
      </c>
      <c r="D135" s="70" t="s">
        <v>56</v>
      </c>
      <c r="E135" s="71" t="n">
        <f aca="false">G135*23.12+H135*23.12+I135*23.12+J135*23.12+K135*11.55+L135*11.55+M135*11.55+N135*16.51+O135*16.51+P135*16.51+Q135*11.55+S135*11.55+T135*15+U135*1.7+V135*1.7+W135*11.55</f>
        <v>4406</v>
      </c>
      <c r="F135" s="72" t="n">
        <f aca="false">G135+H135+I135+J135+K135+L135+M135+N135+O135+P135+Q135+S135+T135+U135+V135+W135</f>
        <v>360</v>
      </c>
      <c r="G135" s="73" t="n">
        <v>0</v>
      </c>
      <c r="H135" s="74" t="n">
        <v>0</v>
      </c>
      <c r="I135" s="74" t="n">
        <v>0</v>
      </c>
      <c r="J135" s="74" t="n">
        <v>0</v>
      </c>
      <c r="K135" s="98" t="n">
        <v>155</v>
      </c>
      <c r="L135" s="99" t="n">
        <v>155</v>
      </c>
      <c r="M135" s="74" t="n">
        <v>0</v>
      </c>
      <c r="N135" s="98" t="n">
        <v>50</v>
      </c>
      <c r="O135" s="74" t="n">
        <v>0</v>
      </c>
      <c r="P135" s="73" t="n">
        <v>0</v>
      </c>
      <c r="Q135" s="74" t="n">
        <v>0</v>
      </c>
      <c r="R135" s="75" t="n">
        <v>0</v>
      </c>
      <c r="S135" s="74" t="n">
        <v>0</v>
      </c>
      <c r="T135" s="74" t="n">
        <v>0</v>
      </c>
      <c r="U135" s="74" t="n">
        <v>0</v>
      </c>
      <c r="V135" s="74" t="n">
        <v>0</v>
      </c>
      <c r="W135" s="74" t="n">
        <v>0</v>
      </c>
    </row>
    <row r="136" customFormat="false" ht="15" hidden="false" customHeight="false" outlineLevel="0" collapsed="false">
      <c r="A136" s="85" t="s">
        <v>51</v>
      </c>
      <c r="B136" s="77" t="n">
        <v>46152</v>
      </c>
      <c r="C136" s="78" t="n">
        <v>5</v>
      </c>
      <c r="D136" s="78" t="s">
        <v>56</v>
      </c>
      <c r="E136" s="79" t="n">
        <f aca="false">G136*23.12+H136*23.12+I136*23.12+J136*23.12+K136*11.55+L136*11.55+M136*11.55+N136*16.51+O136*16.51+P136*16.51+Q136*11.55+S136*11.55+T136*15+U136*1.7+V136*1.7+W136*11.55</f>
        <v>0</v>
      </c>
      <c r="F136" s="80" t="n">
        <f aca="false">G136+H136+I136+J136+K136+L136+M136+N136+O136+P136+Q136+S136+T136+U136+V136+W136</f>
        <v>0</v>
      </c>
      <c r="G136" s="81" t="n">
        <v>0</v>
      </c>
      <c r="H136" s="82" t="n">
        <v>0</v>
      </c>
      <c r="I136" s="82" t="n">
        <v>0</v>
      </c>
      <c r="J136" s="82" t="n">
        <v>0</v>
      </c>
      <c r="K136" s="81" t="n">
        <v>0</v>
      </c>
      <c r="L136" s="82" t="n">
        <v>0</v>
      </c>
      <c r="M136" s="82" t="n">
        <v>0</v>
      </c>
      <c r="N136" s="81" t="n">
        <v>0</v>
      </c>
      <c r="O136" s="82" t="n">
        <v>0</v>
      </c>
      <c r="P136" s="81" t="n">
        <v>0</v>
      </c>
      <c r="Q136" s="82" t="n">
        <v>0</v>
      </c>
      <c r="R136" s="83" t="n">
        <v>0</v>
      </c>
      <c r="S136" s="82" t="n">
        <v>0</v>
      </c>
      <c r="T136" s="82" t="n">
        <v>0</v>
      </c>
      <c r="U136" s="82" t="n">
        <v>0</v>
      </c>
      <c r="V136" s="82" t="n">
        <v>0</v>
      </c>
      <c r="W136" s="82" t="n">
        <v>0</v>
      </c>
    </row>
    <row r="137" customFormat="false" ht="15" hidden="false" customHeight="false" outlineLevel="0" collapsed="false">
      <c r="A137" s="86" t="s">
        <v>52</v>
      </c>
      <c r="B137" s="87" t="n">
        <v>46153</v>
      </c>
      <c r="C137" s="88" t="n">
        <v>5</v>
      </c>
      <c r="D137" s="88" t="s">
        <v>57</v>
      </c>
      <c r="E137" s="89" t="n">
        <f aca="false">G137*23.12+H137*23.12+I137*23.12+J137*23.12+K137*11.55+L137*11.55+M137*11.55+N137*16.51+O137*16.51+P137*16.51+Q137*11.55+S137*11.55+T137*15+U137*1.7+V137*1.7+W137*11.55</f>
        <v>3580.5</v>
      </c>
      <c r="F137" s="90" t="n">
        <f aca="false">G137+H137+I137+J137+K137+L137+M137+N137+O137+P137+Q137+S137+T137+U137+V137+W137</f>
        <v>310</v>
      </c>
      <c r="G137" s="91" t="n">
        <v>0</v>
      </c>
      <c r="H137" s="92" t="n">
        <v>0</v>
      </c>
      <c r="I137" s="92" t="n">
        <v>0</v>
      </c>
      <c r="J137" s="92" t="n">
        <v>0</v>
      </c>
      <c r="K137" s="93" t="n">
        <v>155</v>
      </c>
      <c r="L137" s="94" t="n">
        <v>155</v>
      </c>
      <c r="M137" s="92" t="n">
        <v>0</v>
      </c>
      <c r="N137" s="91" t="n">
        <v>0</v>
      </c>
      <c r="O137" s="92" t="n">
        <v>0</v>
      </c>
      <c r="P137" s="91" t="n">
        <v>0</v>
      </c>
      <c r="Q137" s="92" t="n">
        <v>0</v>
      </c>
      <c r="R137" s="95" t="n">
        <v>0</v>
      </c>
      <c r="S137" s="92" t="n">
        <v>0</v>
      </c>
      <c r="T137" s="92" t="n">
        <v>0</v>
      </c>
      <c r="U137" s="92" t="n">
        <v>0</v>
      </c>
      <c r="V137" s="92" t="n">
        <v>0</v>
      </c>
      <c r="W137" s="92" t="n">
        <v>0</v>
      </c>
    </row>
    <row r="138" customFormat="false" ht="15" hidden="false" customHeight="false" outlineLevel="0" collapsed="false">
      <c r="A138" s="76" t="s">
        <v>54</v>
      </c>
      <c r="B138" s="77" t="n">
        <v>46154</v>
      </c>
      <c r="C138" s="78" t="n">
        <v>5</v>
      </c>
      <c r="D138" s="78" t="s">
        <v>57</v>
      </c>
      <c r="E138" s="79" t="n">
        <f aca="false">G138*23.12+H138*23.12+I138*23.12+J138*23.12+K138*11.55+L138*11.55+M138*11.55+N138*16.51+O138*16.51+P138*16.51+Q138*11.55+S138*11.55+T138*15+U138*1.7+V138*1.7+W138*11.55</f>
        <v>3580.5</v>
      </c>
      <c r="F138" s="80" t="n">
        <f aca="false">G138+H138+I138+J138+K138+L138+M138+N138+O138+P138+Q138+S138+T138+U138+V138+W138</f>
        <v>310</v>
      </c>
      <c r="G138" s="81" t="n">
        <v>0</v>
      </c>
      <c r="H138" s="82" t="n">
        <v>0</v>
      </c>
      <c r="I138" s="82" t="n">
        <v>0</v>
      </c>
      <c r="J138" s="82" t="n">
        <v>0</v>
      </c>
      <c r="K138" s="96" t="n">
        <v>155</v>
      </c>
      <c r="L138" s="97" t="n">
        <v>155</v>
      </c>
      <c r="M138" s="82" t="n">
        <v>0</v>
      </c>
      <c r="N138" s="81" t="n">
        <v>0</v>
      </c>
      <c r="O138" s="82" t="n">
        <v>0</v>
      </c>
      <c r="P138" s="81" t="n">
        <v>0</v>
      </c>
      <c r="Q138" s="82" t="n">
        <v>0</v>
      </c>
      <c r="R138" s="83" t="n">
        <v>0</v>
      </c>
      <c r="S138" s="82" t="n">
        <v>0</v>
      </c>
      <c r="T138" s="82" t="n">
        <v>0</v>
      </c>
      <c r="U138" s="82" t="n">
        <v>0</v>
      </c>
      <c r="V138" s="82" t="n">
        <v>0</v>
      </c>
      <c r="W138" s="82" t="n">
        <v>0</v>
      </c>
    </row>
    <row r="139" customFormat="false" ht="15" hidden="false" customHeight="false" outlineLevel="0" collapsed="false">
      <c r="A139" s="68" t="s">
        <v>55</v>
      </c>
      <c r="B139" s="69" t="n">
        <v>46155</v>
      </c>
      <c r="C139" s="70" t="n">
        <v>5</v>
      </c>
      <c r="D139" s="70" t="s">
        <v>57</v>
      </c>
      <c r="E139" s="71" t="n">
        <f aca="false">G139*23.12+H139*23.12+I139*23.12+J139*23.12+K139*11.55+L139*11.55+M139*11.55+N139*16.51+O139*16.51+P139*16.51+Q139*11.55+S139*11.55+T139*15+U139*1.7+V139*1.7+W139*11.55</f>
        <v>3580.5</v>
      </c>
      <c r="F139" s="72" t="n">
        <f aca="false">G139+H139+I139+J139+K139+L139+M139+N139+O139+P139+Q139+S139+T139+U139+V139+W139</f>
        <v>310</v>
      </c>
      <c r="G139" s="73" t="n">
        <v>0</v>
      </c>
      <c r="H139" s="74" t="n">
        <v>0</v>
      </c>
      <c r="I139" s="74" t="n">
        <v>0</v>
      </c>
      <c r="J139" s="74" t="n">
        <v>0</v>
      </c>
      <c r="K139" s="98" t="n">
        <v>155</v>
      </c>
      <c r="L139" s="99" t="n">
        <v>155</v>
      </c>
      <c r="M139" s="74" t="n">
        <v>0</v>
      </c>
      <c r="N139" s="73" t="n">
        <v>0</v>
      </c>
      <c r="O139" s="74" t="n">
        <v>0</v>
      </c>
      <c r="P139" s="73" t="n">
        <v>0</v>
      </c>
      <c r="Q139" s="74" t="n">
        <v>0</v>
      </c>
      <c r="R139" s="75" t="n">
        <v>0</v>
      </c>
      <c r="S139" s="74" t="n">
        <v>0</v>
      </c>
      <c r="T139" s="74" t="n">
        <v>0</v>
      </c>
      <c r="U139" s="74" t="n">
        <v>0</v>
      </c>
      <c r="V139" s="74" t="n">
        <v>0</v>
      </c>
      <c r="W139" s="74" t="n">
        <v>0</v>
      </c>
    </row>
    <row r="140" customFormat="false" ht="15" hidden="false" customHeight="false" outlineLevel="0" collapsed="false">
      <c r="A140" s="76" t="s">
        <v>47</v>
      </c>
      <c r="B140" s="77" t="n">
        <v>46156</v>
      </c>
      <c r="C140" s="78" t="n">
        <v>5</v>
      </c>
      <c r="D140" s="78" t="s">
        <v>57</v>
      </c>
      <c r="E140" s="79" t="n">
        <f aca="false">G140*23.12+H140*23.12+I140*23.12+J140*23.12+K140*11.55+L140*11.55+M140*11.55+N140*16.51+O140*16.51+P140*16.51+Q140*11.55+S140*11.55+T140*15+U140*1.7+V140*1.7+W140*11.55</f>
        <v>3580.5</v>
      </c>
      <c r="F140" s="80" t="n">
        <f aca="false">G140+H140+I140+J140+K140+L140+M140+N140+O140+P140+Q140+S140+T140+U140+V140+W140</f>
        <v>310</v>
      </c>
      <c r="G140" s="81" t="n">
        <v>0</v>
      </c>
      <c r="H140" s="82" t="n">
        <v>0</v>
      </c>
      <c r="I140" s="82" t="n">
        <v>0</v>
      </c>
      <c r="J140" s="82" t="n">
        <v>0</v>
      </c>
      <c r="K140" s="96" t="n">
        <v>155</v>
      </c>
      <c r="L140" s="97" t="n">
        <v>155</v>
      </c>
      <c r="M140" s="82" t="n">
        <v>0</v>
      </c>
      <c r="N140" s="81" t="n">
        <v>0</v>
      </c>
      <c r="O140" s="82" t="n">
        <v>0</v>
      </c>
      <c r="P140" s="81" t="n">
        <v>0</v>
      </c>
      <c r="Q140" s="82" t="n">
        <v>0</v>
      </c>
      <c r="R140" s="83" t="n">
        <v>0</v>
      </c>
      <c r="S140" s="82" t="n">
        <v>0</v>
      </c>
      <c r="T140" s="82" t="n">
        <v>0</v>
      </c>
      <c r="U140" s="82" t="n">
        <v>0</v>
      </c>
      <c r="V140" s="82" t="n">
        <v>0</v>
      </c>
      <c r="W140" s="82" t="n">
        <v>0</v>
      </c>
    </row>
    <row r="141" customFormat="false" ht="15" hidden="false" customHeight="false" outlineLevel="0" collapsed="false">
      <c r="A141" s="68" t="s">
        <v>49</v>
      </c>
      <c r="B141" s="69" t="n">
        <v>46157</v>
      </c>
      <c r="C141" s="70" t="n">
        <v>5</v>
      </c>
      <c r="D141" s="70" t="s">
        <v>57</v>
      </c>
      <c r="E141" s="71" t="n">
        <f aca="false">G141*23.12+H141*23.12+I141*23.12+J141*23.12+K141*11.55+L141*11.55+M141*11.55+N141*16.51+O141*16.51+P141*16.51+Q141*11.55+S141*11.55+T141*15+U141*1.7+V141*1.7+W141*11.55</f>
        <v>3580.5</v>
      </c>
      <c r="F141" s="72" t="n">
        <f aca="false">G141+H141+I141+J141+K141+L141+M141+N141+O141+P141+Q141+S141+T141+U141+V141+W141</f>
        <v>310</v>
      </c>
      <c r="G141" s="73" t="n">
        <v>0</v>
      </c>
      <c r="H141" s="74" t="n">
        <v>0</v>
      </c>
      <c r="I141" s="74" t="n">
        <v>0</v>
      </c>
      <c r="J141" s="74" t="n">
        <v>0</v>
      </c>
      <c r="K141" s="98" t="n">
        <v>155</v>
      </c>
      <c r="L141" s="99" t="n">
        <v>155</v>
      </c>
      <c r="M141" s="74" t="n">
        <v>0</v>
      </c>
      <c r="N141" s="73" t="n">
        <v>0</v>
      </c>
      <c r="O141" s="74" t="n">
        <v>0</v>
      </c>
      <c r="P141" s="73" t="n">
        <v>0</v>
      </c>
      <c r="Q141" s="74" t="n">
        <v>0</v>
      </c>
      <c r="R141" s="75" t="n">
        <v>0</v>
      </c>
      <c r="S141" s="74" t="n">
        <v>0</v>
      </c>
      <c r="T141" s="74" t="n">
        <v>0</v>
      </c>
      <c r="U141" s="74" t="n">
        <v>0</v>
      </c>
      <c r="V141" s="74" t="n">
        <v>0</v>
      </c>
      <c r="W141" s="74" t="n">
        <v>0</v>
      </c>
    </row>
    <row r="142" customFormat="false" ht="15" hidden="false" customHeight="false" outlineLevel="0" collapsed="false">
      <c r="A142" s="85" t="s">
        <v>50</v>
      </c>
      <c r="B142" s="77" t="n">
        <v>46158</v>
      </c>
      <c r="C142" s="78" t="n">
        <v>5</v>
      </c>
      <c r="D142" s="78" t="s">
        <v>57</v>
      </c>
      <c r="E142" s="79" t="n">
        <f aca="false">G142*23.12+H142*23.12+I142*23.12+J142*23.12+K142*11.55+L142*11.55+M142*11.55+N142*16.51+O142*16.51+P142*16.51+Q142*11.55+S142*11.55+T142*15+U142*1.7+V142*1.7+W142*11.55</f>
        <v>3580.5</v>
      </c>
      <c r="F142" s="80" t="n">
        <f aca="false">G142+H142+I142+J142+K142+L142+M142+N142+O142+P142+Q142+S142+T142+U142+V142+W142</f>
        <v>310</v>
      </c>
      <c r="G142" s="81" t="n">
        <v>0</v>
      </c>
      <c r="H142" s="82" t="n">
        <v>0</v>
      </c>
      <c r="I142" s="82" t="n">
        <v>0</v>
      </c>
      <c r="J142" s="82" t="n">
        <v>0</v>
      </c>
      <c r="K142" s="96" t="n">
        <v>155</v>
      </c>
      <c r="L142" s="97" t="n">
        <v>155</v>
      </c>
      <c r="M142" s="82" t="n">
        <v>0</v>
      </c>
      <c r="N142" s="81" t="n">
        <v>0</v>
      </c>
      <c r="O142" s="82" t="n">
        <v>0</v>
      </c>
      <c r="P142" s="81" t="n">
        <v>0</v>
      </c>
      <c r="Q142" s="82" t="n">
        <v>0</v>
      </c>
      <c r="R142" s="83" t="n">
        <v>0</v>
      </c>
      <c r="S142" s="82" t="n">
        <v>0</v>
      </c>
      <c r="T142" s="82" t="n">
        <v>0</v>
      </c>
      <c r="U142" s="82" t="n">
        <v>0</v>
      </c>
      <c r="V142" s="82" t="n">
        <v>0</v>
      </c>
      <c r="W142" s="82" t="n">
        <v>0</v>
      </c>
    </row>
    <row r="143" customFormat="false" ht="15" hidden="false" customHeight="false" outlineLevel="0" collapsed="false">
      <c r="A143" s="84" t="s">
        <v>51</v>
      </c>
      <c r="B143" s="69" t="n">
        <v>46159</v>
      </c>
      <c r="C143" s="70" t="n">
        <v>5</v>
      </c>
      <c r="D143" s="70" t="s">
        <v>57</v>
      </c>
      <c r="E143" s="71" t="n">
        <f aca="false">G143*23.12+H143*23.12+I143*23.12+J143*23.12+K143*11.55+L143*11.55+M143*11.55+N143*16.51+O143*16.51+P143*16.51+Q143*11.55+S143*11.55+T143*15+U143*1.7+V143*1.7+W143*11.55</f>
        <v>0</v>
      </c>
      <c r="F143" s="72" t="n">
        <f aca="false">G143+H143+I143+J143+K143+L143+M143+N143+O143+P143+Q143+S143+T143+U143+V143+W143</f>
        <v>0</v>
      </c>
      <c r="G143" s="73" t="n">
        <v>0</v>
      </c>
      <c r="H143" s="74" t="n">
        <v>0</v>
      </c>
      <c r="I143" s="74" t="n">
        <v>0</v>
      </c>
      <c r="J143" s="74" t="n">
        <v>0</v>
      </c>
      <c r="K143" s="73" t="n">
        <v>0</v>
      </c>
      <c r="L143" s="74" t="n">
        <v>0</v>
      </c>
      <c r="M143" s="74" t="n">
        <v>0</v>
      </c>
      <c r="N143" s="73" t="n">
        <v>0</v>
      </c>
      <c r="O143" s="74" t="n">
        <v>0</v>
      </c>
      <c r="P143" s="73" t="n">
        <v>0</v>
      </c>
      <c r="Q143" s="74" t="n">
        <v>0</v>
      </c>
      <c r="R143" s="75" t="n">
        <v>0</v>
      </c>
      <c r="S143" s="74" t="n">
        <v>0</v>
      </c>
      <c r="T143" s="74" t="n">
        <v>0</v>
      </c>
      <c r="U143" s="74" t="n">
        <v>0</v>
      </c>
      <c r="V143" s="74" t="n">
        <v>0</v>
      </c>
      <c r="W143" s="74" t="n">
        <v>0</v>
      </c>
    </row>
    <row r="144" customFormat="false" ht="15" hidden="false" customHeight="false" outlineLevel="0" collapsed="false">
      <c r="A144" s="100" t="s">
        <v>52</v>
      </c>
      <c r="B144" s="101" t="n">
        <v>46160</v>
      </c>
      <c r="C144" s="102" t="n">
        <v>6</v>
      </c>
      <c r="D144" s="102" t="s">
        <v>48</v>
      </c>
      <c r="E144" s="103" t="n">
        <f aca="false">G144*23.12+H144*23.12+I144*23.12+J144*23.12+K144*11.55+L144*11.55+M144*11.55+N144*16.51+O144*16.51+P144*16.51+Q144*11.55+S144*11.55+T144*15+U144*1.7+V144*1.7+W144*11.55</f>
        <v>3580.5</v>
      </c>
      <c r="F144" s="104" t="n">
        <f aca="false">G144+H144+I144+J144+K144+L144+M144+N144+O144+P144+Q144+S144+T144+U144+V144+W144</f>
        <v>310</v>
      </c>
      <c r="G144" s="105" t="n">
        <v>0</v>
      </c>
      <c r="H144" s="106" t="n">
        <v>0</v>
      </c>
      <c r="I144" s="106" t="n">
        <v>0</v>
      </c>
      <c r="J144" s="106" t="n">
        <v>0</v>
      </c>
      <c r="K144" s="107" t="n">
        <v>155</v>
      </c>
      <c r="L144" s="108" t="n">
        <v>155</v>
      </c>
      <c r="M144" s="106" t="n">
        <v>0</v>
      </c>
      <c r="N144" s="105" t="n">
        <v>0</v>
      </c>
      <c r="O144" s="106" t="n">
        <v>0</v>
      </c>
      <c r="P144" s="105" t="n">
        <v>0</v>
      </c>
      <c r="Q144" s="106" t="n">
        <v>0</v>
      </c>
      <c r="R144" s="109" t="n">
        <v>0</v>
      </c>
      <c r="S144" s="106" t="n">
        <v>0</v>
      </c>
      <c r="T144" s="106" t="n">
        <v>0</v>
      </c>
      <c r="U144" s="106" t="n">
        <v>0</v>
      </c>
      <c r="V144" s="106" t="n">
        <v>0</v>
      </c>
      <c r="W144" s="106" t="n">
        <v>0</v>
      </c>
    </row>
    <row r="145" customFormat="false" ht="15" hidden="false" customHeight="false" outlineLevel="0" collapsed="false">
      <c r="A145" s="68" t="s">
        <v>54</v>
      </c>
      <c r="B145" s="69" t="n">
        <v>46161</v>
      </c>
      <c r="C145" s="70" t="n">
        <v>6</v>
      </c>
      <c r="D145" s="70" t="s">
        <v>48</v>
      </c>
      <c r="E145" s="71" t="n">
        <f aca="false">G145*23.12+H145*23.12+I145*23.12+J145*23.12+K145*11.55+L145*11.55+M145*11.55+N145*16.51+O145*16.51+P145*16.51+Q145*11.55+S145*11.55+T145*15+U145*1.7+V145*1.7+W145*11.55</f>
        <v>5561.7</v>
      </c>
      <c r="F145" s="72" t="n">
        <f aca="false">G145+H145+I145+J145+K145+L145+M145+N145+O145+P145+Q145+S145+T145+U145+V145+W145</f>
        <v>430</v>
      </c>
      <c r="G145" s="73" t="n">
        <v>0</v>
      </c>
      <c r="H145" s="74" t="n">
        <v>0</v>
      </c>
      <c r="I145" s="74" t="n">
        <v>0</v>
      </c>
      <c r="J145" s="74" t="n">
        <v>0</v>
      </c>
      <c r="K145" s="98" t="n">
        <v>155</v>
      </c>
      <c r="L145" s="99" t="n">
        <v>155</v>
      </c>
      <c r="M145" s="74" t="n">
        <v>0</v>
      </c>
      <c r="N145" s="98" t="n">
        <v>50</v>
      </c>
      <c r="O145" s="99" t="n">
        <v>50</v>
      </c>
      <c r="P145" s="98" t="n">
        <v>20</v>
      </c>
      <c r="Q145" s="74" t="n">
        <v>0</v>
      </c>
      <c r="R145" s="75" t="n">
        <v>0</v>
      </c>
      <c r="S145" s="74" t="n">
        <v>0</v>
      </c>
      <c r="T145" s="74" t="n">
        <v>0</v>
      </c>
      <c r="U145" s="74" t="n">
        <v>0</v>
      </c>
      <c r="V145" s="74" t="n">
        <v>0</v>
      </c>
      <c r="W145" s="74" t="n">
        <v>0</v>
      </c>
    </row>
    <row r="146" customFormat="false" ht="15" hidden="false" customHeight="false" outlineLevel="0" collapsed="false">
      <c r="A146" s="76" t="s">
        <v>55</v>
      </c>
      <c r="B146" s="77" t="n">
        <v>46162</v>
      </c>
      <c r="C146" s="78" t="n">
        <v>6</v>
      </c>
      <c r="D146" s="78" t="s">
        <v>48</v>
      </c>
      <c r="E146" s="79" t="n">
        <f aca="false">G146*23.12+H146*23.12+I146*23.12+J146*23.12+K146*11.55+L146*11.55+M146*11.55+N146*16.51+O146*16.51+P146*16.51+Q146*11.55+S146*11.55+T146*15+U146*1.7+V146*1.7+W146*11.55</f>
        <v>5561.7</v>
      </c>
      <c r="F146" s="80" t="n">
        <f aca="false">G146+H146+I146+J146+K146+L146+M146+N146+O146+P146+Q146+S146+T146+U146+V146+W146</f>
        <v>430</v>
      </c>
      <c r="G146" s="81" t="n">
        <v>0</v>
      </c>
      <c r="H146" s="82" t="n">
        <v>0</v>
      </c>
      <c r="I146" s="82" t="n">
        <v>0</v>
      </c>
      <c r="J146" s="82" t="n">
        <v>0</v>
      </c>
      <c r="K146" s="96" t="n">
        <v>155</v>
      </c>
      <c r="L146" s="97" t="n">
        <v>155</v>
      </c>
      <c r="M146" s="82" t="n">
        <v>0</v>
      </c>
      <c r="N146" s="96" t="n">
        <v>50</v>
      </c>
      <c r="O146" s="97" t="n">
        <v>50</v>
      </c>
      <c r="P146" s="96" t="n">
        <v>20</v>
      </c>
      <c r="Q146" s="82" t="n">
        <v>0</v>
      </c>
      <c r="R146" s="83" t="n">
        <v>0</v>
      </c>
      <c r="S146" s="82" t="n">
        <v>0</v>
      </c>
      <c r="T146" s="82" t="n">
        <v>0</v>
      </c>
      <c r="U146" s="82" t="n">
        <v>0</v>
      </c>
      <c r="V146" s="82" t="n">
        <v>0</v>
      </c>
      <c r="W146" s="82" t="n">
        <v>0</v>
      </c>
    </row>
    <row r="147" customFormat="false" ht="15" hidden="false" customHeight="false" outlineLevel="0" collapsed="false">
      <c r="A147" s="68" t="s">
        <v>47</v>
      </c>
      <c r="B147" s="69" t="n">
        <v>46163</v>
      </c>
      <c r="C147" s="70" t="n">
        <v>6</v>
      </c>
      <c r="D147" s="70" t="s">
        <v>48</v>
      </c>
      <c r="E147" s="71" t="n">
        <f aca="false">G147*23.12+H147*23.12+I147*23.12+J147*23.12+K147*11.55+L147*11.55+M147*11.55+N147*16.51+O147*16.51+P147*16.51+Q147*11.55+S147*11.55+T147*15+U147*1.7+V147*1.7+W147*11.55</f>
        <v>4736.2</v>
      </c>
      <c r="F147" s="72" t="n">
        <f aca="false">G147+H147+I147+J147+K147+L147+M147+N147+O147+P147+Q147+S147+T147+U147+V147+W147</f>
        <v>380</v>
      </c>
      <c r="G147" s="73" t="n">
        <v>0</v>
      </c>
      <c r="H147" s="74" t="n">
        <v>0</v>
      </c>
      <c r="I147" s="74" t="n">
        <v>0</v>
      </c>
      <c r="J147" s="74" t="n">
        <v>0</v>
      </c>
      <c r="K147" s="98" t="n">
        <v>155</v>
      </c>
      <c r="L147" s="99" t="n">
        <v>155</v>
      </c>
      <c r="M147" s="74" t="n">
        <v>0</v>
      </c>
      <c r="N147" s="73" t="n">
        <v>0</v>
      </c>
      <c r="O147" s="99" t="n">
        <v>50</v>
      </c>
      <c r="P147" s="98" t="n">
        <v>20</v>
      </c>
      <c r="Q147" s="74" t="n">
        <v>0</v>
      </c>
      <c r="R147" s="75" t="n">
        <v>0</v>
      </c>
      <c r="S147" s="74" t="n">
        <v>0</v>
      </c>
      <c r="T147" s="74" t="n">
        <v>0</v>
      </c>
      <c r="U147" s="74" t="n">
        <v>0</v>
      </c>
      <c r="V147" s="74" t="n">
        <v>0</v>
      </c>
      <c r="W147" s="74" t="n">
        <v>0</v>
      </c>
    </row>
    <row r="148" customFormat="false" ht="15" hidden="false" customHeight="false" outlineLevel="0" collapsed="false">
      <c r="A148" s="76" t="s">
        <v>49</v>
      </c>
      <c r="B148" s="77" t="n">
        <v>46164</v>
      </c>
      <c r="C148" s="78" t="n">
        <v>6</v>
      </c>
      <c r="D148" s="78" t="s">
        <v>48</v>
      </c>
      <c r="E148" s="79" t="n">
        <f aca="false">G148*23.12+H148*23.12+I148*23.12+J148*23.12+K148*11.55+L148*11.55+M148*11.55+N148*16.51+O148*16.51+P148*16.51+Q148*11.55+S148*11.55+T148*15+U148*1.7+V148*1.7+W148*11.55</f>
        <v>5561.7</v>
      </c>
      <c r="F148" s="80" t="n">
        <f aca="false">G148+H148+I148+J148+K148+L148+M148+N148+O148+P148+Q148+S148+T148+U148+V148+W148</f>
        <v>430</v>
      </c>
      <c r="G148" s="81" t="n">
        <v>0</v>
      </c>
      <c r="H148" s="82" t="n">
        <v>0</v>
      </c>
      <c r="I148" s="82" t="n">
        <v>0</v>
      </c>
      <c r="J148" s="82" t="n">
        <v>0</v>
      </c>
      <c r="K148" s="96" t="n">
        <v>155</v>
      </c>
      <c r="L148" s="97" t="n">
        <v>155</v>
      </c>
      <c r="M148" s="82" t="n">
        <v>0</v>
      </c>
      <c r="N148" s="96" t="n">
        <v>50</v>
      </c>
      <c r="O148" s="97" t="n">
        <v>50</v>
      </c>
      <c r="P148" s="96" t="n">
        <v>20</v>
      </c>
      <c r="Q148" s="82" t="n">
        <v>0</v>
      </c>
      <c r="R148" s="83" t="n">
        <v>0</v>
      </c>
      <c r="S148" s="82" t="n">
        <v>0</v>
      </c>
      <c r="T148" s="82" t="n">
        <v>0</v>
      </c>
      <c r="U148" s="82" t="n">
        <v>0</v>
      </c>
      <c r="V148" s="82" t="n">
        <v>0</v>
      </c>
      <c r="W148" s="82" t="n">
        <v>0</v>
      </c>
    </row>
    <row r="149" customFormat="false" ht="15" hidden="false" customHeight="false" outlineLevel="0" collapsed="false">
      <c r="A149" s="84" t="s">
        <v>50</v>
      </c>
      <c r="B149" s="69" t="n">
        <v>46165</v>
      </c>
      <c r="C149" s="70" t="n">
        <v>6</v>
      </c>
      <c r="D149" s="70" t="s">
        <v>48</v>
      </c>
      <c r="E149" s="71" t="n">
        <f aca="false">G149*23.12+H149*23.12+I149*23.12+J149*23.12+K149*11.55+L149*11.55+M149*11.55+N149*16.51+O149*16.51+P149*16.51+Q149*11.55+S149*11.55+T149*15+U149*1.7+V149*1.7+W149*11.55</f>
        <v>4406</v>
      </c>
      <c r="F149" s="72" t="n">
        <f aca="false">G149+H149+I149+J149+K149+L149+M149+N149+O149+P149+Q149+S149+T149+U149+V149+W149</f>
        <v>360</v>
      </c>
      <c r="G149" s="73" t="n">
        <v>0</v>
      </c>
      <c r="H149" s="74" t="n">
        <v>0</v>
      </c>
      <c r="I149" s="74" t="n">
        <v>0</v>
      </c>
      <c r="J149" s="74" t="n">
        <v>0</v>
      </c>
      <c r="K149" s="98" t="n">
        <v>155</v>
      </c>
      <c r="L149" s="99" t="n">
        <v>155</v>
      </c>
      <c r="M149" s="74" t="n">
        <v>0</v>
      </c>
      <c r="N149" s="98" t="n">
        <v>50</v>
      </c>
      <c r="O149" s="74" t="n">
        <v>0</v>
      </c>
      <c r="P149" s="73" t="n">
        <v>0</v>
      </c>
      <c r="Q149" s="74" t="n">
        <v>0</v>
      </c>
      <c r="R149" s="75" t="n">
        <v>0</v>
      </c>
      <c r="S149" s="74" t="n">
        <v>0</v>
      </c>
      <c r="T149" s="74" t="n">
        <v>0</v>
      </c>
      <c r="U149" s="74" t="n">
        <v>0</v>
      </c>
      <c r="V149" s="74" t="n">
        <v>0</v>
      </c>
      <c r="W149" s="74" t="n">
        <v>0</v>
      </c>
    </row>
    <row r="150" customFormat="false" ht="15" hidden="false" customHeight="false" outlineLevel="0" collapsed="false">
      <c r="A150" s="85" t="s">
        <v>51</v>
      </c>
      <c r="B150" s="77" t="n">
        <v>46166</v>
      </c>
      <c r="C150" s="78" t="n">
        <v>6</v>
      </c>
      <c r="D150" s="78" t="s">
        <v>48</v>
      </c>
      <c r="E150" s="79" t="n">
        <f aca="false">G150*23.12+H150*23.12+I150*23.12+J150*23.12+K150*11.55+L150*11.55+M150*11.55+N150*16.51+O150*16.51+P150*16.51+Q150*11.55+S150*11.55+T150*15+U150*1.7+V150*1.7+W150*11.55</f>
        <v>0</v>
      </c>
      <c r="F150" s="80" t="n">
        <f aca="false">G150+H150+I150+J150+K150+L150+M150+N150+O150+P150+Q150+S150+T150+U150+V150+W150</f>
        <v>0</v>
      </c>
      <c r="G150" s="81" t="n">
        <v>0</v>
      </c>
      <c r="H150" s="82" t="n">
        <v>0</v>
      </c>
      <c r="I150" s="82" t="n">
        <v>0</v>
      </c>
      <c r="J150" s="82" t="n">
        <v>0</v>
      </c>
      <c r="K150" s="81" t="n">
        <v>0</v>
      </c>
      <c r="L150" s="82" t="n">
        <v>0</v>
      </c>
      <c r="M150" s="82" t="n">
        <v>0</v>
      </c>
      <c r="N150" s="81" t="n">
        <v>0</v>
      </c>
      <c r="O150" s="82" t="n">
        <v>0</v>
      </c>
      <c r="P150" s="81" t="n">
        <v>0</v>
      </c>
      <c r="Q150" s="82" t="n">
        <v>0</v>
      </c>
      <c r="R150" s="83" t="n">
        <v>0</v>
      </c>
      <c r="S150" s="82" t="n">
        <v>0</v>
      </c>
      <c r="T150" s="82" t="n">
        <v>0</v>
      </c>
      <c r="U150" s="82" t="n">
        <v>0</v>
      </c>
      <c r="V150" s="82" t="n">
        <v>0</v>
      </c>
      <c r="W150" s="82" t="n">
        <v>0</v>
      </c>
    </row>
    <row r="151" customFormat="false" ht="15" hidden="false" customHeight="false" outlineLevel="0" collapsed="false">
      <c r="A151" s="86" t="s">
        <v>52</v>
      </c>
      <c r="B151" s="87" t="n">
        <v>46167</v>
      </c>
      <c r="C151" s="88" t="n">
        <v>6</v>
      </c>
      <c r="D151" s="88" t="s">
        <v>53</v>
      </c>
      <c r="E151" s="89" t="n">
        <f aca="false">G151*23.12+H151*23.12+I151*23.12+J151*23.12+K151*11.55+L151*11.55+M151*11.55+N151*16.51+O151*16.51+P151*16.51+Q151*11.55+S151*11.55+T151*15+U151*1.7+V151*1.7+W151*11.55</f>
        <v>3580.5</v>
      </c>
      <c r="F151" s="90" t="n">
        <f aca="false">G151+H151+I151+J151+K151+L151+M151+N151+O151+P151+Q151+S151+T151+U151+V151+W151</f>
        <v>310</v>
      </c>
      <c r="G151" s="91" t="n">
        <v>0</v>
      </c>
      <c r="H151" s="92" t="n">
        <v>0</v>
      </c>
      <c r="I151" s="92" t="n">
        <v>0</v>
      </c>
      <c r="J151" s="92" t="n">
        <v>0</v>
      </c>
      <c r="K151" s="93" t="n">
        <v>155</v>
      </c>
      <c r="L151" s="94" t="n">
        <v>155</v>
      </c>
      <c r="M151" s="92" t="n">
        <v>0</v>
      </c>
      <c r="N151" s="91" t="n">
        <v>0</v>
      </c>
      <c r="O151" s="92" t="n">
        <v>0</v>
      </c>
      <c r="P151" s="91" t="n">
        <v>0</v>
      </c>
      <c r="Q151" s="92" t="n">
        <v>0</v>
      </c>
      <c r="R151" s="95" t="n">
        <v>0</v>
      </c>
      <c r="S151" s="92" t="n">
        <v>0</v>
      </c>
      <c r="T151" s="92" t="n">
        <v>0</v>
      </c>
      <c r="U151" s="92" t="n">
        <v>0</v>
      </c>
      <c r="V151" s="92" t="n">
        <v>0</v>
      </c>
      <c r="W151" s="92" t="n">
        <v>0</v>
      </c>
    </row>
    <row r="152" customFormat="false" ht="15" hidden="false" customHeight="false" outlineLevel="0" collapsed="false">
      <c r="A152" s="76" t="s">
        <v>54</v>
      </c>
      <c r="B152" s="77" t="n">
        <v>46168</v>
      </c>
      <c r="C152" s="78" t="n">
        <v>6</v>
      </c>
      <c r="D152" s="78" t="s">
        <v>53</v>
      </c>
      <c r="E152" s="79" t="n">
        <f aca="false">G152*23.12+H152*23.12+I152*23.12+J152*23.12+K152*11.55+L152*11.55+M152*11.55+N152*16.51+O152*16.51+P152*16.51+Q152*11.55+S152*11.55+T152*15+U152*1.7+V152*1.7+W152*11.55</f>
        <v>4874.8</v>
      </c>
      <c r="F152" s="80" t="n">
        <f aca="false">G152+H152+I152+J152+K152+L152+M152+N152+O152+P152+Q152+S152+T152+U152+V152+W152</f>
        <v>392</v>
      </c>
      <c r="G152" s="81" t="n">
        <v>0</v>
      </c>
      <c r="H152" s="82" t="n">
        <v>0</v>
      </c>
      <c r="I152" s="82" t="n">
        <v>0</v>
      </c>
      <c r="J152" s="82" t="n">
        <v>0</v>
      </c>
      <c r="K152" s="96" t="n">
        <v>155</v>
      </c>
      <c r="L152" s="97" t="n">
        <v>167</v>
      </c>
      <c r="M152" s="82" t="n">
        <v>0</v>
      </c>
      <c r="N152" s="81" t="n">
        <v>0</v>
      </c>
      <c r="O152" s="97" t="n">
        <v>50</v>
      </c>
      <c r="P152" s="96" t="n">
        <v>20</v>
      </c>
      <c r="Q152" s="82" t="n">
        <v>0</v>
      </c>
      <c r="R152" s="83" t="n">
        <v>0</v>
      </c>
      <c r="S152" s="82" t="n">
        <v>0</v>
      </c>
      <c r="T152" s="82" t="n">
        <v>0</v>
      </c>
      <c r="U152" s="82" t="n">
        <v>0</v>
      </c>
      <c r="V152" s="82" t="n">
        <v>0</v>
      </c>
      <c r="W152" s="82" t="n">
        <v>0</v>
      </c>
    </row>
    <row r="153" customFormat="false" ht="15" hidden="false" customHeight="false" outlineLevel="0" collapsed="false">
      <c r="A153" s="68" t="s">
        <v>55</v>
      </c>
      <c r="B153" s="69" t="n">
        <v>46169</v>
      </c>
      <c r="C153" s="70" t="n">
        <v>6</v>
      </c>
      <c r="D153" s="70" t="s">
        <v>53</v>
      </c>
      <c r="E153" s="71" t="n">
        <f aca="false">G153*23.12+H153*23.12+I153*23.12+J153*23.12+K153*11.55+L153*11.55+M153*11.55+N153*16.51+O153*16.51+P153*16.51+Q153*11.55+S153*11.55+T153*15+U153*1.7+V153*1.7+W153*11.55</f>
        <v>3910.7</v>
      </c>
      <c r="F153" s="72" t="n">
        <f aca="false">G153+H153+I153+J153+K153+L153+M153+N153+O153+P153+Q153+S153+T153+U153+V153+W153</f>
        <v>330</v>
      </c>
      <c r="G153" s="73" t="n">
        <v>0</v>
      </c>
      <c r="H153" s="74" t="n">
        <v>0</v>
      </c>
      <c r="I153" s="74" t="n">
        <v>0</v>
      </c>
      <c r="J153" s="74" t="n">
        <v>0</v>
      </c>
      <c r="K153" s="98" t="n">
        <v>155</v>
      </c>
      <c r="L153" s="99" t="n">
        <v>155</v>
      </c>
      <c r="M153" s="74" t="n">
        <v>0</v>
      </c>
      <c r="N153" s="73" t="n">
        <v>0</v>
      </c>
      <c r="O153" s="74" t="n">
        <v>0</v>
      </c>
      <c r="P153" s="98" t="n">
        <v>20</v>
      </c>
      <c r="Q153" s="74" t="n">
        <v>0</v>
      </c>
      <c r="R153" s="75" t="n">
        <v>0</v>
      </c>
      <c r="S153" s="74" t="n">
        <v>0</v>
      </c>
      <c r="T153" s="74" t="n">
        <v>0</v>
      </c>
      <c r="U153" s="74" t="n">
        <v>0</v>
      </c>
      <c r="V153" s="74" t="n">
        <v>0</v>
      </c>
      <c r="W153" s="74" t="n">
        <v>0</v>
      </c>
    </row>
    <row r="154" customFormat="false" ht="15" hidden="false" customHeight="false" outlineLevel="0" collapsed="false">
      <c r="A154" s="76" t="s">
        <v>47</v>
      </c>
      <c r="B154" s="77" t="n">
        <v>46170</v>
      </c>
      <c r="C154" s="78" t="n">
        <v>6</v>
      </c>
      <c r="D154" s="78" t="s">
        <v>53</v>
      </c>
      <c r="E154" s="79" t="n">
        <f aca="false">G154*23.12+H154*23.12+I154*23.12+J154*23.12+K154*11.55+L154*11.55+M154*11.55+N154*16.51+O154*16.51+P154*16.51+Q154*11.55+S154*11.55+T154*15+U154*1.7+V154*1.7+W154*11.55</f>
        <v>4736.2</v>
      </c>
      <c r="F154" s="80" t="n">
        <f aca="false">G154+H154+I154+J154+K154+L154+M154+N154+O154+P154+Q154+S154+T154+U154+V154+W154</f>
        <v>380</v>
      </c>
      <c r="G154" s="81" t="n">
        <v>0</v>
      </c>
      <c r="H154" s="82" t="n">
        <v>0</v>
      </c>
      <c r="I154" s="82" t="n">
        <v>0</v>
      </c>
      <c r="J154" s="82" t="n">
        <v>0</v>
      </c>
      <c r="K154" s="96" t="n">
        <v>155</v>
      </c>
      <c r="L154" s="97" t="n">
        <v>155</v>
      </c>
      <c r="M154" s="82" t="n">
        <v>0</v>
      </c>
      <c r="N154" s="81" t="n">
        <v>0</v>
      </c>
      <c r="O154" s="97" t="n">
        <v>50</v>
      </c>
      <c r="P154" s="96" t="n">
        <v>20</v>
      </c>
      <c r="Q154" s="82" t="n">
        <v>0</v>
      </c>
      <c r="R154" s="83" t="n">
        <v>0</v>
      </c>
      <c r="S154" s="82" t="n">
        <v>0</v>
      </c>
      <c r="T154" s="82" t="n">
        <v>0</v>
      </c>
      <c r="U154" s="82" t="n">
        <v>0</v>
      </c>
      <c r="V154" s="82" t="n">
        <v>0</v>
      </c>
      <c r="W154" s="82" t="n">
        <v>0</v>
      </c>
    </row>
    <row r="155" customFormat="false" ht="15" hidden="false" customHeight="false" outlineLevel="0" collapsed="false">
      <c r="A155" s="68" t="s">
        <v>49</v>
      </c>
      <c r="B155" s="69" t="n">
        <v>46171</v>
      </c>
      <c r="C155" s="70" t="n">
        <v>6</v>
      </c>
      <c r="D155" s="70" t="s">
        <v>53</v>
      </c>
      <c r="E155" s="71" t="n">
        <f aca="false">G155*23.12+H155*23.12+I155*23.12+J155*23.12+K155*11.55+L155*11.55+M155*11.55+N155*16.51+O155*16.51+P155*16.51+Q155*11.55+S155*11.55+T155*15+U155*1.7+V155*1.7+W155*11.55</f>
        <v>3910.7</v>
      </c>
      <c r="F155" s="72" t="n">
        <f aca="false">G155+H155+I155+J155+K155+L155+M155+N155+O155+P155+Q155+S155+T155+U155+V155+W155</f>
        <v>330</v>
      </c>
      <c r="G155" s="73" t="n">
        <v>0</v>
      </c>
      <c r="H155" s="74" t="n">
        <v>0</v>
      </c>
      <c r="I155" s="74" t="n">
        <v>0</v>
      </c>
      <c r="J155" s="74" t="n">
        <v>0</v>
      </c>
      <c r="K155" s="98" t="n">
        <v>155</v>
      </c>
      <c r="L155" s="99" t="n">
        <v>155</v>
      </c>
      <c r="M155" s="74" t="n">
        <v>0</v>
      </c>
      <c r="N155" s="73" t="n">
        <v>0</v>
      </c>
      <c r="O155" s="74" t="n">
        <v>0</v>
      </c>
      <c r="P155" s="98" t="n">
        <v>20</v>
      </c>
      <c r="Q155" s="74" t="n">
        <v>0</v>
      </c>
      <c r="R155" s="75" t="n">
        <v>0</v>
      </c>
      <c r="S155" s="74" t="n">
        <v>0</v>
      </c>
      <c r="T155" s="74" t="n">
        <v>0</v>
      </c>
      <c r="U155" s="74" t="n">
        <v>0</v>
      </c>
      <c r="V155" s="74" t="n">
        <v>0</v>
      </c>
      <c r="W155" s="74" t="n">
        <v>0</v>
      </c>
    </row>
    <row r="156" customFormat="false" ht="15" hidden="false" customHeight="false" outlineLevel="0" collapsed="false">
      <c r="A156" s="85" t="s">
        <v>50</v>
      </c>
      <c r="B156" s="77" t="n">
        <v>46172</v>
      </c>
      <c r="C156" s="78" t="n">
        <v>6</v>
      </c>
      <c r="D156" s="78" t="s">
        <v>53</v>
      </c>
      <c r="E156" s="79" t="n">
        <f aca="false">G156*23.12+H156*23.12+I156*23.12+J156*23.12+K156*11.55+L156*11.55+M156*11.55+N156*16.51+O156*16.51+P156*16.51+Q156*11.55+S156*11.55+T156*15+U156*1.7+V156*1.7+W156*11.55</f>
        <v>4406</v>
      </c>
      <c r="F156" s="80" t="n">
        <f aca="false">G156+H156+I156+J156+K156+L156+M156+N156+O156+P156+Q156+S156+T156+U156+V156+W156</f>
        <v>360</v>
      </c>
      <c r="G156" s="81" t="n">
        <v>0</v>
      </c>
      <c r="H156" s="82" t="n">
        <v>0</v>
      </c>
      <c r="I156" s="82" t="n">
        <v>0</v>
      </c>
      <c r="J156" s="82" t="n">
        <v>0</v>
      </c>
      <c r="K156" s="96" t="n">
        <v>155</v>
      </c>
      <c r="L156" s="97" t="n">
        <v>155</v>
      </c>
      <c r="M156" s="82" t="n">
        <v>0</v>
      </c>
      <c r="N156" s="81" t="n">
        <v>0</v>
      </c>
      <c r="O156" s="97" t="n">
        <v>50</v>
      </c>
      <c r="P156" s="81" t="n">
        <v>0</v>
      </c>
      <c r="Q156" s="82" t="n">
        <v>0</v>
      </c>
      <c r="R156" s="83" t="n">
        <v>0</v>
      </c>
      <c r="S156" s="82" t="n">
        <v>0</v>
      </c>
      <c r="T156" s="82" t="n">
        <v>0</v>
      </c>
      <c r="U156" s="82" t="n">
        <v>0</v>
      </c>
      <c r="V156" s="82" t="n">
        <v>0</v>
      </c>
      <c r="W156" s="82" t="n">
        <v>0</v>
      </c>
    </row>
    <row r="157" customFormat="false" ht="15" hidden="false" customHeight="false" outlineLevel="0" collapsed="false">
      <c r="A157" s="84" t="s">
        <v>51</v>
      </c>
      <c r="B157" s="69" t="n">
        <v>46173</v>
      </c>
      <c r="C157" s="70" t="n">
        <v>6</v>
      </c>
      <c r="D157" s="70" t="s">
        <v>53</v>
      </c>
      <c r="E157" s="71" t="n">
        <f aca="false">G157*23.12+H157*23.12+I157*23.12+J157*23.12+K157*11.55+L157*11.55+M157*11.55+N157*16.51+O157*16.51+P157*16.51+Q157*11.55+S157*11.55+T157*15+U157*1.7+V157*1.7+W157*11.55</f>
        <v>0</v>
      </c>
      <c r="F157" s="72" t="n">
        <f aca="false">G157+H157+I157+J157+K157+L157+M157+N157+O157+P157+Q157+S157+T157+U157+V157+W157</f>
        <v>0</v>
      </c>
      <c r="G157" s="73" t="n">
        <v>0</v>
      </c>
      <c r="H157" s="74" t="n">
        <v>0</v>
      </c>
      <c r="I157" s="74" t="n">
        <v>0</v>
      </c>
      <c r="J157" s="74" t="n">
        <v>0</v>
      </c>
      <c r="K157" s="73" t="n">
        <v>0</v>
      </c>
      <c r="L157" s="74" t="n">
        <v>0</v>
      </c>
      <c r="M157" s="74" t="n">
        <v>0</v>
      </c>
      <c r="N157" s="73" t="n">
        <v>0</v>
      </c>
      <c r="O157" s="74" t="n">
        <v>0</v>
      </c>
      <c r="P157" s="73" t="n">
        <v>0</v>
      </c>
      <c r="Q157" s="74" t="n">
        <v>0</v>
      </c>
      <c r="R157" s="75" t="n">
        <v>0</v>
      </c>
      <c r="S157" s="74" t="n">
        <v>0</v>
      </c>
      <c r="T157" s="74" t="n">
        <v>0</v>
      </c>
      <c r="U157" s="74" t="n">
        <v>0</v>
      </c>
      <c r="V157" s="74" t="n">
        <v>0</v>
      </c>
      <c r="W157" s="74" t="n">
        <v>0</v>
      </c>
    </row>
    <row r="158" customFormat="false" ht="15" hidden="false" customHeight="false" outlineLevel="0" collapsed="false">
      <c r="A158" s="100" t="s">
        <v>52</v>
      </c>
      <c r="B158" s="101" t="n">
        <v>46174</v>
      </c>
      <c r="C158" s="102" t="n">
        <v>6</v>
      </c>
      <c r="D158" s="102" t="s">
        <v>56</v>
      </c>
      <c r="E158" s="103" t="n">
        <f aca="false">G158*23.12+H158*23.12+I158*23.12+J158*23.12+K158*11.55+L158*11.55+M158*11.55+N158*16.51+O158*16.51+P158*16.51+Q158*11.55+S158*11.55+T158*15+U158*1.7+V158*1.7+W158*11.55</f>
        <v>3580.5</v>
      </c>
      <c r="F158" s="104" t="n">
        <f aca="false">G158+H158+I158+J158+K158+L158+M158+N158+O158+P158+Q158+S158+T158+U158+V158+W158</f>
        <v>310</v>
      </c>
      <c r="G158" s="105" t="n">
        <v>0</v>
      </c>
      <c r="H158" s="106" t="n">
        <v>0</v>
      </c>
      <c r="I158" s="106" t="n">
        <v>0</v>
      </c>
      <c r="J158" s="106" t="n">
        <v>0</v>
      </c>
      <c r="K158" s="107" t="n">
        <v>155</v>
      </c>
      <c r="L158" s="108" t="n">
        <v>155</v>
      </c>
      <c r="M158" s="106" t="n">
        <v>0</v>
      </c>
      <c r="N158" s="105" t="n">
        <v>0</v>
      </c>
      <c r="O158" s="106" t="n">
        <v>0</v>
      </c>
      <c r="P158" s="105" t="n">
        <v>0</v>
      </c>
      <c r="Q158" s="106" t="n">
        <v>0</v>
      </c>
      <c r="R158" s="109" t="n">
        <v>0</v>
      </c>
      <c r="S158" s="106" t="n">
        <v>0</v>
      </c>
      <c r="T158" s="106" t="n">
        <v>0</v>
      </c>
      <c r="U158" s="106" t="n">
        <v>0</v>
      </c>
      <c r="V158" s="106" t="n">
        <v>0</v>
      </c>
      <c r="W158" s="106" t="n">
        <v>0</v>
      </c>
    </row>
    <row r="159" customFormat="false" ht="15" hidden="false" customHeight="false" outlineLevel="0" collapsed="false">
      <c r="A159" s="68" t="s">
        <v>54</v>
      </c>
      <c r="B159" s="69" t="n">
        <v>46175</v>
      </c>
      <c r="C159" s="70" t="n">
        <v>6</v>
      </c>
      <c r="D159" s="70" t="s">
        <v>56</v>
      </c>
      <c r="E159" s="71" t="n">
        <f aca="false">G159*23.12+H159*23.12+I159*23.12+J159*23.12+K159*11.55+L159*11.55+M159*11.55+N159*16.51+O159*16.51+P159*16.51+Q159*11.55+S159*11.55+T159*15+U159*1.7+V159*1.7+W159*11.55</f>
        <v>3580.5</v>
      </c>
      <c r="F159" s="72" t="n">
        <f aca="false">G159+H159+I159+J159+K159+L159+M159+N159+O159+P159+Q159+S159+T159+U159+V159+W159</f>
        <v>310</v>
      </c>
      <c r="G159" s="73" t="n">
        <v>0</v>
      </c>
      <c r="H159" s="74" t="n">
        <v>0</v>
      </c>
      <c r="I159" s="74" t="n">
        <v>0</v>
      </c>
      <c r="J159" s="74" t="n">
        <v>0</v>
      </c>
      <c r="K159" s="98" t="n">
        <v>155</v>
      </c>
      <c r="L159" s="99" t="n">
        <v>155</v>
      </c>
      <c r="M159" s="74" t="n">
        <v>0</v>
      </c>
      <c r="N159" s="73" t="n">
        <v>0</v>
      </c>
      <c r="O159" s="74" t="n">
        <v>0</v>
      </c>
      <c r="P159" s="73" t="n">
        <v>0</v>
      </c>
      <c r="Q159" s="74" t="n">
        <v>0</v>
      </c>
      <c r="R159" s="75" t="n">
        <v>0</v>
      </c>
      <c r="S159" s="74" t="n">
        <v>0</v>
      </c>
      <c r="T159" s="74" t="n">
        <v>0</v>
      </c>
      <c r="U159" s="74" t="n">
        <v>0</v>
      </c>
      <c r="V159" s="74" t="n">
        <v>0</v>
      </c>
      <c r="W159" s="74" t="n">
        <v>0</v>
      </c>
    </row>
    <row r="160" customFormat="false" ht="15" hidden="false" customHeight="false" outlineLevel="0" collapsed="false">
      <c r="A160" s="76" t="s">
        <v>55</v>
      </c>
      <c r="B160" s="77" t="n">
        <v>46176</v>
      </c>
      <c r="C160" s="78" t="n">
        <v>6</v>
      </c>
      <c r="D160" s="78" t="s">
        <v>56</v>
      </c>
      <c r="E160" s="79" t="n">
        <f aca="false">G160*23.12+H160*23.12+I160*23.12+J160*23.12+K160*11.55+L160*11.55+M160*11.55+N160*16.51+O160*16.51+P160*16.51+Q160*11.55+S160*11.55+T160*15+U160*1.7+V160*1.7+W160*11.55</f>
        <v>3580.5</v>
      </c>
      <c r="F160" s="80" t="n">
        <f aca="false">G160+H160+I160+J160+K160+L160+M160+N160+O160+P160+Q160+S160+T160+U160+V160+W160</f>
        <v>310</v>
      </c>
      <c r="G160" s="81" t="n">
        <v>0</v>
      </c>
      <c r="H160" s="82" t="n">
        <v>0</v>
      </c>
      <c r="I160" s="82" t="n">
        <v>0</v>
      </c>
      <c r="J160" s="82" t="n">
        <v>0</v>
      </c>
      <c r="K160" s="96" t="n">
        <v>155</v>
      </c>
      <c r="L160" s="97" t="n">
        <v>155</v>
      </c>
      <c r="M160" s="82" t="n">
        <v>0</v>
      </c>
      <c r="N160" s="81" t="n">
        <v>0</v>
      </c>
      <c r="O160" s="82" t="n">
        <v>0</v>
      </c>
      <c r="P160" s="81" t="n">
        <v>0</v>
      </c>
      <c r="Q160" s="82" t="n">
        <v>0</v>
      </c>
      <c r="R160" s="83" t="n">
        <v>0</v>
      </c>
      <c r="S160" s="82" t="n">
        <v>0</v>
      </c>
      <c r="T160" s="82" t="n">
        <v>0</v>
      </c>
      <c r="U160" s="82" t="n">
        <v>0</v>
      </c>
      <c r="V160" s="82" t="n">
        <v>0</v>
      </c>
      <c r="W160" s="82" t="n">
        <v>0</v>
      </c>
    </row>
    <row r="161" customFormat="false" ht="15" hidden="false" customHeight="false" outlineLevel="0" collapsed="false">
      <c r="A161" s="68" t="s">
        <v>47</v>
      </c>
      <c r="B161" s="69" t="n">
        <v>46177</v>
      </c>
      <c r="C161" s="70" t="n">
        <v>6</v>
      </c>
      <c r="D161" s="70" t="s">
        <v>56</v>
      </c>
      <c r="E161" s="71" t="n">
        <f aca="false">G161*23.12+H161*23.12+I161*23.12+J161*23.12+K161*11.55+L161*11.55+M161*11.55+N161*16.51+O161*16.51+P161*16.51+Q161*11.55+S161*11.55+T161*15+U161*1.7+V161*1.7+W161*11.55</f>
        <v>3580.5</v>
      </c>
      <c r="F161" s="72" t="n">
        <f aca="false">G161+H161+I161+J161+K161+L161+M161+N161+O161+P161+Q161+S161+T161+U161+V161+W161</f>
        <v>310</v>
      </c>
      <c r="G161" s="73" t="n">
        <v>0</v>
      </c>
      <c r="H161" s="74" t="n">
        <v>0</v>
      </c>
      <c r="I161" s="74" t="n">
        <v>0</v>
      </c>
      <c r="J161" s="74" t="n">
        <v>0</v>
      </c>
      <c r="K161" s="98" t="n">
        <v>155</v>
      </c>
      <c r="L161" s="99" t="n">
        <v>155</v>
      </c>
      <c r="M161" s="74" t="n">
        <v>0</v>
      </c>
      <c r="N161" s="73" t="n">
        <v>0</v>
      </c>
      <c r="O161" s="74" t="n">
        <v>0</v>
      </c>
      <c r="P161" s="73" t="n">
        <v>0</v>
      </c>
      <c r="Q161" s="74" t="n">
        <v>0</v>
      </c>
      <c r="R161" s="75" t="n">
        <v>0</v>
      </c>
      <c r="S161" s="74" t="n">
        <v>0</v>
      </c>
      <c r="T161" s="74" t="n">
        <v>0</v>
      </c>
      <c r="U161" s="74" t="n">
        <v>0</v>
      </c>
      <c r="V161" s="74" t="n">
        <v>0</v>
      </c>
      <c r="W161" s="74" t="n">
        <v>0</v>
      </c>
    </row>
    <row r="162" customFormat="false" ht="15" hidden="false" customHeight="false" outlineLevel="0" collapsed="false">
      <c r="A162" s="76" t="s">
        <v>49</v>
      </c>
      <c r="B162" s="77" t="n">
        <v>46178</v>
      </c>
      <c r="C162" s="78" t="n">
        <v>6</v>
      </c>
      <c r="D162" s="78" t="s">
        <v>56</v>
      </c>
      <c r="E162" s="79" t="n">
        <f aca="false">G162*23.12+H162*23.12+I162*23.12+J162*23.12+K162*11.55+L162*11.55+M162*11.55+N162*16.51+O162*16.51+P162*16.51+Q162*11.55+S162*11.55+T162*15+U162*1.7+V162*1.7+W162*11.55</f>
        <v>3580.5</v>
      </c>
      <c r="F162" s="80" t="n">
        <f aca="false">G162+H162+I162+J162+K162+L162+M162+N162+O162+P162+Q162+S162+T162+U162+V162+W162</f>
        <v>310</v>
      </c>
      <c r="G162" s="81" t="n">
        <v>0</v>
      </c>
      <c r="H162" s="82" t="n">
        <v>0</v>
      </c>
      <c r="I162" s="82" t="n">
        <v>0</v>
      </c>
      <c r="J162" s="82" t="n">
        <v>0</v>
      </c>
      <c r="K162" s="96" t="n">
        <v>155</v>
      </c>
      <c r="L162" s="97" t="n">
        <v>155</v>
      </c>
      <c r="M162" s="82" t="n">
        <v>0</v>
      </c>
      <c r="N162" s="81" t="n">
        <v>0</v>
      </c>
      <c r="O162" s="82" t="n">
        <v>0</v>
      </c>
      <c r="P162" s="81" t="n">
        <v>0</v>
      </c>
      <c r="Q162" s="82" t="n">
        <v>0</v>
      </c>
      <c r="R162" s="83" t="n">
        <v>0</v>
      </c>
      <c r="S162" s="82" t="n">
        <v>0</v>
      </c>
      <c r="T162" s="82" t="n">
        <v>0</v>
      </c>
      <c r="U162" s="82" t="n">
        <v>0</v>
      </c>
      <c r="V162" s="82" t="n">
        <v>0</v>
      </c>
      <c r="W162" s="82" t="n">
        <v>0</v>
      </c>
    </row>
    <row r="163" customFormat="false" ht="15" hidden="false" customHeight="false" outlineLevel="0" collapsed="false">
      <c r="A163" s="84" t="s">
        <v>50</v>
      </c>
      <c r="B163" s="69" t="n">
        <v>46179</v>
      </c>
      <c r="C163" s="70" t="n">
        <v>6</v>
      </c>
      <c r="D163" s="70" t="s">
        <v>56</v>
      </c>
      <c r="E163" s="71" t="n">
        <f aca="false">G163*23.12+H163*23.12+I163*23.12+J163*23.12+K163*11.55+L163*11.55+M163*11.55+N163*16.51+O163*16.51+P163*16.51+Q163*11.55+S163*11.55+T163*15+U163*1.7+V163*1.7+W163*11.55</f>
        <v>3580.5</v>
      </c>
      <c r="F163" s="72" t="n">
        <f aca="false">G163+H163+I163+J163+K163+L163+M163+N163+O163+P163+Q163+S163+T163+U163+V163+W163</f>
        <v>310</v>
      </c>
      <c r="G163" s="73" t="n">
        <v>0</v>
      </c>
      <c r="H163" s="74" t="n">
        <v>0</v>
      </c>
      <c r="I163" s="74" t="n">
        <v>0</v>
      </c>
      <c r="J163" s="74" t="n">
        <v>0</v>
      </c>
      <c r="K163" s="98" t="n">
        <v>155</v>
      </c>
      <c r="L163" s="99" t="n">
        <v>155</v>
      </c>
      <c r="M163" s="74" t="n">
        <v>0</v>
      </c>
      <c r="N163" s="73" t="n">
        <v>0</v>
      </c>
      <c r="O163" s="74" t="n">
        <v>0</v>
      </c>
      <c r="P163" s="73" t="n">
        <v>0</v>
      </c>
      <c r="Q163" s="74" t="n">
        <v>0</v>
      </c>
      <c r="R163" s="75" t="n">
        <v>0</v>
      </c>
      <c r="S163" s="74" t="n">
        <v>0</v>
      </c>
      <c r="T163" s="74" t="n">
        <v>0</v>
      </c>
      <c r="U163" s="74" t="n">
        <v>0</v>
      </c>
      <c r="V163" s="74" t="n">
        <v>0</v>
      </c>
      <c r="W163" s="74" t="n">
        <v>0</v>
      </c>
    </row>
    <row r="164" customFormat="false" ht="15" hidden="false" customHeight="false" outlineLevel="0" collapsed="false">
      <c r="A164" s="85" t="s">
        <v>51</v>
      </c>
      <c r="B164" s="77" t="n">
        <v>46180</v>
      </c>
      <c r="C164" s="78" t="n">
        <v>6</v>
      </c>
      <c r="D164" s="78" t="s">
        <v>56</v>
      </c>
      <c r="E164" s="79" t="n">
        <f aca="false">G164*23.12+H164*23.12+I164*23.12+J164*23.12+K164*11.55+L164*11.55+M164*11.55+N164*16.51+O164*16.51+P164*16.51+Q164*11.55+S164*11.55+T164*15+U164*1.7+V164*1.7+W164*11.55</f>
        <v>0</v>
      </c>
      <c r="F164" s="80" t="n">
        <f aca="false">G164+H164+I164+J164+K164+L164+M164+N164+O164+P164+Q164+S164+T164+U164+V164+W164</f>
        <v>0</v>
      </c>
      <c r="G164" s="81" t="n">
        <v>0</v>
      </c>
      <c r="H164" s="82" t="n">
        <v>0</v>
      </c>
      <c r="I164" s="82" t="n">
        <v>0</v>
      </c>
      <c r="J164" s="82" t="n">
        <v>0</v>
      </c>
      <c r="K164" s="81" t="n">
        <v>0</v>
      </c>
      <c r="L164" s="82" t="n">
        <v>0</v>
      </c>
      <c r="M164" s="82" t="n">
        <v>0</v>
      </c>
      <c r="N164" s="81" t="n">
        <v>0</v>
      </c>
      <c r="O164" s="82" t="n">
        <v>0</v>
      </c>
      <c r="P164" s="81" t="n">
        <v>0</v>
      </c>
      <c r="Q164" s="82" t="n">
        <v>0</v>
      </c>
      <c r="R164" s="83" t="n">
        <v>0</v>
      </c>
      <c r="S164" s="82" t="n">
        <v>0</v>
      </c>
      <c r="T164" s="82" t="n">
        <v>0</v>
      </c>
      <c r="U164" s="82" t="n">
        <v>0</v>
      </c>
      <c r="V164" s="82" t="n">
        <v>0</v>
      </c>
      <c r="W164" s="82" t="n">
        <v>0</v>
      </c>
    </row>
    <row r="165" customFormat="false" ht="15" hidden="false" customHeight="false" outlineLevel="0" collapsed="false">
      <c r="A165" s="86" t="s">
        <v>52</v>
      </c>
      <c r="B165" s="87" t="n">
        <v>46181</v>
      </c>
      <c r="C165" s="88" t="n">
        <v>6</v>
      </c>
      <c r="D165" s="88" t="s">
        <v>57</v>
      </c>
      <c r="E165" s="89" t="n">
        <f aca="false">G165*23.12+H165*23.12+I165*23.12+J165*23.12+K165*11.55+L165*11.55+M165*11.55+N165*16.51+O165*16.51+P165*16.51+Q165*11.55+S165*11.55+T165*15+U165*1.7+V165*1.7+W165*11.55</f>
        <v>3580.5</v>
      </c>
      <c r="F165" s="90" t="n">
        <f aca="false">G165+H165+I165+J165+K165+L165+M165+N165+O165+P165+Q165+S165+T165+U165+V165+W165</f>
        <v>310</v>
      </c>
      <c r="G165" s="91" t="n">
        <v>0</v>
      </c>
      <c r="H165" s="92" t="n">
        <v>0</v>
      </c>
      <c r="I165" s="92" t="n">
        <v>0</v>
      </c>
      <c r="J165" s="92" t="n">
        <v>0</v>
      </c>
      <c r="K165" s="93" t="n">
        <v>155</v>
      </c>
      <c r="L165" s="94" t="n">
        <v>155</v>
      </c>
      <c r="M165" s="92" t="n">
        <v>0</v>
      </c>
      <c r="N165" s="91" t="n">
        <v>0</v>
      </c>
      <c r="O165" s="92" t="n">
        <v>0</v>
      </c>
      <c r="P165" s="91" t="n">
        <v>0</v>
      </c>
      <c r="Q165" s="92" t="n">
        <v>0</v>
      </c>
      <c r="R165" s="95" t="n">
        <v>0</v>
      </c>
      <c r="S165" s="92" t="n">
        <v>0</v>
      </c>
      <c r="T165" s="92" t="n">
        <v>0</v>
      </c>
      <c r="U165" s="92" t="n">
        <v>0</v>
      </c>
      <c r="V165" s="92" t="n">
        <v>0</v>
      </c>
      <c r="W165" s="92" t="n">
        <v>0</v>
      </c>
    </row>
    <row r="166" customFormat="false" ht="15" hidden="false" customHeight="false" outlineLevel="0" collapsed="false">
      <c r="A166" s="76" t="s">
        <v>54</v>
      </c>
      <c r="B166" s="77" t="n">
        <v>46182</v>
      </c>
      <c r="C166" s="78" t="n">
        <v>6</v>
      </c>
      <c r="D166" s="78" t="s">
        <v>57</v>
      </c>
      <c r="E166" s="79" t="n">
        <f aca="false">G166*23.12+H166*23.12+I166*23.12+J166*23.12+K166*11.55+L166*11.55+M166*11.55+N166*16.51+O166*16.51+P166*16.51+Q166*11.55+S166*11.55+T166*15+U166*1.7+V166*1.7+W166*11.55</f>
        <v>5561.7</v>
      </c>
      <c r="F166" s="80" t="n">
        <f aca="false">G166+H166+I166+J166+K166+L166+M166+N166+O166+P166+Q166+S166+T166+U166+V166+W166</f>
        <v>430</v>
      </c>
      <c r="G166" s="81" t="n">
        <v>0</v>
      </c>
      <c r="H166" s="82" t="n">
        <v>0</v>
      </c>
      <c r="I166" s="82" t="n">
        <v>0</v>
      </c>
      <c r="J166" s="82" t="n">
        <v>0</v>
      </c>
      <c r="K166" s="96" t="n">
        <v>155</v>
      </c>
      <c r="L166" s="97" t="n">
        <v>155</v>
      </c>
      <c r="M166" s="82" t="n">
        <v>0</v>
      </c>
      <c r="N166" s="96" t="n">
        <v>50</v>
      </c>
      <c r="O166" s="97" t="n">
        <v>50</v>
      </c>
      <c r="P166" s="96" t="n">
        <v>20</v>
      </c>
      <c r="Q166" s="82" t="n">
        <v>0</v>
      </c>
      <c r="R166" s="83" t="n">
        <v>0</v>
      </c>
      <c r="S166" s="82" t="n">
        <v>0</v>
      </c>
      <c r="T166" s="82" t="n">
        <v>0</v>
      </c>
      <c r="U166" s="82" t="n">
        <v>0</v>
      </c>
      <c r="V166" s="82" t="n">
        <v>0</v>
      </c>
      <c r="W166" s="82" t="n">
        <v>0</v>
      </c>
    </row>
    <row r="167" customFormat="false" ht="15" hidden="false" customHeight="false" outlineLevel="0" collapsed="false">
      <c r="A167" s="68" t="s">
        <v>55</v>
      </c>
      <c r="B167" s="69" t="n">
        <v>46183</v>
      </c>
      <c r="C167" s="70" t="n">
        <v>6</v>
      </c>
      <c r="D167" s="70" t="s">
        <v>57</v>
      </c>
      <c r="E167" s="71" t="n">
        <f aca="false">G167*23.12+H167*23.12+I167*23.12+J167*23.12+K167*11.55+L167*11.55+M167*11.55+N167*16.51+O167*16.51+P167*16.51+Q167*11.55+S167*11.55+T167*15+U167*1.7+V167*1.7+W167*11.55</f>
        <v>5561.7</v>
      </c>
      <c r="F167" s="72" t="n">
        <f aca="false">G167+H167+I167+J167+K167+L167+M167+N167+O167+P167+Q167+S167+T167+U167+V167+W167</f>
        <v>430</v>
      </c>
      <c r="G167" s="73" t="n">
        <v>0</v>
      </c>
      <c r="H167" s="74" t="n">
        <v>0</v>
      </c>
      <c r="I167" s="74" t="n">
        <v>0</v>
      </c>
      <c r="J167" s="74" t="n">
        <v>0</v>
      </c>
      <c r="K167" s="98" t="n">
        <v>155</v>
      </c>
      <c r="L167" s="99" t="n">
        <v>155</v>
      </c>
      <c r="M167" s="74" t="n">
        <v>0</v>
      </c>
      <c r="N167" s="98" t="n">
        <v>50</v>
      </c>
      <c r="O167" s="99" t="n">
        <v>50</v>
      </c>
      <c r="P167" s="98" t="n">
        <v>20</v>
      </c>
      <c r="Q167" s="74" t="n">
        <v>0</v>
      </c>
      <c r="R167" s="75" t="n">
        <v>0</v>
      </c>
      <c r="S167" s="74" t="n">
        <v>0</v>
      </c>
      <c r="T167" s="74" t="n">
        <v>0</v>
      </c>
      <c r="U167" s="74" t="n">
        <v>0</v>
      </c>
      <c r="V167" s="74" t="n">
        <v>0</v>
      </c>
      <c r="W167" s="74" t="n">
        <v>0</v>
      </c>
    </row>
    <row r="168" customFormat="false" ht="15" hidden="false" customHeight="false" outlineLevel="0" collapsed="false">
      <c r="A168" s="76" t="s">
        <v>47</v>
      </c>
      <c r="B168" s="77" t="n">
        <v>46184</v>
      </c>
      <c r="C168" s="78" t="n">
        <v>6</v>
      </c>
      <c r="D168" s="78" t="s">
        <v>57</v>
      </c>
      <c r="E168" s="79" t="n">
        <f aca="false">G168*23.12+H168*23.12+I168*23.12+J168*23.12+K168*11.55+L168*11.55+M168*11.55+N168*16.51+O168*16.51+P168*16.51+Q168*11.55+S168*11.55+T168*15+U168*1.7+V168*1.7+W168*11.55</f>
        <v>4736.2</v>
      </c>
      <c r="F168" s="80" t="n">
        <f aca="false">G168+H168+I168+J168+K168+L168+M168+N168+O168+P168+Q168+S168+T168+U168+V168+W168</f>
        <v>380</v>
      </c>
      <c r="G168" s="81" t="n">
        <v>0</v>
      </c>
      <c r="H168" s="82" t="n">
        <v>0</v>
      </c>
      <c r="I168" s="82" t="n">
        <v>0</v>
      </c>
      <c r="J168" s="82" t="n">
        <v>0</v>
      </c>
      <c r="K168" s="96" t="n">
        <v>155</v>
      </c>
      <c r="L168" s="97" t="n">
        <v>155</v>
      </c>
      <c r="M168" s="82" t="n">
        <v>0</v>
      </c>
      <c r="N168" s="81" t="n">
        <v>0</v>
      </c>
      <c r="O168" s="97" t="n">
        <v>50</v>
      </c>
      <c r="P168" s="96" t="n">
        <v>20</v>
      </c>
      <c r="Q168" s="82" t="n">
        <v>0</v>
      </c>
      <c r="R168" s="83" t="n">
        <v>0</v>
      </c>
      <c r="S168" s="82" t="n">
        <v>0</v>
      </c>
      <c r="T168" s="82" t="n">
        <v>0</v>
      </c>
      <c r="U168" s="82" t="n">
        <v>0</v>
      </c>
      <c r="V168" s="82" t="n">
        <v>0</v>
      </c>
      <c r="W168" s="82" t="n">
        <v>0</v>
      </c>
    </row>
    <row r="169" customFormat="false" ht="15" hidden="false" customHeight="false" outlineLevel="0" collapsed="false">
      <c r="A169" s="68" t="s">
        <v>49</v>
      </c>
      <c r="B169" s="69" t="n">
        <v>46185</v>
      </c>
      <c r="C169" s="70" t="n">
        <v>6</v>
      </c>
      <c r="D169" s="70" t="s">
        <v>57</v>
      </c>
      <c r="E169" s="71" t="n">
        <f aca="false">G169*23.12+H169*23.12+I169*23.12+J169*23.12+K169*11.55+L169*11.55+M169*11.55+N169*16.51+O169*16.51+P169*16.51+Q169*11.55+S169*11.55+T169*15+U169*1.7+V169*1.7+W169*11.55</f>
        <v>5561.7</v>
      </c>
      <c r="F169" s="72" t="n">
        <f aca="false">G169+H169+I169+J169+K169+L169+M169+N169+O169+P169+Q169+S169+T169+U169+V169+W169</f>
        <v>430</v>
      </c>
      <c r="G169" s="73" t="n">
        <v>0</v>
      </c>
      <c r="H169" s="74" t="n">
        <v>0</v>
      </c>
      <c r="I169" s="74" t="n">
        <v>0</v>
      </c>
      <c r="J169" s="74" t="n">
        <v>0</v>
      </c>
      <c r="K169" s="98" t="n">
        <v>155</v>
      </c>
      <c r="L169" s="99" t="n">
        <v>155</v>
      </c>
      <c r="M169" s="74" t="n">
        <v>0</v>
      </c>
      <c r="N169" s="98" t="n">
        <v>50</v>
      </c>
      <c r="O169" s="99" t="n">
        <v>50</v>
      </c>
      <c r="P169" s="98" t="n">
        <v>20</v>
      </c>
      <c r="Q169" s="74" t="n">
        <v>0</v>
      </c>
      <c r="R169" s="75" t="n">
        <v>0</v>
      </c>
      <c r="S169" s="74" t="n">
        <v>0</v>
      </c>
      <c r="T169" s="74" t="n">
        <v>0</v>
      </c>
      <c r="U169" s="74" t="n">
        <v>0</v>
      </c>
      <c r="V169" s="74" t="n">
        <v>0</v>
      </c>
      <c r="W169" s="74" t="n">
        <v>0</v>
      </c>
    </row>
    <row r="170" customFormat="false" ht="15" hidden="false" customHeight="false" outlineLevel="0" collapsed="false">
      <c r="A170" s="85" t="s">
        <v>50</v>
      </c>
      <c r="B170" s="77" t="n">
        <v>46186</v>
      </c>
      <c r="C170" s="78" t="n">
        <v>6</v>
      </c>
      <c r="D170" s="78" t="s">
        <v>57</v>
      </c>
      <c r="E170" s="79" t="n">
        <f aca="false">G170*23.12+H170*23.12+I170*23.12+J170*23.12+K170*11.55+L170*11.55+M170*11.55+N170*16.51+O170*16.51+P170*16.51+Q170*11.55+S170*11.55+T170*15+U170*1.7+V170*1.7+W170*11.55</f>
        <v>4406</v>
      </c>
      <c r="F170" s="80" t="n">
        <f aca="false">G170+H170+I170+J170+K170+L170+M170+N170+O170+P170+Q170+S170+T170+U170+V170+W170</f>
        <v>360</v>
      </c>
      <c r="G170" s="81" t="n">
        <v>0</v>
      </c>
      <c r="H170" s="82" t="n">
        <v>0</v>
      </c>
      <c r="I170" s="82" t="n">
        <v>0</v>
      </c>
      <c r="J170" s="82" t="n">
        <v>0</v>
      </c>
      <c r="K170" s="96" t="n">
        <v>155</v>
      </c>
      <c r="L170" s="97" t="n">
        <v>155</v>
      </c>
      <c r="M170" s="82" t="n">
        <v>0</v>
      </c>
      <c r="N170" s="96" t="n">
        <v>50</v>
      </c>
      <c r="O170" s="82" t="n">
        <v>0</v>
      </c>
      <c r="P170" s="81" t="n">
        <v>0</v>
      </c>
      <c r="Q170" s="82" t="n">
        <v>0</v>
      </c>
      <c r="R170" s="83" t="n">
        <v>0</v>
      </c>
      <c r="S170" s="82" t="n">
        <v>0</v>
      </c>
      <c r="T170" s="82" t="n">
        <v>0</v>
      </c>
      <c r="U170" s="82" t="n">
        <v>0</v>
      </c>
      <c r="V170" s="82" t="n">
        <v>0</v>
      </c>
      <c r="W170" s="82" t="n">
        <v>0</v>
      </c>
    </row>
    <row r="171" customFormat="false" ht="15" hidden="false" customHeight="false" outlineLevel="0" collapsed="false">
      <c r="A171" s="84" t="s">
        <v>51</v>
      </c>
      <c r="B171" s="69" t="n">
        <v>46187</v>
      </c>
      <c r="C171" s="70" t="n">
        <v>6</v>
      </c>
      <c r="D171" s="70" t="s">
        <v>57</v>
      </c>
      <c r="E171" s="71" t="n">
        <f aca="false">G171*23.12+H171*23.12+I171*23.12+J171*23.12+K171*11.55+L171*11.55+M171*11.55+N171*16.51+O171*16.51+P171*16.51+Q171*11.55+S171*11.55+T171*15+U171*1.7+V171*1.7+W171*11.55</f>
        <v>0</v>
      </c>
      <c r="F171" s="72" t="n">
        <f aca="false">G171+H171+I171+J171+K171+L171+M171+N171+O171+P171+Q171+S171+T171+U171+V171+W171</f>
        <v>0</v>
      </c>
      <c r="G171" s="73" t="n">
        <v>0</v>
      </c>
      <c r="H171" s="74" t="n">
        <v>0</v>
      </c>
      <c r="I171" s="74" t="n">
        <v>0</v>
      </c>
      <c r="J171" s="74" t="n">
        <v>0</v>
      </c>
      <c r="K171" s="73" t="n">
        <v>0</v>
      </c>
      <c r="L171" s="74" t="n">
        <v>0</v>
      </c>
      <c r="M171" s="74" t="n">
        <v>0</v>
      </c>
      <c r="N171" s="73" t="n">
        <v>0</v>
      </c>
      <c r="O171" s="74" t="n">
        <v>0</v>
      </c>
      <c r="P171" s="73" t="n">
        <v>0</v>
      </c>
      <c r="Q171" s="74" t="n">
        <v>0</v>
      </c>
      <c r="R171" s="75" t="n">
        <v>0</v>
      </c>
      <c r="S171" s="74" t="n">
        <v>0</v>
      </c>
      <c r="T171" s="74" t="n">
        <v>0</v>
      </c>
      <c r="U171" s="74" t="n">
        <v>0</v>
      </c>
      <c r="V171" s="74" t="n">
        <v>0</v>
      </c>
      <c r="W171" s="74" t="n">
        <v>0</v>
      </c>
    </row>
    <row r="172" customFormat="false" ht="15" hidden="false" customHeight="false" outlineLevel="0" collapsed="false">
      <c r="A172" s="100" t="s">
        <v>52</v>
      </c>
      <c r="B172" s="101" t="n">
        <v>46188</v>
      </c>
      <c r="C172" s="102" t="n">
        <v>7</v>
      </c>
      <c r="D172" s="102" t="s">
        <v>48</v>
      </c>
      <c r="E172" s="103" t="n">
        <f aca="false">G172*23.12+H172*23.12+I172*23.12+J172*23.12+K172*11.55+L172*11.55+M172*11.55+N172*16.51+O172*16.51+P172*16.51+Q172*11.55+S172*11.55+T172*15+U172*1.7+V172*1.7+W172*11.55</f>
        <v>3580.5</v>
      </c>
      <c r="F172" s="104" t="n">
        <f aca="false">G172+H172+I172+J172+K172+L172+M172+N172+O172+P172+Q172+S172+T172+U172+V172+W172</f>
        <v>310</v>
      </c>
      <c r="G172" s="105" t="n">
        <v>0</v>
      </c>
      <c r="H172" s="106" t="n">
        <v>0</v>
      </c>
      <c r="I172" s="106" t="n">
        <v>0</v>
      </c>
      <c r="J172" s="106" t="n">
        <v>0</v>
      </c>
      <c r="K172" s="107" t="n">
        <v>155</v>
      </c>
      <c r="L172" s="108" t="n">
        <v>155</v>
      </c>
      <c r="M172" s="106" t="n">
        <v>0</v>
      </c>
      <c r="N172" s="105" t="n">
        <v>0</v>
      </c>
      <c r="O172" s="106" t="n">
        <v>0</v>
      </c>
      <c r="P172" s="105" t="n">
        <v>0</v>
      </c>
      <c r="Q172" s="106" t="n">
        <v>0</v>
      </c>
      <c r="R172" s="109" t="n">
        <v>0</v>
      </c>
      <c r="S172" s="106" t="n">
        <v>0</v>
      </c>
      <c r="T172" s="106" t="n">
        <v>0</v>
      </c>
      <c r="U172" s="106" t="n">
        <v>0</v>
      </c>
      <c r="V172" s="106" t="n">
        <v>0</v>
      </c>
      <c r="W172" s="106" t="n">
        <v>0</v>
      </c>
    </row>
    <row r="173" customFormat="false" ht="15" hidden="false" customHeight="false" outlineLevel="0" collapsed="false">
      <c r="A173" s="68" t="s">
        <v>54</v>
      </c>
      <c r="B173" s="69" t="n">
        <v>46189</v>
      </c>
      <c r="C173" s="70" t="n">
        <v>7</v>
      </c>
      <c r="D173" s="70" t="s">
        <v>48</v>
      </c>
      <c r="E173" s="71" t="n">
        <f aca="false">G173*23.12+H173*23.12+I173*23.12+J173*23.12+K173*11.55+L173*11.55+M173*11.55+N173*16.51+O173*16.51+P173*16.51+Q173*11.55+S173*11.55+T173*15+U173*1.7+V173*1.7+W173*11.55</f>
        <v>5561.7</v>
      </c>
      <c r="F173" s="72" t="n">
        <f aca="false">G173+H173+I173+J173+K173+L173+M173+N173+O173+P173+Q173+S173+T173+U173+V173+W173</f>
        <v>430</v>
      </c>
      <c r="G173" s="73" t="n">
        <v>0</v>
      </c>
      <c r="H173" s="74" t="n">
        <v>0</v>
      </c>
      <c r="I173" s="74" t="n">
        <v>0</v>
      </c>
      <c r="J173" s="74" t="n">
        <v>0</v>
      </c>
      <c r="K173" s="98" t="n">
        <v>155</v>
      </c>
      <c r="L173" s="99" t="n">
        <v>155</v>
      </c>
      <c r="M173" s="74" t="n">
        <v>0</v>
      </c>
      <c r="N173" s="98" t="n">
        <v>50</v>
      </c>
      <c r="O173" s="99" t="n">
        <v>50</v>
      </c>
      <c r="P173" s="98" t="n">
        <v>20</v>
      </c>
      <c r="Q173" s="74" t="n">
        <v>0</v>
      </c>
      <c r="R173" s="75" t="n">
        <v>0</v>
      </c>
      <c r="S173" s="74" t="n">
        <v>0</v>
      </c>
      <c r="T173" s="74" t="n">
        <v>0</v>
      </c>
      <c r="U173" s="74" t="n">
        <v>0</v>
      </c>
      <c r="V173" s="74" t="n">
        <v>0</v>
      </c>
      <c r="W173" s="74" t="n">
        <v>0</v>
      </c>
    </row>
    <row r="174" customFormat="false" ht="15" hidden="false" customHeight="false" outlineLevel="0" collapsed="false">
      <c r="A174" s="76" t="s">
        <v>55</v>
      </c>
      <c r="B174" s="77" t="n">
        <v>46190</v>
      </c>
      <c r="C174" s="78" t="n">
        <v>7</v>
      </c>
      <c r="D174" s="78" t="s">
        <v>48</v>
      </c>
      <c r="E174" s="79" t="n">
        <f aca="false">G174*23.12+H174*23.12+I174*23.12+J174*23.12+K174*11.55+L174*11.55+M174*11.55+N174*16.51+O174*16.51+P174*16.51+Q174*11.55+S174*11.55+T174*15+U174*1.7+V174*1.7+W174*11.55</f>
        <v>5561.7</v>
      </c>
      <c r="F174" s="80" t="n">
        <f aca="false">G174+H174+I174+J174+K174+L174+M174+N174+O174+P174+Q174+S174+T174+U174+V174+W174</f>
        <v>430</v>
      </c>
      <c r="G174" s="81" t="n">
        <v>0</v>
      </c>
      <c r="H174" s="82" t="n">
        <v>0</v>
      </c>
      <c r="I174" s="82" t="n">
        <v>0</v>
      </c>
      <c r="J174" s="82" t="n">
        <v>0</v>
      </c>
      <c r="K174" s="96" t="n">
        <v>155</v>
      </c>
      <c r="L174" s="97" t="n">
        <v>155</v>
      </c>
      <c r="M174" s="82" t="n">
        <v>0</v>
      </c>
      <c r="N174" s="96" t="n">
        <v>50</v>
      </c>
      <c r="O174" s="97" t="n">
        <v>50</v>
      </c>
      <c r="P174" s="96" t="n">
        <v>20</v>
      </c>
      <c r="Q174" s="82" t="n">
        <v>0</v>
      </c>
      <c r="R174" s="83" t="n">
        <v>0</v>
      </c>
      <c r="S174" s="82" t="n">
        <v>0</v>
      </c>
      <c r="T174" s="82" t="n">
        <v>0</v>
      </c>
      <c r="U174" s="82" t="n">
        <v>0</v>
      </c>
      <c r="V174" s="82" t="n">
        <v>0</v>
      </c>
      <c r="W174" s="82" t="n">
        <v>0</v>
      </c>
    </row>
    <row r="175" customFormat="false" ht="15" hidden="false" customHeight="false" outlineLevel="0" collapsed="false">
      <c r="A175" s="68" t="s">
        <v>47</v>
      </c>
      <c r="B175" s="69" t="n">
        <v>46191</v>
      </c>
      <c r="C175" s="70" t="n">
        <v>7</v>
      </c>
      <c r="D175" s="70" t="s">
        <v>48</v>
      </c>
      <c r="E175" s="71" t="n">
        <f aca="false">G175*23.12+H175*23.12+I175*23.12+J175*23.12+K175*11.55+L175*11.55+M175*11.55+N175*16.51+O175*16.51+P175*16.51+Q175*11.55+S175*11.55+T175*15+U175*1.7+V175*1.7+W175*11.55</f>
        <v>4736.2</v>
      </c>
      <c r="F175" s="72" t="n">
        <f aca="false">G175+H175+I175+J175+K175+L175+M175+N175+O175+P175+Q175+S175+T175+U175+V175+W175</f>
        <v>380</v>
      </c>
      <c r="G175" s="73" t="n">
        <v>0</v>
      </c>
      <c r="H175" s="74" t="n">
        <v>0</v>
      </c>
      <c r="I175" s="74" t="n">
        <v>0</v>
      </c>
      <c r="J175" s="74" t="n">
        <v>0</v>
      </c>
      <c r="K175" s="98" t="n">
        <v>155</v>
      </c>
      <c r="L175" s="99" t="n">
        <v>155</v>
      </c>
      <c r="M175" s="74" t="n">
        <v>0</v>
      </c>
      <c r="N175" s="73" t="n">
        <v>0</v>
      </c>
      <c r="O175" s="99" t="n">
        <v>50</v>
      </c>
      <c r="P175" s="98" t="n">
        <v>20</v>
      </c>
      <c r="Q175" s="74" t="n">
        <v>0</v>
      </c>
      <c r="R175" s="75" t="n">
        <v>0</v>
      </c>
      <c r="S175" s="74" t="n">
        <v>0</v>
      </c>
      <c r="T175" s="74" t="n">
        <v>0</v>
      </c>
      <c r="U175" s="74" t="n">
        <v>0</v>
      </c>
      <c r="V175" s="74" t="n">
        <v>0</v>
      </c>
      <c r="W175" s="74" t="n">
        <v>0</v>
      </c>
    </row>
    <row r="176" customFormat="false" ht="15" hidden="false" customHeight="false" outlineLevel="0" collapsed="false">
      <c r="A176" s="76" t="s">
        <v>49</v>
      </c>
      <c r="B176" s="77" t="n">
        <v>46192</v>
      </c>
      <c r="C176" s="78" t="n">
        <v>7</v>
      </c>
      <c r="D176" s="78" t="s">
        <v>48</v>
      </c>
      <c r="E176" s="79" t="n">
        <f aca="false">G176*23.12+H176*23.12+I176*23.12+J176*23.12+K176*11.55+L176*11.55+M176*11.55+N176*16.51+O176*16.51+P176*16.51+Q176*11.55+S176*11.55+T176*15+U176*1.7+V176*1.7+W176*11.55</f>
        <v>5561.7</v>
      </c>
      <c r="F176" s="80" t="n">
        <f aca="false">G176+H176+I176+J176+K176+L176+M176+N176+O176+P176+Q176+S176+T176+U176+V176+W176</f>
        <v>430</v>
      </c>
      <c r="G176" s="81" t="n">
        <v>0</v>
      </c>
      <c r="H176" s="82" t="n">
        <v>0</v>
      </c>
      <c r="I176" s="82" t="n">
        <v>0</v>
      </c>
      <c r="J176" s="82" t="n">
        <v>0</v>
      </c>
      <c r="K176" s="96" t="n">
        <v>155</v>
      </c>
      <c r="L176" s="97" t="n">
        <v>155</v>
      </c>
      <c r="M176" s="82" t="n">
        <v>0</v>
      </c>
      <c r="N176" s="96" t="n">
        <v>50</v>
      </c>
      <c r="O176" s="97" t="n">
        <v>50</v>
      </c>
      <c r="P176" s="96" t="n">
        <v>20</v>
      </c>
      <c r="Q176" s="82" t="n">
        <v>0</v>
      </c>
      <c r="R176" s="83" t="n">
        <v>0</v>
      </c>
      <c r="S176" s="82" t="n">
        <v>0</v>
      </c>
      <c r="T176" s="82" t="n">
        <v>0</v>
      </c>
      <c r="U176" s="82" t="n">
        <v>0</v>
      </c>
      <c r="V176" s="82" t="n">
        <v>0</v>
      </c>
      <c r="W176" s="82" t="n">
        <v>0</v>
      </c>
    </row>
    <row r="177" customFormat="false" ht="15" hidden="false" customHeight="false" outlineLevel="0" collapsed="false">
      <c r="A177" s="84" t="s">
        <v>50</v>
      </c>
      <c r="B177" s="69" t="n">
        <v>46193</v>
      </c>
      <c r="C177" s="70" t="n">
        <v>7</v>
      </c>
      <c r="D177" s="70" t="s">
        <v>48</v>
      </c>
      <c r="E177" s="71" t="n">
        <f aca="false">G177*23.12+H177*23.12+I177*23.12+J177*23.12+K177*11.55+L177*11.55+M177*11.55+N177*16.51+O177*16.51+P177*16.51+Q177*11.55+S177*11.55+T177*15+U177*1.7+V177*1.7+W177*11.55</f>
        <v>4406</v>
      </c>
      <c r="F177" s="72" t="n">
        <f aca="false">G177+H177+I177+J177+K177+L177+M177+N177+O177+P177+Q177+S177+T177+U177+V177+W177</f>
        <v>360</v>
      </c>
      <c r="G177" s="73" t="n">
        <v>0</v>
      </c>
      <c r="H177" s="74" t="n">
        <v>0</v>
      </c>
      <c r="I177" s="74" t="n">
        <v>0</v>
      </c>
      <c r="J177" s="74" t="n">
        <v>0</v>
      </c>
      <c r="K177" s="98" t="n">
        <v>155</v>
      </c>
      <c r="L177" s="99" t="n">
        <v>155</v>
      </c>
      <c r="M177" s="74" t="n">
        <v>0</v>
      </c>
      <c r="N177" s="98" t="n">
        <v>50</v>
      </c>
      <c r="O177" s="74" t="n">
        <v>0</v>
      </c>
      <c r="P177" s="73" t="n">
        <v>0</v>
      </c>
      <c r="Q177" s="74" t="n">
        <v>0</v>
      </c>
      <c r="R177" s="75" t="n">
        <v>0</v>
      </c>
      <c r="S177" s="74" t="n">
        <v>0</v>
      </c>
      <c r="T177" s="74" t="n">
        <v>0</v>
      </c>
      <c r="U177" s="74" t="n">
        <v>0</v>
      </c>
      <c r="V177" s="74" t="n">
        <v>0</v>
      </c>
      <c r="W177" s="74" t="n">
        <v>0</v>
      </c>
    </row>
    <row r="178" customFormat="false" ht="15" hidden="false" customHeight="false" outlineLevel="0" collapsed="false">
      <c r="A178" s="85" t="s">
        <v>51</v>
      </c>
      <c r="B178" s="77" t="n">
        <v>46194</v>
      </c>
      <c r="C178" s="78" t="n">
        <v>7</v>
      </c>
      <c r="D178" s="78" t="s">
        <v>48</v>
      </c>
      <c r="E178" s="79" t="n">
        <f aca="false">G178*23.12+H178*23.12+I178*23.12+J178*23.12+K178*11.55+L178*11.55+M178*11.55+N178*16.51+O178*16.51+P178*16.51+Q178*11.55+S178*11.55+T178*15+U178*1.7+V178*1.7+W178*11.55</f>
        <v>0</v>
      </c>
      <c r="F178" s="80" t="n">
        <f aca="false">G178+H178+I178+J178+K178+L178+M178+N178+O178+P178+Q178+S178+T178+U178+V178+W178</f>
        <v>0</v>
      </c>
      <c r="G178" s="81" t="n">
        <v>0</v>
      </c>
      <c r="H178" s="82" t="n">
        <v>0</v>
      </c>
      <c r="I178" s="82" t="n">
        <v>0</v>
      </c>
      <c r="J178" s="82" t="n">
        <v>0</v>
      </c>
      <c r="K178" s="81" t="n">
        <v>0</v>
      </c>
      <c r="L178" s="82" t="n">
        <v>0</v>
      </c>
      <c r="M178" s="82" t="n">
        <v>0</v>
      </c>
      <c r="N178" s="81" t="n">
        <v>0</v>
      </c>
      <c r="O178" s="82" t="n">
        <v>0</v>
      </c>
      <c r="P178" s="81" t="n">
        <v>0</v>
      </c>
      <c r="Q178" s="82" t="n">
        <v>0</v>
      </c>
      <c r="R178" s="83" t="n">
        <v>0</v>
      </c>
      <c r="S178" s="82" t="n">
        <v>0</v>
      </c>
      <c r="T178" s="82" t="n">
        <v>0</v>
      </c>
      <c r="U178" s="82" t="n">
        <v>0</v>
      </c>
      <c r="V178" s="82" t="n">
        <v>0</v>
      </c>
      <c r="W178" s="82" t="n">
        <v>0</v>
      </c>
    </row>
    <row r="179" customFormat="false" ht="15" hidden="false" customHeight="false" outlineLevel="0" collapsed="false">
      <c r="A179" s="86" t="s">
        <v>52</v>
      </c>
      <c r="B179" s="87" t="n">
        <v>46195</v>
      </c>
      <c r="C179" s="88" t="n">
        <v>7</v>
      </c>
      <c r="D179" s="88" t="s">
        <v>53</v>
      </c>
      <c r="E179" s="89" t="n">
        <f aca="false">G179*23.12+H179*23.12+I179*23.12+J179*23.12+K179*11.55+L179*11.55+M179*11.55+N179*16.51+O179*16.51+P179*16.51+Q179*11.55+S179*11.55+T179*15+U179*1.7+V179*1.7+W179*11.55</f>
        <v>3580.5</v>
      </c>
      <c r="F179" s="90" t="n">
        <f aca="false">G179+H179+I179+J179+K179+L179+M179+N179+O179+P179+Q179+S179+T179+U179+V179+W179</f>
        <v>310</v>
      </c>
      <c r="G179" s="91" t="n">
        <v>0</v>
      </c>
      <c r="H179" s="92" t="n">
        <v>0</v>
      </c>
      <c r="I179" s="92" t="n">
        <v>0</v>
      </c>
      <c r="J179" s="92" t="n">
        <v>0</v>
      </c>
      <c r="K179" s="93" t="n">
        <v>155</v>
      </c>
      <c r="L179" s="94" t="n">
        <v>155</v>
      </c>
      <c r="M179" s="92" t="n">
        <v>0</v>
      </c>
      <c r="N179" s="91" t="n">
        <v>0</v>
      </c>
      <c r="O179" s="92" t="n">
        <v>0</v>
      </c>
      <c r="P179" s="91" t="n">
        <v>0</v>
      </c>
      <c r="Q179" s="92" t="n">
        <v>0</v>
      </c>
      <c r="R179" s="95" t="n">
        <v>0</v>
      </c>
      <c r="S179" s="92" t="n">
        <v>0</v>
      </c>
      <c r="T179" s="92" t="n">
        <v>0</v>
      </c>
      <c r="U179" s="92" t="n">
        <v>0</v>
      </c>
      <c r="V179" s="92" t="n">
        <v>0</v>
      </c>
      <c r="W179" s="92" t="n">
        <v>0</v>
      </c>
    </row>
    <row r="180" customFormat="false" ht="15" hidden="false" customHeight="false" outlineLevel="0" collapsed="false">
      <c r="A180" s="76" t="s">
        <v>54</v>
      </c>
      <c r="B180" s="77" t="n">
        <v>46196</v>
      </c>
      <c r="C180" s="78" t="n">
        <v>7</v>
      </c>
      <c r="D180" s="78" t="s">
        <v>53</v>
      </c>
      <c r="E180" s="79" t="n">
        <f aca="false">G180*23.12+H180*23.12+I180*23.12+J180*23.12+K180*11.55+L180*11.55+M180*11.55+N180*16.51+O180*16.51+P180*16.51+Q180*11.55+S180*11.55+T180*15+U180*1.7+V180*1.7+W180*11.55</f>
        <v>3580.5</v>
      </c>
      <c r="F180" s="80" t="n">
        <f aca="false">G180+H180+I180+J180+K180+L180+M180+N180+O180+P180+Q180+S180+T180+U180+V180+W180</f>
        <v>310</v>
      </c>
      <c r="G180" s="81" t="n">
        <v>0</v>
      </c>
      <c r="H180" s="82" t="n">
        <v>0</v>
      </c>
      <c r="I180" s="82" t="n">
        <v>0</v>
      </c>
      <c r="J180" s="82" t="n">
        <v>0</v>
      </c>
      <c r="K180" s="96" t="n">
        <v>155</v>
      </c>
      <c r="L180" s="97" t="n">
        <v>155</v>
      </c>
      <c r="M180" s="82" t="n">
        <v>0</v>
      </c>
      <c r="N180" s="81" t="n">
        <v>0</v>
      </c>
      <c r="O180" s="82" t="n">
        <v>0</v>
      </c>
      <c r="P180" s="81" t="n">
        <v>0</v>
      </c>
      <c r="Q180" s="82" t="n">
        <v>0</v>
      </c>
      <c r="R180" s="83" t="n">
        <v>0</v>
      </c>
      <c r="S180" s="82" t="n">
        <v>0</v>
      </c>
      <c r="T180" s="82" t="n">
        <v>0</v>
      </c>
      <c r="U180" s="82" t="n">
        <v>0</v>
      </c>
      <c r="V180" s="82" t="n">
        <v>0</v>
      </c>
      <c r="W180" s="82" t="n">
        <v>0</v>
      </c>
    </row>
    <row r="181" customFormat="false" ht="15" hidden="false" customHeight="false" outlineLevel="0" collapsed="false">
      <c r="A181" s="68" t="s">
        <v>55</v>
      </c>
      <c r="B181" s="69" t="n">
        <v>46197</v>
      </c>
      <c r="C181" s="70" t="n">
        <v>7</v>
      </c>
      <c r="D181" s="70" t="s">
        <v>53</v>
      </c>
      <c r="E181" s="71" t="n">
        <f aca="false">G181*23.12+H181*23.12+I181*23.12+J181*23.12+K181*11.55+L181*11.55+M181*11.55+N181*16.51+O181*16.51+P181*16.51+Q181*11.55+S181*11.55+T181*15+U181*1.7+V181*1.7+W181*11.55</f>
        <v>3580.5</v>
      </c>
      <c r="F181" s="72" t="n">
        <f aca="false">G181+H181+I181+J181+K181+L181+M181+N181+O181+P181+Q181+S181+T181+U181+V181+W181</f>
        <v>310</v>
      </c>
      <c r="G181" s="73" t="n">
        <v>0</v>
      </c>
      <c r="H181" s="74" t="n">
        <v>0</v>
      </c>
      <c r="I181" s="74" t="n">
        <v>0</v>
      </c>
      <c r="J181" s="74" t="n">
        <v>0</v>
      </c>
      <c r="K181" s="98" t="n">
        <v>155</v>
      </c>
      <c r="L181" s="99" t="n">
        <v>155</v>
      </c>
      <c r="M181" s="74" t="n">
        <v>0</v>
      </c>
      <c r="N181" s="73" t="n">
        <v>0</v>
      </c>
      <c r="O181" s="74" t="n">
        <v>0</v>
      </c>
      <c r="P181" s="73" t="n">
        <v>0</v>
      </c>
      <c r="Q181" s="74" t="n">
        <v>0</v>
      </c>
      <c r="R181" s="75" t="n">
        <v>0</v>
      </c>
      <c r="S181" s="74" t="n">
        <v>0</v>
      </c>
      <c r="T181" s="74" t="n">
        <v>0</v>
      </c>
      <c r="U181" s="74" t="n">
        <v>0</v>
      </c>
      <c r="V181" s="74" t="n">
        <v>0</v>
      </c>
      <c r="W181" s="74" t="n">
        <v>0</v>
      </c>
    </row>
    <row r="182" customFormat="false" ht="15" hidden="false" customHeight="false" outlineLevel="0" collapsed="false">
      <c r="A182" s="76" t="s">
        <v>47</v>
      </c>
      <c r="B182" s="77" t="n">
        <v>46198</v>
      </c>
      <c r="C182" s="78" t="n">
        <v>7</v>
      </c>
      <c r="D182" s="78" t="s">
        <v>53</v>
      </c>
      <c r="E182" s="79" t="n">
        <f aca="false">G182*23.12+H182*23.12+I182*23.12+J182*23.12+K182*11.55+L182*11.55+M182*11.55+N182*16.51+O182*16.51+P182*16.51+Q182*11.55+S182*11.55+T182*15+U182*1.7+V182*1.7+W182*11.55</f>
        <v>3580.5</v>
      </c>
      <c r="F182" s="80" t="n">
        <f aca="false">G182+H182+I182+J182+K182+L182+M182+N182+O182+P182+Q182+S182+T182+U182+V182+W182</f>
        <v>310</v>
      </c>
      <c r="G182" s="81" t="n">
        <v>0</v>
      </c>
      <c r="H182" s="82" t="n">
        <v>0</v>
      </c>
      <c r="I182" s="82" t="n">
        <v>0</v>
      </c>
      <c r="J182" s="82" t="n">
        <v>0</v>
      </c>
      <c r="K182" s="96" t="n">
        <v>155</v>
      </c>
      <c r="L182" s="97" t="n">
        <v>155</v>
      </c>
      <c r="M182" s="82" t="n">
        <v>0</v>
      </c>
      <c r="N182" s="81" t="n">
        <v>0</v>
      </c>
      <c r="O182" s="82" t="n">
        <v>0</v>
      </c>
      <c r="P182" s="81" t="n">
        <v>0</v>
      </c>
      <c r="Q182" s="82" t="n">
        <v>0</v>
      </c>
      <c r="R182" s="83" t="n">
        <v>0</v>
      </c>
      <c r="S182" s="82" t="n">
        <v>0</v>
      </c>
      <c r="T182" s="82" t="n">
        <v>0</v>
      </c>
      <c r="U182" s="82" t="n">
        <v>0</v>
      </c>
      <c r="V182" s="82" t="n">
        <v>0</v>
      </c>
      <c r="W182" s="82" t="n">
        <v>0</v>
      </c>
    </row>
    <row r="183" customFormat="false" ht="15" hidden="false" customHeight="false" outlineLevel="0" collapsed="false">
      <c r="A183" s="68" t="s">
        <v>49</v>
      </c>
      <c r="B183" s="69" t="n">
        <v>46199</v>
      </c>
      <c r="C183" s="70" t="n">
        <v>7</v>
      </c>
      <c r="D183" s="70" t="s">
        <v>53</v>
      </c>
      <c r="E183" s="71" t="n">
        <f aca="false">G183*23.12+H183*23.12+I183*23.12+J183*23.12+K183*11.55+L183*11.55+M183*11.55+N183*16.51+O183*16.51+P183*16.51+Q183*11.55+S183*11.55+T183*15+U183*1.7+V183*1.7+W183*11.55</f>
        <v>3580.5</v>
      </c>
      <c r="F183" s="72" t="n">
        <f aca="false">G183+H183+I183+J183+K183+L183+M183+N183+O183+P183+Q183+S183+T183+U183+V183+W183</f>
        <v>310</v>
      </c>
      <c r="G183" s="73" t="n">
        <v>0</v>
      </c>
      <c r="H183" s="74" t="n">
        <v>0</v>
      </c>
      <c r="I183" s="74" t="n">
        <v>0</v>
      </c>
      <c r="J183" s="74" t="n">
        <v>0</v>
      </c>
      <c r="K183" s="98" t="n">
        <v>155</v>
      </c>
      <c r="L183" s="99" t="n">
        <v>155</v>
      </c>
      <c r="M183" s="74" t="n">
        <v>0</v>
      </c>
      <c r="N183" s="73" t="n">
        <v>0</v>
      </c>
      <c r="O183" s="74" t="n">
        <v>0</v>
      </c>
      <c r="P183" s="73" t="n">
        <v>0</v>
      </c>
      <c r="Q183" s="74" t="n">
        <v>0</v>
      </c>
      <c r="R183" s="75" t="n">
        <v>0</v>
      </c>
      <c r="S183" s="74" t="n">
        <v>0</v>
      </c>
      <c r="T183" s="74" t="n">
        <v>0</v>
      </c>
      <c r="U183" s="74" t="n">
        <v>0</v>
      </c>
      <c r="V183" s="74" t="n">
        <v>0</v>
      </c>
      <c r="W183" s="74" t="n">
        <v>0</v>
      </c>
    </row>
    <row r="184" customFormat="false" ht="15" hidden="false" customHeight="false" outlineLevel="0" collapsed="false">
      <c r="A184" s="85" t="s">
        <v>50</v>
      </c>
      <c r="B184" s="77" t="n">
        <v>46200</v>
      </c>
      <c r="C184" s="78" t="n">
        <v>7</v>
      </c>
      <c r="D184" s="78" t="s">
        <v>53</v>
      </c>
      <c r="E184" s="79" t="n">
        <f aca="false">G184*23.12+H184*23.12+I184*23.12+J184*23.12+K184*11.55+L184*11.55+M184*11.55+N184*16.51+O184*16.51+P184*16.51+Q184*11.55+S184*11.55+T184*15+U184*1.7+V184*1.7+W184*11.55</f>
        <v>3580.5</v>
      </c>
      <c r="F184" s="80" t="n">
        <f aca="false">G184+H184+I184+J184+K184+L184+M184+N184+O184+P184+Q184+S184+T184+U184+V184+W184</f>
        <v>310</v>
      </c>
      <c r="G184" s="81" t="n">
        <v>0</v>
      </c>
      <c r="H184" s="82" t="n">
        <v>0</v>
      </c>
      <c r="I184" s="82" t="n">
        <v>0</v>
      </c>
      <c r="J184" s="82" t="n">
        <v>0</v>
      </c>
      <c r="K184" s="96" t="n">
        <v>155</v>
      </c>
      <c r="L184" s="97" t="n">
        <v>155</v>
      </c>
      <c r="M184" s="82" t="n">
        <v>0</v>
      </c>
      <c r="N184" s="81" t="n">
        <v>0</v>
      </c>
      <c r="O184" s="82" t="n">
        <v>0</v>
      </c>
      <c r="P184" s="81" t="n">
        <v>0</v>
      </c>
      <c r="Q184" s="82" t="n">
        <v>0</v>
      </c>
      <c r="R184" s="83" t="n">
        <v>0</v>
      </c>
      <c r="S184" s="82" t="n">
        <v>0</v>
      </c>
      <c r="T184" s="82" t="n">
        <v>0</v>
      </c>
      <c r="U184" s="82" t="n">
        <v>0</v>
      </c>
      <c r="V184" s="82" t="n">
        <v>0</v>
      </c>
      <c r="W184" s="82" t="n">
        <v>0</v>
      </c>
    </row>
    <row r="185" customFormat="false" ht="15" hidden="false" customHeight="false" outlineLevel="0" collapsed="false">
      <c r="A185" s="84" t="s">
        <v>51</v>
      </c>
      <c r="B185" s="69" t="n">
        <v>46201</v>
      </c>
      <c r="C185" s="70" t="n">
        <v>7</v>
      </c>
      <c r="D185" s="70" t="s">
        <v>53</v>
      </c>
      <c r="E185" s="71" t="n">
        <f aca="false">G185*23.12+H185*23.12+I185*23.12+J185*23.12+K185*11.55+L185*11.55+M185*11.55+N185*16.51+O185*16.51+P185*16.51+Q185*11.55+S185*11.55+T185*15+U185*1.7+V185*1.7+W185*11.55</f>
        <v>0</v>
      </c>
      <c r="F185" s="72" t="n">
        <f aca="false">G185+H185+I185+J185+K185+L185+M185+N185+O185+P185+Q185+S185+T185+U185+V185+W185</f>
        <v>0</v>
      </c>
      <c r="G185" s="73" t="n">
        <v>0</v>
      </c>
      <c r="H185" s="74" t="n">
        <v>0</v>
      </c>
      <c r="I185" s="74" t="n">
        <v>0</v>
      </c>
      <c r="J185" s="74" t="n">
        <v>0</v>
      </c>
      <c r="K185" s="73" t="n">
        <v>0</v>
      </c>
      <c r="L185" s="74" t="n">
        <v>0</v>
      </c>
      <c r="M185" s="74" t="n">
        <v>0</v>
      </c>
      <c r="N185" s="73" t="n">
        <v>0</v>
      </c>
      <c r="O185" s="74" t="n">
        <v>0</v>
      </c>
      <c r="P185" s="73" t="n">
        <v>0</v>
      </c>
      <c r="Q185" s="74" t="n">
        <v>0</v>
      </c>
      <c r="R185" s="75" t="n">
        <v>0</v>
      </c>
      <c r="S185" s="74" t="n">
        <v>0</v>
      </c>
      <c r="T185" s="74" t="n">
        <v>0</v>
      </c>
      <c r="U185" s="74" t="n">
        <v>0</v>
      </c>
      <c r="V185" s="74" t="n">
        <v>0</v>
      </c>
      <c r="W185" s="74" t="n">
        <v>0</v>
      </c>
    </row>
    <row r="186" customFormat="false" ht="15" hidden="false" customHeight="false" outlineLevel="0" collapsed="false">
      <c r="A186" s="100" t="s">
        <v>52</v>
      </c>
      <c r="B186" s="101" t="n">
        <v>46202</v>
      </c>
      <c r="C186" s="102" t="n">
        <v>7</v>
      </c>
      <c r="D186" s="102" t="s">
        <v>56</v>
      </c>
      <c r="E186" s="103" t="n">
        <f aca="false">G186*23.12+H186*23.12+I186*23.12+J186*23.12+K186*11.55+L186*11.55+M186*11.55+N186*16.51+O186*16.51+P186*16.51+Q186*11.55+S186*11.55+T186*15+U186*1.7+V186*1.7+W186*11.55</f>
        <v>3580.5</v>
      </c>
      <c r="F186" s="104" t="n">
        <f aca="false">G186+H186+I186+J186+K186+L186+M186+N186+O186+P186+Q186+S186+T186+U186+V186+W186</f>
        <v>310</v>
      </c>
      <c r="G186" s="105" t="n">
        <v>0</v>
      </c>
      <c r="H186" s="106" t="n">
        <v>0</v>
      </c>
      <c r="I186" s="106" t="n">
        <v>0</v>
      </c>
      <c r="J186" s="106" t="n">
        <v>0</v>
      </c>
      <c r="K186" s="107" t="n">
        <v>155</v>
      </c>
      <c r="L186" s="108" t="n">
        <v>155</v>
      </c>
      <c r="M186" s="106" t="n">
        <v>0</v>
      </c>
      <c r="N186" s="105" t="n">
        <v>0</v>
      </c>
      <c r="O186" s="106" t="n">
        <v>0</v>
      </c>
      <c r="P186" s="105" t="n">
        <v>0</v>
      </c>
      <c r="Q186" s="106" t="n">
        <v>0</v>
      </c>
      <c r="R186" s="109" t="n">
        <v>0</v>
      </c>
      <c r="S186" s="106" t="n">
        <v>0</v>
      </c>
      <c r="T186" s="106" t="n">
        <v>0</v>
      </c>
      <c r="U186" s="106" t="n">
        <v>0</v>
      </c>
      <c r="V186" s="106" t="n">
        <v>0</v>
      </c>
      <c r="W186" s="106" t="n">
        <v>0</v>
      </c>
    </row>
    <row r="187" customFormat="false" ht="15" hidden="false" customHeight="false" outlineLevel="0" collapsed="false">
      <c r="A187" s="68" t="s">
        <v>54</v>
      </c>
      <c r="B187" s="69" t="n">
        <v>46203</v>
      </c>
      <c r="C187" s="70" t="n">
        <v>7</v>
      </c>
      <c r="D187" s="70" t="s">
        <v>56</v>
      </c>
      <c r="E187" s="71" t="n">
        <f aca="false">G187*23.12+H187*23.12+I187*23.12+J187*23.12+K187*11.55+L187*11.55+M187*11.55+N187*16.51+O187*16.51+P187*16.51+Q187*11.55+S187*11.55+T187*15+U187*1.7+V187*1.7+W187*11.55</f>
        <v>5561.7</v>
      </c>
      <c r="F187" s="72" t="n">
        <f aca="false">G187+H187+I187+J187+K187+L187+M187+N187+O187+P187+Q187+S187+T187+U187+V187+W187</f>
        <v>430</v>
      </c>
      <c r="G187" s="73" t="n">
        <v>0</v>
      </c>
      <c r="H187" s="74" t="n">
        <v>0</v>
      </c>
      <c r="I187" s="74" t="n">
        <v>0</v>
      </c>
      <c r="J187" s="74" t="n">
        <v>0</v>
      </c>
      <c r="K187" s="98" t="n">
        <v>155</v>
      </c>
      <c r="L187" s="99" t="n">
        <v>155</v>
      </c>
      <c r="M187" s="74" t="n">
        <v>0</v>
      </c>
      <c r="N187" s="98" t="n">
        <v>50</v>
      </c>
      <c r="O187" s="99" t="n">
        <v>50</v>
      </c>
      <c r="P187" s="98" t="n">
        <v>20</v>
      </c>
      <c r="Q187" s="74" t="n">
        <v>0</v>
      </c>
      <c r="R187" s="75" t="n">
        <v>0</v>
      </c>
      <c r="S187" s="74" t="n">
        <v>0</v>
      </c>
      <c r="T187" s="74" t="n">
        <v>0</v>
      </c>
      <c r="U187" s="74" t="n">
        <v>0</v>
      </c>
      <c r="V187" s="74" t="n">
        <v>0</v>
      </c>
      <c r="W187" s="74" t="n">
        <v>0</v>
      </c>
    </row>
    <row r="188" customFormat="false" ht="15" hidden="false" customHeight="false" outlineLevel="0" collapsed="false">
      <c r="A188" s="76" t="s">
        <v>55</v>
      </c>
      <c r="B188" s="77" t="n">
        <v>46204</v>
      </c>
      <c r="C188" s="78" t="n">
        <v>7</v>
      </c>
      <c r="D188" s="78" t="s">
        <v>56</v>
      </c>
      <c r="E188" s="79" t="n">
        <f aca="false">G188*23.12+H188*23.12+I188*23.12+J188*23.12+K188*11.55+L188*11.55+M188*11.55+N188*16.51+O188*16.51+P188*16.51+Q188*11.55+S188*11.55+T188*15+U188*1.7+V188*1.7+W188*11.55</f>
        <v>4348.95</v>
      </c>
      <c r="F188" s="80" t="n">
        <f aca="false">G188+H188+I188+J188+K188+L188+M188+N188+O188+P188+Q188+S188+T188+U188+V188+W188</f>
        <v>325</v>
      </c>
      <c r="G188" s="81" t="n">
        <v>0</v>
      </c>
      <c r="H188" s="82" t="n">
        <v>0</v>
      </c>
      <c r="I188" s="82" t="n">
        <v>0</v>
      </c>
      <c r="J188" s="82" t="n">
        <v>0</v>
      </c>
      <c r="K188" s="96" t="n">
        <v>155</v>
      </c>
      <c r="L188" s="97" t="n">
        <v>50</v>
      </c>
      <c r="M188" s="82" t="n">
        <v>0</v>
      </c>
      <c r="N188" s="96" t="n">
        <v>50</v>
      </c>
      <c r="O188" s="97" t="n">
        <v>50</v>
      </c>
      <c r="P188" s="96" t="n">
        <v>20</v>
      </c>
      <c r="Q188" s="82" t="n">
        <v>0</v>
      </c>
      <c r="R188" s="83" t="n">
        <v>0</v>
      </c>
      <c r="S188" s="82" t="n">
        <v>0</v>
      </c>
      <c r="T188" s="82" t="n">
        <v>0</v>
      </c>
      <c r="U188" s="82" t="n">
        <v>0</v>
      </c>
      <c r="V188" s="82" t="n">
        <v>0</v>
      </c>
      <c r="W188" s="82" t="n">
        <v>0</v>
      </c>
    </row>
    <row r="189" customFormat="false" ht="15" hidden="false" customHeight="false" outlineLevel="0" collapsed="false">
      <c r="A189" s="68" t="s">
        <v>47</v>
      </c>
      <c r="B189" s="69" t="n">
        <v>46205</v>
      </c>
      <c r="C189" s="70" t="n">
        <v>7</v>
      </c>
      <c r="D189" s="70" t="s">
        <v>56</v>
      </c>
      <c r="E189" s="71" t="n">
        <f aca="false">G189*23.12+H189*23.12+I189*23.12+J189*23.12+K189*11.55+L189*11.55+M189*11.55+N189*16.51+O189*16.51+P189*16.51+Q189*11.55+S189*11.55+T189*15+U189*1.7+V189*1.7+W189*11.55</f>
        <v>4736.2</v>
      </c>
      <c r="F189" s="72" t="n">
        <f aca="false">G189+H189+I189+J189+K189+L189+M189+N189+O189+P189+Q189+S189+T189+U189+V189+W189</f>
        <v>380</v>
      </c>
      <c r="G189" s="73" t="n">
        <v>0</v>
      </c>
      <c r="H189" s="74" t="n">
        <v>0</v>
      </c>
      <c r="I189" s="74" t="n">
        <v>0</v>
      </c>
      <c r="J189" s="74" t="n">
        <v>0</v>
      </c>
      <c r="K189" s="98" t="n">
        <v>155</v>
      </c>
      <c r="L189" s="99" t="n">
        <v>155</v>
      </c>
      <c r="M189" s="74" t="n">
        <v>0</v>
      </c>
      <c r="N189" s="73" t="n">
        <v>0</v>
      </c>
      <c r="O189" s="99" t="n">
        <v>50</v>
      </c>
      <c r="P189" s="98" t="n">
        <v>20</v>
      </c>
      <c r="Q189" s="74" t="n">
        <v>0</v>
      </c>
      <c r="R189" s="75" t="n">
        <v>0</v>
      </c>
      <c r="S189" s="74" t="n">
        <v>0</v>
      </c>
      <c r="T189" s="74" t="n">
        <v>0</v>
      </c>
      <c r="U189" s="74" t="n">
        <v>0</v>
      </c>
      <c r="V189" s="74" t="n">
        <v>0</v>
      </c>
      <c r="W189" s="74" t="n">
        <v>0</v>
      </c>
    </row>
    <row r="190" customFormat="false" ht="15" hidden="false" customHeight="false" outlineLevel="0" collapsed="false">
      <c r="A190" s="76" t="s">
        <v>49</v>
      </c>
      <c r="B190" s="77" t="n">
        <v>46206</v>
      </c>
      <c r="C190" s="78" t="n">
        <v>7</v>
      </c>
      <c r="D190" s="78" t="s">
        <v>56</v>
      </c>
      <c r="E190" s="79" t="n">
        <f aca="false">G190*23.12+H190*23.12+I190*23.12+J190*23.12+K190*11.55+L190*11.55+M190*11.55+N190*16.51+O190*16.51+P190*16.51+Q190*11.55+S190*11.55+T190*15+U190*1.7+V190*1.7+W190*11.55</f>
        <v>5099.7</v>
      </c>
      <c r="F190" s="80" t="n">
        <f aca="false">G190+H190+I190+J190+K190+L190+M190+N190+O190+P190+Q190+S190+T190+U190+V190+W190</f>
        <v>390</v>
      </c>
      <c r="G190" s="81" t="n">
        <v>0</v>
      </c>
      <c r="H190" s="82" t="n">
        <v>0</v>
      </c>
      <c r="I190" s="82" t="n">
        <v>0</v>
      </c>
      <c r="J190" s="82" t="n">
        <v>0</v>
      </c>
      <c r="K190" s="96" t="n">
        <v>155</v>
      </c>
      <c r="L190" s="97" t="n">
        <v>115</v>
      </c>
      <c r="M190" s="82" t="n">
        <v>0</v>
      </c>
      <c r="N190" s="96" t="n">
        <v>50</v>
      </c>
      <c r="O190" s="97" t="n">
        <v>50</v>
      </c>
      <c r="P190" s="96" t="n">
        <v>20</v>
      </c>
      <c r="Q190" s="82" t="n">
        <v>0</v>
      </c>
      <c r="R190" s="83" t="n">
        <v>0</v>
      </c>
      <c r="S190" s="82" t="n">
        <v>0</v>
      </c>
      <c r="T190" s="82" t="n">
        <v>0</v>
      </c>
      <c r="U190" s="82" t="n">
        <v>0</v>
      </c>
      <c r="V190" s="82" t="n">
        <v>0</v>
      </c>
      <c r="W190" s="82" t="n">
        <v>0</v>
      </c>
    </row>
    <row r="191" customFormat="false" ht="15" hidden="false" customHeight="false" outlineLevel="0" collapsed="false">
      <c r="A191" s="84" t="s">
        <v>50</v>
      </c>
      <c r="B191" s="69" t="n">
        <v>46207</v>
      </c>
      <c r="C191" s="70" t="n">
        <v>7</v>
      </c>
      <c r="D191" s="70" t="s">
        <v>56</v>
      </c>
      <c r="E191" s="71" t="n">
        <f aca="false">G191*23.12+H191*23.12+I191*23.12+J191*23.12+K191*11.55+L191*11.55+M191*11.55+N191*16.51+O191*16.51+P191*16.51+Q191*11.55+S191*11.55+T191*15+U191*1.7+V191*1.7+W191*11.55</f>
        <v>4406</v>
      </c>
      <c r="F191" s="72" t="n">
        <f aca="false">G191+H191+I191+J191+K191+L191+M191+N191+O191+P191+Q191+S191+T191+U191+V191+W191</f>
        <v>360</v>
      </c>
      <c r="G191" s="73" t="n">
        <v>0</v>
      </c>
      <c r="H191" s="74" t="n">
        <v>0</v>
      </c>
      <c r="I191" s="74" t="n">
        <v>0</v>
      </c>
      <c r="J191" s="74" t="n">
        <v>0</v>
      </c>
      <c r="K191" s="98" t="n">
        <v>155</v>
      </c>
      <c r="L191" s="99" t="n">
        <v>155</v>
      </c>
      <c r="M191" s="74" t="n">
        <v>0</v>
      </c>
      <c r="N191" s="98" t="n">
        <v>50</v>
      </c>
      <c r="O191" s="74" t="n">
        <v>0</v>
      </c>
      <c r="P191" s="73" t="n">
        <v>0</v>
      </c>
      <c r="Q191" s="74" t="n">
        <v>0</v>
      </c>
      <c r="R191" s="75" t="n">
        <v>0</v>
      </c>
      <c r="S191" s="74" t="n">
        <v>0</v>
      </c>
      <c r="T191" s="74" t="n">
        <v>0</v>
      </c>
      <c r="U191" s="74" t="n">
        <v>0</v>
      </c>
      <c r="V191" s="74" t="n">
        <v>0</v>
      </c>
      <c r="W191" s="74" t="n">
        <v>0</v>
      </c>
    </row>
    <row r="192" customFormat="false" ht="15" hidden="false" customHeight="false" outlineLevel="0" collapsed="false">
      <c r="A192" s="85" t="s">
        <v>51</v>
      </c>
      <c r="B192" s="77" t="n">
        <v>46208</v>
      </c>
      <c r="C192" s="78" t="n">
        <v>7</v>
      </c>
      <c r="D192" s="78" t="s">
        <v>56</v>
      </c>
      <c r="E192" s="79" t="n">
        <f aca="false">G192*23.12+H192*23.12+I192*23.12+J192*23.12+K192*11.55+L192*11.55+M192*11.55+N192*16.51+O192*16.51+P192*16.51+Q192*11.55+S192*11.55+T192*15+U192*1.7+V192*1.7+W192*11.55</f>
        <v>0</v>
      </c>
      <c r="F192" s="80" t="n">
        <f aca="false">G192+H192+I192+J192+K192+L192+M192+N192+O192+P192+Q192+S192+T192+U192+V192+W192</f>
        <v>0</v>
      </c>
      <c r="G192" s="81" t="n">
        <v>0</v>
      </c>
      <c r="H192" s="82" t="n">
        <v>0</v>
      </c>
      <c r="I192" s="82" t="n">
        <v>0</v>
      </c>
      <c r="J192" s="82" t="n">
        <v>0</v>
      </c>
      <c r="K192" s="81" t="n">
        <v>0</v>
      </c>
      <c r="L192" s="82" t="n">
        <v>0</v>
      </c>
      <c r="M192" s="82" t="n">
        <v>0</v>
      </c>
      <c r="N192" s="81" t="n">
        <v>0</v>
      </c>
      <c r="O192" s="82" t="n">
        <v>0</v>
      </c>
      <c r="P192" s="81" t="n">
        <v>0</v>
      </c>
      <c r="Q192" s="82" t="n">
        <v>0</v>
      </c>
      <c r="R192" s="83" t="n">
        <v>0</v>
      </c>
      <c r="S192" s="82" t="n">
        <v>0</v>
      </c>
      <c r="T192" s="82" t="n">
        <v>0</v>
      </c>
      <c r="U192" s="82" t="n">
        <v>0</v>
      </c>
      <c r="V192" s="82" t="n">
        <v>0</v>
      </c>
      <c r="W192" s="82" t="n">
        <v>0</v>
      </c>
    </row>
    <row r="193" customFormat="false" ht="15" hidden="false" customHeight="false" outlineLevel="0" collapsed="false">
      <c r="A193" s="86" t="s">
        <v>52</v>
      </c>
      <c r="B193" s="87" t="n">
        <v>46209</v>
      </c>
      <c r="C193" s="88" t="n">
        <v>7</v>
      </c>
      <c r="D193" s="88" t="s">
        <v>57</v>
      </c>
      <c r="E193" s="89" t="n">
        <f aca="false">G193*23.12+H193*23.12+I193*23.12+J193*23.12+K193*11.55+L193*11.55+M193*11.55+N193*16.51+O193*16.51+P193*16.51+Q193*11.55+S193*11.55+T193*15+U193*1.7+V193*1.7+W193*11.55</f>
        <v>0</v>
      </c>
      <c r="F193" s="90" t="n">
        <f aca="false">G193+H193+I193+J193+K193+L193+M193+N193+O193+P193+Q193+S193+T193+U193+V193+W193</f>
        <v>0</v>
      </c>
      <c r="G193" s="91" t="n">
        <v>0</v>
      </c>
      <c r="H193" s="92" t="n">
        <v>0</v>
      </c>
      <c r="I193" s="92" t="n">
        <v>0</v>
      </c>
      <c r="J193" s="92" t="n">
        <v>0</v>
      </c>
      <c r="K193" s="91" t="n">
        <v>0</v>
      </c>
      <c r="L193" s="92" t="n">
        <v>0</v>
      </c>
      <c r="M193" s="92" t="n">
        <v>0</v>
      </c>
      <c r="N193" s="91" t="n">
        <v>0</v>
      </c>
      <c r="O193" s="92" t="n">
        <v>0</v>
      </c>
      <c r="P193" s="91" t="n">
        <v>0</v>
      </c>
      <c r="Q193" s="92" t="n">
        <v>0</v>
      </c>
      <c r="R193" s="95" t="n">
        <v>0</v>
      </c>
      <c r="S193" s="92" t="n">
        <v>0</v>
      </c>
      <c r="T193" s="92" t="n">
        <v>0</v>
      </c>
      <c r="U193" s="92" t="n">
        <v>0</v>
      </c>
      <c r="V193" s="92" t="n">
        <v>0</v>
      </c>
      <c r="W193" s="92" t="n">
        <v>0</v>
      </c>
    </row>
    <row r="194" customFormat="false" ht="15" hidden="false" customHeight="false" outlineLevel="0" collapsed="false">
      <c r="A194" s="76" t="s">
        <v>54</v>
      </c>
      <c r="B194" s="77" t="n">
        <v>46210</v>
      </c>
      <c r="C194" s="78" t="n">
        <v>7</v>
      </c>
      <c r="D194" s="78" t="s">
        <v>57</v>
      </c>
      <c r="E194" s="79" t="n">
        <f aca="false">G194*23.12+H194*23.12+I194*23.12+J194*23.12+K194*11.55+L194*11.55+M194*11.55+N194*16.51+O194*16.51+P194*16.51+Q194*11.55+S194*11.55+T194*15+U194*1.7+V194*1.7+W194*11.55</f>
        <v>1155</v>
      </c>
      <c r="F194" s="80" t="n">
        <f aca="false">G194+H194+I194+J194+K194+L194+M194+N194+O194+P194+Q194+S194+T194+U194+V194+W194</f>
        <v>100</v>
      </c>
      <c r="G194" s="81" t="n">
        <v>0</v>
      </c>
      <c r="H194" s="82" t="n">
        <v>0</v>
      </c>
      <c r="I194" s="82" t="n">
        <v>0</v>
      </c>
      <c r="J194" s="82" t="n">
        <v>0</v>
      </c>
      <c r="K194" s="96" t="n">
        <v>50</v>
      </c>
      <c r="L194" s="97" t="n">
        <v>50</v>
      </c>
      <c r="M194" s="82" t="n">
        <v>0</v>
      </c>
      <c r="N194" s="81" t="n">
        <v>0</v>
      </c>
      <c r="O194" s="82" t="n">
        <v>0</v>
      </c>
      <c r="P194" s="81" t="n">
        <v>0</v>
      </c>
      <c r="Q194" s="82" t="n">
        <v>0</v>
      </c>
      <c r="R194" s="83" t="n">
        <v>0</v>
      </c>
      <c r="S194" s="82" t="n">
        <v>0</v>
      </c>
      <c r="T194" s="82" t="n">
        <v>0</v>
      </c>
      <c r="U194" s="82" t="n">
        <v>0</v>
      </c>
      <c r="V194" s="82" t="n">
        <v>0</v>
      </c>
      <c r="W194" s="82" t="n">
        <v>0</v>
      </c>
    </row>
    <row r="195" customFormat="false" ht="15" hidden="false" customHeight="false" outlineLevel="0" collapsed="false">
      <c r="A195" s="68" t="s">
        <v>55</v>
      </c>
      <c r="B195" s="69" t="n">
        <v>46211</v>
      </c>
      <c r="C195" s="70" t="n">
        <v>7</v>
      </c>
      <c r="D195" s="70" t="s">
        <v>57</v>
      </c>
      <c r="E195" s="71" t="n">
        <f aca="false">G195*23.12+H195*23.12+I195*23.12+J195*23.12+K195*11.55+L195*11.55+M195*11.55+N195*16.51+O195*16.51+P195*16.51+Q195*11.55+S195*11.55+T195*15+U195*1.7+V195*1.7+W195*11.55</f>
        <v>2367.75</v>
      </c>
      <c r="F195" s="72" t="n">
        <f aca="false">G195+H195+I195+J195+K195+L195+M195+N195+O195+P195+Q195+S195+T195+U195+V195+W195</f>
        <v>205</v>
      </c>
      <c r="G195" s="73" t="n">
        <v>0</v>
      </c>
      <c r="H195" s="74" t="n">
        <v>0</v>
      </c>
      <c r="I195" s="74" t="n">
        <v>0</v>
      </c>
      <c r="J195" s="74" t="n">
        <v>0</v>
      </c>
      <c r="K195" s="98" t="n">
        <v>50</v>
      </c>
      <c r="L195" s="99" t="n">
        <v>155</v>
      </c>
      <c r="M195" s="74" t="n">
        <v>0</v>
      </c>
      <c r="N195" s="73" t="n">
        <v>0</v>
      </c>
      <c r="O195" s="74" t="n">
        <v>0</v>
      </c>
      <c r="P195" s="73" t="n">
        <v>0</v>
      </c>
      <c r="Q195" s="74" t="n">
        <v>0</v>
      </c>
      <c r="R195" s="75" t="n">
        <v>0</v>
      </c>
      <c r="S195" s="74" t="n">
        <v>0</v>
      </c>
      <c r="T195" s="74" t="n">
        <v>0</v>
      </c>
      <c r="U195" s="74" t="n">
        <v>0</v>
      </c>
      <c r="V195" s="74" t="n">
        <v>0</v>
      </c>
      <c r="W195" s="74" t="n">
        <v>0</v>
      </c>
    </row>
    <row r="196" customFormat="false" ht="15" hidden="false" customHeight="false" outlineLevel="0" collapsed="false">
      <c r="A196" s="76" t="s">
        <v>47</v>
      </c>
      <c r="B196" s="77" t="n">
        <v>46212</v>
      </c>
      <c r="C196" s="78" t="n">
        <v>7</v>
      </c>
      <c r="D196" s="78" t="s">
        <v>57</v>
      </c>
      <c r="E196" s="79" t="n">
        <f aca="false">G196*23.12+H196*23.12+I196*23.12+J196*23.12+K196*11.55+L196*11.55+M196*11.55+N196*16.51+O196*16.51+P196*16.51+Q196*11.55+S196*11.55+T196*15+U196*1.7+V196*1.7+W196*11.55</f>
        <v>3580.5</v>
      </c>
      <c r="F196" s="80" t="n">
        <f aca="false">G196+H196+I196+J196+K196+L196+M196+N196+O196+P196+Q196+S196+T196+U196+V196+W196</f>
        <v>310</v>
      </c>
      <c r="G196" s="81" t="n">
        <v>0</v>
      </c>
      <c r="H196" s="82" t="n">
        <v>0</v>
      </c>
      <c r="I196" s="82" t="n">
        <v>0</v>
      </c>
      <c r="J196" s="82" t="n">
        <v>0</v>
      </c>
      <c r="K196" s="96" t="n">
        <v>155</v>
      </c>
      <c r="L196" s="97" t="n">
        <v>155</v>
      </c>
      <c r="M196" s="82" t="n">
        <v>0</v>
      </c>
      <c r="N196" s="81" t="n">
        <v>0</v>
      </c>
      <c r="O196" s="82" t="n">
        <v>0</v>
      </c>
      <c r="P196" s="81" t="n">
        <v>0</v>
      </c>
      <c r="Q196" s="82" t="n">
        <v>0</v>
      </c>
      <c r="R196" s="83" t="n">
        <v>0</v>
      </c>
      <c r="S196" s="82" t="n">
        <v>0</v>
      </c>
      <c r="T196" s="82" t="n">
        <v>0</v>
      </c>
      <c r="U196" s="82" t="n">
        <v>0</v>
      </c>
      <c r="V196" s="82" t="n">
        <v>0</v>
      </c>
      <c r="W196" s="82" t="n">
        <v>0</v>
      </c>
    </row>
    <row r="197" customFormat="false" ht="15" hidden="false" customHeight="false" outlineLevel="0" collapsed="false">
      <c r="A197" s="68" t="s">
        <v>49</v>
      </c>
      <c r="B197" s="69" t="n">
        <v>46213</v>
      </c>
      <c r="C197" s="70" t="n">
        <v>7</v>
      </c>
      <c r="D197" s="70" t="s">
        <v>57</v>
      </c>
      <c r="E197" s="71" t="n">
        <f aca="false">G197*23.12+H197*23.12+I197*23.12+J197*23.12+K197*11.55+L197*11.55+M197*11.55+N197*16.51+O197*16.51+P197*16.51+Q197*11.55+S197*11.55+T197*15+U197*1.7+V197*1.7+W197*11.55</f>
        <v>3118.5</v>
      </c>
      <c r="F197" s="72" t="n">
        <f aca="false">G197+H197+I197+J197+K197+L197+M197+N197+O197+P197+Q197+S197+T197+U197+V197+W197</f>
        <v>270</v>
      </c>
      <c r="G197" s="73" t="n">
        <v>0</v>
      </c>
      <c r="H197" s="74" t="n">
        <v>0</v>
      </c>
      <c r="I197" s="74" t="n">
        <v>0</v>
      </c>
      <c r="J197" s="74" t="n">
        <v>0</v>
      </c>
      <c r="K197" s="98" t="n">
        <v>155</v>
      </c>
      <c r="L197" s="99" t="n">
        <v>115</v>
      </c>
      <c r="M197" s="74" t="n">
        <v>0</v>
      </c>
      <c r="N197" s="73" t="n">
        <v>0</v>
      </c>
      <c r="O197" s="74" t="n">
        <v>0</v>
      </c>
      <c r="P197" s="73" t="n">
        <v>0</v>
      </c>
      <c r="Q197" s="74" t="n">
        <v>0</v>
      </c>
      <c r="R197" s="75" t="n">
        <v>0</v>
      </c>
      <c r="S197" s="74" t="n">
        <v>0</v>
      </c>
      <c r="T197" s="74" t="n">
        <v>0</v>
      </c>
      <c r="U197" s="74" t="n">
        <v>0</v>
      </c>
      <c r="V197" s="74" t="n">
        <v>0</v>
      </c>
      <c r="W197" s="74" t="n">
        <v>0</v>
      </c>
    </row>
    <row r="198" customFormat="false" ht="15" hidden="false" customHeight="false" outlineLevel="0" collapsed="false">
      <c r="A198" s="85" t="s">
        <v>50</v>
      </c>
      <c r="B198" s="77" t="n">
        <v>46214</v>
      </c>
      <c r="C198" s="78" t="n">
        <v>7</v>
      </c>
      <c r="D198" s="78" t="s">
        <v>57</v>
      </c>
      <c r="E198" s="79" t="n">
        <f aca="false">G198*23.12+H198*23.12+I198*23.12+J198*23.12+K198*11.55+L198*11.55+M198*11.55+N198*16.51+O198*16.51+P198*16.51+Q198*11.55+S198*11.55+T198*15+U198*1.7+V198*1.7+W198*11.55</f>
        <v>4331.25</v>
      </c>
      <c r="F198" s="80" t="n">
        <f aca="false">G198+H198+I198+J198+K198+L198+M198+N198+O198+P198+Q198+S198+T198+U198+V198+W198</f>
        <v>375</v>
      </c>
      <c r="G198" s="81" t="n">
        <v>0</v>
      </c>
      <c r="H198" s="82" t="n">
        <v>0</v>
      </c>
      <c r="I198" s="82" t="n">
        <v>0</v>
      </c>
      <c r="J198" s="82" t="n">
        <v>0</v>
      </c>
      <c r="K198" s="96" t="n">
        <v>155</v>
      </c>
      <c r="L198" s="97" t="n">
        <v>155</v>
      </c>
      <c r="M198" s="97" t="n">
        <v>65</v>
      </c>
      <c r="N198" s="81" t="n">
        <v>0</v>
      </c>
      <c r="O198" s="82" t="n">
        <v>0</v>
      </c>
      <c r="P198" s="81" t="n">
        <v>0</v>
      </c>
      <c r="Q198" s="82" t="n">
        <v>0</v>
      </c>
      <c r="R198" s="83" t="n">
        <v>0</v>
      </c>
      <c r="S198" s="82" t="n">
        <v>0</v>
      </c>
      <c r="T198" s="82" t="n">
        <v>0</v>
      </c>
      <c r="U198" s="82" t="n">
        <v>0</v>
      </c>
      <c r="V198" s="82" t="n">
        <v>0</v>
      </c>
      <c r="W198" s="82" t="n">
        <v>0</v>
      </c>
    </row>
    <row r="199" customFormat="false" ht="15" hidden="false" customHeight="false" outlineLevel="0" collapsed="false">
      <c r="A199" s="84" t="s">
        <v>51</v>
      </c>
      <c r="B199" s="69" t="n">
        <v>46215</v>
      </c>
      <c r="C199" s="70" t="n">
        <v>7</v>
      </c>
      <c r="D199" s="70" t="s">
        <v>57</v>
      </c>
      <c r="E199" s="71" t="n">
        <f aca="false">G199*23.12+H199*23.12+I199*23.12+J199*23.12+K199*11.55+L199*11.55+M199*11.55+N199*16.51+O199*16.51+P199*16.51+Q199*11.55+S199*11.55+T199*15+U199*1.7+V199*1.7+W199*11.55</f>
        <v>0</v>
      </c>
      <c r="F199" s="72" t="n">
        <f aca="false">G199+H199+I199+J199+K199+L199+M199+N199+O199+P199+Q199+S199+T199+U199+V199+W199</f>
        <v>0</v>
      </c>
      <c r="G199" s="73" t="n">
        <v>0</v>
      </c>
      <c r="H199" s="74" t="n">
        <v>0</v>
      </c>
      <c r="I199" s="74" t="n">
        <v>0</v>
      </c>
      <c r="J199" s="74" t="n">
        <v>0</v>
      </c>
      <c r="K199" s="73" t="n">
        <v>0</v>
      </c>
      <c r="L199" s="74" t="n">
        <v>0</v>
      </c>
      <c r="M199" s="74" t="n">
        <v>0</v>
      </c>
      <c r="N199" s="73" t="n">
        <v>0</v>
      </c>
      <c r="O199" s="74" t="n">
        <v>0</v>
      </c>
      <c r="P199" s="73" t="n">
        <v>0</v>
      </c>
      <c r="Q199" s="74" t="n">
        <v>0</v>
      </c>
      <c r="R199" s="75" t="n">
        <v>0</v>
      </c>
      <c r="S199" s="74" t="n">
        <v>0</v>
      </c>
      <c r="T199" s="74" t="n">
        <v>0</v>
      </c>
      <c r="U199" s="74" t="n">
        <v>0</v>
      </c>
      <c r="V199" s="74" t="n">
        <v>0</v>
      </c>
      <c r="W199" s="74" t="n">
        <v>0</v>
      </c>
    </row>
    <row r="200" customFormat="false" ht="15" hidden="false" customHeight="false" outlineLevel="0" collapsed="false">
      <c r="A200" s="100" t="s">
        <v>52</v>
      </c>
      <c r="B200" s="101" t="n">
        <v>46216</v>
      </c>
      <c r="C200" s="102" t="n">
        <v>8</v>
      </c>
      <c r="D200" s="102" t="s">
        <v>48</v>
      </c>
      <c r="E200" s="103" t="n">
        <f aca="false">G200*23.12+H200*23.12+I200*23.12+J200*23.12+K200*11.55+L200*11.55+M200*11.55+N200*16.51+O200*16.51+P200*16.51+Q200*11.55+S200*11.55+T200*15+U200*1.7+V200*1.7+W200*11.55</f>
        <v>4273.5</v>
      </c>
      <c r="F200" s="104" t="n">
        <f aca="false">G200+H200+I200+J200+K200+L200+M200+N200+O200+P200+Q200+S200+T200+U200+V200+W200</f>
        <v>370</v>
      </c>
      <c r="G200" s="105" t="n">
        <v>0</v>
      </c>
      <c r="H200" s="106" t="n">
        <v>0</v>
      </c>
      <c r="I200" s="106" t="n">
        <v>0</v>
      </c>
      <c r="J200" s="106" t="n">
        <v>0</v>
      </c>
      <c r="K200" s="107" t="n">
        <v>185</v>
      </c>
      <c r="L200" s="108" t="n">
        <v>185</v>
      </c>
      <c r="M200" s="106" t="n">
        <v>0</v>
      </c>
      <c r="N200" s="105" t="n">
        <v>0</v>
      </c>
      <c r="O200" s="106" t="n">
        <v>0</v>
      </c>
      <c r="P200" s="105" t="n">
        <v>0</v>
      </c>
      <c r="Q200" s="106" t="n">
        <v>0</v>
      </c>
      <c r="R200" s="109" t="n">
        <v>0</v>
      </c>
      <c r="S200" s="106" t="n">
        <v>0</v>
      </c>
      <c r="T200" s="106" t="n">
        <v>0</v>
      </c>
      <c r="U200" s="106" t="n">
        <v>0</v>
      </c>
      <c r="V200" s="106" t="n">
        <v>0</v>
      </c>
      <c r="W200" s="106" t="n">
        <v>0</v>
      </c>
    </row>
    <row r="201" customFormat="false" ht="15" hidden="false" customHeight="false" outlineLevel="0" collapsed="false">
      <c r="A201" s="68" t="s">
        <v>54</v>
      </c>
      <c r="B201" s="69" t="n">
        <v>46217</v>
      </c>
      <c r="C201" s="70" t="n">
        <v>8</v>
      </c>
      <c r="D201" s="70" t="s">
        <v>48</v>
      </c>
      <c r="E201" s="71" t="n">
        <f aca="false">G201*23.12+H201*23.12+I201*23.12+J201*23.12+K201*11.55+L201*11.55+M201*11.55+N201*16.51+O201*16.51+P201*16.51+Q201*11.55+S201*11.55+T201*15+U201*1.7+V201*1.7+W201*11.55</f>
        <v>6254.7</v>
      </c>
      <c r="F201" s="72" t="n">
        <f aca="false">G201+H201+I201+J201+K201+L201+M201+N201+O201+P201+Q201+S201+T201+U201+V201+W201</f>
        <v>490</v>
      </c>
      <c r="G201" s="73" t="n">
        <v>0</v>
      </c>
      <c r="H201" s="74" t="n">
        <v>0</v>
      </c>
      <c r="I201" s="74" t="n">
        <v>0</v>
      </c>
      <c r="J201" s="74" t="n">
        <v>0</v>
      </c>
      <c r="K201" s="98" t="n">
        <v>185</v>
      </c>
      <c r="L201" s="99" t="n">
        <v>185</v>
      </c>
      <c r="M201" s="74" t="n">
        <v>0</v>
      </c>
      <c r="N201" s="98" t="n">
        <v>50</v>
      </c>
      <c r="O201" s="99" t="n">
        <v>50</v>
      </c>
      <c r="P201" s="98" t="n">
        <v>20</v>
      </c>
      <c r="Q201" s="74" t="n">
        <v>0</v>
      </c>
      <c r="R201" s="75" t="n">
        <v>0</v>
      </c>
      <c r="S201" s="74" t="n">
        <v>0</v>
      </c>
      <c r="T201" s="74" t="n">
        <v>0</v>
      </c>
      <c r="U201" s="74" t="n">
        <v>0</v>
      </c>
      <c r="V201" s="74" t="n">
        <v>0</v>
      </c>
      <c r="W201" s="74" t="n">
        <v>0</v>
      </c>
    </row>
    <row r="202" customFormat="false" ht="15" hidden="false" customHeight="false" outlineLevel="0" collapsed="false">
      <c r="A202" s="76" t="s">
        <v>55</v>
      </c>
      <c r="B202" s="77" t="n">
        <v>46218</v>
      </c>
      <c r="C202" s="78" t="n">
        <v>8</v>
      </c>
      <c r="D202" s="78" t="s">
        <v>48</v>
      </c>
      <c r="E202" s="79" t="n">
        <f aca="false">G202*23.12+H202*23.12+I202*23.12+J202*23.12+K202*11.55+L202*11.55+M202*11.55+N202*16.51+O202*16.51+P202*16.51+Q202*11.55+S202*11.55+T202*15+U202*1.7+V202*1.7+W202*11.55</f>
        <v>6254.7</v>
      </c>
      <c r="F202" s="80" t="n">
        <f aca="false">G202+H202+I202+J202+K202+L202+M202+N202+O202+P202+Q202+S202+T202+U202+V202+W202</f>
        <v>490</v>
      </c>
      <c r="G202" s="81" t="n">
        <v>0</v>
      </c>
      <c r="H202" s="82" t="n">
        <v>0</v>
      </c>
      <c r="I202" s="82" t="n">
        <v>0</v>
      </c>
      <c r="J202" s="82" t="n">
        <v>0</v>
      </c>
      <c r="K202" s="96" t="n">
        <v>185</v>
      </c>
      <c r="L202" s="97" t="n">
        <v>185</v>
      </c>
      <c r="M202" s="82" t="n">
        <v>0</v>
      </c>
      <c r="N202" s="96" t="n">
        <v>50</v>
      </c>
      <c r="O202" s="97" t="n">
        <v>50</v>
      </c>
      <c r="P202" s="96" t="n">
        <v>20</v>
      </c>
      <c r="Q202" s="82" t="n">
        <v>0</v>
      </c>
      <c r="R202" s="83" t="n">
        <v>0</v>
      </c>
      <c r="S202" s="82" t="n">
        <v>0</v>
      </c>
      <c r="T202" s="82" t="n">
        <v>0</v>
      </c>
      <c r="U202" s="82" t="n">
        <v>0</v>
      </c>
      <c r="V202" s="82" t="n">
        <v>0</v>
      </c>
      <c r="W202" s="82" t="n">
        <v>0</v>
      </c>
    </row>
    <row r="203" customFormat="false" ht="15" hidden="false" customHeight="false" outlineLevel="0" collapsed="false">
      <c r="A203" s="68" t="s">
        <v>47</v>
      </c>
      <c r="B203" s="69" t="n">
        <v>46219</v>
      </c>
      <c r="C203" s="70" t="n">
        <v>8</v>
      </c>
      <c r="D203" s="70" t="s">
        <v>48</v>
      </c>
      <c r="E203" s="71" t="n">
        <f aca="false">G203*23.12+H203*23.12+I203*23.12+J203*23.12+K203*11.55+L203*11.55+M203*11.55+N203*16.51+O203*16.51+P203*16.51+Q203*11.55+S203*11.55+T203*15+U203*1.7+V203*1.7+W203*11.55</f>
        <v>6254.7</v>
      </c>
      <c r="F203" s="72" t="n">
        <f aca="false">G203+H203+I203+J203+K203+L203+M203+N203+O203+P203+Q203+S203+T203+U203+V203+W203</f>
        <v>490</v>
      </c>
      <c r="G203" s="73" t="n">
        <v>0</v>
      </c>
      <c r="H203" s="74" t="n">
        <v>0</v>
      </c>
      <c r="I203" s="74" t="n">
        <v>0</v>
      </c>
      <c r="J203" s="74" t="n">
        <v>0</v>
      </c>
      <c r="K203" s="98" t="n">
        <v>185</v>
      </c>
      <c r="L203" s="99" t="n">
        <v>185</v>
      </c>
      <c r="M203" s="74" t="n">
        <v>0</v>
      </c>
      <c r="N203" s="98" t="n">
        <v>50</v>
      </c>
      <c r="O203" s="99" t="n">
        <v>50</v>
      </c>
      <c r="P203" s="98" t="n">
        <v>20</v>
      </c>
      <c r="Q203" s="74" t="n">
        <v>0</v>
      </c>
      <c r="R203" s="75" t="n">
        <v>0</v>
      </c>
      <c r="S203" s="74" t="n">
        <v>0</v>
      </c>
      <c r="T203" s="74" t="n">
        <v>0</v>
      </c>
      <c r="U203" s="74" t="n">
        <v>0</v>
      </c>
      <c r="V203" s="74" t="n">
        <v>0</v>
      </c>
      <c r="W203" s="74" t="n">
        <v>0</v>
      </c>
    </row>
    <row r="204" customFormat="false" ht="15" hidden="false" customHeight="false" outlineLevel="0" collapsed="false">
      <c r="A204" s="76" t="s">
        <v>49</v>
      </c>
      <c r="B204" s="77" t="n">
        <v>46220</v>
      </c>
      <c r="C204" s="78" t="n">
        <v>8</v>
      </c>
      <c r="D204" s="78" t="s">
        <v>48</v>
      </c>
      <c r="E204" s="79" t="n">
        <f aca="false">G204*23.12+H204*23.12+I204*23.12+J204*23.12+K204*11.55+L204*11.55+M204*11.55+N204*16.51+O204*16.51+P204*16.51+Q204*11.55+S204*11.55+T204*15+U204*1.7+V204*1.7+W204*11.55</f>
        <v>6254.7</v>
      </c>
      <c r="F204" s="80" t="n">
        <f aca="false">G204+H204+I204+J204+K204+L204+M204+N204+O204+P204+Q204+S204+T204+U204+V204+W204</f>
        <v>490</v>
      </c>
      <c r="G204" s="81" t="n">
        <v>0</v>
      </c>
      <c r="H204" s="82" t="n">
        <v>0</v>
      </c>
      <c r="I204" s="82" t="n">
        <v>0</v>
      </c>
      <c r="J204" s="82" t="n">
        <v>0</v>
      </c>
      <c r="K204" s="96" t="n">
        <v>185</v>
      </c>
      <c r="L204" s="97" t="n">
        <v>185</v>
      </c>
      <c r="M204" s="82" t="n">
        <v>0</v>
      </c>
      <c r="N204" s="96" t="n">
        <v>50</v>
      </c>
      <c r="O204" s="97" t="n">
        <v>50</v>
      </c>
      <c r="P204" s="96" t="n">
        <v>20</v>
      </c>
      <c r="Q204" s="82" t="n">
        <v>0</v>
      </c>
      <c r="R204" s="83" t="n">
        <v>0</v>
      </c>
      <c r="S204" s="82" t="n">
        <v>0</v>
      </c>
      <c r="T204" s="82" t="n">
        <v>0</v>
      </c>
      <c r="U204" s="82" t="n">
        <v>0</v>
      </c>
      <c r="V204" s="82" t="n">
        <v>0</v>
      </c>
      <c r="W204" s="82" t="n">
        <v>0</v>
      </c>
    </row>
    <row r="205" customFormat="false" ht="15" hidden="false" customHeight="false" outlineLevel="0" collapsed="false">
      <c r="A205" s="84" t="s">
        <v>50</v>
      </c>
      <c r="B205" s="69" t="n">
        <v>46221</v>
      </c>
      <c r="C205" s="70" t="n">
        <v>8</v>
      </c>
      <c r="D205" s="70" t="s">
        <v>48</v>
      </c>
      <c r="E205" s="71" t="n">
        <f aca="false">G205*23.12+H205*23.12+I205*23.12+J205*23.12+K205*11.55+L205*11.55+M205*11.55+N205*16.51+O205*16.51+P205*16.51+Q205*11.55+S205*11.55+T205*15+U205*1.7+V205*1.7+W205*11.55</f>
        <v>5099</v>
      </c>
      <c r="F205" s="72" t="n">
        <f aca="false">G205+H205+I205+J205+K205+L205+M205+N205+O205+P205+Q205+S205+T205+U205+V205+W205</f>
        <v>420</v>
      </c>
      <c r="G205" s="73" t="n">
        <v>0</v>
      </c>
      <c r="H205" s="74" t="n">
        <v>0</v>
      </c>
      <c r="I205" s="74" t="n">
        <v>0</v>
      </c>
      <c r="J205" s="74" t="n">
        <v>0</v>
      </c>
      <c r="K205" s="98" t="n">
        <v>185</v>
      </c>
      <c r="L205" s="99" t="n">
        <v>185</v>
      </c>
      <c r="M205" s="74" t="n">
        <v>0</v>
      </c>
      <c r="N205" s="98" t="n">
        <v>50</v>
      </c>
      <c r="O205" s="74" t="n">
        <v>0</v>
      </c>
      <c r="P205" s="73" t="n">
        <v>0</v>
      </c>
      <c r="Q205" s="74" t="n">
        <v>0</v>
      </c>
      <c r="R205" s="75" t="n">
        <v>0</v>
      </c>
      <c r="S205" s="74" t="n">
        <v>0</v>
      </c>
      <c r="T205" s="74" t="n">
        <v>0</v>
      </c>
      <c r="U205" s="74" t="n">
        <v>0</v>
      </c>
      <c r="V205" s="74" t="n">
        <v>0</v>
      </c>
      <c r="W205" s="74" t="n">
        <v>0</v>
      </c>
    </row>
    <row r="206" customFormat="false" ht="15" hidden="false" customHeight="false" outlineLevel="0" collapsed="false">
      <c r="A206" s="85" t="s">
        <v>51</v>
      </c>
      <c r="B206" s="77" t="n">
        <v>46222</v>
      </c>
      <c r="C206" s="78" t="n">
        <v>8</v>
      </c>
      <c r="D206" s="78" t="s">
        <v>48</v>
      </c>
      <c r="E206" s="79" t="n">
        <f aca="false">G206*23.12+H206*23.12+I206*23.12+J206*23.12+K206*11.55+L206*11.55+M206*11.55+N206*16.51+O206*16.51+P206*16.51+Q206*11.55+S206*11.55+T206*15+U206*1.7+V206*1.7+W206*11.55</f>
        <v>0</v>
      </c>
      <c r="F206" s="80" t="n">
        <f aca="false">G206+H206+I206+J206+K206+L206+M206+N206+O206+P206+Q206+S206+T206+U206+V206+W206</f>
        <v>0</v>
      </c>
      <c r="G206" s="81" t="n">
        <v>0</v>
      </c>
      <c r="H206" s="82" t="n">
        <v>0</v>
      </c>
      <c r="I206" s="82" t="n">
        <v>0</v>
      </c>
      <c r="J206" s="82" t="n">
        <v>0</v>
      </c>
      <c r="K206" s="81" t="n">
        <v>0</v>
      </c>
      <c r="L206" s="82" t="n">
        <v>0</v>
      </c>
      <c r="M206" s="82" t="n">
        <v>0</v>
      </c>
      <c r="N206" s="81" t="n">
        <v>0</v>
      </c>
      <c r="O206" s="82" t="n">
        <v>0</v>
      </c>
      <c r="P206" s="81" t="n">
        <v>0</v>
      </c>
      <c r="Q206" s="82" t="n">
        <v>0</v>
      </c>
      <c r="R206" s="83" t="n">
        <v>0</v>
      </c>
      <c r="S206" s="82" t="n">
        <v>0</v>
      </c>
      <c r="T206" s="82" t="n">
        <v>0</v>
      </c>
      <c r="U206" s="82" t="n">
        <v>0</v>
      </c>
      <c r="V206" s="82" t="n">
        <v>0</v>
      </c>
      <c r="W206" s="82" t="n">
        <v>0</v>
      </c>
    </row>
    <row r="207" customFormat="false" ht="15" hidden="false" customHeight="false" outlineLevel="0" collapsed="false">
      <c r="A207" s="86" t="s">
        <v>52</v>
      </c>
      <c r="B207" s="87" t="n">
        <v>46223</v>
      </c>
      <c r="C207" s="88" t="n">
        <v>8</v>
      </c>
      <c r="D207" s="88" t="s">
        <v>53</v>
      </c>
      <c r="E207" s="89" t="n">
        <f aca="false">G207*23.12+H207*23.12+I207*23.12+J207*23.12+K207*11.55+L207*11.55+M207*11.55+N207*16.51+O207*16.51+P207*16.51+Q207*11.55+S207*11.55+T207*15+U207*1.7+V207*1.7+W207*11.55</f>
        <v>4273.5</v>
      </c>
      <c r="F207" s="90" t="n">
        <f aca="false">G207+H207+I207+J207+K207+L207+M207+N207+O207+P207+Q207+S207+T207+U207+V207+W207</f>
        <v>370</v>
      </c>
      <c r="G207" s="91" t="n">
        <v>0</v>
      </c>
      <c r="H207" s="92" t="n">
        <v>0</v>
      </c>
      <c r="I207" s="92" t="n">
        <v>0</v>
      </c>
      <c r="J207" s="92" t="n">
        <v>0</v>
      </c>
      <c r="K207" s="93" t="n">
        <v>185</v>
      </c>
      <c r="L207" s="94" t="n">
        <v>185</v>
      </c>
      <c r="M207" s="92" t="n">
        <v>0</v>
      </c>
      <c r="N207" s="91" t="n">
        <v>0</v>
      </c>
      <c r="O207" s="92" t="n">
        <v>0</v>
      </c>
      <c r="P207" s="91" t="n">
        <v>0</v>
      </c>
      <c r="Q207" s="92" t="n">
        <v>0</v>
      </c>
      <c r="R207" s="95" t="n">
        <v>0</v>
      </c>
      <c r="S207" s="92" t="n">
        <v>0</v>
      </c>
      <c r="T207" s="92" t="n">
        <v>0</v>
      </c>
      <c r="U207" s="92" t="n">
        <v>0</v>
      </c>
      <c r="V207" s="92" t="n">
        <v>0</v>
      </c>
      <c r="W207" s="92" t="n">
        <v>0</v>
      </c>
    </row>
    <row r="208" customFormat="false" ht="15" hidden="false" customHeight="false" outlineLevel="0" collapsed="false">
      <c r="A208" s="76" t="s">
        <v>54</v>
      </c>
      <c r="B208" s="77" t="n">
        <v>46224</v>
      </c>
      <c r="C208" s="78" t="n">
        <v>8</v>
      </c>
      <c r="D208" s="78" t="s">
        <v>53</v>
      </c>
      <c r="E208" s="79" t="n">
        <f aca="false">G208*23.12+H208*23.12+I208*23.12+J208*23.12+K208*11.55+L208*11.55+M208*11.55+N208*16.51+O208*16.51+P208*16.51+Q208*11.55+S208*11.55+T208*15+U208*1.7+V208*1.7+W208*11.55</f>
        <v>4273.5</v>
      </c>
      <c r="F208" s="80" t="n">
        <f aca="false">G208+H208+I208+J208+K208+L208+M208+N208+O208+P208+Q208+S208+T208+U208+V208+W208</f>
        <v>370</v>
      </c>
      <c r="G208" s="81" t="n">
        <v>0</v>
      </c>
      <c r="H208" s="82" t="n">
        <v>0</v>
      </c>
      <c r="I208" s="82" t="n">
        <v>0</v>
      </c>
      <c r="J208" s="82" t="n">
        <v>0</v>
      </c>
      <c r="K208" s="96" t="n">
        <v>185</v>
      </c>
      <c r="L208" s="97" t="n">
        <v>185</v>
      </c>
      <c r="M208" s="82" t="n">
        <v>0</v>
      </c>
      <c r="N208" s="81" t="n">
        <v>0</v>
      </c>
      <c r="O208" s="82" t="n">
        <v>0</v>
      </c>
      <c r="P208" s="81" t="n">
        <v>0</v>
      </c>
      <c r="Q208" s="82" t="n">
        <v>0</v>
      </c>
      <c r="R208" s="83" t="n">
        <v>0</v>
      </c>
      <c r="S208" s="82" t="n">
        <v>0</v>
      </c>
      <c r="T208" s="82" t="n">
        <v>0</v>
      </c>
      <c r="U208" s="82" t="n">
        <v>0</v>
      </c>
      <c r="V208" s="82" t="n">
        <v>0</v>
      </c>
      <c r="W208" s="82" t="n">
        <v>0</v>
      </c>
    </row>
    <row r="209" customFormat="false" ht="15" hidden="false" customHeight="false" outlineLevel="0" collapsed="false">
      <c r="A209" s="68" t="s">
        <v>55</v>
      </c>
      <c r="B209" s="69" t="n">
        <v>46225</v>
      </c>
      <c r="C209" s="70" t="n">
        <v>8</v>
      </c>
      <c r="D209" s="70" t="s">
        <v>53</v>
      </c>
      <c r="E209" s="71" t="n">
        <f aca="false">G209*23.12+H209*23.12+I209*23.12+J209*23.12+K209*11.55+L209*11.55+M209*11.55+N209*16.51+O209*16.51+P209*16.51+Q209*11.55+S209*11.55+T209*15+U209*1.7+V209*1.7+W209*11.55</f>
        <v>4273.5</v>
      </c>
      <c r="F209" s="72" t="n">
        <f aca="false">G209+H209+I209+J209+K209+L209+M209+N209+O209+P209+Q209+S209+T209+U209+V209+W209</f>
        <v>370</v>
      </c>
      <c r="G209" s="73" t="n">
        <v>0</v>
      </c>
      <c r="H209" s="74" t="n">
        <v>0</v>
      </c>
      <c r="I209" s="74" t="n">
        <v>0</v>
      </c>
      <c r="J209" s="74" t="n">
        <v>0</v>
      </c>
      <c r="K209" s="98" t="n">
        <v>185</v>
      </c>
      <c r="L209" s="99" t="n">
        <v>185</v>
      </c>
      <c r="M209" s="74" t="n">
        <v>0</v>
      </c>
      <c r="N209" s="73" t="n">
        <v>0</v>
      </c>
      <c r="O209" s="74" t="n">
        <v>0</v>
      </c>
      <c r="P209" s="73" t="n">
        <v>0</v>
      </c>
      <c r="Q209" s="74" t="n">
        <v>0</v>
      </c>
      <c r="R209" s="75" t="n">
        <v>0</v>
      </c>
      <c r="S209" s="74" t="n">
        <v>0</v>
      </c>
      <c r="T209" s="74" t="n">
        <v>0</v>
      </c>
      <c r="U209" s="74" t="n">
        <v>0</v>
      </c>
      <c r="V209" s="74" t="n">
        <v>0</v>
      </c>
      <c r="W209" s="74" t="n">
        <v>0</v>
      </c>
    </row>
    <row r="210" customFormat="false" ht="15" hidden="false" customHeight="false" outlineLevel="0" collapsed="false">
      <c r="A210" s="76" t="s">
        <v>47</v>
      </c>
      <c r="B210" s="77" t="n">
        <v>46226</v>
      </c>
      <c r="C210" s="78" t="n">
        <v>8</v>
      </c>
      <c r="D210" s="78" t="s">
        <v>53</v>
      </c>
      <c r="E210" s="79" t="n">
        <f aca="false">G210*23.12+H210*23.12+I210*23.12+J210*23.12+K210*11.55+L210*11.55+M210*11.55+N210*16.51+O210*16.51+P210*16.51+Q210*11.55+S210*11.55+T210*15+U210*1.7+V210*1.7+W210*11.55</f>
        <v>4273.5</v>
      </c>
      <c r="F210" s="80" t="n">
        <f aca="false">G210+H210+I210+J210+K210+L210+M210+N210+O210+P210+Q210+S210+T210+U210+V210+W210</f>
        <v>370</v>
      </c>
      <c r="G210" s="81" t="n">
        <v>0</v>
      </c>
      <c r="H210" s="82" t="n">
        <v>0</v>
      </c>
      <c r="I210" s="82" t="n">
        <v>0</v>
      </c>
      <c r="J210" s="82" t="n">
        <v>0</v>
      </c>
      <c r="K210" s="96" t="n">
        <v>185</v>
      </c>
      <c r="L210" s="97" t="n">
        <v>185</v>
      </c>
      <c r="M210" s="82" t="n">
        <v>0</v>
      </c>
      <c r="N210" s="81" t="n">
        <v>0</v>
      </c>
      <c r="O210" s="82" t="n">
        <v>0</v>
      </c>
      <c r="P210" s="81" t="n">
        <v>0</v>
      </c>
      <c r="Q210" s="82" t="n">
        <v>0</v>
      </c>
      <c r="R210" s="83" t="n">
        <v>0</v>
      </c>
      <c r="S210" s="82" t="n">
        <v>0</v>
      </c>
      <c r="T210" s="82" t="n">
        <v>0</v>
      </c>
      <c r="U210" s="82" t="n">
        <v>0</v>
      </c>
      <c r="V210" s="82" t="n">
        <v>0</v>
      </c>
      <c r="W210" s="82" t="n">
        <v>0</v>
      </c>
    </row>
    <row r="211" customFormat="false" ht="15" hidden="false" customHeight="false" outlineLevel="0" collapsed="false">
      <c r="A211" s="68" t="s">
        <v>49</v>
      </c>
      <c r="B211" s="69" t="n">
        <v>46227</v>
      </c>
      <c r="C211" s="70" t="n">
        <v>8</v>
      </c>
      <c r="D211" s="70" t="s">
        <v>53</v>
      </c>
      <c r="E211" s="71" t="n">
        <f aca="false">G211*23.12+H211*23.12+I211*23.12+J211*23.12+K211*11.55+L211*11.55+M211*11.55+N211*16.51+O211*16.51+P211*16.51+Q211*11.55+S211*11.55+T211*15+U211*1.7+V211*1.7+W211*11.55</f>
        <v>4273.5</v>
      </c>
      <c r="F211" s="72" t="n">
        <f aca="false">G211+H211+I211+J211+K211+L211+M211+N211+O211+P211+Q211+S211+T211+U211+V211+W211</f>
        <v>370</v>
      </c>
      <c r="G211" s="73" t="n">
        <v>0</v>
      </c>
      <c r="H211" s="74" t="n">
        <v>0</v>
      </c>
      <c r="I211" s="74" t="n">
        <v>0</v>
      </c>
      <c r="J211" s="74" t="n">
        <v>0</v>
      </c>
      <c r="K211" s="98" t="n">
        <v>185</v>
      </c>
      <c r="L211" s="99" t="n">
        <v>185</v>
      </c>
      <c r="M211" s="74" t="n">
        <v>0</v>
      </c>
      <c r="N211" s="73" t="n">
        <v>0</v>
      </c>
      <c r="O211" s="74" t="n">
        <v>0</v>
      </c>
      <c r="P211" s="73" t="n">
        <v>0</v>
      </c>
      <c r="Q211" s="74" t="n">
        <v>0</v>
      </c>
      <c r="R211" s="75" t="n">
        <v>0</v>
      </c>
      <c r="S211" s="74" t="n">
        <v>0</v>
      </c>
      <c r="T211" s="74" t="n">
        <v>0</v>
      </c>
      <c r="U211" s="74" t="n">
        <v>0</v>
      </c>
      <c r="V211" s="74" t="n">
        <v>0</v>
      </c>
      <c r="W211" s="74" t="n">
        <v>0</v>
      </c>
    </row>
    <row r="212" customFormat="false" ht="15" hidden="false" customHeight="false" outlineLevel="0" collapsed="false">
      <c r="A212" s="85" t="s">
        <v>50</v>
      </c>
      <c r="B212" s="77" t="n">
        <v>46228</v>
      </c>
      <c r="C212" s="78" t="n">
        <v>8</v>
      </c>
      <c r="D212" s="78" t="s">
        <v>53</v>
      </c>
      <c r="E212" s="79" t="n">
        <f aca="false">G212*23.12+H212*23.12+I212*23.12+J212*23.12+K212*11.55+L212*11.55+M212*11.55+N212*16.51+O212*16.51+P212*16.51+Q212*11.55+S212*11.55+T212*15+U212*1.7+V212*1.7+W212*11.55</f>
        <v>4273.5</v>
      </c>
      <c r="F212" s="80" t="n">
        <f aca="false">G212+H212+I212+J212+K212+L212+M212+N212+O212+P212+Q212+S212+T212+U212+V212+W212</f>
        <v>370</v>
      </c>
      <c r="G212" s="81" t="n">
        <v>0</v>
      </c>
      <c r="H212" s="82" t="n">
        <v>0</v>
      </c>
      <c r="I212" s="82" t="n">
        <v>0</v>
      </c>
      <c r="J212" s="82" t="n">
        <v>0</v>
      </c>
      <c r="K212" s="96" t="n">
        <v>185</v>
      </c>
      <c r="L212" s="97" t="n">
        <v>185</v>
      </c>
      <c r="M212" s="82" t="n">
        <v>0</v>
      </c>
      <c r="N212" s="81" t="n">
        <v>0</v>
      </c>
      <c r="O212" s="82" t="n">
        <v>0</v>
      </c>
      <c r="P212" s="81" t="n">
        <v>0</v>
      </c>
      <c r="Q212" s="82" t="n">
        <v>0</v>
      </c>
      <c r="R212" s="83" t="n">
        <v>0</v>
      </c>
      <c r="S212" s="82" t="n">
        <v>0</v>
      </c>
      <c r="T212" s="82" t="n">
        <v>0</v>
      </c>
      <c r="U212" s="82" t="n">
        <v>0</v>
      </c>
      <c r="V212" s="82" t="n">
        <v>0</v>
      </c>
      <c r="W212" s="82" t="n">
        <v>0</v>
      </c>
    </row>
    <row r="213" customFormat="false" ht="15" hidden="false" customHeight="false" outlineLevel="0" collapsed="false">
      <c r="A213" s="84" t="s">
        <v>51</v>
      </c>
      <c r="B213" s="69" t="n">
        <v>46229</v>
      </c>
      <c r="C213" s="70" t="n">
        <v>8</v>
      </c>
      <c r="D213" s="70" t="s">
        <v>53</v>
      </c>
      <c r="E213" s="71" t="n">
        <f aca="false">G213*23.12+H213*23.12+I213*23.12+J213*23.12+K213*11.55+L213*11.55+M213*11.55+N213*16.51+O213*16.51+P213*16.51+Q213*11.55+S213*11.55+T213*15+U213*1.7+V213*1.7+W213*11.55</f>
        <v>0</v>
      </c>
      <c r="F213" s="72" t="n">
        <f aca="false">G213+H213+I213+J213+K213+L213+M213+N213+O213+P213+Q213+S213+T213+U213+V213+W213</f>
        <v>0</v>
      </c>
      <c r="G213" s="73" t="n">
        <v>0</v>
      </c>
      <c r="H213" s="74" t="n">
        <v>0</v>
      </c>
      <c r="I213" s="74" t="n">
        <v>0</v>
      </c>
      <c r="J213" s="74" t="n">
        <v>0</v>
      </c>
      <c r="K213" s="73" t="n">
        <v>0</v>
      </c>
      <c r="L213" s="74" t="n">
        <v>0</v>
      </c>
      <c r="M213" s="74" t="n">
        <v>0</v>
      </c>
      <c r="N213" s="73" t="n">
        <v>0</v>
      </c>
      <c r="O213" s="74" t="n">
        <v>0</v>
      </c>
      <c r="P213" s="73" t="n">
        <v>0</v>
      </c>
      <c r="Q213" s="74" t="n">
        <v>0</v>
      </c>
      <c r="R213" s="75" t="n">
        <v>0</v>
      </c>
      <c r="S213" s="74" t="n">
        <v>0</v>
      </c>
      <c r="T213" s="74" t="n">
        <v>0</v>
      </c>
      <c r="U213" s="74" t="n">
        <v>0</v>
      </c>
      <c r="V213" s="74" t="n">
        <v>0</v>
      </c>
      <c r="W213" s="74" t="n">
        <v>0</v>
      </c>
    </row>
    <row r="214" customFormat="false" ht="15" hidden="false" customHeight="false" outlineLevel="0" collapsed="false">
      <c r="A214" s="100" t="s">
        <v>52</v>
      </c>
      <c r="B214" s="101" t="n">
        <v>46230</v>
      </c>
      <c r="C214" s="102" t="n">
        <v>8</v>
      </c>
      <c r="D214" s="102" t="s">
        <v>56</v>
      </c>
      <c r="E214" s="103" t="n">
        <f aca="false">G214*23.12+H214*23.12+I214*23.12+J214*23.12+K214*11.55+L214*11.55+M214*11.55+N214*16.51+O214*16.51+P214*16.51+Q214*11.55+S214*11.55+T214*15+U214*1.7+V214*1.7+W214*11.55</f>
        <v>3696</v>
      </c>
      <c r="F214" s="104" t="n">
        <f aca="false">G214+H214+I214+J214+K214+L214+M214+N214+O214+P214+Q214+S214+T214+U214+V214+W214</f>
        <v>320</v>
      </c>
      <c r="G214" s="105" t="n">
        <v>0</v>
      </c>
      <c r="H214" s="106" t="n">
        <v>0</v>
      </c>
      <c r="I214" s="106" t="n">
        <v>0</v>
      </c>
      <c r="J214" s="106" t="n">
        <v>0</v>
      </c>
      <c r="K214" s="107" t="n">
        <v>160</v>
      </c>
      <c r="L214" s="108" t="n">
        <v>160</v>
      </c>
      <c r="M214" s="106" t="n">
        <v>0</v>
      </c>
      <c r="N214" s="105" t="n">
        <v>0</v>
      </c>
      <c r="O214" s="106" t="n">
        <v>0</v>
      </c>
      <c r="P214" s="105" t="n">
        <v>0</v>
      </c>
      <c r="Q214" s="106" t="n">
        <v>0</v>
      </c>
      <c r="R214" s="109" t="n">
        <v>0</v>
      </c>
      <c r="S214" s="106" t="n">
        <v>0</v>
      </c>
      <c r="T214" s="106" t="n">
        <v>0</v>
      </c>
      <c r="U214" s="106" t="n">
        <v>0</v>
      </c>
      <c r="V214" s="106" t="n">
        <v>0</v>
      </c>
      <c r="W214" s="106" t="n">
        <v>0</v>
      </c>
    </row>
    <row r="215" customFormat="false" ht="15" hidden="false" customHeight="false" outlineLevel="0" collapsed="false">
      <c r="A215" s="68" t="s">
        <v>54</v>
      </c>
      <c r="B215" s="69" t="n">
        <v>46231</v>
      </c>
      <c r="C215" s="70" t="n">
        <v>8</v>
      </c>
      <c r="D215" s="70" t="s">
        <v>56</v>
      </c>
      <c r="E215" s="71" t="n">
        <f aca="false">G215*23.12+H215*23.12+I215*23.12+J215*23.12+K215*11.55+L215*11.55+M215*11.55+N215*16.51+O215*16.51+P215*16.51+Q215*11.55+S215*11.55+T215*15+U215*1.7+V215*1.7+W215*11.55</f>
        <v>5677.2</v>
      </c>
      <c r="F215" s="72" t="n">
        <f aca="false">G215+H215+I215+J215+K215+L215+M215+N215+O215+P215+Q215+S215+T215+U215+V215+W215</f>
        <v>440</v>
      </c>
      <c r="G215" s="73" t="n">
        <v>0</v>
      </c>
      <c r="H215" s="74" t="n">
        <v>0</v>
      </c>
      <c r="I215" s="74" t="n">
        <v>0</v>
      </c>
      <c r="J215" s="74" t="n">
        <v>0</v>
      </c>
      <c r="K215" s="98" t="n">
        <v>160</v>
      </c>
      <c r="L215" s="99" t="n">
        <v>160</v>
      </c>
      <c r="M215" s="74" t="n">
        <v>0</v>
      </c>
      <c r="N215" s="98" t="n">
        <v>50</v>
      </c>
      <c r="O215" s="99" t="n">
        <v>50</v>
      </c>
      <c r="P215" s="98" t="n">
        <v>20</v>
      </c>
      <c r="Q215" s="74" t="n">
        <v>0</v>
      </c>
      <c r="R215" s="75" t="n">
        <v>0</v>
      </c>
      <c r="S215" s="74" t="n">
        <v>0</v>
      </c>
      <c r="T215" s="74" t="n">
        <v>0</v>
      </c>
      <c r="U215" s="74" t="n">
        <v>0</v>
      </c>
      <c r="V215" s="74" t="n">
        <v>0</v>
      </c>
      <c r="W215" s="74" t="n">
        <v>0</v>
      </c>
    </row>
    <row r="216" customFormat="false" ht="15" hidden="false" customHeight="false" outlineLevel="0" collapsed="false">
      <c r="A216" s="76" t="s">
        <v>55</v>
      </c>
      <c r="B216" s="77" t="n">
        <v>46232</v>
      </c>
      <c r="C216" s="78" t="n">
        <v>8</v>
      </c>
      <c r="D216" s="78" t="s">
        <v>56</v>
      </c>
      <c r="E216" s="79" t="n">
        <f aca="false">G216*23.12+H216*23.12+I216*23.12+J216*23.12+K216*11.55+L216*11.55+M216*11.55+N216*16.51+O216*16.51+P216*16.51+Q216*11.55+S216*11.55+T216*15+U216*1.7+V216*1.7+W216*11.55</f>
        <v>5677.2</v>
      </c>
      <c r="F216" s="80" t="n">
        <f aca="false">G216+H216+I216+J216+K216+L216+M216+N216+O216+P216+Q216+S216+T216+U216+V216+W216</f>
        <v>440</v>
      </c>
      <c r="G216" s="81" t="n">
        <v>0</v>
      </c>
      <c r="H216" s="82" t="n">
        <v>0</v>
      </c>
      <c r="I216" s="82" t="n">
        <v>0</v>
      </c>
      <c r="J216" s="82" t="n">
        <v>0</v>
      </c>
      <c r="K216" s="96" t="n">
        <v>160</v>
      </c>
      <c r="L216" s="97" t="n">
        <v>160</v>
      </c>
      <c r="M216" s="82" t="n">
        <v>0</v>
      </c>
      <c r="N216" s="96" t="n">
        <v>50</v>
      </c>
      <c r="O216" s="97" t="n">
        <v>50</v>
      </c>
      <c r="P216" s="96" t="n">
        <v>20</v>
      </c>
      <c r="Q216" s="82" t="n">
        <v>0</v>
      </c>
      <c r="R216" s="83" t="n">
        <v>0</v>
      </c>
      <c r="S216" s="82" t="n">
        <v>0</v>
      </c>
      <c r="T216" s="82" t="n">
        <v>0</v>
      </c>
      <c r="U216" s="82" t="n">
        <v>0</v>
      </c>
      <c r="V216" s="82" t="n">
        <v>0</v>
      </c>
      <c r="W216" s="82" t="n">
        <v>0</v>
      </c>
    </row>
    <row r="217" customFormat="false" ht="15" hidden="false" customHeight="false" outlineLevel="0" collapsed="false">
      <c r="A217" s="68" t="s">
        <v>47</v>
      </c>
      <c r="B217" s="69" t="n">
        <v>46233</v>
      </c>
      <c r="C217" s="70" t="n">
        <v>8</v>
      </c>
      <c r="D217" s="70" t="s">
        <v>56</v>
      </c>
      <c r="E217" s="71" t="n">
        <f aca="false">G217*23.12+H217*23.12+I217*23.12+J217*23.12+K217*11.55+L217*11.55+M217*11.55+N217*16.51+O217*16.51+P217*16.51+Q217*11.55+S217*11.55+T217*15+U217*1.7+V217*1.7+W217*11.55</f>
        <v>5677.2</v>
      </c>
      <c r="F217" s="72" t="n">
        <f aca="false">G217+H217+I217+J217+K217+L217+M217+N217+O217+P217+Q217+S217+T217+U217+V217+W217</f>
        <v>440</v>
      </c>
      <c r="G217" s="73" t="n">
        <v>0</v>
      </c>
      <c r="H217" s="74" t="n">
        <v>0</v>
      </c>
      <c r="I217" s="74" t="n">
        <v>0</v>
      </c>
      <c r="J217" s="74" t="n">
        <v>0</v>
      </c>
      <c r="K217" s="98" t="n">
        <v>160</v>
      </c>
      <c r="L217" s="99" t="n">
        <v>160</v>
      </c>
      <c r="M217" s="74" t="n">
        <v>0</v>
      </c>
      <c r="N217" s="98" t="n">
        <v>50</v>
      </c>
      <c r="O217" s="99" t="n">
        <v>50</v>
      </c>
      <c r="P217" s="98" t="n">
        <v>20</v>
      </c>
      <c r="Q217" s="74" t="n">
        <v>0</v>
      </c>
      <c r="R217" s="75" t="n">
        <v>0</v>
      </c>
      <c r="S217" s="74" t="n">
        <v>0</v>
      </c>
      <c r="T217" s="74" t="n">
        <v>0</v>
      </c>
      <c r="U217" s="74" t="n">
        <v>0</v>
      </c>
      <c r="V217" s="74" t="n">
        <v>0</v>
      </c>
      <c r="W217" s="74" t="n">
        <v>0</v>
      </c>
    </row>
    <row r="218" customFormat="false" ht="15" hidden="false" customHeight="false" outlineLevel="0" collapsed="false">
      <c r="A218" s="76" t="s">
        <v>49</v>
      </c>
      <c r="B218" s="77" t="n">
        <v>46234</v>
      </c>
      <c r="C218" s="78" t="n">
        <v>8</v>
      </c>
      <c r="D218" s="78" t="s">
        <v>56</v>
      </c>
      <c r="E218" s="79" t="n">
        <f aca="false">G218*23.12+H218*23.12+I218*23.12+J218*23.12+K218*11.55+L218*11.55+M218*11.55+N218*16.51+O218*16.51+P218*16.51+Q218*11.55+S218*11.55+T218*15+U218*1.7+V218*1.7+W218*11.55</f>
        <v>5677.2</v>
      </c>
      <c r="F218" s="80" t="n">
        <f aca="false">G218+H218+I218+J218+K218+L218+M218+N218+O218+P218+Q218+S218+T218+U218+V218+W218</f>
        <v>440</v>
      </c>
      <c r="G218" s="81" t="n">
        <v>0</v>
      </c>
      <c r="H218" s="82" t="n">
        <v>0</v>
      </c>
      <c r="I218" s="82" t="n">
        <v>0</v>
      </c>
      <c r="J218" s="82" t="n">
        <v>0</v>
      </c>
      <c r="K218" s="96" t="n">
        <v>160</v>
      </c>
      <c r="L218" s="97" t="n">
        <v>160</v>
      </c>
      <c r="M218" s="82" t="n">
        <v>0</v>
      </c>
      <c r="N218" s="96" t="n">
        <v>50</v>
      </c>
      <c r="O218" s="97" t="n">
        <v>50</v>
      </c>
      <c r="P218" s="96" t="n">
        <v>20</v>
      </c>
      <c r="Q218" s="82" t="n">
        <v>0</v>
      </c>
      <c r="R218" s="83" t="n">
        <v>0</v>
      </c>
      <c r="S218" s="82" t="n">
        <v>0</v>
      </c>
      <c r="T218" s="82" t="n">
        <v>0</v>
      </c>
      <c r="U218" s="82" t="n">
        <v>0</v>
      </c>
      <c r="V218" s="82" t="n">
        <v>0</v>
      </c>
      <c r="W218" s="82" t="n">
        <v>0</v>
      </c>
    </row>
    <row r="219" customFormat="false" ht="15" hidden="false" customHeight="false" outlineLevel="0" collapsed="false">
      <c r="A219" s="84" t="s">
        <v>50</v>
      </c>
      <c r="B219" s="69" t="n">
        <v>46235</v>
      </c>
      <c r="C219" s="70" t="n">
        <v>8</v>
      </c>
      <c r="D219" s="70" t="s">
        <v>56</v>
      </c>
      <c r="E219" s="71" t="n">
        <f aca="false">G219*23.12+H219*23.12+I219*23.12+J219*23.12+K219*11.55+L219*11.55+M219*11.55+N219*16.51+O219*16.51+P219*16.51+Q219*11.55+S219*11.55+T219*15+U219*1.7+V219*1.7+W219*11.55</f>
        <v>4521.5</v>
      </c>
      <c r="F219" s="72" t="n">
        <f aca="false">G219+H219+I219+J219+K219+L219+M219+N219+O219+P219+Q219+S219+T219+U219+V219+W219</f>
        <v>370</v>
      </c>
      <c r="G219" s="73" t="n">
        <v>0</v>
      </c>
      <c r="H219" s="74" t="n">
        <v>0</v>
      </c>
      <c r="I219" s="74" t="n">
        <v>0</v>
      </c>
      <c r="J219" s="74" t="n">
        <v>0</v>
      </c>
      <c r="K219" s="98" t="n">
        <v>160</v>
      </c>
      <c r="L219" s="99" t="n">
        <v>160</v>
      </c>
      <c r="M219" s="74" t="n">
        <v>0</v>
      </c>
      <c r="N219" s="98" t="n">
        <v>50</v>
      </c>
      <c r="O219" s="74" t="n">
        <v>0</v>
      </c>
      <c r="P219" s="73" t="n">
        <v>0</v>
      </c>
      <c r="Q219" s="74" t="n">
        <v>0</v>
      </c>
      <c r="R219" s="75" t="n">
        <v>0</v>
      </c>
      <c r="S219" s="74" t="n">
        <v>0</v>
      </c>
      <c r="T219" s="74" t="n">
        <v>0</v>
      </c>
      <c r="U219" s="74" t="n">
        <v>0</v>
      </c>
      <c r="V219" s="74" t="n">
        <v>0</v>
      </c>
      <c r="W219" s="74" t="n">
        <v>0</v>
      </c>
    </row>
    <row r="220" customFormat="false" ht="15" hidden="false" customHeight="false" outlineLevel="0" collapsed="false">
      <c r="A220" s="85" t="s">
        <v>51</v>
      </c>
      <c r="B220" s="77" t="n">
        <v>46236</v>
      </c>
      <c r="C220" s="78" t="n">
        <v>8</v>
      </c>
      <c r="D220" s="78" t="s">
        <v>56</v>
      </c>
      <c r="E220" s="79" t="n">
        <f aca="false">G220*23.12+H220*23.12+I220*23.12+J220*23.12+K220*11.55+L220*11.55+M220*11.55+N220*16.51+O220*16.51+P220*16.51+Q220*11.55+S220*11.55+T220*15+U220*1.7+V220*1.7+W220*11.55</f>
        <v>0</v>
      </c>
      <c r="F220" s="80" t="n">
        <f aca="false">G220+H220+I220+J220+K220+L220+M220+N220+O220+P220+Q220+S220+T220+U220+V220+W220</f>
        <v>0</v>
      </c>
      <c r="G220" s="81" t="n">
        <v>0</v>
      </c>
      <c r="H220" s="82" t="n">
        <v>0</v>
      </c>
      <c r="I220" s="82" t="n">
        <v>0</v>
      </c>
      <c r="J220" s="82" t="n">
        <v>0</v>
      </c>
      <c r="K220" s="81" t="n">
        <v>0</v>
      </c>
      <c r="L220" s="82" t="n">
        <v>0</v>
      </c>
      <c r="M220" s="82" t="n">
        <v>0</v>
      </c>
      <c r="N220" s="81" t="n">
        <v>0</v>
      </c>
      <c r="O220" s="82" t="n">
        <v>0</v>
      </c>
      <c r="P220" s="81" t="n">
        <v>0</v>
      </c>
      <c r="Q220" s="82" t="n">
        <v>0</v>
      </c>
      <c r="R220" s="83" t="n">
        <v>0</v>
      </c>
      <c r="S220" s="82" t="n">
        <v>0</v>
      </c>
      <c r="T220" s="82" t="n">
        <v>0</v>
      </c>
      <c r="U220" s="82" t="n">
        <v>0</v>
      </c>
      <c r="V220" s="82" t="n">
        <v>0</v>
      </c>
      <c r="W220" s="82" t="n">
        <v>0</v>
      </c>
    </row>
    <row r="221" customFormat="false" ht="15" hidden="false" customHeight="false" outlineLevel="0" collapsed="false">
      <c r="A221" s="86" t="s">
        <v>52</v>
      </c>
      <c r="B221" s="87" t="n">
        <v>46237</v>
      </c>
      <c r="C221" s="88" t="n">
        <v>8</v>
      </c>
      <c r="D221" s="88" t="s">
        <v>57</v>
      </c>
      <c r="E221" s="89" t="n">
        <f aca="false">G221*23.12+H221*23.12+I221*23.12+J221*23.12+K221*11.55+L221*11.55+M221*11.55+N221*16.51+O221*16.51+P221*16.51+Q221*11.55+S221*11.55+T221*15+U221*1.7+V221*1.7+W221*11.55</f>
        <v>3696</v>
      </c>
      <c r="F221" s="90" t="n">
        <f aca="false">G221+H221+I221+J221+K221+L221+M221+N221+O221+P221+Q221+S221+T221+U221+V221+W221</f>
        <v>320</v>
      </c>
      <c r="G221" s="91" t="n">
        <v>0</v>
      </c>
      <c r="H221" s="92" t="n">
        <v>0</v>
      </c>
      <c r="I221" s="92" t="n">
        <v>0</v>
      </c>
      <c r="J221" s="92" t="n">
        <v>0</v>
      </c>
      <c r="K221" s="93" t="n">
        <v>160</v>
      </c>
      <c r="L221" s="94" t="n">
        <v>160</v>
      </c>
      <c r="M221" s="92" t="n">
        <v>0</v>
      </c>
      <c r="N221" s="91" t="n">
        <v>0</v>
      </c>
      <c r="O221" s="92" t="n">
        <v>0</v>
      </c>
      <c r="P221" s="91" t="n">
        <v>0</v>
      </c>
      <c r="Q221" s="92" t="n">
        <v>0</v>
      </c>
      <c r="R221" s="95" t="n">
        <v>0</v>
      </c>
      <c r="S221" s="92" t="n">
        <v>0</v>
      </c>
      <c r="T221" s="92" t="n">
        <v>0</v>
      </c>
      <c r="U221" s="92" t="n">
        <v>0</v>
      </c>
      <c r="V221" s="92" t="n">
        <v>0</v>
      </c>
      <c r="W221" s="92" t="n">
        <v>0</v>
      </c>
    </row>
    <row r="222" customFormat="false" ht="15" hidden="false" customHeight="false" outlineLevel="0" collapsed="false">
      <c r="A222" s="76" t="s">
        <v>54</v>
      </c>
      <c r="B222" s="77" t="n">
        <v>46238</v>
      </c>
      <c r="C222" s="78" t="n">
        <v>8</v>
      </c>
      <c r="D222" s="78" t="s">
        <v>57</v>
      </c>
      <c r="E222" s="79" t="n">
        <f aca="false">G222*23.12+H222*23.12+I222*23.12+J222*23.12+K222*11.55+L222*11.55+M222*11.55+N222*16.51+O222*16.51+P222*16.51+Q222*11.55+S222*11.55+T222*15+U222*1.7+V222*1.7+W222*11.55</f>
        <v>3973.2</v>
      </c>
      <c r="F222" s="80" t="n">
        <f aca="false">G222+H222+I222+J222+K222+L222+M222+N222+O222+P222+Q222+S222+T222+U222+V222+W222</f>
        <v>344</v>
      </c>
      <c r="G222" s="81" t="n">
        <v>0</v>
      </c>
      <c r="H222" s="82" t="n">
        <v>0</v>
      </c>
      <c r="I222" s="82" t="n">
        <v>0</v>
      </c>
      <c r="J222" s="82" t="n">
        <v>0</v>
      </c>
      <c r="K222" s="96" t="n">
        <v>172</v>
      </c>
      <c r="L222" s="97" t="n">
        <v>172</v>
      </c>
      <c r="M222" s="82" t="n">
        <v>0</v>
      </c>
      <c r="N222" s="81" t="n">
        <v>0</v>
      </c>
      <c r="O222" s="82" t="n">
        <v>0</v>
      </c>
      <c r="P222" s="81" t="n">
        <v>0</v>
      </c>
      <c r="Q222" s="82" t="n">
        <v>0</v>
      </c>
      <c r="R222" s="83" t="n">
        <v>0</v>
      </c>
      <c r="S222" s="82" t="n">
        <v>0</v>
      </c>
      <c r="T222" s="82" t="n">
        <v>0</v>
      </c>
      <c r="U222" s="82" t="n">
        <v>0</v>
      </c>
      <c r="V222" s="82" t="n">
        <v>0</v>
      </c>
      <c r="W222" s="82" t="n">
        <v>0</v>
      </c>
    </row>
    <row r="223" customFormat="false" ht="15" hidden="false" customHeight="false" outlineLevel="0" collapsed="false">
      <c r="A223" s="68" t="s">
        <v>55</v>
      </c>
      <c r="B223" s="69" t="n">
        <v>46239</v>
      </c>
      <c r="C223" s="70" t="n">
        <v>8</v>
      </c>
      <c r="D223" s="70" t="s">
        <v>57</v>
      </c>
      <c r="E223" s="71" t="n">
        <f aca="false">G223*23.12+H223*23.12+I223*23.12+J223*23.12+K223*11.55+L223*11.55+M223*11.55+N223*16.51+O223*16.51+P223*16.51+Q223*11.55+S223*11.55+T223*15+U223*1.7+V223*1.7+W223*11.55</f>
        <v>3973.2</v>
      </c>
      <c r="F223" s="72" t="n">
        <f aca="false">G223+H223+I223+J223+K223+L223+M223+N223+O223+P223+Q223+S223+T223+U223+V223+W223</f>
        <v>344</v>
      </c>
      <c r="G223" s="73" t="n">
        <v>0</v>
      </c>
      <c r="H223" s="74" t="n">
        <v>0</v>
      </c>
      <c r="I223" s="74" t="n">
        <v>0</v>
      </c>
      <c r="J223" s="74" t="n">
        <v>0</v>
      </c>
      <c r="K223" s="98" t="n">
        <v>172</v>
      </c>
      <c r="L223" s="99" t="n">
        <v>172</v>
      </c>
      <c r="M223" s="74" t="n">
        <v>0</v>
      </c>
      <c r="N223" s="73" t="n">
        <v>0</v>
      </c>
      <c r="O223" s="74" t="n">
        <v>0</v>
      </c>
      <c r="P223" s="73" t="n">
        <v>0</v>
      </c>
      <c r="Q223" s="74" t="n">
        <v>0</v>
      </c>
      <c r="R223" s="75" t="n">
        <v>0</v>
      </c>
      <c r="S223" s="74" t="n">
        <v>0</v>
      </c>
      <c r="T223" s="74" t="n">
        <v>0</v>
      </c>
      <c r="U223" s="74" t="n">
        <v>0</v>
      </c>
      <c r="V223" s="74" t="n">
        <v>0</v>
      </c>
      <c r="W223" s="74" t="n">
        <v>0</v>
      </c>
    </row>
    <row r="224" customFormat="false" ht="15" hidden="false" customHeight="false" outlineLevel="0" collapsed="false">
      <c r="A224" s="76" t="s">
        <v>47</v>
      </c>
      <c r="B224" s="77" t="n">
        <v>46240</v>
      </c>
      <c r="C224" s="78" t="n">
        <v>8</v>
      </c>
      <c r="D224" s="78" t="s">
        <v>57</v>
      </c>
      <c r="E224" s="79" t="n">
        <f aca="false">G224*23.12+H224*23.12+I224*23.12+J224*23.12+K224*11.55+L224*11.55+M224*11.55+N224*16.51+O224*16.51+P224*16.51+Q224*11.55+S224*11.55+T224*15+U224*1.7+V224*1.7+W224*11.55</f>
        <v>3973.2</v>
      </c>
      <c r="F224" s="80" t="n">
        <f aca="false">G224+H224+I224+J224+K224+L224+M224+N224+O224+P224+Q224+S224+T224+U224+V224+W224</f>
        <v>344</v>
      </c>
      <c r="G224" s="81" t="n">
        <v>0</v>
      </c>
      <c r="H224" s="82" t="n">
        <v>0</v>
      </c>
      <c r="I224" s="82" t="n">
        <v>0</v>
      </c>
      <c r="J224" s="82" t="n">
        <v>0</v>
      </c>
      <c r="K224" s="96" t="n">
        <v>172</v>
      </c>
      <c r="L224" s="97" t="n">
        <v>172</v>
      </c>
      <c r="M224" s="82" t="n">
        <v>0</v>
      </c>
      <c r="N224" s="81" t="n">
        <v>0</v>
      </c>
      <c r="O224" s="82" t="n">
        <v>0</v>
      </c>
      <c r="P224" s="81" t="n">
        <v>0</v>
      </c>
      <c r="Q224" s="82" t="n">
        <v>0</v>
      </c>
      <c r="R224" s="83" t="n">
        <v>0</v>
      </c>
      <c r="S224" s="82" t="n">
        <v>0</v>
      </c>
      <c r="T224" s="82" t="n">
        <v>0</v>
      </c>
      <c r="U224" s="82" t="n">
        <v>0</v>
      </c>
      <c r="V224" s="82" t="n">
        <v>0</v>
      </c>
      <c r="W224" s="82" t="n">
        <v>0</v>
      </c>
    </row>
    <row r="225" customFormat="false" ht="15" hidden="false" customHeight="false" outlineLevel="0" collapsed="false">
      <c r="A225" s="68" t="s">
        <v>49</v>
      </c>
      <c r="B225" s="69" t="n">
        <v>46241</v>
      </c>
      <c r="C225" s="70" t="n">
        <v>8</v>
      </c>
      <c r="D225" s="70" t="s">
        <v>57</v>
      </c>
      <c r="E225" s="71" t="n">
        <f aca="false">G225*23.12+H225*23.12+I225*23.12+J225*23.12+K225*11.55+L225*11.55+M225*11.55+N225*16.51+O225*16.51+P225*16.51+Q225*11.55+S225*11.55+T225*15+U225*1.7+V225*1.7+W225*11.55</f>
        <v>3973.2</v>
      </c>
      <c r="F225" s="72" t="n">
        <f aca="false">G225+H225+I225+J225+K225+L225+M225+N225+O225+P225+Q225+S225+T225+U225+V225+W225</f>
        <v>344</v>
      </c>
      <c r="G225" s="73" t="n">
        <v>0</v>
      </c>
      <c r="H225" s="74" t="n">
        <v>0</v>
      </c>
      <c r="I225" s="74" t="n">
        <v>0</v>
      </c>
      <c r="J225" s="74" t="n">
        <v>0</v>
      </c>
      <c r="K225" s="98" t="n">
        <v>172</v>
      </c>
      <c r="L225" s="99" t="n">
        <v>172</v>
      </c>
      <c r="M225" s="74" t="n">
        <v>0</v>
      </c>
      <c r="N225" s="73" t="n">
        <v>0</v>
      </c>
      <c r="O225" s="74" t="n">
        <v>0</v>
      </c>
      <c r="P225" s="73" t="n">
        <v>0</v>
      </c>
      <c r="Q225" s="74" t="n">
        <v>0</v>
      </c>
      <c r="R225" s="75" t="n">
        <v>0</v>
      </c>
      <c r="S225" s="74" t="n">
        <v>0</v>
      </c>
      <c r="T225" s="74" t="n">
        <v>0</v>
      </c>
      <c r="U225" s="74" t="n">
        <v>0</v>
      </c>
      <c r="V225" s="74" t="n">
        <v>0</v>
      </c>
      <c r="W225" s="74" t="n">
        <v>0</v>
      </c>
    </row>
    <row r="226" customFormat="false" ht="15" hidden="false" customHeight="false" outlineLevel="0" collapsed="false">
      <c r="A226" s="85" t="s">
        <v>50</v>
      </c>
      <c r="B226" s="77" t="n">
        <v>46242</v>
      </c>
      <c r="C226" s="78" t="n">
        <v>8</v>
      </c>
      <c r="D226" s="78" t="s">
        <v>57</v>
      </c>
      <c r="E226" s="79" t="n">
        <f aca="false">G226*23.12+H226*23.12+I226*23.12+J226*23.12+K226*11.55+L226*11.55+M226*11.55+N226*16.51+O226*16.51+P226*16.51+Q226*11.55+S226*11.55+T226*15+U226*1.7+V226*1.7+W226*11.55</f>
        <v>3696</v>
      </c>
      <c r="F226" s="80" t="n">
        <f aca="false">G226+H226+I226+J226+K226+L226+M226+N226+O226+P226+Q226+S226+T226+U226+V226+W226</f>
        <v>320</v>
      </c>
      <c r="G226" s="81" t="n">
        <v>0</v>
      </c>
      <c r="H226" s="82" t="n">
        <v>0</v>
      </c>
      <c r="I226" s="82" t="n">
        <v>0</v>
      </c>
      <c r="J226" s="82" t="n">
        <v>0</v>
      </c>
      <c r="K226" s="96" t="n">
        <v>160</v>
      </c>
      <c r="L226" s="97" t="n">
        <v>160</v>
      </c>
      <c r="M226" s="82" t="n">
        <v>0</v>
      </c>
      <c r="N226" s="81" t="n">
        <v>0</v>
      </c>
      <c r="O226" s="82" t="n">
        <v>0</v>
      </c>
      <c r="P226" s="81" t="n">
        <v>0</v>
      </c>
      <c r="Q226" s="82" t="n">
        <v>0</v>
      </c>
      <c r="R226" s="83" t="n">
        <v>0</v>
      </c>
      <c r="S226" s="82" t="n">
        <v>0</v>
      </c>
      <c r="T226" s="82" t="n">
        <v>0</v>
      </c>
      <c r="U226" s="82" t="n">
        <v>0</v>
      </c>
      <c r="V226" s="82" t="n">
        <v>0</v>
      </c>
      <c r="W226" s="82" t="n">
        <v>0</v>
      </c>
    </row>
    <row r="227" customFormat="false" ht="15" hidden="false" customHeight="false" outlineLevel="0" collapsed="false">
      <c r="A227" s="84" t="s">
        <v>51</v>
      </c>
      <c r="B227" s="69" t="n">
        <v>46243</v>
      </c>
      <c r="C227" s="70" t="n">
        <v>8</v>
      </c>
      <c r="D227" s="70" t="s">
        <v>57</v>
      </c>
      <c r="E227" s="71" t="n">
        <f aca="false">G227*23.12+H227*23.12+I227*23.12+J227*23.12+K227*11.55+L227*11.55+M227*11.55+N227*16.51+O227*16.51+P227*16.51+Q227*11.55+S227*11.55+T227*15+U227*1.7+V227*1.7+W227*11.55</f>
        <v>0</v>
      </c>
      <c r="F227" s="72" t="n">
        <f aca="false">G227+H227+I227+J227+K227+L227+M227+N227+O227+P227+Q227+S227+T227+U227+V227+W227</f>
        <v>0</v>
      </c>
      <c r="G227" s="73" t="n">
        <v>0</v>
      </c>
      <c r="H227" s="74" t="n">
        <v>0</v>
      </c>
      <c r="I227" s="74" t="n">
        <v>0</v>
      </c>
      <c r="J227" s="74" t="n">
        <v>0</v>
      </c>
      <c r="K227" s="73" t="n">
        <v>0</v>
      </c>
      <c r="L227" s="74" t="n">
        <v>0</v>
      </c>
      <c r="M227" s="74" t="n">
        <v>0</v>
      </c>
      <c r="N227" s="73" t="n">
        <v>0</v>
      </c>
      <c r="O227" s="74" t="n">
        <v>0</v>
      </c>
      <c r="P227" s="73" t="n">
        <v>0</v>
      </c>
      <c r="Q227" s="74" t="n">
        <v>0</v>
      </c>
      <c r="R227" s="75" t="n">
        <v>0</v>
      </c>
      <c r="S227" s="74" t="n">
        <v>0</v>
      </c>
      <c r="T227" s="74" t="n">
        <v>0</v>
      </c>
      <c r="U227" s="74" t="n">
        <v>0</v>
      </c>
      <c r="V227" s="74" t="n">
        <v>0</v>
      </c>
      <c r="W227" s="74" t="n">
        <v>0</v>
      </c>
    </row>
    <row r="228" customFormat="false" ht="15" hidden="false" customHeight="false" outlineLevel="0" collapsed="false">
      <c r="A228" s="100" t="s">
        <v>52</v>
      </c>
      <c r="B228" s="101" t="n">
        <v>46244</v>
      </c>
      <c r="C228" s="102" t="n">
        <v>9</v>
      </c>
      <c r="D228" s="102" t="s">
        <v>48</v>
      </c>
      <c r="E228" s="103" t="n">
        <f aca="false">G228*23.12+H228*23.12+I228*23.12+J228*23.12+K228*11.55+L228*11.55+M228*11.55+N228*16.51+O228*16.51+P228*16.51+Q228*11.55+S228*11.55+T228*15+U228*1.7+V228*1.7+W228*11.55</f>
        <v>3696</v>
      </c>
      <c r="F228" s="104" t="n">
        <f aca="false">G228+H228+I228+J228+K228+L228+M228+N228+O228+P228+Q228+S228+T228+U228+V228+W228</f>
        <v>320</v>
      </c>
      <c r="G228" s="105" t="n">
        <v>0</v>
      </c>
      <c r="H228" s="106" t="n">
        <v>0</v>
      </c>
      <c r="I228" s="106" t="n">
        <v>0</v>
      </c>
      <c r="J228" s="106" t="n">
        <v>0</v>
      </c>
      <c r="K228" s="107" t="n">
        <v>160</v>
      </c>
      <c r="L228" s="108" t="n">
        <v>160</v>
      </c>
      <c r="M228" s="106" t="n">
        <v>0</v>
      </c>
      <c r="N228" s="105" t="n">
        <v>0</v>
      </c>
      <c r="O228" s="106" t="n">
        <v>0</v>
      </c>
      <c r="P228" s="105" t="n">
        <v>0</v>
      </c>
      <c r="Q228" s="106" t="n">
        <v>0</v>
      </c>
      <c r="R228" s="109" t="n">
        <v>0</v>
      </c>
      <c r="S228" s="106" t="n">
        <v>0</v>
      </c>
      <c r="T228" s="106" t="n">
        <v>0</v>
      </c>
      <c r="U228" s="106" t="n">
        <v>0</v>
      </c>
      <c r="V228" s="106" t="n">
        <v>0</v>
      </c>
      <c r="W228" s="106" t="n">
        <v>0</v>
      </c>
    </row>
    <row r="229" customFormat="false" ht="15" hidden="false" customHeight="false" outlineLevel="0" collapsed="false">
      <c r="A229" s="68" t="s">
        <v>54</v>
      </c>
      <c r="B229" s="69" t="n">
        <v>46245</v>
      </c>
      <c r="C229" s="70" t="n">
        <v>9</v>
      </c>
      <c r="D229" s="70" t="s">
        <v>48</v>
      </c>
      <c r="E229" s="71" t="n">
        <f aca="false">G229*23.12+H229*23.12+I229*23.12+J229*23.12+K229*11.55+L229*11.55+M229*11.55+N229*16.51+O229*16.51+P229*16.51+Q229*11.55+S229*11.55+T229*15+U229*1.7+V229*1.7+W229*11.55</f>
        <v>5677.2</v>
      </c>
      <c r="F229" s="72" t="n">
        <f aca="false">G229+H229+I229+J229+K229+L229+M229+N229+O229+P229+Q229+S229+T229+U229+V229+W229</f>
        <v>440</v>
      </c>
      <c r="G229" s="73" t="n">
        <v>0</v>
      </c>
      <c r="H229" s="74" t="n">
        <v>0</v>
      </c>
      <c r="I229" s="74" t="n">
        <v>0</v>
      </c>
      <c r="J229" s="74" t="n">
        <v>0</v>
      </c>
      <c r="K229" s="98" t="n">
        <v>160</v>
      </c>
      <c r="L229" s="99" t="n">
        <v>160</v>
      </c>
      <c r="M229" s="74" t="n">
        <v>0</v>
      </c>
      <c r="N229" s="98" t="n">
        <v>50</v>
      </c>
      <c r="O229" s="99" t="n">
        <v>50</v>
      </c>
      <c r="P229" s="98" t="n">
        <v>20</v>
      </c>
      <c r="Q229" s="74" t="n">
        <v>0</v>
      </c>
      <c r="R229" s="75" t="n">
        <v>0</v>
      </c>
      <c r="S229" s="74" t="n">
        <v>0</v>
      </c>
      <c r="T229" s="74" t="n">
        <v>0</v>
      </c>
      <c r="U229" s="74" t="n">
        <v>0</v>
      </c>
      <c r="V229" s="74" t="n">
        <v>0</v>
      </c>
      <c r="W229" s="74" t="n">
        <v>0</v>
      </c>
    </row>
    <row r="230" customFormat="false" ht="15" hidden="false" customHeight="false" outlineLevel="0" collapsed="false">
      <c r="A230" s="76" t="s">
        <v>55</v>
      </c>
      <c r="B230" s="77" t="n">
        <v>46246</v>
      </c>
      <c r="C230" s="78" t="n">
        <v>9</v>
      </c>
      <c r="D230" s="78" t="s">
        <v>48</v>
      </c>
      <c r="E230" s="79" t="n">
        <f aca="false">G230*23.12+H230*23.12+I230*23.12+J230*23.12+K230*11.55+L230*11.55+M230*11.55+N230*16.51+O230*16.51+P230*16.51+Q230*11.55+S230*11.55+T230*15+U230*1.7+V230*1.7+W230*11.55</f>
        <v>5677.2</v>
      </c>
      <c r="F230" s="80" t="n">
        <f aca="false">G230+H230+I230+J230+K230+L230+M230+N230+O230+P230+Q230+S230+T230+U230+V230+W230</f>
        <v>440</v>
      </c>
      <c r="G230" s="81" t="n">
        <v>0</v>
      </c>
      <c r="H230" s="82" t="n">
        <v>0</v>
      </c>
      <c r="I230" s="82" t="n">
        <v>0</v>
      </c>
      <c r="J230" s="82" t="n">
        <v>0</v>
      </c>
      <c r="K230" s="96" t="n">
        <v>160</v>
      </c>
      <c r="L230" s="97" t="n">
        <v>160</v>
      </c>
      <c r="M230" s="82" t="n">
        <v>0</v>
      </c>
      <c r="N230" s="96" t="n">
        <v>50</v>
      </c>
      <c r="O230" s="97" t="n">
        <v>50</v>
      </c>
      <c r="P230" s="96" t="n">
        <v>20</v>
      </c>
      <c r="Q230" s="82" t="n">
        <v>0</v>
      </c>
      <c r="R230" s="83" t="n">
        <v>0</v>
      </c>
      <c r="S230" s="82" t="n">
        <v>0</v>
      </c>
      <c r="T230" s="82" t="n">
        <v>0</v>
      </c>
      <c r="U230" s="82" t="n">
        <v>0</v>
      </c>
      <c r="V230" s="82" t="n">
        <v>0</v>
      </c>
      <c r="W230" s="82" t="n">
        <v>0</v>
      </c>
    </row>
    <row r="231" customFormat="false" ht="15" hidden="false" customHeight="false" outlineLevel="0" collapsed="false">
      <c r="A231" s="68" t="s">
        <v>47</v>
      </c>
      <c r="B231" s="69" t="n">
        <v>46247</v>
      </c>
      <c r="C231" s="70" t="n">
        <v>9</v>
      </c>
      <c r="D231" s="70" t="s">
        <v>48</v>
      </c>
      <c r="E231" s="71" t="n">
        <f aca="false">G231*23.12+H231*23.12+I231*23.12+J231*23.12+K231*11.55+L231*11.55+M231*11.55+N231*16.51+O231*16.51+P231*16.51+Q231*11.55+S231*11.55+T231*15+U231*1.7+V231*1.7+W231*11.55</f>
        <v>5677.2</v>
      </c>
      <c r="F231" s="72" t="n">
        <f aca="false">G231+H231+I231+J231+K231+L231+M231+N231+O231+P231+Q231+S231+T231+U231+V231+W231</f>
        <v>440</v>
      </c>
      <c r="G231" s="73" t="n">
        <v>0</v>
      </c>
      <c r="H231" s="74" t="n">
        <v>0</v>
      </c>
      <c r="I231" s="74" t="n">
        <v>0</v>
      </c>
      <c r="J231" s="74" t="n">
        <v>0</v>
      </c>
      <c r="K231" s="98" t="n">
        <v>160</v>
      </c>
      <c r="L231" s="99" t="n">
        <v>160</v>
      </c>
      <c r="M231" s="74" t="n">
        <v>0</v>
      </c>
      <c r="N231" s="98" t="n">
        <v>50</v>
      </c>
      <c r="O231" s="99" t="n">
        <v>50</v>
      </c>
      <c r="P231" s="98" t="n">
        <v>20</v>
      </c>
      <c r="Q231" s="74" t="n">
        <v>0</v>
      </c>
      <c r="R231" s="75" t="n">
        <v>0</v>
      </c>
      <c r="S231" s="74" t="n">
        <v>0</v>
      </c>
      <c r="T231" s="74" t="n">
        <v>0</v>
      </c>
      <c r="U231" s="74" t="n">
        <v>0</v>
      </c>
      <c r="V231" s="74" t="n">
        <v>0</v>
      </c>
      <c r="W231" s="74" t="n">
        <v>0</v>
      </c>
    </row>
    <row r="232" customFormat="false" ht="15" hidden="false" customHeight="false" outlineLevel="0" collapsed="false">
      <c r="A232" s="76" t="s">
        <v>49</v>
      </c>
      <c r="B232" s="77" t="n">
        <v>46248</v>
      </c>
      <c r="C232" s="78" t="n">
        <v>9</v>
      </c>
      <c r="D232" s="78" t="s">
        <v>48</v>
      </c>
      <c r="E232" s="79" t="n">
        <f aca="false">G232*23.12+H232*23.12+I232*23.12+J232*23.12+K232*11.55+L232*11.55+M232*11.55+N232*16.51+O232*16.51+P232*16.51+Q232*11.55+S232*11.55+T232*15+U232*1.7+V232*1.7+W232*11.55</f>
        <v>5677.2</v>
      </c>
      <c r="F232" s="80" t="n">
        <f aca="false">G232+H232+I232+J232+K232+L232+M232+N232+O232+P232+Q232+S232+T232+U232+V232+W232</f>
        <v>440</v>
      </c>
      <c r="G232" s="81" t="n">
        <v>0</v>
      </c>
      <c r="H232" s="82" t="n">
        <v>0</v>
      </c>
      <c r="I232" s="82" t="n">
        <v>0</v>
      </c>
      <c r="J232" s="82" t="n">
        <v>0</v>
      </c>
      <c r="K232" s="96" t="n">
        <v>160</v>
      </c>
      <c r="L232" s="97" t="n">
        <v>160</v>
      </c>
      <c r="M232" s="82" t="n">
        <v>0</v>
      </c>
      <c r="N232" s="96" t="n">
        <v>50</v>
      </c>
      <c r="O232" s="97" t="n">
        <v>50</v>
      </c>
      <c r="P232" s="96" t="n">
        <v>20</v>
      </c>
      <c r="Q232" s="82" t="n">
        <v>0</v>
      </c>
      <c r="R232" s="83" t="n">
        <v>0</v>
      </c>
      <c r="S232" s="82" t="n">
        <v>0</v>
      </c>
      <c r="T232" s="82" t="n">
        <v>0</v>
      </c>
      <c r="U232" s="82" t="n">
        <v>0</v>
      </c>
      <c r="V232" s="82" t="n">
        <v>0</v>
      </c>
      <c r="W232" s="82" t="n">
        <v>0</v>
      </c>
    </row>
    <row r="233" customFormat="false" ht="15" hidden="false" customHeight="false" outlineLevel="0" collapsed="false">
      <c r="A233" s="84" t="s">
        <v>50</v>
      </c>
      <c r="B233" s="69" t="n">
        <v>46249</v>
      </c>
      <c r="C233" s="70" t="n">
        <v>9</v>
      </c>
      <c r="D233" s="70" t="s">
        <v>48</v>
      </c>
      <c r="E233" s="71" t="n">
        <f aca="false">G233*23.12+H233*23.12+I233*23.12+J233*23.12+K233*11.55+L233*11.55+M233*11.55+N233*16.51+O233*16.51+P233*16.51+Q233*11.55+S233*11.55+T233*15+U233*1.7+V233*1.7+W233*11.55</f>
        <v>4521.5</v>
      </c>
      <c r="F233" s="72" t="n">
        <f aca="false">G233+H233+I233+J233+K233+L233+M233+N233+O233+P233+Q233+S233+T233+U233+V233+W233</f>
        <v>370</v>
      </c>
      <c r="G233" s="73" t="n">
        <v>0</v>
      </c>
      <c r="H233" s="74" t="n">
        <v>0</v>
      </c>
      <c r="I233" s="74" t="n">
        <v>0</v>
      </c>
      <c r="J233" s="74" t="n">
        <v>0</v>
      </c>
      <c r="K233" s="98" t="n">
        <v>160</v>
      </c>
      <c r="L233" s="99" t="n">
        <v>160</v>
      </c>
      <c r="M233" s="74" t="n">
        <v>0</v>
      </c>
      <c r="N233" s="98" t="n">
        <v>50</v>
      </c>
      <c r="O233" s="74" t="n">
        <v>0</v>
      </c>
      <c r="P233" s="73" t="n">
        <v>0</v>
      </c>
      <c r="Q233" s="74" t="n">
        <v>0</v>
      </c>
      <c r="R233" s="75" t="n">
        <v>0</v>
      </c>
      <c r="S233" s="74" t="n">
        <v>0</v>
      </c>
      <c r="T233" s="74" t="n">
        <v>0</v>
      </c>
      <c r="U233" s="74" t="n">
        <v>0</v>
      </c>
      <c r="V233" s="74" t="n">
        <v>0</v>
      </c>
      <c r="W233" s="74" t="n">
        <v>0</v>
      </c>
    </row>
    <row r="234" customFormat="false" ht="15" hidden="false" customHeight="false" outlineLevel="0" collapsed="false">
      <c r="A234" s="85" t="s">
        <v>51</v>
      </c>
      <c r="B234" s="77" t="n">
        <v>46250</v>
      </c>
      <c r="C234" s="78" t="n">
        <v>9</v>
      </c>
      <c r="D234" s="78" t="s">
        <v>48</v>
      </c>
      <c r="E234" s="79" t="n">
        <f aca="false">G234*23.12+H234*23.12+I234*23.12+J234*23.12+K234*11.55+L234*11.55+M234*11.55+N234*16.51+O234*16.51+P234*16.51+Q234*11.55+S234*11.55+T234*15+U234*1.7+V234*1.7+W234*11.55</f>
        <v>0</v>
      </c>
      <c r="F234" s="80" t="n">
        <f aca="false">G234+H234+I234+J234+K234+L234+M234+N234+O234+P234+Q234+S234+T234+U234+V234+W234</f>
        <v>0</v>
      </c>
      <c r="G234" s="81" t="n">
        <v>0</v>
      </c>
      <c r="H234" s="82" t="n">
        <v>0</v>
      </c>
      <c r="I234" s="82" t="n">
        <v>0</v>
      </c>
      <c r="J234" s="82" t="n">
        <v>0</v>
      </c>
      <c r="K234" s="81" t="n">
        <v>0</v>
      </c>
      <c r="L234" s="82" t="n">
        <v>0</v>
      </c>
      <c r="M234" s="82" t="n">
        <v>0</v>
      </c>
      <c r="N234" s="81" t="n">
        <v>0</v>
      </c>
      <c r="O234" s="82" t="n">
        <v>0</v>
      </c>
      <c r="P234" s="81" t="n">
        <v>0</v>
      </c>
      <c r="Q234" s="82" t="n">
        <v>0</v>
      </c>
      <c r="R234" s="83" t="n">
        <v>0</v>
      </c>
      <c r="S234" s="82" t="n">
        <v>0</v>
      </c>
      <c r="T234" s="82" t="n">
        <v>0</v>
      </c>
      <c r="U234" s="82" t="n">
        <v>0</v>
      </c>
      <c r="V234" s="82" t="n">
        <v>0</v>
      </c>
      <c r="W234" s="82" t="n">
        <v>0</v>
      </c>
    </row>
    <row r="235" customFormat="false" ht="15" hidden="false" customHeight="false" outlineLevel="0" collapsed="false">
      <c r="A235" s="86" t="s">
        <v>52</v>
      </c>
      <c r="B235" s="87" t="n">
        <v>46251</v>
      </c>
      <c r="C235" s="88" t="n">
        <v>9</v>
      </c>
      <c r="D235" s="88" t="s">
        <v>53</v>
      </c>
      <c r="E235" s="89" t="n">
        <f aca="false">G235*23.12+H235*23.12+I235*23.12+J235*23.12+K235*11.55+L235*11.55+M235*11.55+N235*16.51+O235*16.51+P235*16.51+Q235*11.55+S235*11.55+T235*15+U235*1.7+V235*1.7+W235*11.55</f>
        <v>3696</v>
      </c>
      <c r="F235" s="90" t="n">
        <f aca="false">G235+H235+I235+J235+K235+L235+M235+N235+O235+P235+Q235+S235+T235+U235+V235+W235</f>
        <v>320</v>
      </c>
      <c r="G235" s="91" t="n">
        <v>0</v>
      </c>
      <c r="H235" s="92" t="n">
        <v>0</v>
      </c>
      <c r="I235" s="92" t="n">
        <v>0</v>
      </c>
      <c r="J235" s="92" t="n">
        <v>0</v>
      </c>
      <c r="K235" s="93" t="n">
        <v>160</v>
      </c>
      <c r="L235" s="94" t="n">
        <v>160</v>
      </c>
      <c r="M235" s="92" t="n">
        <v>0</v>
      </c>
      <c r="N235" s="91" t="n">
        <v>0</v>
      </c>
      <c r="O235" s="92" t="n">
        <v>0</v>
      </c>
      <c r="P235" s="91" t="n">
        <v>0</v>
      </c>
      <c r="Q235" s="92" t="n">
        <v>0</v>
      </c>
      <c r="R235" s="95" t="n">
        <v>0</v>
      </c>
      <c r="S235" s="92" t="n">
        <v>0</v>
      </c>
      <c r="T235" s="92" t="n">
        <v>0</v>
      </c>
      <c r="U235" s="92" t="n">
        <v>0</v>
      </c>
      <c r="V235" s="92" t="n">
        <v>0</v>
      </c>
      <c r="W235" s="92" t="n">
        <v>0</v>
      </c>
    </row>
    <row r="236" customFormat="false" ht="15" hidden="false" customHeight="false" outlineLevel="0" collapsed="false">
      <c r="A236" s="76" t="s">
        <v>54</v>
      </c>
      <c r="B236" s="77" t="n">
        <v>46252</v>
      </c>
      <c r="C236" s="78" t="n">
        <v>9</v>
      </c>
      <c r="D236" s="78" t="s">
        <v>53</v>
      </c>
      <c r="E236" s="79" t="n">
        <f aca="false">G236*23.12+H236*23.12+I236*23.12+J236*23.12+K236*11.55+L236*11.55+M236*11.55+N236*16.51+O236*16.51+P236*16.51+Q236*11.55+S236*11.55+T236*15+U236*1.7+V236*1.7+W236*11.55</f>
        <v>5677.2</v>
      </c>
      <c r="F236" s="80" t="n">
        <f aca="false">G236+H236+I236+J236+K236+L236+M236+N236+O236+P236+Q236+S236+T236+U236+V236+W236</f>
        <v>440</v>
      </c>
      <c r="G236" s="81" t="n">
        <v>0</v>
      </c>
      <c r="H236" s="82" t="n">
        <v>0</v>
      </c>
      <c r="I236" s="82" t="n">
        <v>0</v>
      </c>
      <c r="J236" s="82" t="n">
        <v>0</v>
      </c>
      <c r="K236" s="96" t="n">
        <v>160</v>
      </c>
      <c r="L236" s="97" t="n">
        <v>160</v>
      </c>
      <c r="M236" s="82" t="n">
        <v>0</v>
      </c>
      <c r="N236" s="96" t="n">
        <v>50</v>
      </c>
      <c r="O236" s="97" t="n">
        <v>50</v>
      </c>
      <c r="P236" s="96" t="n">
        <v>20</v>
      </c>
      <c r="Q236" s="82" t="n">
        <v>0</v>
      </c>
      <c r="R236" s="83" t="n">
        <v>0</v>
      </c>
      <c r="S236" s="82" t="n">
        <v>0</v>
      </c>
      <c r="T236" s="82" t="n">
        <v>0</v>
      </c>
      <c r="U236" s="82" t="n">
        <v>0</v>
      </c>
      <c r="V236" s="82" t="n">
        <v>0</v>
      </c>
      <c r="W236" s="82" t="n">
        <v>0</v>
      </c>
    </row>
    <row r="237" customFormat="false" ht="15" hidden="false" customHeight="false" outlineLevel="0" collapsed="false">
      <c r="A237" s="68" t="s">
        <v>55</v>
      </c>
      <c r="B237" s="69" t="n">
        <v>46253</v>
      </c>
      <c r="C237" s="70" t="n">
        <v>9</v>
      </c>
      <c r="D237" s="70" t="s">
        <v>53</v>
      </c>
      <c r="E237" s="71" t="n">
        <f aca="false">G237*23.12+H237*23.12+I237*23.12+J237*23.12+K237*11.55+L237*11.55+M237*11.55+N237*16.51+O237*16.51+P237*16.51+Q237*11.55+S237*11.55+T237*15+U237*1.7+V237*1.7+W237*11.55</f>
        <v>3136.2</v>
      </c>
      <c r="F237" s="72" t="n">
        <f aca="false">G237+H237+I237+J237+K237+L237+M237+N237+O237+P237+Q237+S237+T237+U237+V237+W237</f>
        <v>220</v>
      </c>
      <c r="G237" s="73" t="n">
        <v>0</v>
      </c>
      <c r="H237" s="74" t="n">
        <v>0</v>
      </c>
      <c r="I237" s="74" t="n">
        <v>0</v>
      </c>
      <c r="J237" s="74" t="n">
        <v>0</v>
      </c>
      <c r="K237" s="98" t="n">
        <v>50</v>
      </c>
      <c r="L237" s="99" t="n">
        <v>50</v>
      </c>
      <c r="M237" s="74" t="n">
        <v>0</v>
      </c>
      <c r="N237" s="98" t="n">
        <v>50</v>
      </c>
      <c r="O237" s="99" t="n">
        <v>50</v>
      </c>
      <c r="P237" s="98" t="n">
        <v>20</v>
      </c>
      <c r="Q237" s="74" t="n">
        <v>0</v>
      </c>
      <c r="R237" s="75" t="n">
        <v>0</v>
      </c>
      <c r="S237" s="74" t="n">
        <v>0</v>
      </c>
      <c r="T237" s="74" t="n">
        <v>0</v>
      </c>
      <c r="U237" s="74" t="n">
        <v>0</v>
      </c>
      <c r="V237" s="74" t="n">
        <v>0</v>
      </c>
      <c r="W237" s="74" t="n">
        <v>0</v>
      </c>
    </row>
    <row r="238" customFormat="false" ht="15" hidden="false" customHeight="false" outlineLevel="0" collapsed="false">
      <c r="A238" s="76" t="s">
        <v>47</v>
      </c>
      <c r="B238" s="77" t="n">
        <v>46254</v>
      </c>
      <c r="C238" s="78" t="n">
        <v>9</v>
      </c>
      <c r="D238" s="78" t="s">
        <v>53</v>
      </c>
      <c r="E238" s="79" t="n">
        <f aca="false">G238*23.12+H238*23.12+I238*23.12+J238*23.12+K238*11.55+L238*11.55+M238*11.55+N238*16.51+O238*16.51+P238*16.51+Q238*11.55+S238*11.55+T238*15+U238*1.7+V238*1.7+W238*11.55</f>
        <v>2310.7</v>
      </c>
      <c r="F238" s="80" t="n">
        <f aca="false">G238+H238+I238+J238+K238+L238+M238+N238+O238+P238+Q238+S238+T238+U238+V238+W238</f>
        <v>170</v>
      </c>
      <c r="G238" s="81" t="n">
        <v>0</v>
      </c>
      <c r="H238" s="82" t="n">
        <v>0</v>
      </c>
      <c r="I238" s="82" t="n">
        <v>0</v>
      </c>
      <c r="J238" s="82" t="n">
        <v>0</v>
      </c>
      <c r="K238" s="96" t="n">
        <v>50</v>
      </c>
      <c r="L238" s="97" t="n">
        <v>50</v>
      </c>
      <c r="M238" s="82" t="n">
        <v>0</v>
      </c>
      <c r="N238" s="81" t="n">
        <v>0</v>
      </c>
      <c r="O238" s="97" t="n">
        <v>50</v>
      </c>
      <c r="P238" s="96" t="n">
        <v>20</v>
      </c>
      <c r="Q238" s="82" t="n">
        <v>0</v>
      </c>
      <c r="R238" s="83" t="n">
        <v>0</v>
      </c>
      <c r="S238" s="82" t="n">
        <v>0</v>
      </c>
      <c r="T238" s="82" t="n">
        <v>0</v>
      </c>
      <c r="U238" s="82" t="n">
        <v>0</v>
      </c>
      <c r="V238" s="82" t="n">
        <v>0</v>
      </c>
      <c r="W238" s="82" t="n">
        <v>0</v>
      </c>
    </row>
    <row r="239" customFormat="false" ht="15" hidden="false" customHeight="false" outlineLevel="0" collapsed="false">
      <c r="A239" s="68" t="s">
        <v>49</v>
      </c>
      <c r="B239" s="69" t="n">
        <v>46255</v>
      </c>
      <c r="C239" s="70" t="n">
        <v>9</v>
      </c>
      <c r="D239" s="70" t="s">
        <v>53</v>
      </c>
      <c r="E239" s="71" t="n">
        <f aca="false">G239*23.12+H239*23.12+I239*23.12+J239*23.12+K239*11.55+L239*11.55+M239*11.55+N239*16.51+O239*16.51+P239*16.51+Q239*11.55+S239*11.55+T239*15+U239*1.7+V239*1.7+W239*11.55</f>
        <v>3713.7</v>
      </c>
      <c r="F239" s="72" t="n">
        <f aca="false">G239+H239+I239+J239+K239+L239+M239+N239+O239+P239+Q239+S239+T239+U239+V239+W239</f>
        <v>270</v>
      </c>
      <c r="G239" s="73" t="n">
        <v>0</v>
      </c>
      <c r="H239" s="74" t="n">
        <v>0</v>
      </c>
      <c r="I239" s="74" t="n">
        <v>0</v>
      </c>
      <c r="J239" s="74" t="n">
        <v>0</v>
      </c>
      <c r="K239" s="98" t="n">
        <v>75</v>
      </c>
      <c r="L239" s="99" t="n">
        <v>75</v>
      </c>
      <c r="M239" s="74" t="n">
        <v>0</v>
      </c>
      <c r="N239" s="98" t="n">
        <v>50</v>
      </c>
      <c r="O239" s="99" t="n">
        <v>50</v>
      </c>
      <c r="P239" s="98" t="n">
        <v>20</v>
      </c>
      <c r="Q239" s="74" t="n">
        <v>0</v>
      </c>
      <c r="R239" s="75" t="n">
        <v>0</v>
      </c>
      <c r="S239" s="74" t="n">
        <v>0</v>
      </c>
      <c r="T239" s="74" t="n">
        <v>0</v>
      </c>
      <c r="U239" s="74" t="n">
        <v>0</v>
      </c>
      <c r="V239" s="74" t="n">
        <v>0</v>
      </c>
      <c r="W239" s="74" t="n">
        <v>0</v>
      </c>
    </row>
    <row r="240" customFormat="false" ht="15" hidden="false" customHeight="false" outlineLevel="0" collapsed="false">
      <c r="A240" s="85" t="s">
        <v>50</v>
      </c>
      <c r="B240" s="77" t="n">
        <v>46256</v>
      </c>
      <c r="C240" s="78" t="n">
        <v>9</v>
      </c>
      <c r="D240" s="78" t="s">
        <v>53</v>
      </c>
      <c r="E240" s="79" t="n">
        <f aca="false">G240*23.12+H240*23.12+I240*23.12+J240*23.12+K240*11.55+L240*11.55+M240*11.55+N240*16.51+O240*16.51+P240*16.51+Q240*11.55+S240*11.55+T240*15+U240*1.7+V240*1.7+W240*11.55</f>
        <v>2558</v>
      </c>
      <c r="F240" s="80" t="n">
        <f aca="false">G240+H240+I240+J240+K240+L240+M240+N240+O240+P240+Q240+S240+T240+U240+V240+W240</f>
        <v>200</v>
      </c>
      <c r="G240" s="81" t="n">
        <v>0</v>
      </c>
      <c r="H240" s="82" t="n">
        <v>0</v>
      </c>
      <c r="I240" s="82" t="n">
        <v>0</v>
      </c>
      <c r="J240" s="82" t="n">
        <v>0</v>
      </c>
      <c r="K240" s="96" t="n">
        <v>75</v>
      </c>
      <c r="L240" s="97" t="n">
        <v>75</v>
      </c>
      <c r="M240" s="82" t="n">
        <v>0</v>
      </c>
      <c r="N240" s="96" t="n">
        <v>50</v>
      </c>
      <c r="O240" s="82" t="n">
        <v>0</v>
      </c>
      <c r="P240" s="81" t="n">
        <v>0</v>
      </c>
      <c r="Q240" s="82" t="n">
        <v>0</v>
      </c>
      <c r="R240" s="83" t="n">
        <v>0</v>
      </c>
      <c r="S240" s="82" t="n">
        <v>0</v>
      </c>
      <c r="T240" s="82" t="n">
        <v>0</v>
      </c>
      <c r="U240" s="82" t="n">
        <v>0</v>
      </c>
      <c r="V240" s="82" t="n">
        <v>0</v>
      </c>
      <c r="W240" s="82" t="n">
        <v>0</v>
      </c>
    </row>
    <row r="241" customFormat="false" ht="15" hidden="false" customHeight="false" outlineLevel="0" collapsed="false">
      <c r="A241" s="84" t="s">
        <v>51</v>
      </c>
      <c r="B241" s="69" t="n">
        <v>46257</v>
      </c>
      <c r="C241" s="70" t="n">
        <v>9</v>
      </c>
      <c r="D241" s="70" t="s">
        <v>53</v>
      </c>
      <c r="E241" s="71" t="n">
        <f aca="false">G241*23.12+H241*23.12+I241*23.12+J241*23.12+K241*11.55+L241*11.55+M241*11.55+N241*16.51+O241*16.51+P241*16.51+Q241*11.55+S241*11.55+T241*15+U241*1.7+V241*1.7+W241*11.55</f>
        <v>0</v>
      </c>
      <c r="F241" s="72" t="n">
        <f aca="false">G241+H241+I241+J241+K241+L241+M241+N241+O241+P241+Q241+S241+T241+U241+V241+W241</f>
        <v>0</v>
      </c>
      <c r="G241" s="73" t="n">
        <v>0</v>
      </c>
      <c r="H241" s="74" t="n">
        <v>0</v>
      </c>
      <c r="I241" s="74" t="n">
        <v>0</v>
      </c>
      <c r="J241" s="74" t="n">
        <v>0</v>
      </c>
      <c r="K241" s="73" t="n">
        <v>0</v>
      </c>
      <c r="L241" s="74" t="n">
        <v>0</v>
      </c>
      <c r="M241" s="74" t="n">
        <v>0</v>
      </c>
      <c r="N241" s="73" t="n">
        <v>0</v>
      </c>
      <c r="O241" s="74" t="n">
        <v>0</v>
      </c>
      <c r="P241" s="73" t="n">
        <v>0</v>
      </c>
      <c r="Q241" s="74" t="n">
        <v>0</v>
      </c>
      <c r="R241" s="75" t="n">
        <v>0</v>
      </c>
      <c r="S241" s="74" t="n">
        <v>0</v>
      </c>
      <c r="T241" s="74" t="n">
        <v>0</v>
      </c>
      <c r="U241" s="74" t="n">
        <v>0</v>
      </c>
      <c r="V241" s="74" t="n">
        <v>0</v>
      </c>
      <c r="W241" s="74" t="n">
        <v>0</v>
      </c>
    </row>
    <row r="242" customFormat="false" ht="15" hidden="false" customHeight="false" outlineLevel="0" collapsed="false">
      <c r="A242" s="100" t="s">
        <v>52</v>
      </c>
      <c r="B242" s="101" t="n">
        <v>46258</v>
      </c>
      <c r="C242" s="102" t="n">
        <v>9</v>
      </c>
      <c r="D242" s="102" t="s">
        <v>56</v>
      </c>
      <c r="E242" s="103" t="n">
        <f aca="false">G242*23.12+H242*23.12+I242*23.12+J242*23.12+K242*11.55+L242*11.55+M242*11.55+N242*16.51+O242*16.51+P242*16.51+Q242*11.55+S242*11.55+T242*15+U242*1.7+V242*1.7+W242*11.55</f>
        <v>1732.5</v>
      </c>
      <c r="F242" s="104" t="n">
        <f aca="false">G242+H242+I242+J242+K242+L242+M242+N242+O242+P242+Q242+S242+T242+U242+V242+W242</f>
        <v>150</v>
      </c>
      <c r="G242" s="105" t="n">
        <v>0</v>
      </c>
      <c r="H242" s="106" t="n">
        <v>0</v>
      </c>
      <c r="I242" s="106" t="n">
        <v>0</v>
      </c>
      <c r="J242" s="106" t="n">
        <v>0</v>
      </c>
      <c r="K242" s="107" t="n">
        <v>75</v>
      </c>
      <c r="L242" s="108" t="n">
        <v>75</v>
      </c>
      <c r="M242" s="106" t="n">
        <v>0</v>
      </c>
      <c r="N242" s="105" t="n">
        <v>0</v>
      </c>
      <c r="O242" s="106" t="n">
        <v>0</v>
      </c>
      <c r="P242" s="105" t="n">
        <v>0</v>
      </c>
      <c r="Q242" s="106" t="n">
        <v>0</v>
      </c>
      <c r="R242" s="109" t="n">
        <v>0</v>
      </c>
      <c r="S242" s="106" t="n">
        <v>0</v>
      </c>
      <c r="T242" s="106" t="n">
        <v>0</v>
      </c>
      <c r="U242" s="106" t="n">
        <v>0</v>
      </c>
      <c r="V242" s="106" t="n">
        <v>0</v>
      </c>
      <c r="W242" s="106" t="n">
        <v>0</v>
      </c>
    </row>
    <row r="243" customFormat="false" ht="15" hidden="false" customHeight="false" outlineLevel="0" collapsed="false">
      <c r="A243" s="68" t="s">
        <v>54</v>
      </c>
      <c r="B243" s="69" t="n">
        <v>46259</v>
      </c>
      <c r="C243" s="70" t="n">
        <v>9</v>
      </c>
      <c r="D243" s="70" t="s">
        <v>56</v>
      </c>
      <c r="E243" s="71" t="n">
        <f aca="false">G243*23.12+H243*23.12+I243*23.12+J243*23.12+K243*11.55+L243*11.55+M243*11.55+N243*16.51+O243*16.51+P243*16.51+Q243*11.55+S243*11.55+T243*15+U243*1.7+V243*1.7+W243*11.55</f>
        <v>1270.5</v>
      </c>
      <c r="F243" s="72" t="n">
        <f aca="false">G243+H243+I243+J243+K243+L243+M243+N243+O243+P243+Q243+S243+T243+U243+V243+W243</f>
        <v>110</v>
      </c>
      <c r="G243" s="73" t="n">
        <v>0</v>
      </c>
      <c r="H243" s="74" t="n">
        <v>0</v>
      </c>
      <c r="I243" s="74" t="n">
        <v>0</v>
      </c>
      <c r="J243" s="74" t="n">
        <v>0</v>
      </c>
      <c r="K243" s="98" t="n">
        <v>55</v>
      </c>
      <c r="L243" s="99" t="n">
        <v>55</v>
      </c>
      <c r="M243" s="74" t="n">
        <v>0</v>
      </c>
      <c r="N243" s="73" t="n">
        <v>0</v>
      </c>
      <c r="O243" s="74" t="n">
        <v>0</v>
      </c>
      <c r="P243" s="73" t="n">
        <v>0</v>
      </c>
      <c r="Q243" s="74" t="n">
        <v>0</v>
      </c>
      <c r="R243" s="75" t="n">
        <v>0</v>
      </c>
      <c r="S243" s="74" t="n">
        <v>0</v>
      </c>
      <c r="T243" s="74" t="n">
        <v>0</v>
      </c>
      <c r="U243" s="74" t="n">
        <v>0</v>
      </c>
      <c r="V243" s="74" t="n">
        <v>0</v>
      </c>
      <c r="W243" s="74" t="n">
        <v>0</v>
      </c>
    </row>
    <row r="244" customFormat="false" ht="15" hidden="false" customHeight="false" outlineLevel="0" collapsed="false">
      <c r="A244" s="76" t="s">
        <v>55</v>
      </c>
      <c r="B244" s="77" t="n">
        <v>46260</v>
      </c>
      <c r="C244" s="78" t="n">
        <v>9</v>
      </c>
      <c r="D244" s="78" t="s">
        <v>56</v>
      </c>
      <c r="E244" s="79" t="n">
        <f aca="false">G244*23.12+H244*23.12+I244*23.12+J244*23.12+K244*11.55+L244*11.55+M244*11.55+N244*16.51+O244*16.51+P244*16.51+Q244*11.55+S244*11.55+T244*15+U244*1.7+V244*1.7+W244*11.55</f>
        <v>1270.5</v>
      </c>
      <c r="F244" s="80" t="n">
        <f aca="false">G244+H244+I244+J244+K244+L244+M244+N244+O244+P244+Q244+S244+T244+U244+V244+W244</f>
        <v>110</v>
      </c>
      <c r="G244" s="81" t="n">
        <v>0</v>
      </c>
      <c r="H244" s="82" t="n">
        <v>0</v>
      </c>
      <c r="I244" s="82" t="n">
        <v>0</v>
      </c>
      <c r="J244" s="82" t="n">
        <v>0</v>
      </c>
      <c r="K244" s="96" t="n">
        <v>55</v>
      </c>
      <c r="L244" s="97" t="n">
        <v>55</v>
      </c>
      <c r="M244" s="82" t="n">
        <v>0</v>
      </c>
      <c r="N244" s="81" t="n">
        <v>0</v>
      </c>
      <c r="O244" s="82" t="n">
        <v>0</v>
      </c>
      <c r="P244" s="81" t="n">
        <v>0</v>
      </c>
      <c r="Q244" s="82" t="n">
        <v>0</v>
      </c>
      <c r="R244" s="83" t="n">
        <v>0</v>
      </c>
      <c r="S244" s="82" t="n">
        <v>0</v>
      </c>
      <c r="T244" s="82" t="n">
        <v>0</v>
      </c>
      <c r="U244" s="82" t="n">
        <v>0</v>
      </c>
      <c r="V244" s="82" t="n">
        <v>0</v>
      </c>
      <c r="W244" s="82" t="n">
        <v>0</v>
      </c>
    </row>
    <row r="245" customFormat="false" ht="15" hidden="false" customHeight="false" outlineLevel="0" collapsed="false">
      <c r="A245" s="68" t="s">
        <v>47</v>
      </c>
      <c r="B245" s="69" t="n">
        <v>46261</v>
      </c>
      <c r="C245" s="70" t="n">
        <v>9</v>
      </c>
      <c r="D245" s="70" t="s">
        <v>56</v>
      </c>
      <c r="E245" s="71" t="n">
        <f aca="false">G245*23.12+H245*23.12+I245*23.12+J245*23.12+K245*11.55+L245*11.55+M245*11.55+N245*16.51+O245*16.51+P245*16.51+Q245*11.55+S245*11.55+T245*15+U245*1.7+V245*1.7+W245*11.55</f>
        <v>1732.5</v>
      </c>
      <c r="F245" s="72" t="n">
        <f aca="false">G245+H245+I245+J245+K245+L245+M245+N245+O245+P245+Q245+S245+T245+U245+V245+W245</f>
        <v>150</v>
      </c>
      <c r="G245" s="73" t="n">
        <v>0</v>
      </c>
      <c r="H245" s="74" t="n">
        <v>0</v>
      </c>
      <c r="I245" s="74" t="n">
        <v>0</v>
      </c>
      <c r="J245" s="74" t="n">
        <v>0</v>
      </c>
      <c r="K245" s="98" t="n">
        <v>75</v>
      </c>
      <c r="L245" s="99" t="n">
        <v>75</v>
      </c>
      <c r="M245" s="74" t="n">
        <v>0</v>
      </c>
      <c r="N245" s="73" t="n">
        <v>0</v>
      </c>
      <c r="O245" s="74" t="n">
        <v>0</v>
      </c>
      <c r="P245" s="73" t="n">
        <v>0</v>
      </c>
      <c r="Q245" s="74" t="n">
        <v>0</v>
      </c>
      <c r="R245" s="75" t="n">
        <v>0</v>
      </c>
      <c r="S245" s="74" t="n">
        <v>0</v>
      </c>
      <c r="T245" s="74" t="n">
        <v>0</v>
      </c>
      <c r="U245" s="74" t="n">
        <v>0</v>
      </c>
      <c r="V245" s="74" t="n">
        <v>0</v>
      </c>
      <c r="W245" s="74" t="n">
        <v>0</v>
      </c>
    </row>
    <row r="246" customFormat="false" ht="15" hidden="false" customHeight="false" outlineLevel="0" collapsed="false">
      <c r="A246" s="76" t="s">
        <v>49</v>
      </c>
      <c r="B246" s="77" t="n">
        <v>46262</v>
      </c>
      <c r="C246" s="78" t="n">
        <v>9</v>
      </c>
      <c r="D246" s="78" t="s">
        <v>56</v>
      </c>
      <c r="E246" s="79" t="n">
        <f aca="false">G246*23.12+H246*23.12+I246*23.12+J246*23.12+K246*11.55+L246*11.55+M246*11.55+N246*16.51+O246*16.51+P246*16.51+Q246*11.55+S246*11.55+T246*15+U246*1.7+V246*1.7+W246*11.55</f>
        <v>1732.5</v>
      </c>
      <c r="F246" s="80" t="n">
        <f aca="false">G246+H246+I246+J246+K246+L246+M246+N246+O246+P246+Q246+S246+T246+U246+V246+W246</f>
        <v>150</v>
      </c>
      <c r="G246" s="81" t="n">
        <v>0</v>
      </c>
      <c r="H246" s="82" t="n">
        <v>0</v>
      </c>
      <c r="I246" s="82" t="n">
        <v>0</v>
      </c>
      <c r="J246" s="82" t="n">
        <v>0</v>
      </c>
      <c r="K246" s="96" t="n">
        <v>75</v>
      </c>
      <c r="L246" s="97" t="n">
        <v>75</v>
      </c>
      <c r="M246" s="82" t="n">
        <v>0</v>
      </c>
      <c r="N246" s="81" t="n">
        <v>0</v>
      </c>
      <c r="O246" s="82" t="n">
        <v>0</v>
      </c>
      <c r="P246" s="81" t="n">
        <v>0</v>
      </c>
      <c r="Q246" s="82" t="n">
        <v>0</v>
      </c>
      <c r="R246" s="83" t="n">
        <v>0</v>
      </c>
      <c r="S246" s="82" t="n">
        <v>0</v>
      </c>
      <c r="T246" s="82" t="n">
        <v>0</v>
      </c>
      <c r="U246" s="82" t="n">
        <v>0</v>
      </c>
      <c r="V246" s="82" t="n">
        <v>0</v>
      </c>
      <c r="W246" s="82" t="n">
        <v>0</v>
      </c>
    </row>
    <row r="247" customFormat="false" ht="15" hidden="false" customHeight="false" outlineLevel="0" collapsed="false">
      <c r="A247" s="84" t="s">
        <v>50</v>
      </c>
      <c r="B247" s="69" t="n">
        <v>46263</v>
      </c>
      <c r="C247" s="70" t="n">
        <v>9</v>
      </c>
      <c r="D247" s="70" t="s">
        <v>56</v>
      </c>
      <c r="E247" s="71" t="n">
        <f aca="false">G247*23.12+H247*23.12+I247*23.12+J247*23.12+K247*11.55+L247*11.55+M247*11.55+N247*16.51+O247*16.51+P247*16.51+Q247*11.55+S247*11.55+T247*15+U247*1.7+V247*1.7+W247*11.55</f>
        <v>1732.5</v>
      </c>
      <c r="F247" s="72" t="n">
        <f aca="false">G247+H247+I247+J247+K247+L247+M247+N247+O247+P247+Q247+S247+T247+U247+V247+W247</f>
        <v>150</v>
      </c>
      <c r="G247" s="73" t="n">
        <v>0</v>
      </c>
      <c r="H247" s="74" t="n">
        <v>0</v>
      </c>
      <c r="I247" s="74" t="n">
        <v>0</v>
      </c>
      <c r="J247" s="74" t="n">
        <v>0</v>
      </c>
      <c r="K247" s="98" t="n">
        <v>75</v>
      </c>
      <c r="L247" s="99" t="n">
        <v>75</v>
      </c>
      <c r="M247" s="74" t="n">
        <v>0</v>
      </c>
      <c r="N247" s="73" t="n">
        <v>0</v>
      </c>
      <c r="O247" s="74" t="n">
        <v>0</v>
      </c>
      <c r="P247" s="73" t="n">
        <v>0</v>
      </c>
      <c r="Q247" s="74" t="n">
        <v>0</v>
      </c>
      <c r="R247" s="75" t="n">
        <v>0</v>
      </c>
      <c r="S247" s="74" t="n">
        <v>0</v>
      </c>
      <c r="T247" s="74" t="n">
        <v>0</v>
      </c>
      <c r="U247" s="74" t="n">
        <v>0</v>
      </c>
      <c r="V247" s="74" t="n">
        <v>0</v>
      </c>
      <c r="W247" s="74" t="n">
        <v>0</v>
      </c>
    </row>
    <row r="248" customFormat="false" ht="15" hidden="false" customHeight="false" outlineLevel="0" collapsed="false">
      <c r="A248" s="85" t="s">
        <v>51</v>
      </c>
      <c r="B248" s="77" t="n">
        <v>46264</v>
      </c>
      <c r="C248" s="78" t="n">
        <v>9</v>
      </c>
      <c r="D248" s="78" t="s">
        <v>56</v>
      </c>
      <c r="E248" s="79" t="n">
        <f aca="false">G248*23.12+H248*23.12+I248*23.12+J248*23.12+K248*11.55+L248*11.55+M248*11.55+N248*16.51+O248*16.51+P248*16.51+Q248*11.55+S248*11.55+T248*15+U248*1.7+V248*1.7+W248*11.55</f>
        <v>0</v>
      </c>
      <c r="F248" s="80" t="n">
        <f aca="false">G248+H248+I248+J248+K248+L248+M248+N248+O248+P248+Q248+S248+T248+U248+V248+W248</f>
        <v>0</v>
      </c>
      <c r="G248" s="81" t="n">
        <v>0</v>
      </c>
      <c r="H248" s="82" t="n">
        <v>0</v>
      </c>
      <c r="I248" s="82" t="n">
        <v>0</v>
      </c>
      <c r="J248" s="82" t="n">
        <v>0</v>
      </c>
      <c r="K248" s="81" t="n">
        <v>0</v>
      </c>
      <c r="L248" s="82" t="n">
        <v>0</v>
      </c>
      <c r="M248" s="82" t="n">
        <v>0</v>
      </c>
      <c r="N248" s="81" t="n">
        <v>0</v>
      </c>
      <c r="O248" s="82" t="n">
        <v>0</v>
      </c>
      <c r="P248" s="81" t="n">
        <v>0</v>
      </c>
      <c r="Q248" s="82" t="n">
        <v>0</v>
      </c>
      <c r="R248" s="83" t="n">
        <v>0</v>
      </c>
      <c r="S248" s="82" t="n">
        <v>0</v>
      </c>
      <c r="T248" s="82" t="n">
        <v>0</v>
      </c>
      <c r="U248" s="82" t="n">
        <v>0</v>
      </c>
      <c r="V248" s="82" t="n">
        <v>0</v>
      </c>
      <c r="W248" s="82" t="n">
        <v>0</v>
      </c>
    </row>
    <row r="249" customFormat="false" ht="15" hidden="false" customHeight="false" outlineLevel="0" collapsed="false">
      <c r="A249" s="86" t="s">
        <v>52</v>
      </c>
      <c r="B249" s="87" t="n">
        <v>46265</v>
      </c>
      <c r="C249" s="88" t="n">
        <v>9</v>
      </c>
      <c r="D249" s="88" t="s">
        <v>57</v>
      </c>
      <c r="E249" s="89" t="n">
        <f aca="false">G249*23.12+H249*23.12+I249*23.12+J249*23.12+K249*11.55+L249*11.55+M249*11.55+N249*16.51+O249*16.51+P249*16.51+Q249*11.55+S249*11.55+T249*15+U249*1.7+V249*1.7+W249*11.55</f>
        <v>1732.5</v>
      </c>
      <c r="F249" s="90" t="n">
        <f aca="false">G249+H249+I249+J249+K249+L249+M249+N249+O249+P249+Q249+S249+T249+U249+V249+W249</f>
        <v>150</v>
      </c>
      <c r="G249" s="91" t="n">
        <v>0</v>
      </c>
      <c r="H249" s="92" t="n">
        <v>0</v>
      </c>
      <c r="I249" s="92" t="n">
        <v>0</v>
      </c>
      <c r="J249" s="92" t="n">
        <v>0</v>
      </c>
      <c r="K249" s="93" t="n">
        <v>75</v>
      </c>
      <c r="L249" s="94" t="n">
        <v>75</v>
      </c>
      <c r="M249" s="92" t="n">
        <v>0</v>
      </c>
      <c r="N249" s="91" t="n">
        <v>0</v>
      </c>
      <c r="O249" s="92" t="n">
        <v>0</v>
      </c>
      <c r="P249" s="91" t="n">
        <v>0</v>
      </c>
      <c r="Q249" s="92" t="n">
        <v>0</v>
      </c>
      <c r="R249" s="95" t="n">
        <v>0</v>
      </c>
      <c r="S249" s="92" t="n">
        <v>0</v>
      </c>
      <c r="T249" s="92" t="n">
        <v>0</v>
      </c>
      <c r="U249" s="92" t="n">
        <v>0</v>
      </c>
      <c r="V249" s="92" t="n">
        <v>0</v>
      </c>
      <c r="W249" s="92" t="n">
        <v>0</v>
      </c>
    </row>
    <row r="250" customFormat="false" ht="15" hidden="false" customHeight="false" outlineLevel="0" collapsed="false">
      <c r="A250" s="76" t="s">
        <v>54</v>
      </c>
      <c r="B250" s="77" t="n">
        <v>46266</v>
      </c>
      <c r="C250" s="78" t="n">
        <v>9</v>
      </c>
      <c r="D250" s="78" t="s">
        <v>57</v>
      </c>
      <c r="E250" s="79" t="n">
        <f aca="false">G250*23.12+H250*23.12+I250*23.12+J250*23.12+K250*11.55+L250*11.55+M250*11.55+N250*16.51+O250*16.51+P250*16.51+Q250*11.55+S250*11.55+T250*15+U250*1.7+V250*1.7+W250*11.55</f>
        <v>3713.7</v>
      </c>
      <c r="F250" s="80" t="n">
        <f aca="false">G250+H250+I250+J250+K250+L250+M250+N250+O250+P250+Q250+S250+T250+U250+V250+W250</f>
        <v>270</v>
      </c>
      <c r="G250" s="81" t="n">
        <v>0</v>
      </c>
      <c r="H250" s="82" t="n">
        <v>0</v>
      </c>
      <c r="I250" s="82" t="n">
        <v>0</v>
      </c>
      <c r="J250" s="82" t="n">
        <v>0</v>
      </c>
      <c r="K250" s="96" t="n">
        <v>75</v>
      </c>
      <c r="L250" s="97" t="n">
        <v>75</v>
      </c>
      <c r="M250" s="82" t="n">
        <v>0</v>
      </c>
      <c r="N250" s="96" t="n">
        <v>50</v>
      </c>
      <c r="O250" s="97" t="n">
        <v>50</v>
      </c>
      <c r="P250" s="96" t="n">
        <v>20</v>
      </c>
      <c r="Q250" s="82" t="n">
        <v>0</v>
      </c>
      <c r="R250" s="83" t="n">
        <v>0</v>
      </c>
      <c r="S250" s="82" t="n">
        <v>0</v>
      </c>
      <c r="T250" s="82" t="n">
        <v>0</v>
      </c>
      <c r="U250" s="82" t="n">
        <v>0</v>
      </c>
      <c r="V250" s="82" t="n">
        <v>0</v>
      </c>
      <c r="W250" s="82" t="n">
        <v>0</v>
      </c>
    </row>
    <row r="251" customFormat="false" ht="15" hidden="false" customHeight="false" outlineLevel="0" collapsed="false">
      <c r="A251" s="68" t="s">
        <v>55</v>
      </c>
      <c r="B251" s="69" t="n">
        <v>46267</v>
      </c>
      <c r="C251" s="70" t="n">
        <v>9</v>
      </c>
      <c r="D251" s="70" t="s">
        <v>57</v>
      </c>
      <c r="E251" s="71" t="n">
        <f aca="false">G251*23.12+H251*23.12+I251*23.12+J251*23.12+K251*11.55+L251*11.55+M251*11.55+N251*16.51+O251*16.51+P251*16.51+Q251*11.55+S251*11.55+T251*15+U251*1.7+V251*1.7+W251*11.55</f>
        <v>3713.7</v>
      </c>
      <c r="F251" s="72" t="n">
        <f aca="false">G251+H251+I251+J251+K251+L251+M251+N251+O251+P251+Q251+S251+T251+U251+V251+W251</f>
        <v>270</v>
      </c>
      <c r="G251" s="73" t="n">
        <v>0</v>
      </c>
      <c r="H251" s="74" t="n">
        <v>0</v>
      </c>
      <c r="I251" s="74" t="n">
        <v>0</v>
      </c>
      <c r="J251" s="74" t="n">
        <v>0</v>
      </c>
      <c r="K251" s="98" t="n">
        <v>75</v>
      </c>
      <c r="L251" s="99" t="n">
        <v>75</v>
      </c>
      <c r="M251" s="74" t="n">
        <v>0</v>
      </c>
      <c r="N251" s="98" t="n">
        <v>50</v>
      </c>
      <c r="O251" s="99" t="n">
        <v>50</v>
      </c>
      <c r="P251" s="98" t="n">
        <v>20</v>
      </c>
      <c r="Q251" s="74" t="n">
        <v>0</v>
      </c>
      <c r="R251" s="75" t="n">
        <v>0</v>
      </c>
      <c r="S251" s="74" t="n">
        <v>0</v>
      </c>
      <c r="T251" s="74" t="n">
        <v>0</v>
      </c>
      <c r="U251" s="74" t="n">
        <v>0</v>
      </c>
      <c r="V251" s="74" t="n">
        <v>0</v>
      </c>
      <c r="W251" s="74" t="n">
        <v>0</v>
      </c>
    </row>
    <row r="252" customFormat="false" ht="15" hidden="false" customHeight="false" outlineLevel="0" collapsed="false">
      <c r="A252" s="76" t="s">
        <v>47</v>
      </c>
      <c r="B252" s="77" t="n">
        <v>46268</v>
      </c>
      <c r="C252" s="78" t="n">
        <v>9</v>
      </c>
      <c r="D252" s="78" t="s">
        <v>57</v>
      </c>
      <c r="E252" s="79" t="n">
        <f aca="false">G252*23.12+H252*23.12+I252*23.12+J252*23.12+K252*11.55+L252*11.55+M252*11.55+N252*16.51+O252*16.51+P252*16.51+Q252*11.55+S252*11.55+T252*15+U252*1.7+V252*1.7+W252*11.55</f>
        <v>2888.2</v>
      </c>
      <c r="F252" s="80" t="n">
        <f aca="false">G252+H252+I252+J252+K252+L252+M252+N252+O252+P252+Q252+S252+T252+U252+V252+W252</f>
        <v>220</v>
      </c>
      <c r="G252" s="81" t="n">
        <v>0</v>
      </c>
      <c r="H252" s="82" t="n">
        <v>0</v>
      </c>
      <c r="I252" s="82" t="n">
        <v>0</v>
      </c>
      <c r="J252" s="82" t="n">
        <v>0</v>
      </c>
      <c r="K252" s="96" t="n">
        <v>75</v>
      </c>
      <c r="L252" s="97" t="n">
        <v>75</v>
      </c>
      <c r="M252" s="82" t="n">
        <v>0</v>
      </c>
      <c r="N252" s="81" t="n">
        <v>0</v>
      </c>
      <c r="O252" s="97" t="n">
        <v>50</v>
      </c>
      <c r="P252" s="96" t="n">
        <v>20</v>
      </c>
      <c r="Q252" s="82" t="n">
        <v>0</v>
      </c>
      <c r="R252" s="83" t="n">
        <v>0</v>
      </c>
      <c r="S252" s="82" t="n">
        <v>0</v>
      </c>
      <c r="T252" s="82" t="n">
        <v>0</v>
      </c>
      <c r="U252" s="82" t="n">
        <v>0</v>
      </c>
      <c r="V252" s="82" t="n">
        <v>0</v>
      </c>
      <c r="W252" s="82" t="n">
        <v>0</v>
      </c>
    </row>
    <row r="253" customFormat="false" ht="15" hidden="false" customHeight="false" outlineLevel="0" collapsed="false">
      <c r="A253" s="68" t="s">
        <v>49</v>
      </c>
      <c r="B253" s="69" t="n">
        <v>46269</v>
      </c>
      <c r="C253" s="70" t="n">
        <v>9</v>
      </c>
      <c r="D253" s="70" t="s">
        <v>57</v>
      </c>
      <c r="E253" s="71" t="n">
        <f aca="false">G253*23.12+H253*23.12+I253*23.12+J253*23.12+K253*11.55+L253*11.55+M253*11.55+N253*16.51+O253*16.51+P253*16.51+Q253*11.55+S253*11.55+T253*15+U253*1.7+V253*1.7+W253*11.55</f>
        <v>3713.7</v>
      </c>
      <c r="F253" s="72" t="n">
        <f aca="false">G253+H253+I253+J253+K253+L253+M253+N253+O253+P253+Q253+S253+T253+U253+V253+W253</f>
        <v>270</v>
      </c>
      <c r="G253" s="73" t="n">
        <v>0</v>
      </c>
      <c r="H253" s="74" t="n">
        <v>0</v>
      </c>
      <c r="I253" s="74" t="n">
        <v>0</v>
      </c>
      <c r="J253" s="74" t="n">
        <v>0</v>
      </c>
      <c r="K253" s="98" t="n">
        <v>75</v>
      </c>
      <c r="L253" s="99" t="n">
        <v>75</v>
      </c>
      <c r="M253" s="74" t="n">
        <v>0</v>
      </c>
      <c r="N253" s="98" t="n">
        <v>50</v>
      </c>
      <c r="O253" s="99" t="n">
        <v>50</v>
      </c>
      <c r="P253" s="98" t="n">
        <v>20</v>
      </c>
      <c r="Q253" s="74" t="n">
        <v>0</v>
      </c>
      <c r="R253" s="75" t="n">
        <v>0</v>
      </c>
      <c r="S253" s="74" t="n">
        <v>0</v>
      </c>
      <c r="T253" s="74" t="n">
        <v>0</v>
      </c>
      <c r="U253" s="74" t="n">
        <v>0</v>
      </c>
      <c r="V253" s="74" t="n">
        <v>0</v>
      </c>
      <c r="W253" s="74" t="n">
        <v>0</v>
      </c>
    </row>
    <row r="254" customFormat="false" ht="15" hidden="false" customHeight="false" outlineLevel="0" collapsed="false">
      <c r="A254" s="85" t="s">
        <v>50</v>
      </c>
      <c r="B254" s="77" t="n">
        <v>46270</v>
      </c>
      <c r="C254" s="78" t="n">
        <v>9</v>
      </c>
      <c r="D254" s="78" t="s">
        <v>57</v>
      </c>
      <c r="E254" s="79" t="n">
        <f aca="false">G254*23.12+H254*23.12+I254*23.12+J254*23.12+K254*11.55+L254*11.55+M254*11.55+N254*16.51+O254*16.51+P254*16.51+Q254*11.55+S254*11.55+T254*15+U254*1.7+V254*1.7+W254*11.55</f>
        <v>2558</v>
      </c>
      <c r="F254" s="80" t="n">
        <f aca="false">G254+H254+I254+J254+K254+L254+M254+N254+O254+P254+Q254+S254+T254+U254+V254+W254</f>
        <v>200</v>
      </c>
      <c r="G254" s="81" t="n">
        <v>0</v>
      </c>
      <c r="H254" s="82" t="n">
        <v>0</v>
      </c>
      <c r="I254" s="82" t="n">
        <v>0</v>
      </c>
      <c r="J254" s="82" t="n">
        <v>0</v>
      </c>
      <c r="K254" s="96" t="n">
        <v>75</v>
      </c>
      <c r="L254" s="97" t="n">
        <v>75</v>
      </c>
      <c r="M254" s="82" t="n">
        <v>0</v>
      </c>
      <c r="N254" s="96" t="n">
        <v>50</v>
      </c>
      <c r="O254" s="82" t="n">
        <v>0</v>
      </c>
      <c r="P254" s="81" t="n">
        <v>0</v>
      </c>
      <c r="Q254" s="82" t="n">
        <v>0</v>
      </c>
      <c r="R254" s="83" t="n">
        <v>0</v>
      </c>
      <c r="S254" s="82" t="n">
        <v>0</v>
      </c>
      <c r="T254" s="82" t="n">
        <v>0</v>
      </c>
      <c r="U254" s="82" t="n">
        <v>0</v>
      </c>
      <c r="V254" s="82" t="n">
        <v>0</v>
      </c>
      <c r="W254" s="82" t="n">
        <v>0</v>
      </c>
    </row>
    <row r="255" customFormat="false" ht="15" hidden="false" customHeight="false" outlineLevel="0" collapsed="false">
      <c r="A255" s="84" t="s">
        <v>51</v>
      </c>
      <c r="B255" s="69" t="n">
        <v>46271</v>
      </c>
      <c r="C255" s="70" t="n">
        <v>9</v>
      </c>
      <c r="D255" s="70" t="s">
        <v>57</v>
      </c>
      <c r="E255" s="71" t="n">
        <f aca="false">G255*23.12+H255*23.12+I255*23.12+J255*23.12+K255*11.55+L255*11.55+M255*11.55+N255*16.51+O255*16.51+P255*16.51+Q255*11.55+S255*11.55+T255*15+U255*1.7+V255*1.7+W255*11.55</f>
        <v>0</v>
      </c>
      <c r="F255" s="72" t="n">
        <f aca="false">G255+H255+I255+J255+K255+L255+M255+N255+O255+P255+Q255+S255+T255+U255+V255+W255</f>
        <v>0</v>
      </c>
      <c r="G255" s="73" t="n">
        <v>0</v>
      </c>
      <c r="H255" s="74" t="n">
        <v>0</v>
      </c>
      <c r="I255" s="74" t="n">
        <v>0</v>
      </c>
      <c r="J255" s="74" t="n">
        <v>0</v>
      </c>
      <c r="K255" s="73" t="n">
        <v>0</v>
      </c>
      <c r="L255" s="74" t="n">
        <v>0</v>
      </c>
      <c r="M255" s="74" t="n">
        <v>0</v>
      </c>
      <c r="N255" s="73" t="n">
        <v>0</v>
      </c>
      <c r="O255" s="74" t="n">
        <v>0</v>
      </c>
      <c r="P255" s="73" t="n">
        <v>0</v>
      </c>
      <c r="Q255" s="74" t="n">
        <v>0</v>
      </c>
      <c r="R255" s="75" t="n">
        <v>0</v>
      </c>
      <c r="S255" s="74" t="n">
        <v>0</v>
      </c>
      <c r="T255" s="74" t="n">
        <v>0</v>
      </c>
      <c r="U255" s="74" t="n">
        <v>0</v>
      </c>
      <c r="V255" s="74" t="n">
        <v>0</v>
      </c>
      <c r="W255" s="74" t="n">
        <v>0</v>
      </c>
    </row>
    <row r="256" customFormat="false" ht="15" hidden="false" customHeight="false" outlineLevel="0" collapsed="false">
      <c r="A256" s="100" t="s">
        <v>52</v>
      </c>
      <c r="B256" s="101" t="n">
        <v>46272</v>
      </c>
      <c r="C256" s="102" t="n">
        <v>10</v>
      </c>
      <c r="D256" s="102" t="s">
        <v>48</v>
      </c>
      <c r="E256" s="103" t="n">
        <f aca="false">G256*23.12+H256*23.12+I256*23.12+J256*23.12+K256*11.55+L256*11.55+M256*11.55+N256*16.51+O256*16.51+P256*16.51+Q256*11.55+S256*11.55+T256*15+U256*1.7+V256*1.7+W256*11.55</f>
        <v>2772</v>
      </c>
      <c r="F256" s="104" t="n">
        <f aca="false">G256+H256+I256+J256+K256+L256+M256+N256+O256+P256+Q256+S256+T256+U256+V256+W256</f>
        <v>240</v>
      </c>
      <c r="G256" s="105" t="n">
        <v>0</v>
      </c>
      <c r="H256" s="106" t="n">
        <v>0</v>
      </c>
      <c r="I256" s="106" t="n">
        <v>0</v>
      </c>
      <c r="J256" s="106" t="n">
        <v>0</v>
      </c>
      <c r="K256" s="107" t="n">
        <v>120</v>
      </c>
      <c r="L256" s="108" t="n">
        <v>120</v>
      </c>
      <c r="M256" s="106" t="n">
        <v>0</v>
      </c>
      <c r="N256" s="105" t="n">
        <v>0</v>
      </c>
      <c r="O256" s="106" t="n">
        <v>0</v>
      </c>
      <c r="P256" s="105" t="n">
        <v>0</v>
      </c>
      <c r="Q256" s="106" t="n">
        <v>0</v>
      </c>
      <c r="R256" s="109" t="n">
        <v>0</v>
      </c>
      <c r="S256" s="106" t="n">
        <v>0</v>
      </c>
      <c r="T256" s="106" t="n">
        <v>0</v>
      </c>
      <c r="U256" s="106" t="n">
        <v>0</v>
      </c>
      <c r="V256" s="106" t="n">
        <v>0</v>
      </c>
      <c r="W256" s="106" t="n">
        <v>0</v>
      </c>
    </row>
    <row r="257" customFormat="false" ht="15" hidden="false" customHeight="false" outlineLevel="0" collapsed="false">
      <c r="A257" s="68" t="s">
        <v>54</v>
      </c>
      <c r="B257" s="69" t="n">
        <v>46273</v>
      </c>
      <c r="C257" s="70" t="n">
        <v>10</v>
      </c>
      <c r="D257" s="70" t="s">
        <v>48</v>
      </c>
      <c r="E257" s="71" t="n">
        <f aca="false">G257*23.12+H257*23.12+I257*23.12+J257*23.12+K257*11.55+L257*11.55+M257*11.55+N257*16.51+O257*16.51+P257*16.51+Q257*11.55+S257*11.55+T257*15+U257*1.7+V257*1.7+W257*11.55</f>
        <v>2772</v>
      </c>
      <c r="F257" s="72" t="n">
        <f aca="false">G257+H257+I257+J257+K257+L257+M257+N257+O257+P257+Q257+S257+T257+U257+V257+W257</f>
        <v>240</v>
      </c>
      <c r="G257" s="73" t="n">
        <v>0</v>
      </c>
      <c r="H257" s="74" t="n">
        <v>0</v>
      </c>
      <c r="I257" s="74" t="n">
        <v>0</v>
      </c>
      <c r="J257" s="74" t="n">
        <v>0</v>
      </c>
      <c r="K257" s="98" t="n">
        <v>120</v>
      </c>
      <c r="L257" s="99" t="n">
        <v>120</v>
      </c>
      <c r="M257" s="74" t="n">
        <v>0</v>
      </c>
      <c r="N257" s="73" t="n">
        <v>0</v>
      </c>
      <c r="O257" s="74" t="n">
        <v>0</v>
      </c>
      <c r="P257" s="73" t="n">
        <v>0</v>
      </c>
      <c r="Q257" s="74" t="n">
        <v>0</v>
      </c>
      <c r="R257" s="75" t="n">
        <v>0</v>
      </c>
      <c r="S257" s="74" t="n">
        <v>0</v>
      </c>
      <c r="T257" s="74" t="n">
        <v>0</v>
      </c>
      <c r="U257" s="74" t="n">
        <v>0</v>
      </c>
      <c r="V257" s="74" t="n">
        <v>0</v>
      </c>
      <c r="W257" s="74" t="n">
        <v>0</v>
      </c>
    </row>
    <row r="258" customFormat="false" ht="15" hidden="false" customHeight="false" outlineLevel="0" collapsed="false">
      <c r="A258" s="76" t="s">
        <v>55</v>
      </c>
      <c r="B258" s="77" t="n">
        <v>46274</v>
      </c>
      <c r="C258" s="78" t="n">
        <v>10</v>
      </c>
      <c r="D258" s="78" t="s">
        <v>48</v>
      </c>
      <c r="E258" s="79" t="n">
        <f aca="false">G258*23.12+H258*23.12+I258*23.12+J258*23.12+K258*11.55+L258*11.55+M258*11.55+N258*16.51+O258*16.51+P258*16.51+Q258*11.55+S258*11.55+T258*15+U258*1.7+V258*1.7+W258*11.55</f>
        <v>2772</v>
      </c>
      <c r="F258" s="80" t="n">
        <f aca="false">G258+H258+I258+J258+K258+L258+M258+N258+O258+P258+Q258+S258+T258+U258+V258+W258</f>
        <v>240</v>
      </c>
      <c r="G258" s="81" t="n">
        <v>0</v>
      </c>
      <c r="H258" s="82" t="n">
        <v>0</v>
      </c>
      <c r="I258" s="82" t="n">
        <v>0</v>
      </c>
      <c r="J258" s="82" t="n">
        <v>0</v>
      </c>
      <c r="K258" s="96" t="n">
        <v>120</v>
      </c>
      <c r="L258" s="97" t="n">
        <v>120</v>
      </c>
      <c r="M258" s="82" t="n">
        <v>0</v>
      </c>
      <c r="N258" s="81" t="n">
        <v>0</v>
      </c>
      <c r="O258" s="82" t="n">
        <v>0</v>
      </c>
      <c r="P258" s="81" t="n">
        <v>0</v>
      </c>
      <c r="Q258" s="82" t="n">
        <v>0</v>
      </c>
      <c r="R258" s="83" t="n">
        <v>0</v>
      </c>
      <c r="S258" s="82" t="n">
        <v>0</v>
      </c>
      <c r="T258" s="82" t="n">
        <v>0</v>
      </c>
      <c r="U258" s="82" t="n">
        <v>0</v>
      </c>
      <c r="V258" s="82" t="n">
        <v>0</v>
      </c>
      <c r="W258" s="82" t="n">
        <v>0</v>
      </c>
    </row>
    <row r="259" customFormat="false" ht="15" hidden="false" customHeight="false" outlineLevel="0" collapsed="false">
      <c r="A259" s="110" t="s">
        <v>37</v>
      </c>
      <c r="B259" s="111"/>
      <c r="C259" s="111"/>
      <c r="D259" s="111"/>
      <c r="E259" s="49" t="n">
        <f aca="false">SUM(E7:E258)</f>
        <v>1223475.35</v>
      </c>
      <c r="F259" s="112" t="n">
        <f aca="false">SUM(F7:F258)</f>
        <v>90396</v>
      </c>
      <c r="G259" s="113" t="n">
        <f aca="false">SUM(G7:G258)</f>
        <v>6025</v>
      </c>
      <c r="H259" s="113" t="n">
        <f aca="false">SUM(H7:H258)</f>
        <v>6025</v>
      </c>
      <c r="I259" s="113" t="n">
        <f aca="false">SUM(I7:I258)</f>
        <v>0</v>
      </c>
      <c r="J259" s="113" t="n">
        <f aca="false">SUM(J7:J258)</f>
        <v>845</v>
      </c>
      <c r="K259" s="113" t="n">
        <f aca="false">SUM(K7:K258)</f>
        <v>35712</v>
      </c>
      <c r="L259" s="113" t="n">
        <f aca="false">SUM(L7:L258)</f>
        <v>35634</v>
      </c>
      <c r="M259" s="113" t="n">
        <f aca="false">SUM(M7:M258)</f>
        <v>65</v>
      </c>
      <c r="N259" s="113" t="n">
        <f aca="false">SUM(N7:N258)</f>
        <v>2500</v>
      </c>
      <c r="O259" s="113" t="n">
        <f aca="false">SUM(O7:O258)</f>
        <v>2550</v>
      </c>
      <c r="P259" s="113" t="n">
        <f aca="false">SUM(P7:P258)</f>
        <v>1040</v>
      </c>
      <c r="Q259" s="113" t="n">
        <f aca="false">SUM(Q7:Q258)</f>
        <v>0</v>
      </c>
      <c r="R259" s="114" t="n">
        <f aca="false">SUM(R7:R258)</f>
        <v>0</v>
      </c>
      <c r="S259" s="113" t="n">
        <f aca="false">SUM(S7:S258)</f>
        <v>0</v>
      </c>
      <c r="T259" s="113" t="n">
        <f aca="false">SUM(T7:T258)</f>
        <v>0</v>
      </c>
      <c r="U259" s="113" t="n">
        <f aca="false">SUM(U7:U258)</f>
        <v>0</v>
      </c>
      <c r="V259" s="113" t="n">
        <f aca="false">SUM(V7:V258)</f>
        <v>0</v>
      </c>
      <c r="W259" s="113" t="n">
        <f aca="false">SUM(W7:W258)</f>
        <v>0</v>
      </c>
    </row>
  </sheetData>
  <mergeCells count="11">
    <mergeCell ref="A4:A6"/>
    <mergeCell ref="B4:B6"/>
    <mergeCell ref="C4:C6"/>
    <mergeCell ref="D4:D6"/>
    <mergeCell ref="E4:E6"/>
    <mergeCell ref="F4:F6"/>
    <mergeCell ref="G4:J4"/>
    <mergeCell ref="K4:M4"/>
    <mergeCell ref="N4:O4"/>
    <mergeCell ref="P4:Q4"/>
    <mergeCell ref="R4:W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false"/>
  </sheetPr>
  <dimension ref="A1:W2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6" topLeftCell="G7" activePane="bottomRight" state="frozen"/>
      <selection pane="topLeft" activeCell="A1" activeCellId="0" sqref="A1"/>
      <selection pane="topRight" activeCell="G1" activeCellId="0" sqref="G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.51"/>
    <col collapsed="false" customWidth="true" hidden="false" outlineLevel="0" max="2" min="2" style="0" width="8.5"/>
    <col collapsed="false" customWidth="true" hidden="false" outlineLevel="0" max="3" min="3" style="0" width="7"/>
    <col collapsed="false" customWidth="true" hidden="false" outlineLevel="0" max="4" min="4" style="0" width="8"/>
    <col collapsed="false" customWidth="true" hidden="false" outlineLevel="0" max="5" min="5" style="0" width="12.5"/>
    <col collapsed="false" customWidth="true" hidden="false" outlineLevel="0" max="6" min="6" style="0" width="8.5"/>
    <col collapsed="false" customWidth="true" hidden="false" outlineLevel="0" max="23" min="7" style="0" width="6.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58</v>
      </c>
    </row>
    <row r="3" customFormat="false" ht="15" hidden="false" customHeight="false" outlineLevel="0" collapsed="false">
      <c r="A3" s="3" t="s">
        <v>40</v>
      </c>
    </row>
    <row r="4" customFormat="false" ht="18" hidden="false" customHeight="true" outlineLevel="0" collapsed="false">
      <c r="A4" s="51" t="s">
        <v>41</v>
      </c>
      <c r="B4" s="51" t="s">
        <v>42</v>
      </c>
      <c r="C4" s="51" t="s">
        <v>43</v>
      </c>
      <c r="D4" s="51" t="s">
        <v>44</v>
      </c>
      <c r="E4" s="51" t="s">
        <v>8</v>
      </c>
      <c r="F4" s="51" t="s">
        <v>7</v>
      </c>
      <c r="G4" s="52" t="s">
        <v>18</v>
      </c>
      <c r="H4" s="52"/>
      <c r="I4" s="52"/>
      <c r="J4" s="52"/>
      <c r="K4" s="53" t="s">
        <v>23</v>
      </c>
      <c r="L4" s="53"/>
      <c r="M4" s="53"/>
      <c r="N4" s="54" t="s">
        <v>24</v>
      </c>
      <c r="O4" s="54"/>
      <c r="P4" s="55" t="s">
        <v>27</v>
      </c>
      <c r="Q4" s="55"/>
      <c r="R4" s="56" t="s">
        <v>30</v>
      </c>
      <c r="S4" s="56"/>
      <c r="T4" s="56"/>
      <c r="U4" s="56"/>
      <c r="V4" s="56"/>
      <c r="W4" s="56"/>
    </row>
    <row r="5" customFormat="false" ht="96" hidden="false" customHeight="true" outlineLevel="0" collapsed="false">
      <c r="A5" s="51"/>
      <c r="B5" s="51"/>
      <c r="C5" s="51"/>
      <c r="D5" s="51"/>
      <c r="E5" s="51"/>
      <c r="F5" s="51"/>
      <c r="G5" s="57" t="s">
        <v>19</v>
      </c>
      <c r="H5" s="57" t="s">
        <v>20</v>
      </c>
      <c r="I5" s="57" t="s">
        <v>21</v>
      </c>
      <c r="J5" s="57" t="s">
        <v>22</v>
      </c>
      <c r="K5" s="58" t="s">
        <v>19</v>
      </c>
      <c r="L5" s="58" t="s">
        <v>20</v>
      </c>
      <c r="M5" s="58" t="s">
        <v>21</v>
      </c>
      <c r="N5" s="59" t="s">
        <v>25</v>
      </c>
      <c r="O5" s="59" t="s">
        <v>26</v>
      </c>
      <c r="P5" s="60" t="s">
        <v>28</v>
      </c>
      <c r="Q5" s="60" t="s">
        <v>29</v>
      </c>
      <c r="R5" s="61" t="s">
        <v>45</v>
      </c>
      <c r="S5" s="61" t="s">
        <v>32</v>
      </c>
      <c r="T5" s="61" t="s">
        <v>33</v>
      </c>
      <c r="U5" s="61" t="s">
        <v>34</v>
      </c>
      <c r="V5" s="61" t="s">
        <v>35</v>
      </c>
      <c r="W5" s="61" t="s">
        <v>36</v>
      </c>
    </row>
    <row r="6" customFormat="false" ht="15" hidden="false" customHeight="true" outlineLevel="0" collapsed="false">
      <c r="A6" s="51"/>
      <c r="B6" s="51"/>
      <c r="C6" s="51"/>
      <c r="D6" s="51"/>
      <c r="E6" s="51"/>
      <c r="F6" s="51"/>
      <c r="G6" s="62" t="n">
        <v>23.12</v>
      </c>
      <c r="H6" s="62" t="n">
        <v>23.12</v>
      </c>
      <c r="I6" s="62" t="n">
        <v>23.12</v>
      </c>
      <c r="J6" s="62" t="n">
        <v>23.12</v>
      </c>
      <c r="K6" s="63" t="n">
        <v>11.55</v>
      </c>
      <c r="L6" s="63" t="n">
        <v>11.55</v>
      </c>
      <c r="M6" s="63" t="n">
        <v>11.55</v>
      </c>
      <c r="N6" s="64" t="n">
        <v>16.51</v>
      </c>
      <c r="O6" s="64" t="n">
        <v>16.51</v>
      </c>
      <c r="P6" s="65" t="n">
        <v>16.51</v>
      </c>
      <c r="Q6" s="65" t="n">
        <v>11.55</v>
      </c>
      <c r="R6" s="66" t="s">
        <v>46</v>
      </c>
      <c r="S6" s="67" t="n">
        <v>11.55</v>
      </c>
      <c r="T6" s="67" t="n">
        <v>15</v>
      </c>
      <c r="U6" s="67" t="n">
        <v>1.7</v>
      </c>
      <c r="V6" s="67" t="n">
        <v>1.7</v>
      </c>
      <c r="W6" s="67" t="n">
        <v>11.55</v>
      </c>
    </row>
    <row r="7" customFormat="false" ht="15" hidden="false" customHeight="false" outlineLevel="0" collapsed="false">
      <c r="A7" s="68" t="s">
        <v>47</v>
      </c>
      <c r="B7" s="69" t="n">
        <v>46023</v>
      </c>
      <c r="C7" s="70" t="n">
        <v>1.1</v>
      </c>
      <c r="D7" s="70" t="s">
        <v>48</v>
      </c>
      <c r="E7" s="71" t="n">
        <f aca="false">G7*23.12+H7*23.12+I7*23.12+J7*23.12+K7*11.55+L7*11.55+M7*11.55+N7*16.51+O7*16.51+P7*16.51+Q7*11.55+S7*11.55+T7*15+U7*1.7+V7*1.7+W7*11.55</f>
        <v>0</v>
      </c>
      <c r="F7" s="72" t="n">
        <f aca="false">G7+H7+I7+J7+K7+L7+M7+N7+O7+P7+Q7+S7+T7+U7+V7+W7</f>
        <v>0</v>
      </c>
      <c r="G7" s="73" t="n">
        <v>0</v>
      </c>
      <c r="H7" s="74" t="n">
        <v>0</v>
      </c>
      <c r="I7" s="74" t="n">
        <v>0</v>
      </c>
      <c r="J7" s="74" t="n">
        <v>0</v>
      </c>
      <c r="K7" s="73" t="n">
        <v>0</v>
      </c>
      <c r="L7" s="74" t="n">
        <v>0</v>
      </c>
      <c r="M7" s="74" t="n">
        <v>0</v>
      </c>
      <c r="N7" s="73" t="n">
        <v>0</v>
      </c>
      <c r="O7" s="74" t="n">
        <v>0</v>
      </c>
      <c r="P7" s="73" t="n">
        <v>0</v>
      </c>
      <c r="Q7" s="74" t="n">
        <v>0</v>
      </c>
      <c r="R7" s="75" t="n">
        <v>0</v>
      </c>
      <c r="S7" s="74" t="n">
        <v>0</v>
      </c>
      <c r="T7" s="74" t="n">
        <v>0</v>
      </c>
      <c r="U7" s="74" t="n">
        <v>0</v>
      </c>
      <c r="V7" s="74" t="n">
        <v>0</v>
      </c>
      <c r="W7" s="74" t="n">
        <v>0</v>
      </c>
    </row>
    <row r="8" customFormat="false" ht="15" hidden="false" customHeight="false" outlineLevel="0" collapsed="false">
      <c r="A8" s="76" t="s">
        <v>49</v>
      </c>
      <c r="B8" s="77" t="n">
        <v>46024</v>
      </c>
      <c r="C8" s="78" t="n">
        <v>1.1</v>
      </c>
      <c r="D8" s="78" t="s">
        <v>48</v>
      </c>
      <c r="E8" s="79" t="n">
        <f aca="false">G8*23.12+H8*23.12+I8*23.12+J8*23.12+K8*11.55+L8*11.55+M8*11.55+N8*16.51+O8*16.51+P8*16.51+Q8*11.55+S8*11.55+T8*15+U8*1.7+V8*1.7+W8*11.55</f>
        <v>0</v>
      </c>
      <c r="F8" s="80" t="n">
        <f aca="false">G8+H8+I8+J8+K8+L8+M8+N8+O8+P8+Q8+S8+T8+U8+V8+W8</f>
        <v>0</v>
      </c>
      <c r="G8" s="81" t="n">
        <v>0</v>
      </c>
      <c r="H8" s="82" t="n">
        <v>0</v>
      </c>
      <c r="I8" s="82" t="n">
        <v>0</v>
      </c>
      <c r="J8" s="82" t="n">
        <v>0</v>
      </c>
      <c r="K8" s="81" t="n">
        <v>0</v>
      </c>
      <c r="L8" s="82" t="n">
        <v>0</v>
      </c>
      <c r="M8" s="82" t="n">
        <v>0</v>
      </c>
      <c r="N8" s="81" t="n">
        <v>0</v>
      </c>
      <c r="O8" s="82" t="n">
        <v>0</v>
      </c>
      <c r="P8" s="81" t="n">
        <v>0</v>
      </c>
      <c r="Q8" s="82" t="n">
        <v>0</v>
      </c>
      <c r="R8" s="83" t="n">
        <v>0</v>
      </c>
      <c r="S8" s="82" t="n">
        <v>0</v>
      </c>
      <c r="T8" s="82" t="n">
        <v>0</v>
      </c>
      <c r="U8" s="82" t="n">
        <v>0</v>
      </c>
      <c r="V8" s="82" t="n">
        <v>0</v>
      </c>
      <c r="W8" s="82" t="n">
        <v>0</v>
      </c>
    </row>
    <row r="9" customFormat="false" ht="15" hidden="false" customHeight="false" outlineLevel="0" collapsed="false">
      <c r="A9" s="84" t="s">
        <v>50</v>
      </c>
      <c r="B9" s="69" t="n">
        <v>46025</v>
      </c>
      <c r="C9" s="70" t="n">
        <v>1.1</v>
      </c>
      <c r="D9" s="70" t="s">
        <v>48</v>
      </c>
      <c r="E9" s="71" t="n">
        <f aca="false">G9*23.12+H9*23.12+I9*23.12+J9*23.12+K9*11.55+L9*11.55+M9*11.55+N9*16.51+O9*16.51+P9*16.51+Q9*11.55+S9*11.55+T9*15+U9*1.7+V9*1.7+W9*11.55</f>
        <v>0</v>
      </c>
      <c r="F9" s="72" t="n">
        <f aca="false">G9+H9+I9+J9+K9+L9+M9+N9+O9+P9+Q9+S9+T9+U9+V9+W9</f>
        <v>0</v>
      </c>
      <c r="G9" s="73" t="n">
        <v>0</v>
      </c>
      <c r="H9" s="74" t="n">
        <v>0</v>
      </c>
      <c r="I9" s="74" t="n">
        <v>0</v>
      </c>
      <c r="J9" s="74" t="n">
        <v>0</v>
      </c>
      <c r="K9" s="73" t="n">
        <v>0</v>
      </c>
      <c r="L9" s="74" t="n">
        <v>0</v>
      </c>
      <c r="M9" s="74" t="n">
        <v>0</v>
      </c>
      <c r="N9" s="73" t="n">
        <v>0</v>
      </c>
      <c r="O9" s="74" t="n">
        <v>0</v>
      </c>
      <c r="P9" s="73" t="n">
        <v>0</v>
      </c>
      <c r="Q9" s="74" t="n">
        <v>0</v>
      </c>
      <c r="R9" s="75" t="n">
        <v>0</v>
      </c>
      <c r="S9" s="74" t="n">
        <v>0</v>
      </c>
      <c r="T9" s="74" t="n">
        <v>0</v>
      </c>
      <c r="U9" s="74" t="n">
        <v>0</v>
      </c>
      <c r="V9" s="74" t="n">
        <v>0</v>
      </c>
      <c r="W9" s="74" t="n">
        <v>0</v>
      </c>
    </row>
    <row r="10" customFormat="false" ht="15" hidden="false" customHeight="false" outlineLevel="0" collapsed="false">
      <c r="A10" s="85" t="s">
        <v>51</v>
      </c>
      <c r="B10" s="77" t="n">
        <v>46026</v>
      </c>
      <c r="C10" s="78" t="n">
        <v>1.1</v>
      </c>
      <c r="D10" s="78" t="s">
        <v>48</v>
      </c>
      <c r="E10" s="79" t="n">
        <f aca="false">G10*23.12+H10*23.12+I10*23.12+J10*23.12+K10*11.55+L10*11.55+M10*11.55+N10*16.51+O10*16.51+P10*16.51+Q10*11.55+S10*11.55+T10*15+U10*1.7+V10*1.7+W10*11.55</f>
        <v>0</v>
      </c>
      <c r="F10" s="80" t="n">
        <f aca="false">G10+H10+I10+J10+K10+L10+M10+N10+O10+P10+Q10+S10+T10+U10+V10+W10</f>
        <v>0</v>
      </c>
      <c r="G10" s="81" t="n">
        <v>0</v>
      </c>
      <c r="H10" s="82" t="n">
        <v>0</v>
      </c>
      <c r="I10" s="82" t="n">
        <v>0</v>
      </c>
      <c r="J10" s="82" t="n">
        <v>0</v>
      </c>
      <c r="K10" s="81" t="n">
        <v>0</v>
      </c>
      <c r="L10" s="82" t="n">
        <v>0</v>
      </c>
      <c r="M10" s="82" t="n">
        <v>0</v>
      </c>
      <c r="N10" s="81" t="n">
        <v>0</v>
      </c>
      <c r="O10" s="82" t="n">
        <v>0</v>
      </c>
      <c r="P10" s="81" t="n">
        <v>0</v>
      </c>
      <c r="Q10" s="82" t="n">
        <v>0</v>
      </c>
      <c r="R10" s="83" t="n">
        <v>0</v>
      </c>
      <c r="S10" s="82" t="n">
        <v>0</v>
      </c>
      <c r="T10" s="82" t="n">
        <v>0</v>
      </c>
      <c r="U10" s="82" t="n">
        <v>0</v>
      </c>
      <c r="V10" s="82" t="n">
        <v>0</v>
      </c>
      <c r="W10" s="82" t="n">
        <v>0</v>
      </c>
    </row>
    <row r="11" customFormat="false" ht="15" hidden="false" customHeight="false" outlineLevel="0" collapsed="false">
      <c r="A11" s="86" t="s">
        <v>52</v>
      </c>
      <c r="B11" s="87" t="n">
        <v>46027</v>
      </c>
      <c r="C11" s="88" t="n">
        <v>1.2</v>
      </c>
      <c r="D11" s="88" t="s">
        <v>53</v>
      </c>
      <c r="E11" s="89" t="n">
        <f aca="false">G11*23.12+H11*23.12+I11*23.12+J11*23.12+K11*11.55+L11*11.55+M11*11.55+N11*16.51+O11*16.51+P11*16.51+Q11*11.55+S11*11.55+T11*15+U11*1.7+V11*1.7+W11*11.55</f>
        <v>1963.5</v>
      </c>
      <c r="F11" s="90" t="n">
        <f aca="false">G11+H11+I11+J11+K11+L11+M11+N11+O11+P11+Q11+S11+T11+U11+V11+W11</f>
        <v>170</v>
      </c>
      <c r="G11" s="91" t="n">
        <v>0</v>
      </c>
      <c r="H11" s="92" t="n">
        <v>0</v>
      </c>
      <c r="I11" s="92" t="n">
        <v>0</v>
      </c>
      <c r="J11" s="92" t="n">
        <v>0</v>
      </c>
      <c r="K11" s="93" t="n">
        <v>70</v>
      </c>
      <c r="L11" s="94" t="n">
        <v>100</v>
      </c>
      <c r="M11" s="92" t="n">
        <v>0</v>
      </c>
      <c r="N11" s="91" t="n">
        <v>0</v>
      </c>
      <c r="O11" s="92" t="n">
        <v>0</v>
      </c>
      <c r="P11" s="91" t="n">
        <v>0</v>
      </c>
      <c r="Q11" s="92" t="n">
        <v>0</v>
      </c>
      <c r="R11" s="95" t="n">
        <v>0</v>
      </c>
      <c r="S11" s="92" t="n">
        <v>0</v>
      </c>
      <c r="T11" s="92" t="n">
        <v>0</v>
      </c>
      <c r="U11" s="92" t="n">
        <v>0</v>
      </c>
      <c r="V11" s="92" t="n">
        <v>0</v>
      </c>
      <c r="W11" s="92" t="n">
        <v>0</v>
      </c>
    </row>
    <row r="12" customFormat="false" ht="15" hidden="false" customHeight="false" outlineLevel="0" collapsed="false">
      <c r="A12" s="76" t="s">
        <v>54</v>
      </c>
      <c r="B12" s="77" t="n">
        <v>46028</v>
      </c>
      <c r="C12" s="78" t="n">
        <v>1.2</v>
      </c>
      <c r="D12" s="78" t="s">
        <v>53</v>
      </c>
      <c r="E12" s="79" t="n">
        <f aca="false">G12*23.12+H12*23.12+I12*23.12+J12*23.12+K12*11.55+L12*11.55+M12*11.55+N12*16.51+O12*16.51+P12*16.51+Q12*11.55+S12*11.55+T12*15+U12*1.7+V12*1.7+W12*11.55</f>
        <v>2385</v>
      </c>
      <c r="F12" s="80" t="n">
        <f aca="false">G12+H12+I12+J12+K12+L12+M12+N12+O12+P12+Q12+S12+T12+U12+V12+W12</f>
        <v>360</v>
      </c>
      <c r="G12" s="81" t="n">
        <v>0</v>
      </c>
      <c r="H12" s="82" t="n">
        <v>0</v>
      </c>
      <c r="I12" s="82" t="n">
        <v>0</v>
      </c>
      <c r="J12" s="82" t="n">
        <v>0</v>
      </c>
      <c r="K12" s="96" t="n">
        <v>80</v>
      </c>
      <c r="L12" s="97" t="n">
        <v>100</v>
      </c>
      <c r="M12" s="82" t="n">
        <v>0</v>
      </c>
      <c r="N12" s="81" t="n">
        <v>0</v>
      </c>
      <c r="O12" s="82" t="n">
        <v>0</v>
      </c>
      <c r="P12" s="81" t="n">
        <v>0</v>
      </c>
      <c r="Q12" s="82" t="n">
        <v>0</v>
      </c>
      <c r="R12" s="83" t="n">
        <v>0</v>
      </c>
      <c r="S12" s="82" t="n">
        <v>0</v>
      </c>
      <c r="T12" s="82" t="n">
        <v>0</v>
      </c>
      <c r="U12" s="82" t="n">
        <v>0</v>
      </c>
      <c r="V12" s="97" t="n">
        <v>180</v>
      </c>
      <c r="W12" s="82" t="n">
        <v>0</v>
      </c>
    </row>
    <row r="13" customFormat="false" ht="15" hidden="false" customHeight="false" outlineLevel="0" collapsed="false">
      <c r="A13" s="68" t="s">
        <v>55</v>
      </c>
      <c r="B13" s="69" t="n">
        <v>46029</v>
      </c>
      <c r="C13" s="70" t="n">
        <v>1.2</v>
      </c>
      <c r="D13" s="70" t="s">
        <v>53</v>
      </c>
      <c r="E13" s="71" t="n">
        <f aca="false">G13*23.12+H13*23.12+I13*23.12+J13*23.12+K13*11.55+L13*11.55+M13*11.55+N13*16.51+O13*16.51+P13*16.51+Q13*11.55+S13*11.55+T13*15+U13*1.7+V13*1.7+W13*11.55</f>
        <v>2079</v>
      </c>
      <c r="F13" s="72" t="n">
        <f aca="false">G13+H13+I13+J13+K13+L13+M13+N13+O13+P13+Q13+S13+T13+U13+V13+W13</f>
        <v>180</v>
      </c>
      <c r="G13" s="73" t="n">
        <v>0</v>
      </c>
      <c r="H13" s="74" t="n">
        <v>0</v>
      </c>
      <c r="I13" s="74" t="n">
        <v>0</v>
      </c>
      <c r="J13" s="74" t="n">
        <v>0</v>
      </c>
      <c r="K13" s="98" t="n">
        <v>80</v>
      </c>
      <c r="L13" s="99" t="n">
        <v>100</v>
      </c>
      <c r="M13" s="74" t="n">
        <v>0</v>
      </c>
      <c r="N13" s="73" t="n">
        <v>0</v>
      </c>
      <c r="O13" s="74" t="n">
        <v>0</v>
      </c>
      <c r="P13" s="73" t="n">
        <v>0</v>
      </c>
      <c r="Q13" s="74" t="n">
        <v>0</v>
      </c>
      <c r="R13" s="75" t="n">
        <v>0</v>
      </c>
      <c r="S13" s="74" t="n">
        <v>0</v>
      </c>
      <c r="T13" s="74" t="n">
        <v>0</v>
      </c>
      <c r="U13" s="74" t="n">
        <v>0</v>
      </c>
      <c r="V13" s="74" t="n">
        <v>0</v>
      </c>
      <c r="W13" s="74" t="n">
        <v>0</v>
      </c>
    </row>
    <row r="14" customFormat="false" ht="15" hidden="false" customHeight="false" outlineLevel="0" collapsed="false">
      <c r="A14" s="76" t="s">
        <v>47</v>
      </c>
      <c r="B14" s="77" t="n">
        <v>46030</v>
      </c>
      <c r="C14" s="78" t="n">
        <v>1.2</v>
      </c>
      <c r="D14" s="78" t="s">
        <v>53</v>
      </c>
      <c r="E14" s="79" t="n">
        <f aca="false">G14*23.12+H14*23.12+I14*23.12+J14*23.12+K14*11.55+L14*11.55+M14*11.55+N14*16.51+O14*16.51+P14*16.51+Q14*11.55+S14*11.55+T14*15+U14*1.7+V14*1.7+W14*11.55</f>
        <v>2079</v>
      </c>
      <c r="F14" s="80" t="n">
        <f aca="false">G14+H14+I14+J14+K14+L14+M14+N14+O14+P14+Q14+S14+T14+U14+V14+W14</f>
        <v>180</v>
      </c>
      <c r="G14" s="81" t="n">
        <v>0</v>
      </c>
      <c r="H14" s="82" t="n">
        <v>0</v>
      </c>
      <c r="I14" s="82" t="n">
        <v>0</v>
      </c>
      <c r="J14" s="82" t="n">
        <v>0</v>
      </c>
      <c r="K14" s="96" t="n">
        <v>80</v>
      </c>
      <c r="L14" s="97" t="n">
        <v>100</v>
      </c>
      <c r="M14" s="82" t="n">
        <v>0</v>
      </c>
      <c r="N14" s="81" t="n">
        <v>0</v>
      </c>
      <c r="O14" s="82" t="n">
        <v>0</v>
      </c>
      <c r="P14" s="81" t="n">
        <v>0</v>
      </c>
      <c r="Q14" s="82" t="n">
        <v>0</v>
      </c>
      <c r="R14" s="83" t="n">
        <v>0</v>
      </c>
      <c r="S14" s="82" t="n">
        <v>0</v>
      </c>
      <c r="T14" s="82" t="n">
        <v>0</v>
      </c>
      <c r="U14" s="82" t="n">
        <v>0</v>
      </c>
      <c r="V14" s="82" t="n">
        <v>0</v>
      </c>
      <c r="W14" s="82" t="n">
        <v>0</v>
      </c>
    </row>
    <row r="15" customFormat="false" ht="15" hidden="false" customHeight="false" outlineLevel="0" collapsed="false">
      <c r="A15" s="68" t="s">
        <v>49</v>
      </c>
      <c r="B15" s="69" t="n">
        <v>46031</v>
      </c>
      <c r="C15" s="70" t="n">
        <v>1.2</v>
      </c>
      <c r="D15" s="70" t="s">
        <v>53</v>
      </c>
      <c r="E15" s="71" t="n">
        <f aca="false">G15*23.12+H15*23.12+I15*23.12+J15*23.12+K15*11.55+L15*11.55+M15*11.55+N15*16.51+O15*16.51+P15*16.51+Q15*11.55+S15*11.55+T15*15+U15*1.7+V15*1.7+W15*11.55</f>
        <v>2385</v>
      </c>
      <c r="F15" s="72" t="n">
        <f aca="false">G15+H15+I15+J15+K15+L15+M15+N15+O15+P15+Q15+S15+T15+U15+V15+W15</f>
        <v>360</v>
      </c>
      <c r="G15" s="73" t="n">
        <v>0</v>
      </c>
      <c r="H15" s="74" t="n">
        <v>0</v>
      </c>
      <c r="I15" s="74" t="n">
        <v>0</v>
      </c>
      <c r="J15" s="74" t="n">
        <v>0</v>
      </c>
      <c r="K15" s="98" t="n">
        <v>80</v>
      </c>
      <c r="L15" s="99" t="n">
        <v>100</v>
      </c>
      <c r="M15" s="74" t="n">
        <v>0</v>
      </c>
      <c r="N15" s="73" t="n">
        <v>0</v>
      </c>
      <c r="O15" s="74" t="n">
        <v>0</v>
      </c>
      <c r="P15" s="73" t="n">
        <v>0</v>
      </c>
      <c r="Q15" s="74" t="n">
        <v>0</v>
      </c>
      <c r="R15" s="75" t="n">
        <v>0</v>
      </c>
      <c r="S15" s="74" t="n">
        <v>0</v>
      </c>
      <c r="T15" s="74" t="n">
        <v>0</v>
      </c>
      <c r="U15" s="74" t="n">
        <v>0</v>
      </c>
      <c r="V15" s="99" t="n">
        <v>180</v>
      </c>
      <c r="W15" s="74" t="n">
        <v>0</v>
      </c>
    </row>
    <row r="16" customFormat="false" ht="15" hidden="false" customHeight="false" outlineLevel="0" collapsed="false">
      <c r="A16" s="85" t="s">
        <v>50</v>
      </c>
      <c r="B16" s="77" t="n">
        <v>46032</v>
      </c>
      <c r="C16" s="78" t="n">
        <v>1.2</v>
      </c>
      <c r="D16" s="78" t="s">
        <v>53</v>
      </c>
      <c r="E16" s="79" t="n">
        <f aca="false">G16*23.12+H16*23.12+I16*23.12+J16*23.12+K16*11.55+L16*11.55+M16*11.55+N16*16.51+O16*16.51+P16*16.51+Q16*11.55+S16*11.55+T16*15+U16*1.7+V16*1.7+W16*11.55</f>
        <v>0</v>
      </c>
      <c r="F16" s="80" t="n">
        <f aca="false">G16+H16+I16+J16+K16+L16+M16+N16+O16+P16+Q16+S16+T16+U16+V16+W16</f>
        <v>0</v>
      </c>
      <c r="G16" s="81" t="n">
        <v>0</v>
      </c>
      <c r="H16" s="82" t="n">
        <v>0</v>
      </c>
      <c r="I16" s="82" t="n">
        <v>0</v>
      </c>
      <c r="J16" s="82" t="n">
        <v>0</v>
      </c>
      <c r="K16" s="81" t="n">
        <v>0</v>
      </c>
      <c r="L16" s="82" t="n">
        <v>0</v>
      </c>
      <c r="M16" s="82" t="n">
        <v>0</v>
      </c>
      <c r="N16" s="81" t="n">
        <v>0</v>
      </c>
      <c r="O16" s="82" t="n">
        <v>0</v>
      </c>
      <c r="P16" s="81" t="n">
        <v>0</v>
      </c>
      <c r="Q16" s="82" t="n">
        <v>0</v>
      </c>
      <c r="R16" s="83" t="n">
        <v>0</v>
      </c>
      <c r="S16" s="82" t="n">
        <v>0</v>
      </c>
      <c r="T16" s="82" t="n">
        <v>0</v>
      </c>
      <c r="U16" s="82" t="n">
        <v>0</v>
      </c>
      <c r="V16" s="82" t="n">
        <v>0</v>
      </c>
      <c r="W16" s="82" t="n">
        <v>0</v>
      </c>
    </row>
    <row r="17" customFormat="false" ht="15" hidden="false" customHeight="false" outlineLevel="0" collapsed="false">
      <c r="A17" s="84" t="s">
        <v>51</v>
      </c>
      <c r="B17" s="69" t="n">
        <v>46033</v>
      </c>
      <c r="C17" s="70" t="n">
        <v>1.2</v>
      </c>
      <c r="D17" s="70" t="s">
        <v>53</v>
      </c>
      <c r="E17" s="71" t="n">
        <f aca="false">G17*23.12+H17*23.12+I17*23.12+J17*23.12+K17*11.55+L17*11.55+M17*11.55+N17*16.51+O17*16.51+P17*16.51+Q17*11.55+S17*11.55+T17*15+U17*1.7+V17*1.7+W17*11.55</f>
        <v>0</v>
      </c>
      <c r="F17" s="72" t="n">
        <f aca="false">G17+H17+I17+J17+K17+L17+M17+N17+O17+P17+Q17+S17+T17+U17+V17+W17</f>
        <v>0</v>
      </c>
      <c r="G17" s="73" t="n">
        <v>0</v>
      </c>
      <c r="H17" s="74" t="n">
        <v>0</v>
      </c>
      <c r="I17" s="74" t="n">
        <v>0</v>
      </c>
      <c r="J17" s="74" t="n">
        <v>0</v>
      </c>
      <c r="K17" s="73" t="n">
        <v>0</v>
      </c>
      <c r="L17" s="74" t="n">
        <v>0</v>
      </c>
      <c r="M17" s="74" t="n">
        <v>0</v>
      </c>
      <c r="N17" s="73" t="n">
        <v>0</v>
      </c>
      <c r="O17" s="74" t="n">
        <v>0</v>
      </c>
      <c r="P17" s="73" t="n">
        <v>0</v>
      </c>
      <c r="Q17" s="74" t="n">
        <v>0</v>
      </c>
      <c r="R17" s="75" t="n">
        <v>0</v>
      </c>
      <c r="S17" s="74" t="n">
        <v>0</v>
      </c>
      <c r="T17" s="74" t="n">
        <v>0</v>
      </c>
      <c r="U17" s="74" t="n">
        <v>0</v>
      </c>
      <c r="V17" s="74" t="n">
        <v>0</v>
      </c>
      <c r="W17" s="74" t="n">
        <v>0</v>
      </c>
    </row>
    <row r="18" customFormat="false" ht="15" hidden="false" customHeight="false" outlineLevel="0" collapsed="false">
      <c r="A18" s="100" t="s">
        <v>52</v>
      </c>
      <c r="B18" s="101" t="n">
        <v>46034</v>
      </c>
      <c r="C18" s="102" t="n">
        <v>1.3</v>
      </c>
      <c r="D18" s="102" t="s">
        <v>56</v>
      </c>
      <c r="E18" s="103" t="n">
        <f aca="false">G18*23.12+H18*23.12+I18*23.12+J18*23.12+K18*11.55+L18*11.55+M18*11.55+N18*16.51+O18*16.51+P18*16.51+Q18*11.55+S18*11.55+T18*15+U18*1.7+V18*1.7+W18*11.55</f>
        <v>3540.8</v>
      </c>
      <c r="F18" s="104" t="n">
        <f aca="false">G18+H18+I18+J18+K18+L18+M18+N18+O18+P18+Q18+S18+T18+U18+V18+W18</f>
        <v>420</v>
      </c>
      <c r="G18" s="107" t="n">
        <v>20</v>
      </c>
      <c r="H18" s="108" t="n">
        <v>20</v>
      </c>
      <c r="I18" s="106" t="n">
        <v>0</v>
      </c>
      <c r="J18" s="106" t="n">
        <v>0</v>
      </c>
      <c r="K18" s="107" t="n">
        <v>100</v>
      </c>
      <c r="L18" s="108" t="n">
        <v>100</v>
      </c>
      <c r="M18" s="106" t="n">
        <v>0</v>
      </c>
      <c r="N18" s="105" t="n">
        <v>0</v>
      </c>
      <c r="O18" s="106" t="n">
        <v>0</v>
      </c>
      <c r="P18" s="105" t="n">
        <v>0</v>
      </c>
      <c r="Q18" s="106" t="n">
        <v>0</v>
      </c>
      <c r="R18" s="109" t="n">
        <v>0</v>
      </c>
      <c r="S18" s="106" t="n">
        <v>0</v>
      </c>
      <c r="T18" s="106" t="n">
        <v>0</v>
      </c>
      <c r="U18" s="108" t="n">
        <v>100</v>
      </c>
      <c r="V18" s="108" t="n">
        <v>80</v>
      </c>
      <c r="W18" s="106" t="n">
        <v>0</v>
      </c>
    </row>
    <row r="19" customFormat="false" ht="15" hidden="false" customHeight="false" outlineLevel="0" collapsed="false">
      <c r="A19" s="68" t="s">
        <v>54</v>
      </c>
      <c r="B19" s="69" t="n">
        <v>46035</v>
      </c>
      <c r="C19" s="70" t="n">
        <v>1.3</v>
      </c>
      <c r="D19" s="70" t="s">
        <v>56</v>
      </c>
      <c r="E19" s="71" t="n">
        <f aca="false">G19*23.12+H19*23.12+I19*23.12+J19*23.12+K19*11.55+L19*11.55+M19*11.55+N19*16.51+O19*16.51+P19*16.51+Q19*11.55+S19*11.55+T19*15+U19*1.7+V19*1.7+W19*11.55</f>
        <v>3234.8</v>
      </c>
      <c r="F19" s="72" t="n">
        <f aca="false">G19+H19+I19+J19+K19+L19+M19+N19+O19+P19+Q19+S19+T19+U19+V19+W19</f>
        <v>240</v>
      </c>
      <c r="G19" s="98" t="n">
        <v>20</v>
      </c>
      <c r="H19" s="99" t="n">
        <v>20</v>
      </c>
      <c r="I19" s="74" t="n">
        <v>0</v>
      </c>
      <c r="J19" s="74" t="n">
        <v>0</v>
      </c>
      <c r="K19" s="98" t="n">
        <v>100</v>
      </c>
      <c r="L19" s="99" t="n">
        <v>100</v>
      </c>
      <c r="M19" s="74" t="n">
        <v>0</v>
      </c>
      <c r="N19" s="73" t="n">
        <v>0</v>
      </c>
      <c r="O19" s="74" t="n">
        <v>0</v>
      </c>
      <c r="P19" s="73" t="n">
        <v>0</v>
      </c>
      <c r="Q19" s="74" t="n">
        <v>0</v>
      </c>
      <c r="R19" s="75" t="n">
        <v>0</v>
      </c>
      <c r="S19" s="74" t="n">
        <v>0</v>
      </c>
      <c r="T19" s="74" t="n">
        <v>0</v>
      </c>
      <c r="U19" s="74" t="n">
        <v>0</v>
      </c>
      <c r="V19" s="74" t="n">
        <v>0</v>
      </c>
      <c r="W19" s="74" t="n">
        <v>0</v>
      </c>
    </row>
    <row r="20" customFormat="false" ht="15" hidden="false" customHeight="false" outlineLevel="0" collapsed="false">
      <c r="A20" s="76" t="s">
        <v>55</v>
      </c>
      <c r="B20" s="77" t="n">
        <v>46036</v>
      </c>
      <c r="C20" s="78" t="n">
        <v>1.3</v>
      </c>
      <c r="D20" s="78" t="s">
        <v>56</v>
      </c>
      <c r="E20" s="79" t="n">
        <f aca="false">G20*23.12+H20*23.12+I20*23.12+J20*23.12+K20*11.55+L20*11.55+M20*11.55+N20*16.51+O20*16.51+P20*16.51+Q20*11.55+S20*11.55+T20*15+U20*1.7+V20*1.7+W20*11.55</f>
        <v>3282.4</v>
      </c>
      <c r="F20" s="80" t="n">
        <f aca="false">G20+H20+I20+J20+K20+L20+M20+N20+O20+P20+Q20+S20+T20+U20+V20+W20</f>
        <v>268</v>
      </c>
      <c r="G20" s="96" t="n">
        <v>20</v>
      </c>
      <c r="H20" s="97" t="n">
        <v>20</v>
      </c>
      <c r="I20" s="82" t="n">
        <v>0</v>
      </c>
      <c r="J20" s="82" t="n">
        <v>0</v>
      </c>
      <c r="K20" s="96" t="n">
        <v>100</v>
      </c>
      <c r="L20" s="97" t="n">
        <v>100</v>
      </c>
      <c r="M20" s="82" t="n">
        <v>0</v>
      </c>
      <c r="N20" s="81" t="n">
        <v>0</v>
      </c>
      <c r="O20" s="82" t="n">
        <v>0</v>
      </c>
      <c r="P20" s="81" t="n">
        <v>0</v>
      </c>
      <c r="Q20" s="82" t="n">
        <v>0</v>
      </c>
      <c r="R20" s="83" t="n">
        <v>0</v>
      </c>
      <c r="S20" s="82" t="n">
        <v>0</v>
      </c>
      <c r="T20" s="82" t="n">
        <v>0</v>
      </c>
      <c r="U20" s="97" t="n">
        <v>28</v>
      </c>
      <c r="V20" s="82" t="n">
        <v>0</v>
      </c>
      <c r="W20" s="82" t="n">
        <v>0</v>
      </c>
    </row>
    <row r="21" customFormat="false" ht="15" hidden="false" customHeight="false" outlineLevel="0" collapsed="false">
      <c r="A21" s="68" t="s">
        <v>47</v>
      </c>
      <c r="B21" s="69" t="n">
        <v>46037</v>
      </c>
      <c r="C21" s="70" t="n">
        <v>1.3</v>
      </c>
      <c r="D21" s="70" t="s">
        <v>56</v>
      </c>
      <c r="E21" s="71" t="n">
        <f aca="false">G21*23.12+H21*23.12+I21*23.12+J21*23.12+K21*11.55+L21*11.55+M21*11.55+N21*16.51+O21*16.51+P21*16.51+Q21*11.55+S21*11.55+T21*15+U21*1.7+V21*1.7+W21*11.55</f>
        <v>3234.8</v>
      </c>
      <c r="F21" s="72" t="n">
        <f aca="false">G21+H21+I21+J21+K21+L21+M21+N21+O21+P21+Q21+S21+T21+U21+V21+W21</f>
        <v>240</v>
      </c>
      <c r="G21" s="98" t="n">
        <v>20</v>
      </c>
      <c r="H21" s="99" t="n">
        <v>20</v>
      </c>
      <c r="I21" s="74" t="n">
        <v>0</v>
      </c>
      <c r="J21" s="74" t="n">
        <v>0</v>
      </c>
      <c r="K21" s="98" t="n">
        <v>100</v>
      </c>
      <c r="L21" s="99" t="n">
        <v>100</v>
      </c>
      <c r="M21" s="74" t="n">
        <v>0</v>
      </c>
      <c r="N21" s="73" t="n">
        <v>0</v>
      </c>
      <c r="O21" s="74" t="n">
        <v>0</v>
      </c>
      <c r="P21" s="73" t="n">
        <v>0</v>
      </c>
      <c r="Q21" s="74" t="n">
        <v>0</v>
      </c>
      <c r="R21" s="75" t="n">
        <v>0</v>
      </c>
      <c r="S21" s="74" t="n">
        <v>0</v>
      </c>
      <c r="T21" s="74" t="n">
        <v>0</v>
      </c>
      <c r="U21" s="74" t="n">
        <v>0</v>
      </c>
      <c r="V21" s="74" t="n">
        <v>0</v>
      </c>
      <c r="W21" s="74" t="n">
        <v>0</v>
      </c>
    </row>
    <row r="22" customFormat="false" ht="15" hidden="false" customHeight="false" outlineLevel="0" collapsed="false">
      <c r="A22" s="76" t="s">
        <v>49</v>
      </c>
      <c r="B22" s="77" t="n">
        <v>46038</v>
      </c>
      <c r="C22" s="78" t="n">
        <v>1.3</v>
      </c>
      <c r="D22" s="78" t="s">
        <v>56</v>
      </c>
      <c r="E22" s="79" t="n">
        <f aca="false">G22*23.12+H22*23.12+I22*23.12+J22*23.12+K22*11.55+L22*11.55+M22*11.55+N22*16.51+O22*16.51+P22*16.51+Q22*11.55+S22*11.55+T22*15+U22*1.7+V22*1.7+W22*11.55</f>
        <v>3234.8</v>
      </c>
      <c r="F22" s="80" t="n">
        <f aca="false">G22+H22+I22+J22+K22+L22+M22+N22+O22+P22+Q22+S22+T22+U22+V22+W22</f>
        <v>240</v>
      </c>
      <c r="G22" s="96" t="n">
        <v>20</v>
      </c>
      <c r="H22" s="97" t="n">
        <v>20</v>
      </c>
      <c r="I22" s="82" t="n">
        <v>0</v>
      </c>
      <c r="J22" s="82" t="n">
        <v>0</v>
      </c>
      <c r="K22" s="96" t="n">
        <v>100</v>
      </c>
      <c r="L22" s="97" t="n">
        <v>100</v>
      </c>
      <c r="M22" s="82" t="n">
        <v>0</v>
      </c>
      <c r="N22" s="81" t="n">
        <v>0</v>
      </c>
      <c r="O22" s="82" t="n">
        <v>0</v>
      </c>
      <c r="P22" s="81" t="n">
        <v>0</v>
      </c>
      <c r="Q22" s="82" t="n">
        <v>0</v>
      </c>
      <c r="R22" s="83" t="n">
        <v>0</v>
      </c>
      <c r="S22" s="82" t="n">
        <v>0</v>
      </c>
      <c r="T22" s="82" t="n">
        <v>0</v>
      </c>
      <c r="U22" s="82" t="n">
        <v>0</v>
      </c>
      <c r="V22" s="82" t="n">
        <v>0</v>
      </c>
      <c r="W22" s="82" t="n">
        <v>0</v>
      </c>
    </row>
    <row r="23" customFormat="false" ht="15" hidden="false" customHeight="false" outlineLevel="0" collapsed="false">
      <c r="A23" s="84" t="s">
        <v>50</v>
      </c>
      <c r="B23" s="69" t="n">
        <v>46039</v>
      </c>
      <c r="C23" s="70" t="n">
        <v>1.3</v>
      </c>
      <c r="D23" s="70" t="s">
        <v>56</v>
      </c>
      <c r="E23" s="71" t="n">
        <f aca="false">G23*23.12+H23*23.12+I23*23.12+J23*23.12+K23*11.55+L23*11.55+M23*11.55+N23*16.51+O23*16.51+P23*16.51+Q23*11.55+S23*11.55+T23*15+U23*1.7+V23*1.7+W23*11.55</f>
        <v>0</v>
      </c>
      <c r="F23" s="72" t="n">
        <f aca="false">G23+H23+I23+J23+K23+L23+M23+N23+O23+P23+Q23+S23+T23+U23+V23+W23</f>
        <v>0</v>
      </c>
      <c r="G23" s="73" t="n">
        <v>0</v>
      </c>
      <c r="H23" s="74" t="n">
        <v>0</v>
      </c>
      <c r="I23" s="74" t="n">
        <v>0</v>
      </c>
      <c r="J23" s="74" t="n">
        <v>0</v>
      </c>
      <c r="K23" s="73" t="n">
        <v>0</v>
      </c>
      <c r="L23" s="74" t="n">
        <v>0</v>
      </c>
      <c r="M23" s="74" t="n">
        <v>0</v>
      </c>
      <c r="N23" s="73" t="n">
        <v>0</v>
      </c>
      <c r="O23" s="74" t="n">
        <v>0</v>
      </c>
      <c r="P23" s="73" t="n">
        <v>0</v>
      </c>
      <c r="Q23" s="74" t="n">
        <v>0</v>
      </c>
      <c r="R23" s="75" t="n">
        <v>0</v>
      </c>
      <c r="S23" s="74" t="n">
        <v>0</v>
      </c>
      <c r="T23" s="74" t="n">
        <v>0</v>
      </c>
      <c r="U23" s="74" t="n">
        <v>0</v>
      </c>
      <c r="V23" s="74" t="n">
        <v>0</v>
      </c>
      <c r="W23" s="74" t="n">
        <v>0</v>
      </c>
    </row>
    <row r="24" customFormat="false" ht="15" hidden="false" customHeight="false" outlineLevel="0" collapsed="false">
      <c r="A24" s="85" t="s">
        <v>51</v>
      </c>
      <c r="B24" s="77" t="n">
        <v>46040</v>
      </c>
      <c r="C24" s="78" t="n">
        <v>1.3</v>
      </c>
      <c r="D24" s="78" t="s">
        <v>56</v>
      </c>
      <c r="E24" s="79" t="n">
        <f aca="false">G24*23.12+H24*23.12+I24*23.12+J24*23.12+K24*11.55+L24*11.55+M24*11.55+N24*16.51+O24*16.51+P24*16.51+Q24*11.55+S24*11.55+T24*15+U24*1.7+V24*1.7+W24*11.55</f>
        <v>0</v>
      </c>
      <c r="F24" s="80" t="n">
        <f aca="false">G24+H24+I24+J24+K24+L24+M24+N24+O24+P24+Q24+S24+T24+U24+V24+W24</f>
        <v>0</v>
      </c>
      <c r="G24" s="81" t="n">
        <v>0</v>
      </c>
      <c r="H24" s="82" t="n">
        <v>0</v>
      </c>
      <c r="I24" s="82" t="n">
        <v>0</v>
      </c>
      <c r="J24" s="82" t="n">
        <v>0</v>
      </c>
      <c r="K24" s="81" t="n">
        <v>0</v>
      </c>
      <c r="L24" s="82" t="n">
        <v>0</v>
      </c>
      <c r="M24" s="82" t="n">
        <v>0</v>
      </c>
      <c r="N24" s="81" t="n">
        <v>0</v>
      </c>
      <c r="O24" s="82" t="n">
        <v>0</v>
      </c>
      <c r="P24" s="81" t="n">
        <v>0</v>
      </c>
      <c r="Q24" s="82" t="n">
        <v>0</v>
      </c>
      <c r="R24" s="83" t="n">
        <v>0</v>
      </c>
      <c r="S24" s="82" t="n">
        <v>0</v>
      </c>
      <c r="T24" s="82" t="n">
        <v>0</v>
      </c>
      <c r="U24" s="82" t="n">
        <v>0</v>
      </c>
      <c r="V24" s="82" t="n">
        <v>0</v>
      </c>
      <c r="W24" s="82" t="n">
        <v>0</v>
      </c>
    </row>
    <row r="25" customFormat="false" ht="15" hidden="false" customHeight="false" outlineLevel="0" collapsed="false">
      <c r="A25" s="86" t="s">
        <v>52</v>
      </c>
      <c r="B25" s="87" t="n">
        <v>46041</v>
      </c>
      <c r="C25" s="88" t="n">
        <v>1.4</v>
      </c>
      <c r="D25" s="88" t="s">
        <v>57</v>
      </c>
      <c r="E25" s="89" t="n">
        <f aca="false">G25*23.12+H25*23.12+I25*23.12+J25*23.12+K25*11.55+L25*11.55+M25*11.55+N25*16.51+O25*16.51+P25*16.51+Q25*11.55+S25*11.55+T25*15+U25*1.7+V25*1.7+W25*11.55</f>
        <v>6460.65</v>
      </c>
      <c r="F25" s="90" t="n">
        <f aca="false">G25+H25+I25+J25+K25+L25+M25+N25+O25+P25+Q25+S25+T25+U25+V25+W25</f>
        <v>515</v>
      </c>
      <c r="G25" s="93" t="n">
        <v>20</v>
      </c>
      <c r="H25" s="94" t="n">
        <v>20</v>
      </c>
      <c r="I25" s="92" t="n">
        <v>0</v>
      </c>
      <c r="J25" s="92" t="n">
        <v>0</v>
      </c>
      <c r="K25" s="93" t="n">
        <v>230</v>
      </c>
      <c r="L25" s="94" t="n">
        <v>235</v>
      </c>
      <c r="M25" s="92" t="n">
        <v>0</v>
      </c>
      <c r="N25" s="91" t="n">
        <v>0</v>
      </c>
      <c r="O25" s="92" t="n">
        <v>0</v>
      </c>
      <c r="P25" s="93" t="n">
        <v>10</v>
      </c>
      <c r="Q25" s="92" t="n">
        <v>0</v>
      </c>
      <c r="R25" s="95" t="n">
        <v>0</v>
      </c>
      <c r="S25" s="92" t="n">
        <v>0</v>
      </c>
      <c r="T25" s="92" t="n">
        <v>0</v>
      </c>
      <c r="U25" s="92" t="n">
        <v>0</v>
      </c>
      <c r="V25" s="92" t="n">
        <v>0</v>
      </c>
      <c r="W25" s="92" t="n">
        <v>0</v>
      </c>
    </row>
    <row r="26" customFormat="false" ht="15" hidden="false" customHeight="false" outlineLevel="0" collapsed="false">
      <c r="A26" s="76" t="s">
        <v>54</v>
      </c>
      <c r="B26" s="77" t="n">
        <v>46042</v>
      </c>
      <c r="C26" s="78" t="n">
        <v>1.4</v>
      </c>
      <c r="D26" s="78" t="s">
        <v>57</v>
      </c>
      <c r="E26" s="79" t="n">
        <f aca="false">G26*23.12+H26*23.12+I26*23.12+J26*23.12+K26*11.55+L26*11.55+M26*11.55+N26*16.51+O26*16.51+P26*16.51+Q26*11.55+S26*11.55+T26*15+U26*1.7+V26*1.7+W26*11.55</f>
        <v>6237.8</v>
      </c>
      <c r="F26" s="80" t="n">
        <f aca="false">G26+H26+I26+J26+K26+L26+M26+N26+O26+P26+Q26+S26+T26+U26+V26+W26</f>
        <v>500</v>
      </c>
      <c r="G26" s="96" t="n">
        <v>20</v>
      </c>
      <c r="H26" s="97" t="n">
        <v>20</v>
      </c>
      <c r="I26" s="82" t="n">
        <v>0</v>
      </c>
      <c r="J26" s="82" t="n">
        <v>0</v>
      </c>
      <c r="K26" s="96" t="n">
        <v>230</v>
      </c>
      <c r="L26" s="97" t="n">
        <v>230</v>
      </c>
      <c r="M26" s="82" t="n">
        <v>0</v>
      </c>
      <c r="N26" s="81" t="n">
        <v>0</v>
      </c>
      <c r="O26" s="82" t="n">
        <v>0</v>
      </c>
      <c r="P26" s="81" t="n">
        <v>0</v>
      </c>
      <c r="Q26" s="82" t="n">
        <v>0</v>
      </c>
      <c r="R26" s="83" t="n">
        <v>0</v>
      </c>
      <c r="S26" s="82" t="n">
        <v>0</v>
      </c>
      <c r="T26" s="82" t="n">
        <v>0</v>
      </c>
      <c r="U26" s="82" t="n">
        <v>0</v>
      </c>
      <c r="V26" s="82" t="n">
        <v>0</v>
      </c>
      <c r="W26" s="82" t="n">
        <v>0</v>
      </c>
    </row>
    <row r="27" customFormat="false" ht="15" hidden="false" customHeight="false" outlineLevel="0" collapsed="false">
      <c r="A27" s="68" t="s">
        <v>55</v>
      </c>
      <c r="B27" s="69" t="n">
        <v>46043</v>
      </c>
      <c r="C27" s="70" t="n">
        <v>1.4</v>
      </c>
      <c r="D27" s="70" t="s">
        <v>57</v>
      </c>
      <c r="E27" s="71" t="n">
        <f aca="false">G27*23.12+H27*23.12+I27*23.12+J27*23.12+K27*11.55+L27*11.55+M27*11.55+N27*16.51+O27*16.51+P27*16.51+Q27*11.55+S27*11.55+T27*15+U27*1.7+V27*1.7+W27*11.55</f>
        <v>6237.8</v>
      </c>
      <c r="F27" s="72" t="n">
        <f aca="false">G27+H27+I27+J27+K27+L27+M27+N27+O27+P27+Q27+S27+T27+U27+V27+W27</f>
        <v>500</v>
      </c>
      <c r="G27" s="98" t="n">
        <v>20</v>
      </c>
      <c r="H27" s="99" t="n">
        <v>20</v>
      </c>
      <c r="I27" s="74" t="n">
        <v>0</v>
      </c>
      <c r="J27" s="74" t="n">
        <v>0</v>
      </c>
      <c r="K27" s="98" t="n">
        <v>230</v>
      </c>
      <c r="L27" s="99" t="n">
        <v>230</v>
      </c>
      <c r="M27" s="74" t="n">
        <v>0</v>
      </c>
      <c r="N27" s="73" t="n">
        <v>0</v>
      </c>
      <c r="O27" s="74" t="n">
        <v>0</v>
      </c>
      <c r="P27" s="73" t="n">
        <v>0</v>
      </c>
      <c r="Q27" s="74" t="n">
        <v>0</v>
      </c>
      <c r="R27" s="75" t="n">
        <v>0</v>
      </c>
      <c r="S27" s="74" t="n">
        <v>0</v>
      </c>
      <c r="T27" s="74" t="n">
        <v>0</v>
      </c>
      <c r="U27" s="74" t="n">
        <v>0</v>
      </c>
      <c r="V27" s="74" t="n">
        <v>0</v>
      </c>
      <c r="W27" s="74" t="n">
        <v>0</v>
      </c>
    </row>
    <row r="28" customFormat="false" ht="15" hidden="false" customHeight="false" outlineLevel="0" collapsed="false">
      <c r="A28" s="76" t="s">
        <v>47</v>
      </c>
      <c r="B28" s="77" t="n">
        <v>46044</v>
      </c>
      <c r="C28" s="78" t="n">
        <v>1.4</v>
      </c>
      <c r="D28" s="78" t="s">
        <v>57</v>
      </c>
      <c r="E28" s="79" t="n">
        <f aca="false">G28*23.12+H28*23.12+I28*23.12+J28*23.12+K28*11.55+L28*11.55+M28*11.55+N28*16.51+O28*16.51+P28*16.51+Q28*11.55+S28*11.55+T28*15+U28*1.7+V28*1.7+W28*11.55</f>
        <v>6543.8</v>
      </c>
      <c r="F28" s="80" t="n">
        <f aca="false">G28+H28+I28+J28+K28+L28+M28+N28+O28+P28+Q28+S28+T28+U28+V28+W28</f>
        <v>680</v>
      </c>
      <c r="G28" s="96" t="n">
        <v>20</v>
      </c>
      <c r="H28" s="97" t="n">
        <v>20</v>
      </c>
      <c r="I28" s="82" t="n">
        <v>0</v>
      </c>
      <c r="J28" s="82" t="n">
        <v>0</v>
      </c>
      <c r="K28" s="96" t="n">
        <v>230</v>
      </c>
      <c r="L28" s="97" t="n">
        <v>230</v>
      </c>
      <c r="M28" s="82" t="n">
        <v>0</v>
      </c>
      <c r="N28" s="81" t="n">
        <v>0</v>
      </c>
      <c r="O28" s="82" t="n">
        <v>0</v>
      </c>
      <c r="P28" s="81" t="n">
        <v>0</v>
      </c>
      <c r="Q28" s="82" t="n">
        <v>0</v>
      </c>
      <c r="R28" s="83" t="n">
        <v>0</v>
      </c>
      <c r="S28" s="82" t="n">
        <v>0</v>
      </c>
      <c r="T28" s="82" t="n">
        <v>0</v>
      </c>
      <c r="U28" s="97" t="n">
        <v>80</v>
      </c>
      <c r="V28" s="97" t="n">
        <v>100</v>
      </c>
      <c r="W28" s="82" t="n">
        <v>0</v>
      </c>
    </row>
    <row r="29" customFormat="false" ht="15" hidden="false" customHeight="false" outlineLevel="0" collapsed="false">
      <c r="A29" s="68" t="s">
        <v>49</v>
      </c>
      <c r="B29" s="69" t="n">
        <v>46045</v>
      </c>
      <c r="C29" s="70" t="n">
        <v>1.4</v>
      </c>
      <c r="D29" s="70" t="s">
        <v>57</v>
      </c>
      <c r="E29" s="71" t="n">
        <f aca="false">G29*23.12+H29*23.12+I29*23.12+J29*23.12+K29*11.55+L29*11.55+M29*11.55+N29*16.51+O29*16.51+P29*16.51+Q29*11.55+S29*11.55+T29*15+U29*1.7+V29*1.7+W29*11.55</f>
        <v>6237.8</v>
      </c>
      <c r="F29" s="72" t="n">
        <f aca="false">G29+H29+I29+J29+K29+L29+M29+N29+O29+P29+Q29+S29+T29+U29+V29+W29</f>
        <v>500</v>
      </c>
      <c r="G29" s="98" t="n">
        <v>20</v>
      </c>
      <c r="H29" s="99" t="n">
        <v>20</v>
      </c>
      <c r="I29" s="74" t="n">
        <v>0</v>
      </c>
      <c r="J29" s="74" t="n">
        <v>0</v>
      </c>
      <c r="K29" s="98" t="n">
        <v>230</v>
      </c>
      <c r="L29" s="99" t="n">
        <v>230</v>
      </c>
      <c r="M29" s="74" t="n">
        <v>0</v>
      </c>
      <c r="N29" s="73" t="n">
        <v>0</v>
      </c>
      <c r="O29" s="74" t="n">
        <v>0</v>
      </c>
      <c r="P29" s="73" t="n">
        <v>0</v>
      </c>
      <c r="Q29" s="74" t="n">
        <v>0</v>
      </c>
      <c r="R29" s="75" t="n">
        <v>0</v>
      </c>
      <c r="S29" s="74" t="n">
        <v>0</v>
      </c>
      <c r="T29" s="74" t="n">
        <v>0</v>
      </c>
      <c r="U29" s="74" t="n">
        <v>0</v>
      </c>
      <c r="V29" s="74" t="n">
        <v>0</v>
      </c>
      <c r="W29" s="74" t="n">
        <v>0</v>
      </c>
    </row>
    <row r="30" customFormat="false" ht="15" hidden="false" customHeight="false" outlineLevel="0" collapsed="false">
      <c r="A30" s="85" t="s">
        <v>50</v>
      </c>
      <c r="B30" s="77" t="n">
        <v>46046</v>
      </c>
      <c r="C30" s="78" t="n">
        <v>1.4</v>
      </c>
      <c r="D30" s="78" t="s">
        <v>57</v>
      </c>
      <c r="E30" s="79" t="n">
        <f aca="false">G30*23.12+H30*23.12+I30*23.12+J30*23.12+K30*11.55+L30*11.55+M30*11.55+N30*16.51+O30*16.51+P30*16.51+Q30*11.55+S30*11.55+T30*15+U30*1.7+V30*1.7+W30*11.55</f>
        <v>0</v>
      </c>
      <c r="F30" s="80" t="n">
        <f aca="false">G30+H30+I30+J30+K30+L30+M30+N30+O30+P30+Q30+S30+T30+U30+V30+W30</f>
        <v>0</v>
      </c>
      <c r="G30" s="81" t="n">
        <v>0</v>
      </c>
      <c r="H30" s="82" t="n">
        <v>0</v>
      </c>
      <c r="I30" s="82" t="n">
        <v>0</v>
      </c>
      <c r="J30" s="82" t="n">
        <v>0</v>
      </c>
      <c r="K30" s="81" t="n">
        <v>0</v>
      </c>
      <c r="L30" s="82" t="n">
        <v>0</v>
      </c>
      <c r="M30" s="82" t="n">
        <v>0</v>
      </c>
      <c r="N30" s="81" t="n">
        <v>0</v>
      </c>
      <c r="O30" s="82" t="n">
        <v>0</v>
      </c>
      <c r="P30" s="81" t="n">
        <v>0</v>
      </c>
      <c r="Q30" s="82" t="n">
        <v>0</v>
      </c>
      <c r="R30" s="83" t="n">
        <v>0</v>
      </c>
      <c r="S30" s="82" t="n">
        <v>0</v>
      </c>
      <c r="T30" s="82" t="n">
        <v>0</v>
      </c>
      <c r="U30" s="82" t="n">
        <v>0</v>
      </c>
      <c r="V30" s="82" t="n">
        <v>0</v>
      </c>
      <c r="W30" s="82" t="n">
        <v>0</v>
      </c>
    </row>
    <row r="31" customFormat="false" ht="15" hidden="false" customHeight="false" outlineLevel="0" collapsed="false">
      <c r="A31" s="84" t="s">
        <v>51</v>
      </c>
      <c r="B31" s="69" t="n">
        <v>46047</v>
      </c>
      <c r="C31" s="70" t="n">
        <v>1.4</v>
      </c>
      <c r="D31" s="70" t="s">
        <v>57</v>
      </c>
      <c r="E31" s="71" t="n">
        <f aca="false">G31*23.12+H31*23.12+I31*23.12+J31*23.12+K31*11.55+L31*11.55+M31*11.55+N31*16.51+O31*16.51+P31*16.51+Q31*11.55+S31*11.55+T31*15+U31*1.7+V31*1.7+W31*11.55</f>
        <v>0</v>
      </c>
      <c r="F31" s="72" t="n">
        <f aca="false">G31+H31+I31+J31+K31+L31+M31+N31+O31+P31+Q31+S31+T31+U31+V31+W31</f>
        <v>0</v>
      </c>
      <c r="G31" s="73" t="n">
        <v>0</v>
      </c>
      <c r="H31" s="74" t="n">
        <v>0</v>
      </c>
      <c r="I31" s="74" t="n">
        <v>0</v>
      </c>
      <c r="J31" s="74" t="n">
        <v>0</v>
      </c>
      <c r="K31" s="73" t="n">
        <v>0</v>
      </c>
      <c r="L31" s="74" t="n">
        <v>0</v>
      </c>
      <c r="M31" s="74" t="n">
        <v>0</v>
      </c>
      <c r="N31" s="73" t="n">
        <v>0</v>
      </c>
      <c r="O31" s="74" t="n">
        <v>0</v>
      </c>
      <c r="P31" s="73" t="n">
        <v>0</v>
      </c>
      <c r="Q31" s="74" t="n">
        <v>0</v>
      </c>
      <c r="R31" s="75" t="n">
        <v>0</v>
      </c>
      <c r="S31" s="74" t="n">
        <v>0</v>
      </c>
      <c r="T31" s="74" t="n">
        <v>0</v>
      </c>
      <c r="U31" s="74" t="n">
        <v>0</v>
      </c>
      <c r="V31" s="74" t="n">
        <v>0</v>
      </c>
      <c r="W31" s="74" t="n">
        <v>0</v>
      </c>
    </row>
    <row r="32" customFormat="false" ht="15" hidden="false" customHeight="false" outlineLevel="0" collapsed="false">
      <c r="A32" s="100" t="s">
        <v>52</v>
      </c>
      <c r="B32" s="101" t="n">
        <v>46048</v>
      </c>
      <c r="C32" s="102" t="n">
        <v>2.1</v>
      </c>
      <c r="D32" s="102" t="s">
        <v>48</v>
      </c>
      <c r="E32" s="103" t="n">
        <f aca="false">G32*23.12+H32*23.12+I32*23.12+J32*23.12+K32*11.55+L32*11.55+M32*11.55+N32*16.51+O32*16.51+P32*16.51+Q32*11.55+S32*11.55+T32*15+U32*1.7+V32*1.7+W32*11.55</f>
        <v>6468.8</v>
      </c>
      <c r="F32" s="104" t="n">
        <f aca="false">G32+H32+I32+J32+K32+L32+M32+N32+O32+P32+Q32+S32+T32+U32+V32+W32</f>
        <v>520</v>
      </c>
      <c r="G32" s="107" t="n">
        <v>20</v>
      </c>
      <c r="H32" s="108" t="n">
        <v>20</v>
      </c>
      <c r="I32" s="106" t="n">
        <v>0</v>
      </c>
      <c r="J32" s="106" t="n">
        <v>0</v>
      </c>
      <c r="K32" s="107" t="n">
        <v>200</v>
      </c>
      <c r="L32" s="108" t="n">
        <v>200</v>
      </c>
      <c r="M32" s="106" t="n">
        <v>0</v>
      </c>
      <c r="N32" s="105" t="n">
        <v>0</v>
      </c>
      <c r="O32" s="106" t="n">
        <v>0</v>
      </c>
      <c r="P32" s="105" t="n">
        <v>0</v>
      </c>
      <c r="Q32" s="106" t="n">
        <v>0</v>
      </c>
      <c r="R32" s="109" t="n">
        <v>0</v>
      </c>
      <c r="S32" s="108" t="n">
        <v>80</v>
      </c>
      <c r="T32" s="106" t="n">
        <v>0</v>
      </c>
      <c r="U32" s="106" t="n">
        <v>0</v>
      </c>
      <c r="V32" s="106" t="n">
        <v>0</v>
      </c>
      <c r="W32" s="106" t="n">
        <v>0</v>
      </c>
    </row>
    <row r="33" customFormat="false" ht="15" hidden="false" customHeight="false" outlineLevel="0" collapsed="false">
      <c r="A33" s="68" t="s">
        <v>54</v>
      </c>
      <c r="B33" s="69" t="n">
        <v>46049</v>
      </c>
      <c r="C33" s="70" t="n">
        <v>2.1</v>
      </c>
      <c r="D33" s="70" t="s">
        <v>48</v>
      </c>
      <c r="E33" s="71" t="n">
        <f aca="false">G33*23.12+H33*23.12+I33*23.12+J33*23.12+K33*11.55+L33*11.55+M33*11.55+N33*16.51+O33*16.51+P33*16.51+Q33*11.55+S33*11.55+T33*15+U33*1.7+V33*1.7+W33*11.55</f>
        <v>6931</v>
      </c>
      <c r="F33" s="72" t="n">
        <f aca="false">G33+H33+I33+J33+K33+L33+M33+N33+O33+P33+Q33+S33+T33+U33+V33+W33</f>
        <v>550</v>
      </c>
      <c r="G33" s="98" t="n">
        <v>20</v>
      </c>
      <c r="H33" s="99" t="n">
        <v>30</v>
      </c>
      <c r="I33" s="74" t="n">
        <v>0</v>
      </c>
      <c r="J33" s="74" t="n">
        <v>0</v>
      </c>
      <c r="K33" s="98" t="n">
        <v>200</v>
      </c>
      <c r="L33" s="99" t="n">
        <v>200</v>
      </c>
      <c r="M33" s="74" t="n">
        <v>0</v>
      </c>
      <c r="N33" s="73" t="n">
        <v>0</v>
      </c>
      <c r="O33" s="74" t="n">
        <v>0</v>
      </c>
      <c r="P33" s="73" t="n">
        <v>0</v>
      </c>
      <c r="Q33" s="74" t="n">
        <v>0</v>
      </c>
      <c r="R33" s="75" t="n">
        <v>0</v>
      </c>
      <c r="S33" s="99" t="n">
        <v>100</v>
      </c>
      <c r="T33" s="74" t="n">
        <v>0</v>
      </c>
      <c r="U33" s="74" t="n">
        <v>0</v>
      </c>
      <c r="V33" s="74" t="n">
        <v>0</v>
      </c>
      <c r="W33" s="74" t="n">
        <v>0</v>
      </c>
    </row>
    <row r="34" customFormat="false" ht="15" hidden="false" customHeight="false" outlineLevel="0" collapsed="false">
      <c r="A34" s="76" t="s">
        <v>55</v>
      </c>
      <c r="B34" s="77" t="n">
        <v>46050</v>
      </c>
      <c r="C34" s="78" t="n">
        <v>2.1</v>
      </c>
      <c r="D34" s="78" t="s">
        <v>48</v>
      </c>
      <c r="E34" s="79" t="n">
        <f aca="false">G34*23.12+H34*23.12+I34*23.12+J34*23.12+K34*11.55+L34*11.55+M34*11.55+N34*16.51+O34*16.51+P34*16.51+Q34*11.55+S34*11.55+T34*15+U34*1.7+V34*1.7+W34*11.55</f>
        <v>7237</v>
      </c>
      <c r="F34" s="80" t="n">
        <f aca="false">G34+H34+I34+J34+K34+L34+M34+N34+O34+P34+Q34+S34+T34+U34+V34+W34</f>
        <v>730</v>
      </c>
      <c r="G34" s="96" t="n">
        <v>20</v>
      </c>
      <c r="H34" s="97" t="n">
        <v>30</v>
      </c>
      <c r="I34" s="82" t="n">
        <v>0</v>
      </c>
      <c r="J34" s="82" t="n">
        <v>0</v>
      </c>
      <c r="K34" s="96" t="n">
        <v>200</v>
      </c>
      <c r="L34" s="97" t="n">
        <v>200</v>
      </c>
      <c r="M34" s="82" t="n">
        <v>0</v>
      </c>
      <c r="N34" s="81" t="n">
        <v>0</v>
      </c>
      <c r="O34" s="82" t="n">
        <v>0</v>
      </c>
      <c r="P34" s="81" t="n">
        <v>0</v>
      </c>
      <c r="Q34" s="82" t="n">
        <v>0</v>
      </c>
      <c r="R34" s="83" t="n">
        <v>0</v>
      </c>
      <c r="S34" s="97" t="n">
        <v>100</v>
      </c>
      <c r="T34" s="82" t="n">
        <v>0</v>
      </c>
      <c r="U34" s="82" t="n">
        <v>0</v>
      </c>
      <c r="V34" s="97" t="n">
        <v>180</v>
      </c>
      <c r="W34" s="82" t="n">
        <v>0</v>
      </c>
    </row>
    <row r="35" customFormat="false" ht="15" hidden="false" customHeight="false" outlineLevel="0" collapsed="false">
      <c r="A35" s="68" t="s">
        <v>47</v>
      </c>
      <c r="B35" s="69" t="n">
        <v>46051</v>
      </c>
      <c r="C35" s="70" t="n">
        <v>2.1</v>
      </c>
      <c r="D35" s="70" t="s">
        <v>48</v>
      </c>
      <c r="E35" s="71" t="n">
        <f aca="false">G35*23.12+H35*23.12+I35*23.12+J35*23.12+K35*11.55+L35*11.55+M35*11.55+N35*16.51+O35*16.51+P35*16.51+Q35*11.55+S35*11.55+T35*15+U35*1.7+V35*1.7+W35*11.55</f>
        <v>6931</v>
      </c>
      <c r="F35" s="72" t="n">
        <f aca="false">G35+H35+I35+J35+K35+L35+M35+N35+O35+P35+Q35+S35+T35+U35+V35+W35</f>
        <v>550</v>
      </c>
      <c r="G35" s="98" t="n">
        <v>20</v>
      </c>
      <c r="H35" s="99" t="n">
        <v>30</v>
      </c>
      <c r="I35" s="74" t="n">
        <v>0</v>
      </c>
      <c r="J35" s="74" t="n">
        <v>0</v>
      </c>
      <c r="K35" s="98" t="n">
        <v>200</v>
      </c>
      <c r="L35" s="99" t="n">
        <v>200</v>
      </c>
      <c r="M35" s="74" t="n">
        <v>0</v>
      </c>
      <c r="N35" s="73" t="n">
        <v>0</v>
      </c>
      <c r="O35" s="74" t="n">
        <v>0</v>
      </c>
      <c r="P35" s="73" t="n">
        <v>0</v>
      </c>
      <c r="Q35" s="74" t="n">
        <v>0</v>
      </c>
      <c r="R35" s="75" t="n">
        <v>0</v>
      </c>
      <c r="S35" s="99" t="n">
        <v>100</v>
      </c>
      <c r="T35" s="74" t="n">
        <v>0</v>
      </c>
      <c r="U35" s="74" t="n">
        <v>0</v>
      </c>
      <c r="V35" s="74" t="n">
        <v>0</v>
      </c>
      <c r="W35" s="74" t="n">
        <v>0</v>
      </c>
    </row>
    <row r="36" customFormat="false" ht="15" hidden="false" customHeight="false" outlineLevel="0" collapsed="false">
      <c r="A36" s="76" t="s">
        <v>49</v>
      </c>
      <c r="B36" s="77" t="n">
        <v>46052</v>
      </c>
      <c r="C36" s="78" t="n">
        <v>2.1</v>
      </c>
      <c r="D36" s="78" t="s">
        <v>48</v>
      </c>
      <c r="E36" s="79" t="n">
        <f aca="false">G36*23.12+H36*23.12+I36*23.12+J36*23.12+K36*11.55+L36*11.55+M36*11.55+N36*16.51+O36*16.51+P36*16.51+Q36*11.55+S36*11.55+T36*15+U36*1.7+V36*1.7+W36*11.55</f>
        <v>5776</v>
      </c>
      <c r="F36" s="80" t="n">
        <f aca="false">G36+H36+I36+J36+K36+L36+M36+N36+O36+P36+Q36+S36+T36+U36+V36+W36</f>
        <v>450</v>
      </c>
      <c r="G36" s="96" t="n">
        <v>20</v>
      </c>
      <c r="H36" s="97" t="n">
        <v>30</v>
      </c>
      <c r="I36" s="82" t="n">
        <v>0</v>
      </c>
      <c r="J36" s="82" t="n">
        <v>0</v>
      </c>
      <c r="K36" s="96" t="n">
        <v>200</v>
      </c>
      <c r="L36" s="97" t="n">
        <v>200</v>
      </c>
      <c r="M36" s="82" t="n">
        <v>0</v>
      </c>
      <c r="N36" s="81" t="n">
        <v>0</v>
      </c>
      <c r="O36" s="82" t="n">
        <v>0</v>
      </c>
      <c r="P36" s="81" t="n">
        <v>0</v>
      </c>
      <c r="Q36" s="82" t="n">
        <v>0</v>
      </c>
      <c r="R36" s="83" t="n">
        <v>0</v>
      </c>
      <c r="S36" s="82" t="n">
        <v>0</v>
      </c>
      <c r="T36" s="82" t="n">
        <v>0</v>
      </c>
      <c r="U36" s="82" t="n">
        <v>0</v>
      </c>
      <c r="V36" s="82" t="n">
        <v>0</v>
      </c>
      <c r="W36" s="82" t="n">
        <v>0</v>
      </c>
    </row>
    <row r="37" customFormat="false" ht="15" hidden="false" customHeight="false" outlineLevel="0" collapsed="false">
      <c r="A37" s="84" t="s">
        <v>50</v>
      </c>
      <c r="B37" s="69" t="n">
        <v>46053</v>
      </c>
      <c r="C37" s="70" t="n">
        <v>2.1</v>
      </c>
      <c r="D37" s="70" t="s">
        <v>48</v>
      </c>
      <c r="E37" s="71" t="n">
        <f aca="false">G37*23.12+H37*23.12+I37*23.12+J37*23.12+K37*11.55+L37*11.55+M37*11.55+N37*16.51+O37*16.51+P37*16.51+Q37*11.55+S37*11.55+T37*15+U37*1.7+V37*1.7+W37*11.55</f>
        <v>0</v>
      </c>
      <c r="F37" s="72" t="n">
        <f aca="false">G37+H37+I37+J37+K37+L37+M37+N37+O37+P37+Q37+S37+T37+U37+V37+W37</f>
        <v>0</v>
      </c>
      <c r="G37" s="73" t="n">
        <v>0</v>
      </c>
      <c r="H37" s="74" t="n">
        <v>0</v>
      </c>
      <c r="I37" s="74" t="n">
        <v>0</v>
      </c>
      <c r="J37" s="74" t="n">
        <v>0</v>
      </c>
      <c r="K37" s="73" t="n">
        <v>0</v>
      </c>
      <c r="L37" s="74" t="n">
        <v>0</v>
      </c>
      <c r="M37" s="74" t="n">
        <v>0</v>
      </c>
      <c r="N37" s="73" t="n">
        <v>0</v>
      </c>
      <c r="O37" s="74" t="n">
        <v>0</v>
      </c>
      <c r="P37" s="73" t="n">
        <v>0</v>
      </c>
      <c r="Q37" s="74" t="n">
        <v>0</v>
      </c>
      <c r="R37" s="75" t="n">
        <v>0</v>
      </c>
      <c r="S37" s="74" t="n">
        <v>0</v>
      </c>
      <c r="T37" s="74" t="n">
        <v>0</v>
      </c>
      <c r="U37" s="74" t="n">
        <v>0</v>
      </c>
      <c r="V37" s="74" t="n">
        <v>0</v>
      </c>
      <c r="W37" s="74" t="n">
        <v>0</v>
      </c>
    </row>
    <row r="38" customFormat="false" ht="15" hidden="false" customHeight="false" outlineLevel="0" collapsed="false">
      <c r="A38" s="85" t="s">
        <v>51</v>
      </c>
      <c r="B38" s="77" t="n">
        <v>46054</v>
      </c>
      <c r="C38" s="78" t="n">
        <v>2.1</v>
      </c>
      <c r="D38" s="78" t="s">
        <v>48</v>
      </c>
      <c r="E38" s="79" t="n">
        <f aca="false">G38*23.12+H38*23.12+I38*23.12+J38*23.12+K38*11.55+L38*11.55+M38*11.55+N38*16.51+O38*16.51+P38*16.51+Q38*11.55+S38*11.55+T38*15+U38*1.7+V38*1.7+W38*11.55</f>
        <v>0</v>
      </c>
      <c r="F38" s="80" t="n">
        <f aca="false">G38+H38+I38+J38+K38+L38+M38+N38+O38+P38+Q38+S38+T38+U38+V38+W38</f>
        <v>0</v>
      </c>
      <c r="G38" s="81" t="n">
        <v>0</v>
      </c>
      <c r="H38" s="82" t="n">
        <v>0</v>
      </c>
      <c r="I38" s="82" t="n">
        <v>0</v>
      </c>
      <c r="J38" s="82" t="n">
        <v>0</v>
      </c>
      <c r="K38" s="81" t="n">
        <v>0</v>
      </c>
      <c r="L38" s="82" t="n">
        <v>0</v>
      </c>
      <c r="M38" s="82" t="n">
        <v>0</v>
      </c>
      <c r="N38" s="81" t="n">
        <v>0</v>
      </c>
      <c r="O38" s="82" t="n">
        <v>0</v>
      </c>
      <c r="P38" s="81" t="n">
        <v>0</v>
      </c>
      <c r="Q38" s="82" t="n">
        <v>0</v>
      </c>
      <c r="R38" s="83" t="n">
        <v>0</v>
      </c>
      <c r="S38" s="82" t="n">
        <v>0</v>
      </c>
      <c r="T38" s="82" t="n">
        <v>0</v>
      </c>
      <c r="U38" s="82" t="n">
        <v>0</v>
      </c>
      <c r="V38" s="82" t="n">
        <v>0</v>
      </c>
      <c r="W38" s="82" t="n">
        <v>0</v>
      </c>
    </row>
    <row r="39" customFormat="false" ht="15" hidden="false" customHeight="false" outlineLevel="0" collapsed="false">
      <c r="A39" s="86" t="s">
        <v>52</v>
      </c>
      <c r="B39" s="87" t="n">
        <v>46055</v>
      </c>
      <c r="C39" s="88" t="n">
        <v>2.2</v>
      </c>
      <c r="D39" s="88" t="s">
        <v>53</v>
      </c>
      <c r="E39" s="89" t="n">
        <f aca="false">G39*23.12+H39*23.12+I39*23.12+J39*23.12+K39*11.55+L39*11.55+M39*11.55+N39*16.51+O39*16.51+P39*16.51+Q39*11.55+S39*11.55+T39*15+U39*1.7+V39*1.7+W39*11.55</f>
        <v>10050.1</v>
      </c>
      <c r="F39" s="90" t="n">
        <f aca="false">G39+H39+I39+J39+K39+L39+M39+N39+O39+P39+Q39+S39+T39+U39+V39+W39</f>
        <v>790</v>
      </c>
      <c r="G39" s="93" t="n">
        <v>40</v>
      </c>
      <c r="H39" s="94" t="n">
        <v>40</v>
      </c>
      <c r="I39" s="92" t="n">
        <v>0</v>
      </c>
      <c r="J39" s="92" t="n">
        <v>0</v>
      </c>
      <c r="K39" s="93" t="n">
        <v>275</v>
      </c>
      <c r="L39" s="94" t="n">
        <v>275</v>
      </c>
      <c r="M39" s="94" t="n">
        <v>160</v>
      </c>
      <c r="N39" s="91" t="n">
        <v>0</v>
      </c>
      <c r="O39" s="92" t="n">
        <v>0</v>
      </c>
      <c r="P39" s="91" t="n">
        <v>0</v>
      </c>
      <c r="Q39" s="92" t="n">
        <v>0</v>
      </c>
      <c r="R39" s="95" t="n">
        <v>0</v>
      </c>
      <c r="S39" s="92" t="n">
        <v>0</v>
      </c>
      <c r="T39" s="92" t="n">
        <v>0</v>
      </c>
      <c r="U39" s="92" t="n">
        <v>0</v>
      </c>
      <c r="V39" s="92" t="n">
        <v>0</v>
      </c>
      <c r="W39" s="92" t="n">
        <v>0</v>
      </c>
    </row>
    <row r="40" customFormat="false" ht="15" hidden="false" customHeight="false" outlineLevel="0" collapsed="false">
      <c r="A40" s="76" t="s">
        <v>54</v>
      </c>
      <c r="B40" s="77" t="n">
        <v>46056</v>
      </c>
      <c r="C40" s="78" t="n">
        <v>2.2</v>
      </c>
      <c r="D40" s="78" t="s">
        <v>53</v>
      </c>
      <c r="E40" s="79" t="n">
        <f aca="false">G40*23.12+H40*23.12+I40*23.12+J40*23.12+K40*11.55+L40*11.55+M40*11.55+N40*16.51+O40*16.51+P40*16.51+Q40*11.55+S40*11.55+T40*15+U40*1.7+V40*1.7+W40*11.55</f>
        <v>8351.6</v>
      </c>
      <c r="F40" s="80" t="n">
        <f aca="false">G40+H40+I40+J40+K40+L40+M40+N40+O40+P40+Q40+S40+T40+U40+V40+W40</f>
        <v>660</v>
      </c>
      <c r="G40" s="96" t="n">
        <v>40</v>
      </c>
      <c r="H40" s="97" t="n">
        <v>40</v>
      </c>
      <c r="I40" s="82" t="n">
        <v>0</v>
      </c>
      <c r="J40" s="82" t="n">
        <v>0</v>
      </c>
      <c r="K40" s="96" t="n">
        <v>280</v>
      </c>
      <c r="L40" s="97" t="n">
        <v>280</v>
      </c>
      <c r="M40" s="82" t="n">
        <v>0</v>
      </c>
      <c r="N40" s="81" t="n">
        <v>0</v>
      </c>
      <c r="O40" s="82" t="n">
        <v>0</v>
      </c>
      <c r="P40" s="81" t="n">
        <v>0</v>
      </c>
      <c r="Q40" s="82" t="n">
        <v>0</v>
      </c>
      <c r="R40" s="83" t="n">
        <v>0</v>
      </c>
      <c r="S40" s="82" t="n">
        <v>0</v>
      </c>
      <c r="T40" s="82" t="n">
        <v>0</v>
      </c>
      <c r="U40" s="97" t="n">
        <v>20</v>
      </c>
      <c r="V40" s="82" t="n">
        <v>0</v>
      </c>
      <c r="W40" s="82" t="n">
        <v>0</v>
      </c>
    </row>
    <row r="41" customFormat="false" ht="15" hidden="false" customHeight="false" outlineLevel="0" collapsed="false">
      <c r="A41" s="68" t="s">
        <v>55</v>
      </c>
      <c r="B41" s="69" t="n">
        <v>46057</v>
      </c>
      <c r="C41" s="70" t="n">
        <v>2.2</v>
      </c>
      <c r="D41" s="70" t="s">
        <v>53</v>
      </c>
      <c r="E41" s="71" t="n">
        <f aca="false">G41*23.12+H41*23.12+I41*23.12+J41*23.12+K41*11.55+L41*11.55+M41*11.55+N41*16.51+O41*16.51+P41*16.51+Q41*11.55+S41*11.55+T41*15+U41*1.7+V41*1.7+W41*11.55</f>
        <v>8385.6</v>
      </c>
      <c r="F41" s="72" t="n">
        <f aca="false">G41+H41+I41+J41+K41+L41+M41+N41+O41+P41+Q41+S41+T41+U41+V41+W41</f>
        <v>680</v>
      </c>
      <c r="G41" s="98" t="n">
        <v>40</v>
      </c>
      <c r="H41" s="99" t="n">
        <v>40</v>
      </c>
      <c r="I41" s="74" t="n">
        <v>0</v>
      </c>
      <c r="J41" s="74" t="n">
        <v>0</v>
      </c>
      <c r="K41" s="98" t="n">
        <v>280</v>
      </c>
      <c r="L41" s="99" t="n">
        <v>280</v>
      </c>
      <c r="M41" s="74" t="n">
        <v>0</v>
      </c>
      <c r="N41" s="73" t="n">
        <v>0</v>
      </c>
      <c r="O41" s="74" t="n">
        <v>0</v>
      </c>
      <c r="P41" s="73" t="n">
        <v>0</v>
      </c>
      <c r="Q41" s="74" t="n">
        <v>0</v>
      </c>
      <c r="R41" s="75" t="n">
        <v>0</v>
      </c>
      <c r="S41" s="74" t="n">
        <v>0</v>
      </c>
      <c r="T41" s="74" t="n">
        <v>0</v>
      </c>
      <c r="U41" s="99" t="n">
        <v>40</v>
      </c>
      <c r="V41" s="74" t="n">
        <v>0</v>
      </c>
      <c r="W41" s="74" t="n">
        <v>0</v>
      </c>
    </row>
    <row r="42" customFormat="false" ht="15" hidden="false" customHeight="false" outlineLevel="0" collapsed="false">
      <c r="A42" s="76" t="s">
        <v>47</v>
      </c>
      <c r="B42" s="77" t="n">
        <v>46058</v>
      </c>
      <c r="C42" s="78" t="n">
        <v>2.2</v>
      </c>
      <c r="D42" s="78" t="s">
        <v>53</v>
      </c>
      <c r="E42" s="79" t="n">
        <f aca="false">G42*23.12+H42*23.12+I42*23.12+J42*23.12+K42*11.55+L42*11.55+M42*11.55+N42*16.51+O42*16.51+P42*16.51+Q42*11.55+S42*11.55+T42*15+U42*1.7+V42*1.7+W42*11.55</f>
        <v>11398</v>
      </c>
      <c r="F42" s="80" t="n">
        <f aca="false">G42+H42+I42+J42+K42+L42+M42+N42+O42+P42+Q42+S42+T42+U42+V42+W42</f>
        <v>940</v>
      </c>
      <c r="G42" s="96" t="n">
        <v>100</v>
      </c>
      <c r="H42" s="97" t="n">
        <v>100</v>
      </c>
      <c r="I42" s="82" t="n">
        <v>0</v>
      </c>
      <c r="J42" s="82" t="n">
        <v>0</v>
      </c>
      <c r="K42" s="96" t="n">
        <v>280</v>
      </c>
      <c r="L42" s="97" t="n">
        <v>280</v>
      </c>
      <c r="M42" s="82" t="n">
        <v>0</v>
      </c>
      <c r="N42" s="81" t="n">
        <v>0</v>
      </c>
      <c r="O42" s="82" t="n">
        <v>0</v>
      </c>
      <c r="P42" s="81" t="n">
        <v>0</v>
      </c>
      <c r="Q42" s="82" t="n">
        <v>0</v>
      </c>
      <c r="R42" s="83" t="n">
        <v>0</v>
      </c>
      <c r="S42" s="82" t="n">
        <v>0</v>
      </c>
      <c r="T42" s="82" t="n">
        <v>0</v>
      </c>
      <c r="U42" s="82" t="n">
        <v>0</v>
      </c>
      <c r="V42" s="97" t="n">
        <v>180</v>
      </c>
      <c r="W42" s="82" t="n">
        <v>0</v>
      </c>
    </row>
    <row r="43" customFormat="false" ht="15" hidden="false" customHeight="false" outlineLevel="0" collapsed="false">
      <c r="A43" s="68" t="s">
        <v>49</v>
      </c>
      <c r="B43" s="69" t="n">
        <v>46059</v>
      </c>
      <c r="C43" s="70" t="n">
        <v>2.2</v>
      </c>
      <c r="D43" s="70" t="s">
        <v>53</v>
      </c>
      <c r="E43" s="71" t="n">
        <f aca="false">G43*23.12+H43*23.12+I43*23.12+J43*23.12+K43*11.55+L43*11.55+M43*11.55+N43*16.51+O43*16.51+P43*16.51+Q43*11.55+S43*11.55+T43*15+U43*1.7+V43*1.7+W43*11.55</f>
        <v>11161</v>
      </c>
      <c r="F43" s="72" t="n">
        <f aca="false">G43+H43+I43+J43+K43+L43+M43+N43+O43+P43+Q43+S43+T43+U43+V43+W43</f>
        <v>789</v>
      </c>
      <c r="G43" s="98" t="n">
        <v>100</v>
      </c>
      <c r="H43" s="99" t="n">
        <v>100</v>
      </c>
      <c r="I43" s="74" t="n">
        <v>0</v>
      </c>
      <c r="J43" s="74" t="n">
        <v>0</v>
      </c>
      <c r="K43" s="98" t="n">
        <v>282</v>
      </c>
      <c r="L43" s="99" t="n">
        <v>280</v>
      </c>
      <c r="M43" s="74" t="n">
        <v>0</v>
      </c>
      <c r="N43" s="73" t="n">
        <v>0</v>
      </c>
      <c r="O43" s="74" t="n">
        <v>0</v>
      </c>
      <c r="P43" s="73" t="n">
        <v>0</v>
      </c>
      <c r="Q43" s="74" t="n">
        <v>0</v>
      </c>
      <c r="R43" s="75" t="n">
        <v>0</v>
      </c>
      <c r="S43" s="74" t="n">
        <v>0</v>
      </c>
      <c r="T43" s="74" t="n">
        <v>0</v>
      </c>
      <c r="U43" s="99" t="n">
        <v>27</v>
      </c>
      <c r="V43" s="74" t="n">
        <v>0</v>
      </c>
      <c r="W43" s="74" t="n">
        <v>0</v>
      </c>
    </row>
    <row r="44" customFormat="false" ht="15" hidden="false" customHeight="false" outlineLevel="0" collapsed="false">
      <c r="A44" s="85" t="s">
        <v>50</v>
      </c>
      <c r="B44" s="77" t="n">
        <v>46060</v>
      </c>
      <c r="C44" s="78" t="n">
        <v>2.2</v>
      </c>
      <c r="D44" s="78" t="s">
        <v>53</v>
      </c>
      <c r="E44" s="79" t="n">
        <f aca="false">G44*23.12+H44*23.12+I44*23.12+J44*23.12+K44*11.55+L44*11.55+M44*11.55+N44*16.51+O44*16.51+P44*16.51+Q44*11.55+S44*11.55+T44*15+U44*1.7+V44*1.7+W44*11.55</f>
        <v>9845.9</v>
      </c>
      <c r="F44" s="80" t="n">
        <f aca="false">G44+H44+I44+J44+K44+L44+M44+N44+O44+P44+Q44+S44+T44+U44+V44+W44</f>
        <v>783</v>
      </c>
      <c r="G44" s="96" t="n">
        <v>70</v>
      </c>
      <c r="H44" s="97" t="n">
        <v>70</v>
      </c>
      <c r="I44" s="82" t="n">
        <v>0</v>
      </c>
      <c r="J44" s="82" t="n">
        <v>0</v>
      </c>
      <c r="K44" s="96" t="n">
        <v>280</v>
      </c>
      <c r="L44" s="97" t="n">
        <v>280</v>
      </c>
      <c r="M44" s="82" t="n">
        <v>0</v>
      </c>
      <c r="N44" s="81" t="n">
        <v>0</v>
      </c>
      <c r="O44" s="82" t="n">
        <v>0</v>
      </c>
      <c r="P44" s="81" t="n">
        <v>0</v>
      </c>
      <c r="Q44" s="82" t="n">
        <v>0</v>
      </c>
      <c r="R44" s="83" t="n">
        <v>0</v>
      </c>
      <c r="S44" s="82" t="n">
        <v>0</v>
      </c>
      <c r="T44" s="82" t="n">
        <v>0</v>
      </c>
      <c r="U44" s="97" t="n">
        <v>83</v>
      </c>
      <c r="V44" s="82" t="n">
        <v>0</v>
      </c>
      <c r="W44" s="82" t="n">
        <v>0</v>
      </c>
    </row>
    <row r="45" customFormat="false" ht="15" hidden="false" customHeight="false" outlineLevel="0" collapsed="false">
      <c r="A45" s="84" t="s">
        <v>51</v>
      </c>
      <c r="B45" s="69" t="n">
        <v>46061</v>
      </c>
      <c r="C45" s="70" t="n">
        <v>2.2</v>
      </c>
      <c r="D45" s="70" t="s">
        <v>53</v>
      </c>
      <c r="E45" s="71" t="n">
        <f aca="false">G45*23.12+H45*23.12+I45*23.12+J45*23.12+K45*11.55+L45*11.55+M45*11.55+N45*16.51+O45*16.51+P45*16.51+Q45*11.55+S45*11.55+T45*15+U45*1.7+V45*1.7+W45*11.55</f>
        <v>0</v>
      </c>
      <c r="F45" s="72" t="n">
        <f aca="false">G45+H45+I45+J45+K45+L45+M45+N45+O45+P45+Q45+S45+T45+U45+V45+W45</f>
        <v>0</v>
      </c>
      <c r="G45" s="73" t="n">
        <v>0</v>
      </c>
      <c r="H45" s="74" t="n">
        <v>0</v>
      </c>
      <c r="I45" s="74" t="n">
        <v>0</v>
      </c>
      <c r="J45" s="74" t="n">
        <v>0</v>
      </c>
      <c r="K45" s="73" t="n">
        <v>0</v>
      </c>
      <c r="L45" s="74" t="n">
        <v>0</v>
      </c>
      <c r="M45" s="74" t="n">
        <v>0</v>
      </c>
      <c r="N45" s="73" t="n">
        <v>0</v>
      </c>
      <c r="O45" s="74" t="n">
        <v>0</v>
      </c>
      <c r="P45" s="73" t="n">
        <v>0</v>
      </c>
      <c r="Q45" s="74" t="n">
        <v>0</v>
      </c>
      <c r="R45" s="75" t="n">
        <v>0</v>
      </c>
      <c r="S45" s="74" t="n">
        <v>0</v>
      </c>
      <c r="T45" s="74" t="n">
        <v>0</v>
      </c>
      <c r="U45" s="74" t="n">
        <v>0</v>
      </c>
      <c r="V45" s="74" t="n">
        <v>0</v>
      </c>
      <c r="W45" s="74" t="n">
        <v>0</v>
      </c>
    </row>
    <row r="46" customFormat="false" ht="15" hidden="false" customHeight="false" outlineLevel="0" collapsed="false">
      <c r="A46" s="100" t="s">
        <v>52</v>
      </c>
      <c r="B46" s="101" t="n">
        <v>46062</v>
      </c>
      <c r="C46" s="102" t="n">
        <v>2.3</v>
      </c>
      <c r="D46" s="102" t="s">
        <v>56</v>
      </c>
      <c r="E46" s="103" t="n">
        <f aca="false">G46*23.12+H46*23.12+I46*23.12+J46*23.12+K46*11.55+L46*11.55+M46*11.55+N46*16.51+O46*16.51+P46*16.51+Q46*11.55+S46*11.55+T46*15+U46*1.7+V46*1.7+W46*11.55</f>
        <v>12443.77</v>
      </c>
      <c r="F46" s="104" t="n">
        <f aca="false">G46+H46+I46+J46+K46+L46+M46+N46+O46+P46+Q46+S46+T46+U46+V46+W46</f>
        <v>856</v>
      </c>
      <c r="G46" s="107" t="n">
        <v>110</v>
      </c>
      <c r="H46" s="108" t="n">
        <v>110</v>
      </c>
      <c r="I46" s="108" t="n">
        <v>1</v>
      </c>
      <c r="J46" s="106" t="n">
        <v>0</v>
      </c>
      <c r="K46" s="107" t="n">
        <v>280</v>
      </c>
      <c r="L46" s="108" t="n">
        <v>280</v>
      </c>
      <c r="M46" s="108" t="n">
        <v>75</v>
      </c>
      <c r="N46" s="105" t="n">
        <v>0</v>
      </c>
      <c r="O46" s="106" t="n">
        <v>0</v>
      </c>
      <c r="P46" s="105" t="n">
        <v>0</v>
      </c>
      <c r="Q46" s="106" t="n">
        <v>0</v>
      </c>
      <c r="R46" s="109" t="n">
        <v>0</v>
      </c>
      <c r="S46" s="106" t="n">
        <v>0</v>
      </c>
      <c r="T46" s="106" t="n">
        <v>0</v>
      </c>
      <c r="U46" s="106" t="n">
        <v>0</v>
      </c>
      <c r="V46" s="106" t="n">
        <v>0</v>
      </c>
      <c r="W46" s="106" t="n">
        <v>0</v>
      </c>
    </row>
    <row r="47" customFormat="false" ht="15" hidden="false" customHeight="false" outlineLevel="0" collapsed="false">
      <c r="A47" s="68" t="s">
        <v>54</v>
      </c>
      <c r="B47" s="69" t="n">
        <v>46063</v>
      </c>
      <c r="C47" s="70" t="n">
        <v>2.3</v>
      </c>
      <c r="D47" s="70" t="s">
        <v>56</v>
      </c>
      <c r="E47" s="71" t="n">
        <f aca="false">G47*23.12+H47*23.12+I47*23.12+J47*23.12+K47*11.55+L47*11.55+M47*11.55+N47*16.51+O47*16.51+P47*16.51+Q47*11.55+S47*11.55+T47*15+U47*1.7+V47*1.7+W47*11.55</f>
        <v>12790.72</v>
      </c>
      <c r="F47" s="72" t="n">
        <f aca="false">G47+H47+I47+J47+K47+L47+M47+N47+O47+P47+Q47+S47+T47+U47+V47+W47</f>
        <v>1147</v>
      </c>
      <c r="G47" s="98" t="n">
        <v>110</v>
      </c>
      <c r="H47" s="99" t="n">
        <v>110</v>
      </c>
      <c r="I47" s="99" t="n">
        <v>1</v>
      </c>
      <c r="J47" s="74" t="n">
        <v>0</v>
      </c>
      <c r="K47" s="98" t="n">
        <v>280</v>
      </c>
      <c r="L47" s="99" t="n">
        <v>280</v>
      </c>
      <c r="M47" s="99" t="n">
        <v>60</v>
      </c>
      <c r="N47" s="73" t="n">
        <v>0</v>
      </c>
      <c r="O47" s="74" t="n">
        <v>0</v>
      </c>
      <c r="P47" s="73" t="n">
        <v>0</v>
      </c>
      <c r="Q47" s="74" t="n">
        <v>0</v>
      </c>
      <c r="R47" s="75" t="n">
        <v>0</v>
      </c>
      <c r="S47" s="74" t="n">
        <v>0</v>
      </c>
      <c r="T47" s="74" t="n">
        <v>0</v>
      </c>
      <c r="U47" s="99" t="n">
        <v>126</v>
      </c>
      <c r="V47" s="99" t="n">
        <v>180</v>
      </c>
      <c r="W47" s="74" t="n">
        <v>0</v>
      </c>
    </row>
    <row r="48" customFormat="false" ht="15" hidden="false" customHeight="false" outlineLevel="0" collapsed="false">
      <c r="A48" s="76" t="s">
        <v>55</v>
      </c>
      <c r="B48" s="77" t="n">
        <v>46064</v>
      </c>
      <c r="C48" s="78" t="n">
        <v>2.3</v>
      </c>
      <c r="D48" s="78" t="s">
        <v>56</v>
      </c>
      <c r="E48" s="79" t="n">
        <f aca="false">G48*23.12+H48*23.12+I48*23.12+J48*23.12+K48*11.55+L48*11.55+M48*11.55+N48*16.51+O48*16.51+P48*16.51+Q48*11.55+S48*11.55+T48*15+U48*1.7+V48*1.7+W48*11.55</f>
        <v>12330.62</v>
      </c>
      <c r="F48" s="80" t="n">
        <f aca="false">G48+H48+I48+J48+K48+L48+M48+N48+O48+P48+Q48+S48+T48+U48+V48+W48</f>
        <v>846</v>
      </c>
      <c r="G48" s="96" t="n">
        <v>125</v>
      </c>
      <c r="H48" s="97" t="n">
        <v>125</v>
      </c>
      <c r="I48" s="97" t="n">
        <v>1</v>
      </c>
      <c r="J48" s="82" t="n">
        <v>0</v>
      </c>
      <c r="K48" s="96" t="n">
        <v>280</v>
      </c>
      <c r="L48" s="97" t="n">
        <v>280</v>
      </c>
      <c r="M48" s="82" t="n">
        <v>0</v>
      </c>
      <c r="N48" s="81" t="n">
        <v>0</v>
      </c>
      <c r="O48" s="82" t="n">
        <v>0</v>
      </c>
      <c r="P48" s="81" t="n">
        <v>0</v>
      </c>
      <c r="Q48" s="82" t="n">
        <v>0</v>
      </c>
      <c r="R48" s="83" t="n">
        <v>0</v>
      </c>
      <c r="S48" s="82" t="n">
        <v>0</v>
      </c>
      <c r="T48" s="82" t="n">
        <v>0</v>
      </c>
      <c r="U48" s="97" t="n">
        <v>35</v>
      </c>
      <c r="V48" s="82" t="n">
        <v>0</v>
      </c>
      <c r="W48" s="82" t="n">
        <v>0</v>
      </c>
    </row>
    <row r="49" customFormat="false" ht="15" hidden="false" customHeight="false" outlineLevel="0" collapsed="false">
      <c r="A49" s="68" t="s">
        <v>47</v>
      </c>
      <c r="B49" s="69" t="n">
        <v>46065</v>
      </c>
      <c r="C49" s="70" t="n">
        <v>2.3</v>
      </c>
      <c r="D49" s="70" t="s">
        <v>56</v>
      </c>
      <c r="E49" s="71" t="n">
        <f aca="false">G49*23.12+H49*23.12+I49*23.12+J49*23.12+K49*11.55+L49*11.55+M49*11.55+N49*16.51+O49*16.51+P49*16.51+Q49*11.55+S49*11.55+T49*15+U49*1.7+V49*1.7+W49*11.55</f>
        <v>14671.22</v>
      </c>
      <c r="F49" s="72" t="n">
        <f aca="false">G49+H49+I49+J49+K49+L49+M49+N49+O49+P49+Q49+S49+T49+U49+V49+W49</f>
        <v>1064</v>
      </c>
      <c r="G49" s="98" t="n">
        <v>125</v>
      </c>
      <c r="H49" s="99" t="n">
        <v>125</v>
      </c>
      <c r="I49" s="99" t="n">
        <v>1</v>
      </c>
      <c r="J49" s="74" t="n">
        <v>0</v>
      </c>
      <c r="K49" s="98" t="n">
        <v>300</v>
      </c>
      <c r="L49" s="99" t="n">
        <v>300</v>
      </c>
      <c r="M49" s="99" t="n">
        <v>160</v>
      </c>
      <c r="N49" s="73" t="n">
        <v>0</v>
      </c>
      <c r="O49" s="74" t="n">
        <v>0</v>
      </c>
      <c r="P49" s="73" t="n">
        <v>0</v>
      </c>
      <c r="Q49" s="74" t="n">
        <v>0</v>
      </c>
      <c r="R49" s="75" t="n">
        <v>0</v>
      </c>
      <c r="S49" s="74" t="n">
        <v>0</v>
      </c>
      <c r="T49" s="74" t="n">
        <v>0</v>
      </c>
      <c r="U49" s="99" t="n">
        <v>53</v>
      </c>
      <c r="V49" s="74" t="n">
        <v>0</v>
      </c>
      <c r="W49" s="74" t="n">
        <v>0</v>
      </c>
    </row>
    <row r="50" customFormat="false" ht="15" hidden="false" customHeight="false" outlineLevel="0" collapsed="false">
      <c r="A50" s="76" t="s">
        <v>49</v>
      </c>
      <c r="B50" s="77" t="n">
        <v>46066</v>
      </c>
      <c r="C50" s="78" t="n">
        <v>2.3</v>
      </c>
      <c r="D50" s="78" t="s">
        <v>56</v>
      </c>
      <c r="E50" s="79" t="n">
        <f aca="false">G50*23.12+H50*23.12+I50*23.12+J50*23.12+K50*11.55+L50*11.55+M50*11.55+N50*16.51+O50*16.51+P50*16.51+Q50*11.55+S50*11.55+T50*15+U50*1.7+V50*1.7+W50*11.55</f>
        <v>13967.32</v>
      </c>
      <c r="F50" s="80" t="n">
        <f aca="false">G50+H50+I50+J50+K50+L50+M50+N50+O50+P50+Q50+S50+T50+U50+V50+W50</f>
        <v>947</v>
      </c>
      <c r="G50" s="96" t="n">
        <v>150</v>
      </c>
      <c r="H50" s="97" t="n">
        <v>150</v>
      </c>
      <c r="I50" s="97" t="n">
        <v>1</v>
      </c>
      <c r="J50" s="82" t="n">
        <v>0</v>
      </c>
      <c r="K50" s="96" t="n">
        <v>300</v>
      </c>
      <c r="L50" s="97" t="n">
        <v>300</v>
      </c>
      <c r="M50" s="82" t="n">
        <v>0</v>
      </c>
      <c r="N50" s="81" t="n">
        <v>0</v>
      </c>
      <c r="O50" s="82" t="n">
        <v>0</v>
      </c>
      <c r="P50" s="81" t="n">
        <v>0</v>
      </c>
      <c r="Q50" s="82" t="n">
        <v>0</v>
      </c>
      <c r="R50" s="83" t="n">
        <v>0</v>
      </c>
      <c r="S50" s="82" t="n">
        <v>0</v>
      </c>
      <c r="T50" s="82" t="n">
        <v>0</v>
      </c>
      <c r="U50" s="97" t="n">
        <v>46</v>
      </c>
      <c r="V50" s="82" t="n">
        <v>0</v>
      </c>
      <c r="W50" s="82" t="n">
        <v>0</v>
      </c>
    </row>
    <row r="51" customFormat="false" ht="15" hidden="false" customHeight="false" outlineLevel="0" collapsed="false">
      <c r="A51" s="84" t="s">
        <v>50</v>
      </c>
      <c r="B51" s="69" t="n">
        <v>46067</v>
      </c>
      <c r="C51" s="70" t="n">
        <v>2.3</v>
      </c>
      <c r="D51" s="70" t="s">
        <v>56</v>
      </c>
      <c r="E51" s="71" t="n">
        <f aca="false">G51*23.12+H51*23.12+I51*23.12+J51*23.12+K51*11.55+L51*11.55+M51*11.55+N51*16.51+O51*16.51+P51*16.51+Q51*11.55+S51*11.55+T51*15+U51*1.7+V51*1.7+W51*11.55</f>
        <v>13963.92</v>
      </c>
      <c r="F51" s="72" t="n">
        <f aca="false">G51+H51+I51+J51+K51+L51+M51+N51+O51+P51+Q51+S51+T51+U51+V51+W51</f>
        <v>945</v>
      </c>
      <c r="G51" s="98" t="n">
        <v>150</v>
      </c>
      <c r="H51" s="99" t="n">
        <v>150</v>
      </c>
      <c r="I51" s="99" t="n">
        <v>1</v>
      </c>
      <c r="J51" s="74" t="n">
        <v>0</v>
      </c>
      <c r="K51" s="98" t="n">
        <v>300</v>
      </c>
      <c r="L51" s="99" t="n">
        <v>300</v>
      </c>
      <c r="M51" s="74" t="n">
        <v>0</v>
      </c>
      <c r="N51" s="73" t="n">
        <v>0</v>
      </c>
      <c r="O51" s="74" t="n">
        <v>0</v>
      </c>
      <c r="P51" s="73" t="n">
        <v>0</v>
      </c>
      <c r="Q51" s="74" t="n">
        <v>0</v>
      </c>
      <c r="R51" s="75" t="n">
        <v>0</v>
      </c>
      <c r="S51" s="74" t="n">
        <v>0</v>
      </c>
      <c r="T51" s="74" t="n">
        <v>0</v>
      </c>
      <c r="U51" s="99" t="n">
        <v>44</v>
      </c>
      <c r="V51" s="74" t="n">
        <v>0</v>
      </c>
      <c r="W51" s="74" t="n">
        <v>0</v>
      </c>
    </row>
    <row r="52" customFormat="false" ht="15" hidden="false" customHeight="false" outlineLevel="0" collapsed="false">
      <c r="A52" s="85" t="s">
        <v>51</v>
      </c>
      <c r="B52" s="77" t="n">
        <v>46068</v>
      </c>
      <c r="C52" s="78" t="n">
        <v>2.3</v>
      </c>
      <c r="D52" s="78" t="s">
        <v>56</v>
      </c>
      <c r="E52" s="79" t="n">
        <f aca="false">G52*23.12+H52*23.12+I52*23.12+J52*23.12+K52*11.55+L52*11.55+M52*11.55+N52*16.51+O52*16.51+P52*16.51+Q52*11.55+S52*11.55+T52*15+U52*1.7+V52*1.7+W52*11.55</f>
        <v>7112.12</v>
      </c>
      <c r="F52" s="80" t="n">
        <f aca="false">G52+H52+I52+J52+K52+L52+M52+N52+O52+P52+Q52+S52+T52+U52+V52+W52</f>
        <v>391</v>
      </c>
      <c r="G52" s="96" t="n">
        <v>150</v>
      </c>
      <c r="H52" s="97" t="n">
        <v>150</v>
      </c>
      <c r="I52" s="97" t="n">
        <v>1</v>
      </c>
      <c r="J52" s="82" t="n">
        <v>0</v>
      </c>
      <c r="K52" s="81" t="n">
        <v>0</v>
      </c>
      <c r="L52" s="82" t="n">
        <v>0</v>
      </c>
      <c r="M52" s="82" t="n">
        <v>0</v>
      </c>
      <c r="N52" s="81" t="n">
        <v>0</v>
      </c>
      <c r="O52" s="82" t="n">
        <v>0</v>
      </c>
      <c r="P52" s="81" t="n">
        <v>0</v>
      </c>
      <c r="Q52" s="82" t="n">
        <v>0</v>
      </c>
      <c r="R52" s="83" t="n">
        <v>0</v>
      </c>
      <c r="S52" s="82" t="n">
        <v>0</v>
      </c>
      <c r="T52" s="82" t="n">
        <v>0</v>
      </c>
      <c r="U52" s="97" t="n">
        <v>90</v>
      </c>
      <c r="V52" s="82" t="n">
        <v>0</v>
      </c>
      <c r="W52" s="82" t="n">
        <v>0</v>
      </c>
    </row>
    <row r="53" customFormat="false" ht="15" hidden="false" customHeight="false" outlineLevel="0" collapsed="false">
      <c r="A53" s="86" t="s">
        <v>52</v>
      </c>
      <c r="B53" s="87" t="n">
        <v>46069</v>
      </c>
      <c r="C53" s="88" t="n">
        <v>2.4</v>
      </c>
      <c r="D53" s="88" t="s">
        <v>57</v>
      </c>
      <c r="E53" s="89" t="n">
        <f aca="false">G53*23.12+H53*23.12+I53*23.12+J53*23.12+K53*11.55+L53*11.55+M53*11.55+N53*16.51+O53*16.51+P53*16.51+Q53*11.55+S53*11.55+T53*15+U53*1.7+V53*1.7+W53*11.55</f>
        <v>13889.12</v>
      </c>
      <c r="F53" s="90" t="n">
        <f aca="false">G53+H53+I53+J53+K53+L53+M53+N53+O53+P53+Q53+S53+T53+U53+V53+W53</f>
        <v>901</v>
      </c>
      <c r="G53" s="93" t="n">
        <v>150</v>
      </c>
      <c r="H53" s="94" t="n">
        <v>150</v>
      </c>
      <c r="I53" s="94" t="n">
        <v>1</v>
      </c>
      <c r="J53" s="92" t="n">
        <v>0</v>
      </c>
      <c r="K53" s="93" t="n">
        <v>300</v>
      </c>
      <c r="L53" s="94" t="n">
        <v>300</v>
      </c>
      <c r="M53" s="92" t="n">
        <v>0</v>
      </c>
      <c r="N53" s="91" t="n">
        <v>0</v>
      </c>
      <c r="O53" s="92" t="n">
        <v>0</v>
      </c>
      <c r="P53" s="91" t="n">
        <v>0</v>
      </c>
      <c r="Q53" s="92" t="n">
        <v>0</v>
      </c>
      <c r="R53" s="95" t="n">
        <v>0</v>
      </c>
      <c r="S53" s="92" t="n">
        <v>0</v>
      </c>
      <c r="T53" s="92" t="n">
        <v>0</v>
      </c>
      <c r="U53" s="92" t="n">
        <v>0</v>
      </c>
      <c r="V53" s="92" t="n">
        <v>0</v>
      </c>
      <c r="W53" s="92" t="n">
        <v>0</v>
      </c>
    </row>
    <row r="54" customFormat="false" ht="15" hidden="false" customHeight="false" outlineLevel="0" collapsed="false">
      <c r="A54" s="76" t="s">
        <v>54</v>
      </c>
      <c r="B54" s="77" t="n">
        <v>46070</v>
      </c>
      <c r="C54" s="78" t="n">
        <v>2.4</v>
      </c>
      <c r="D54" s="78" t="s">
        <v>57</v>
      </c>
      <c r="E54" s="79" t="n">
        <f aca="false">G54*23.12+H54*23.12+I54*23.12+J54*23.12+K54*11.55+L54*11.55+M54*11.55+N54*16.51+O54*16.51+P54*16.51+Q54*11.55+S54*11.55+T54*15+U54*1.7+V54*1.7+W54*11.55</f>
        <v>14293.72</v>
      </c>
      <c r="F54" s="80" t="n">
        <f aca="false">G54+H54+I54+J54+K54+L54+M54+N54+O54+P54+Q54+S54+T54+U54+V54+W54</f>
        <v>1139</v>
      </c>
      <c r="G54" s="96" t="n">
        <v>150</v>
      </c>
      <c r="H54" s="97" t="n">
        <v>150</v>
      </c>
      <c r="I54" s="97" t="n">
        <v>1</v>
      </c>
      <c r="J54" s="82" t="n">
        <v>0</v>
      </c>
      <c r="K54" s="96" t="n">
        <v>300</v>
      </c>
      <c r="L54" s="97" t="n">
        <v>300</v>
      </c>
      <c r="M54" s="82" t="n">
        <v>0</v>
      </c>
      <c r="N54" s="81" t="n">
        <v>0</v>
      </c>
      <c r="O54" s="82" t="n">
        <v>0</v>
      </c>
      <c r="P54" s="81" t="n">
        <v>0</v>
      </c>
      <c r="Q54" s="82" t="n">
        <v>0</v>
      </c>
      <c r="R54" s="83" t="n">
        <v>0</v>
      </c>
      <c r="S54" s="82" t="n">
        <v>0</v>
      </c>
      <c r="T54" s="82" t="n">
        <v>0</v>
      </c>
      <c r="U54" s="97" t="n">
        <v>58</v>
      </c>
      <c r="V54" s="97" t="n">
        <v>180</v>
      </c>
      <c r="W54" s="82" t="n">
        <v>0</v>
      </c>
    </row>
    <row r="55" customFormat="false" ht="15" hidden="false" customHeight="false" outlineLevel="0" collapsed="false">
      <c r="A55" s="68" t="s">
        <v>55</v>
      </c>
      <c r="B55" s="69" t="n">
        <v>46071</v>
      </c>
      <c r="C55" s="70" t="n">
        <v>2.4</v>
      </c>
      <c r="D55" s="70" t="s">
        <v>57</v>
      </c>
      <c r="E55" s="71" t="n">
        <f aca="false">G55*23.12+H55*23.12+I55*23.12+J55*23.12+K55*11.55+L55*11.55+M55*11.55+N55*16.51+O55*16.51+P55*16.51+Q55*11.55+S55*11.55+T55*15+U55*1.7+V55*1.7+W55*11.55</f>
        <v>13900.67</v>
      </c>
      <c r="F55" s="72" t="n">
        <f aca="false">G55+H55+I55+J55+K55+L55+M55+N55+O55+P55+Q55+S55+T55+U55+V55+W55</f>
        <v>902</v>
      </c>
      <c r="G55" s="98" t="n">
        <v>150</v>
      </c>
      <c r="H55" s="99" t="n">
        <v>150</v>
      </c>
      <c r="I55" s="99" t="n">
        <v>1</v>
      </c>
      <c r="J55" s="74" t="n">
        <v>0</v>
      </c>
      <c r="K55" s="98" t="n">
        <v>300</v>
      </c>
      <c r="L55" s="99" t="n">
        <v>300</v>
      </c>
      <c r="M55" s="99" t="n">
        <v>1</v>
      </c>
      <c r="N55" s="73" t="n">
        <v>0</v>
      </c>
      <c r="O55" s="74" t="n">
        <v>0</v>
      </c>
      <c r="P55" s="73" t="n">
        <v>0</v>
      </c>
      <c r="Q55" s="74" t="n">
        <v>0</v>
      </c>
      <c r="R55" s="75" t="n">
        <v>0</v>
      </c>
      <c r="S55" s="74" t="n">
        <v>0</v>
      </c>
      <c r="T55" s="74" t="n">
        <v>0</v>
      </c>
      <c r="U55" s="74" t="n">
        <v>0</v>
      </c>
      <c r="V55" s="74" t="n">
        <v>0</v>
      </c>
      <c r="W55" s="74" t="n">
        <v>0</v>
      </c>
    </row>
    <row r="56" customFormat="false" ht="15" hidden="false" customHeight="false" outlineLevel="0" collapsed="false">
      <c r="A56" s="76" t="s">
        <v>47</v>
      </c>
      <c r="B56" s="77" t="n">
        <v>46072</v>
      </c>
      <c r="C56" s="78" t="n">
        <v>2.4</v>
      </c>
      <c r="D56" s="78" t="s">
        <v>57</v>
      </c>
      <c r="E56" s="79" t="n">
        <f aca="false">G56*23.12+H56*23.12+I56*23.12+J56*23.12+K56*11.55+L56*11.55+M56*11.55+N56*16.51+O56*16.51+P56*16.51+Q56*11.55+S56*11.55+T56*15+U56*1.7+V56*1.7+W56*11.55</f>
        <v>14021.37</v>
      </c>
      <c r="F56" s="80" t="n">
        <f aca="false">G56+H56+I56+J56+K56+L56+M56+N56+O56+P56+Q56+S56+T56+U56+V56+W56</f>
        <v>973</v>
      </c>
      <c r="G56" s="96" t="n">
        <v>150</v>
      </c>
      <c r="H56" s="97" t="n">
        <v>150</v>
      </c>
      <c r="I56" s="97" t="n">
        <v>1</v>
      </c>
      <c r="J56" s="82" t="n">
        <v>0</v>
      </c>
      <c r="K56" s="96" t="n">
        <v>300</v>
      </c>
      <c r="L56" s="97" t="n">
        <v>300</v>
      </c>
      <c r="M56" s="97" t="n">
        <v>1</v>
      </c>
      <c r="N56" s="81" t="n">
        <v>0</v>
      </c>
      <c r="O56" s="82" t="n">
        <v>0</v>
      </c>
      <c r="P56" s="81" t="n">
        <v>0</v>
      </c>
      <c r="Q56" s="82" t="n">
        <v>0</v>
      </c>
      <c r="R56" s="83" t="n">
        <v>0</v>
      </c>
      <c r="S56" s="82" t="n">
        <v>0</v>
      </c>
      <c r="T56" s="82" t="n">
        <v>0</v>
      </c>
      <c r="U56" s="97" t="n">
        <v>71</v>
      </c>
      <c r="V56" s="82" t="n">
        <v>0</v>
      </c>
      <c r="W56" s="82" t="n">
        <v>0</v>
      </c>
    </row>
    <row r="57" customFormat="false" ht="15" hidden="false" customHeight="false" outlineLevel="0" collapsed="false">
      <c r="A57" s="68" t="s">
        <v>49</v>
      </c>
      <c r="B57" s="69" t="n">
        <v>46073</v>
      </c>
      <c r="C57" s="70" t="n">
        <v>2.4</v>
      </c>
      <c r="D57" s="70" t="s">
        <v>57</v>
      </c>
      <c r="E57" s="71" t="n">
        <f aca="false">G57*23.12+H57*23.12+I57*23.12+J57*23.12+K57*11.55+L57*11.55+M57*11.55+N57*16.51+O57*16.51+P57*16.51+Q57*11.55+S57*11.55+T57*15+U57*1.7+V57*1.7+W57*11.55</f>
        <v>14725.47</v>
      </c>
      <c r="F57" s="72" t="n">
        <f aca="false">G57+H57+I57+J57+K57+L57+M57+N57+O57+P57+Q57+S57+T57+U57+V57+W57</f>
        <v>996</v>
      </c>
      <c r="G57" s="98" t="n">
        <v>150</v>
      </c>
      <c r="H57" s="99" t="n">
        <v>150</v>
      </c>
      <c r="I57" s="99" t="n">
        <v>1</v>
      </c>
      <c r="J57" s="74" t="n">
        <v>0</v>
      </c>
      <c r="K57" s="98" t="n">
        <v>300</v>
      </c>
      <c r="L57" s="99" t="n">
        <v>300</v>
      </c>
      <c r="M57" s="99" t="n">
        <v>1</v>
      </c>
      <c r="N57" s="73" t="n">
        <v>0</v>
      </c>
      <c r="O57" s="74" t="n">
        <v>0</v>
      </c>
      <c r="P57" s="73" t="n">
        <v>0</v>
      </c>
      <c r="Q57" s="74" t="n">
        <v>0</v>
      </c>
      <c r="R57" s="75" t="n">
        <v>0</v>
      </c>
      <c r="S57" s="74" t="n">
        <v>0</v>
      </c>
      <c r="T57" s="99" t="n">
        <v>50</v>
      </c>
      <c r="U57" s="99" t="n">
        <v>44</v>
      </c>
      <c r="V57" s="74" t="n">
        <v>0</v>
      </c>
      <c r="W57" s="74" t="n">
        <v>0</v>
      </c>
    </row>
    <row r="58" customFormat="false" ht="15" hidden="false" customHeight="false" outlineLevel="0" collapsed="false">
      <c r="A58" s="85" t="s">
        <v>50</v>
      </c>
      <c r="B58" s="77" t="n">
        <v>46074</v>
      </c>
      <c r="C58" s="78" t="n">
        <v>2.4</v>
      </c>
      <c r="D58" s="78" t="s">
        <v>57</v>
      </c>
      <c r="E58" s="79" t="n">
        <f aca="false">G58*23.12+H58*23.12+I58*23.12+J58*23.12+K58*11.55+L58*11.55+M58*11.55+N58*16.51+O58*16.51+P58*16.51+Q58*11.55+S58*11.55+T58*15+U58*1.7+V58*1.7+W58*11.55</f>
        <v>15408.57</v>
      </c>
      <c r="F58" s="80" t="n">
        <f aca="false">G58+H58+I58+J58+K58+L58+M58+N58+O58+P58+Q58+S58+T58+U58+V58+W58</f>
        <v>1033</v>
      </c>
      <c r="G58" s="96" t="n">
        <v>150</v>
      </c>
      <c r="H58" s="97" t="n">
        <v>150</v>
      </c>
      <c r="I58" s="97" t="n">
        <v>1</v>
      </c>
      <c r="J58" s="97" t="n">
        <v>60</v>
      </c>
      <c r="K58" s="96" t="n">
        <v>300</v>
      </c>
      <c r="L58" s="97" t="n">
        <v>300</v>
      </c>
      <c r="M58" s="97" t="n">
        <v>1</v>
      </c>
      <c r="N58" s="81" t="n">
        <v>0</v>
      </c>
      <c r="O58" s="82" t="n">
        <v>0</v>
      </c>
      <c r="P58" s="81" t="n">
        <v>0</v>
      </c>
      <c r="Q58" s="82" t="n">
        <v>0</v>
      </c>
      <c r="R58" s="83" t="n">
        <v>0</v>
      </c>
      <c r="S58" s="82" t="n">
        <v>0</v>
      </c>
      <c r="T58" s="82" t="n">
        <v>0</v>
      </c>
      <c r="U58" s="97" t="n">
        <v>71</v>
      </c>
      <c r="V58" s="82" t="n">
        <v>0</v>
      </c>
      <c r="W58" s="82" t="n">
        <v>0</v>
      </c>
    </row>
    <row r="59" customFormat="false" ht="15" hidden="false" customHeight="false" outlineLevel="0" collapsed="false">
      <c r="A59" s="84" t="s">
        <v>51</v>
      </c>
      <c r="B59" s="69" t="n">
        <v>46075</v>
      </c>
      <c r="C59" s="70" t="n">
        <v>2.4</v>
      </c>
      <c r="D59" s="70" t="s">
        <v>57</v>
      </c>
      <c r="E59" s="71" t="n">
        <f aca="false">G59*23.12+H59*23.12+I59*23.12+J59*23.12+K59*11.55+L59*11.55+M59*11.55+N59*16.51+O59*16.51+P59*16.51+Q59*11.55+S59*11.55+T59*15+U59*1.7+V59*1.7+W59*11.55</f>
        <v>7951.77</v>
      </c>
      <c r="F59" s="72" t="n">
        <f aca="false">G59+H59+I59+J59+K59+L59+M59+N59+O59+P59+Q59+S59+T59+U59+V59+W59</f>
        <v>404</v>
      </c>
      <c r="G59" s="98" t="n">
        <v>150</v>
      </c>
      <c r="H59" s="99" t="n">
        <v>150</v>
      </c>
      <c r="I59" s="99" t="n">
        <v>1</v>
      </c>
      <c r="J59" s="74" t="n">
        <v>0</v>
      </c>
      <c r="K59" s="98" t="n">
        <v>41</v>
      </c>
      <c r="L59" s="99" t="n">
        <v>41</v>
      </c>
      <c r="M59" s="99" t="n">
        <v>1</v>
      </c>
      <c r="N59" s="73" t="n">
        <v>0</v>
      </c>
      <c r="O59" s="74" t="n">
        <v>0</v>
      </c>
      <c r="P59" s="73" t="n">
        <v>0</v>
      </c>
      <c r="Q59" s="74" t="n">
        <v>0</v>
      </c>
      <c r="R59" s="75" t="n">
        <v>0</v>
      </c>
      <c r="S59" s="74" t="n">
        <v>0</v>
      </c>
      <c r="T59" s="74" t="n">
        <v>0</v>
      </c>
      <c r="U59" s="99" t="n">
        <v>20</v>
      </c>
      <c r="V59" s="74" t="n">
        <v>0</v>
      </c>
      <c r="W59" s="74" t="n">
        <v>0</v>
      </c>
    </row>
    <row r="60" customFormat="false" ht="15" hidden="false" customHeight="false" outlineLevel="0" collapsed="false">
      <c r="A60" s="100" t="s">
        <v>52</v>
      </c>
      <c r="B60" s="101" t="n">
        <v>46076</v>
      </c>
      <c r="C60" s="102" t="n">
        <v>3.1</v>
      </c>
      <c r="D60" s="102" t="s">
        <v>48</v>
      </c>
      <c r="E60" s="103" t="n">
        <f aca="false">G60*23.12+H60*23.12+I60*23.12+J60*23.12+K60*11.55+L60*11.55+M60*11.55+N60*16.51+O60*16.51+P60*16.51+Q60*11.55+S60*11.55+T60*15+U60*1.7+V60*1.7+W60*11.55</f>
        <v>15341.92</v>
      </c>
      <c r="F60" s="104" t="n">
        <f aca="false">G60+H60+I60+J60+K60+L60+M60+N60+O60+P60+Q60+S60+T60+U60+V60+W60</f>
        <v>988</v>
      </c>
      <c r="G60" s="107" t="n">
        <v>150</v>
      </c>
      <c r="H60" s="108" t="n">
        <v>150</v>
      </c>
      <c r="I60" s="108" t="n">
        <v>1</v>
      </c>
      <c r="J60" s="108" t="n">
        <v>60</v>
      </c>
      <c r="K60" s="107" t="n">
        <v>300</v>
      </c>
      <c r="L60" s="108" t="n">
        <v>300</v>
      </c>
      <c r="M60" s="108" t="n">
        <v>2</v>
      </c>
      <c r="N60" s="105" t="n">
        <v>0</v>
      </c>
      <c r="O60" s="106" t="n">
        <v>0</v>
      </c>
      <c r="P60" s="105" t="n">
        <v>0</v>
      </c>
      <c r="Q60" s="106" t="n">
        <v>0</v>
      </c>
      <c r="R60" s="109" t="n">
        <v>0</v>
      </c>
      <c r="S60" s="106" t="n">
        <v>0</v>
      </c>
      <c r="T60" s="106" t="n">
        <v>0</v>
      </c>
      <c r="U60" s="108" t="n">
        <v>25</v>
      </c>
      <c r="V60" s="106" t="n">
        <v>0</v>
      </c>
      <c r="W60" s="106" t="n">
        <v>0</v>
      </c>
    </row>
    <row r="61" customFormat="false" ht="15" hidden="false" customHeight="false" outlineLevel="0" collapsed="false">
      <c r="A61" s="68" t="s">
        <v>54</v>
      </c>
      <c r="B61" s="69" t="n">
        <v>46077</v>
      </c>
      <c r="C61" s="70" t="n">
        <v>3.1</v>
      </c>
      <c r="D61" s="70" t="s">
        <v>48</v>
      </c>
      <c r="E61" s="71" t="n">
        <f aca="false">G61*23.12+H61*23.12+I61*23.12+J61*23.12+K61*11.55+L61*11.55+M61*11.55+N61*16.51+O61*16.51+P61*16.51+Q61*11.55+S61*11.55+T61*15+U61*1.7+V61*1.7+W61*11.55</f>
        <v>16033.22</v>
      </c>
      <c r="F61" s="72" t="n">
        <f aca="false">G61+H61+I61+J61+K61+L61+M61+N61+O61+P61+Q61+S61+T61+U61+V61+W61</f>
        <v>1047</v>
      </c>
      <c r="G61" s="98" t="n">
        <v>150</v>
      </c>
      <c r="H61" s="99" t="n">
        <v>150</v>
      </c>
      <c r="I61" s="99" t="n">
        <v>1</v>
      </c>
      <c r="J61" s="99" t="n">
        <v>60</v>
      </c>
      <c r="K61" s="98" t="n">
        <v>330</v>
      </c>
      <c r="L61" s="99" t="n">
        <v>330</v>
      </c>
      <c r="M61" s="99" t="n">
        <v>2</v>
      </c>
      <c r="N61" s="73" t="n">
        <v>0</v>
      </c>
      <c r="O61" s="74" t="n">
        <v>0</v>
      </c>
      <c r="P61" s="73" t="n">
        <v>0</v>
      </c>
      <c r="Q61" s="74" t="n">
        <v>0</v>
      </c>
      <c r="R61" s="75" t="n">
        <v>0</v>
      </c>
      <c r="S61" s="74" t="n">
        <v>0</v>
      </c>
      <c r="T61" s="74" t="n">
        <v>0</v>
      </c>
      <c r="U61" s="99" t="n">
        <v>24</v>
      </c>
      <c r="V61" s="74" t="n">
        <v>0</v>
      </c>
      <c r="W61" s="74" t="n">
        <v>0</v>
      </c>
    </row>
    <row r="62" customFormat="false" ht="15" hidden="false" customHeight="false" outlineLevel="0" collapsed="false">
      <c r="A62" s="76" t="s">
        <v>55</v>
      </c>
      <c r="B62" s="77" t="n">
        <v>46078</v>
      </c>
      <c r="C62" s="78" t="n">
        <v>3.1</v>
      </c>
      <c r="D62" s="78" t="s">
        <v>48</v>
      </c>
      <c r="E62" s="79" t="n">
        <f aca="false">G62*23.12+H62*23.12+I62*23.12+J62*23.12+K62*11.55+L62*11.55+M62*11.55+N62*16.51+O62*16.51+P62*16.51+Q62*11.55+S62*11.55+T62*15+U62*1.7+V62*1.7+W62*11.55</f>
        <v>14695.32</v>
      </c>
      <c r="F62" s="80" t="n">
        <f aca="false">G62+H62+I62+J62+K62+L62+M62+N62+O62+P62+Q62+S62+T62+U62+V62+W62</f>
        <v>1016</v>
      </c>
      <c r="G62" s="96" t="n">
        <v>150</v>
      </c>
      <c r="H62" s="97" t="n">
        <v>150</v>
      </c>
      <c r="I62" s="97" t="n">
        <v>1</v>
      </c>
      <c r="J62" s="82" t="n">
        <v>0</v>
      </c>
      <c r="K62" s="96" t="n">
        <v>330</v>
      </c>
      <c r="L62" s="97" t="n">
        <v>330</v>
      </c>
      <c r="M62" s="97" t="n">
        <v>2</v>
      </c>
      <c r="N62" s="81" t="n">
        <v>0</v>
      </c>
      <c r="O62" s="82" t="n">
        <v>0</v>
      </c>
      <c r="P62" s="81" t="n">
        <v>0</v>
      </c>
      <c r="Q62" s="82" t="n">
        <v>0</v>
      </c>
      <c r="R62" s="83" t="n">
        <v>0</v>
      </c>
      <c r="S62" s="82" t="n">
        <v>0</v>
      </c>
      <c r="T62" s="82" t="n">
        <v>0</v>
      </c>
      <c r="U62" s="97" t="n">
        <v>53</v>
      </c>
      <c r="V62" s="82" t="n">
        <v>0</v>
      </c>
      <c r="W62" s="82" t="n">
        <v>0</v>
      </c>
    </row>
    <row r="63" customFormat="false" ht="15" hidden="false" customHeight="false" outlineLevel="0" collapsed="false">
      <c r="A63" s="68" t="s">
        <v>47</v>
      </c>
      <c r="B63" s="69" t="n">
        <v>46079</v>
      </c>
      <c r="C63" s="70" t="n">
        <v>3.1</v>
      </c>
      <c r="D63" s="70" t="s">
        <v>48</v>
      </c>
      <c r="E63" s="71" t="n">
        <f aca="false">G63*23.12+H63*23.12+I63*23.12+J63*23.12+K63*11.55+L63*11.55+M63*11.55+N63*16.51+O63*16.51+P63*16.51+Q63*11.55+S63*11.55+T63*15+U63*1.7+V63*1.7+W63*11.55</f>
        <v>16057.02</v>
      </c>
      <c r="F63" s="72" t="n">
        <f aca="false">G63+H63+I63+J63+K63+L63+M63+N63+O63+P63+Q63+S63+T63+U63+V63+W63</f>
        <v>1061</v>
      </c>
      <c r="G63" s="98" t="n">
        <v>150</v>
      </c>
      <c r="H63" s="99" t="n">
        <v>150</v>
      </c>
      <c r="I63" s="99" t="n">
        <v>1</v>
      </c>
      <c r="J63" s="99" t="n">
        <v>60</v>
      </c>
      <c r="K63" s="98" t="n">
        <v>330</v>
      </c>
      <c r="L63" s="99" t="n">
        <v>330</v>
      </c>
      <c r="M63" s="99" t="n">
        <v>2</v>
      </c>
      <c r="N63" s="73" t="n">
        <v>0</v>
      </c>
      <c r="O63" s="74" t="n">
        <v>0</v>
      </c>
      <c r="P63" s="73" t="n">
        <v>0</v>
      </c>
      <c r="Q63" s="74" t="n">
        <v>0</v>
      </c>
      <c r="R63" s="75" t="n">
        <v>0</v>
      </c>
      <c r="S63" s="74" t="n">
        <v>0</v>
      </c>
      <c r="T63" s="74" t="n">
        <v>0</v>
      </c>
      <c r="U63" s="99" t="n">
        <v>38</v>
      </c>
      <c r="V63" s="74" t="n">
        <v>0</v>
      </c>
      <c r="W63" s="74" t="n">
        <v>0</v>
      </c>
    </row>
    <row r="64" customFormat="false" ht="15" hidden="false" customHeight="false" outlineLevel="0" collapsed="false">
      <c r="A64" s="76" t="s">
        <v>49</v>
      </c>
      <c r="B64" s="77" t="n">
        <v>46080</v>
      </c>
      <c r="C64" s="78" t="n">
        <v>3.1</v>
      </c>
      <c r="D64" s="78" t="s">
        <v>48</v>
      </c>
      <c r="E64" s="79" t="n">
        <f aca="false">G64*23.12+H64*23.12+I64*23.12+J64*23.12+K64*11.55+L64*11.55+M64*11.55+N64*16.51+O64*16.51+P64*16.51+Q64*11.55+S64*11.55+T64*15+U64*1.7+V64*1.7+W64*11.55</f>
        <v>14666.42</v>
      </c>
      <c r="F64" s="80" t="n">
        <f aca="false">G64+H64+I64+J64+K64+L64+M64+N64+O64+P64+Q64+S64+T64+U64+V64+W64</f>
        <v>999</v>
      </c>
      <c r="G64" s="96" t="n">
        <v>150</v>
      </c>
      <c r="H64" s="97" t="n">
        <v>150</v>
      </c>
      <c r="I64" s="97" t="n">
        <v>1</v>
      </c>
      <c r="J64" s="82" t="n">
        <v>0</v>
      </c>
      <c r="K64" s="96" t="n">
        <v>330</v>
      </c>
      <c r="L64" s="97" t="n">
        <v>330</v>
      </c>
      <c r="M64" s="97" t="n">
        <v>2</v>
      </c>
      <c r="N64" s="81" t="n">
        <v>0</v>
      </c>
      <c r="O64" s="82" t="n">
        <v>0</v>
      </c>
      <c r="P64" s="81" t="n">
        <v>0</v>
      </c>
      <c r="Q64" s="82" t="n">
        <v>0</v>
      </c>
      <c r="R64" s="83" t="n">
        <v>0</v>
      </c>
      <c r="S64" s="82" t="n">
        <v>0</v>
      </c>
      <c r="T64" s="82" t="n">
        <v>0</v>
      </c>
      <c r="U64" s="97" t="n">
        <v>36</v>
      </c>
      <c r="V64" s="82" t="n">
        <v>0</v>
      </c>
      <c r="W64" s="82" t="n">
        <v>0</v>
      </c>
    </row>
    <row r="65" customFormat="false" ht="15" hidden="false" customHeight="false" outlineLevel="0" collapsed="false">
      <c r="A65" s="84" t="s">
        <v>50</v>
      </c>
      <c r="B65" s="69" t="n">
        <v>46081</v>
      </c>
      <c r="C65" s="70" t="n">
        <v>3.1</v>
      </c>
      <c r="D65" s="70" t="s">
        <v>48</v>
      </c>
      <c r="E65" s="71" t="n">
        <f aca="false">G65*23.12+H65*23.12+I65*23.12+J65*23.12+K65*11.55+L65*11.55+M65*11.55+N65*16.51+O65*16.51+P65*16.51+Q65*11.55+S65*11.55+T65*15+U65*1.7+V65*1.7+W65*11.55</f>
        <v>16070.62</v>
      </c>
      <c r="F65" s="72" t="n">
        <f aca="false">G65+H65+I65+J65+K65+L65+M65+N65+O65+P65+Q65+S65+T65+U65+V65+W65</f>
        <v>1069</v>
      </c>
      <c r="G65" s="98" t="n">
        <v>150</v>
      </c>
      <c r="H65" s="99" t="n">
        <v>150</v>
      </c>
      <c r="I65" s="99" t="n">
        <v>1</v>
      </c>
      <c r="J65" s="99" t="n">
        <v>60</v>
      </c>
      <c r="K65" s="98" t="n">
        <v>330</v>
      </c>
      <c r="L65" s="99" t="n">
        <v>330</v>
      </c>
      <c r="M65" s="99" t="n">
        <v>2</v>
      </c>
      <c r="N65" s="73" t="n">
        <v>0</v>
      </c>
      <c r="O65" s="74" t="n">
        <v>0</v>
      </c>
      <c r="P65" s="73" t="n">
        <v>0</v>
      </c>
      <c r="Q65" s="74" t="n">
        <v>0</v>
      </c>
      <c r="R65" s="75" t="n">
        <v>0</v>
      </c>
      <c r="S65" s="74" t="n">
        <v>0</v>
      </c>
      <c r="T65" s="74" t="n">
        <v>0</v>
      </c>
      <c r="U65" s="99" t="n">
        <v>46</v>
      </c>
      <c r="V65" s="74" t="n">
        <v>0</v>
      </c>
      <c r="W65" s="74" t="n">
        <v>0</v>
      </c>
    </row>
    <row r="66" customFormat="false" ht="15" hidden="false" customHeight="false" outlineLevel="0" collapsed="false">
      <c r="A66" s="85" t="s">
        <v>51</v>
      </c>
      <c r="B66" s="77" t="n">
        <v>46082</v>
      </c>
      <c r="C66" s="78" t="n">
        <v>3.1</v>
      </c>
      <c r="D66" s="78" t="s">
        <v>48</v>
      </c>
      <c r="E66" s="79" t="n">
        <f aca="false">G66*23.12+H66*23.12+I66*23.12+J66*23.12+K66*11.55+L66*11.55+M66*11.55+N66*16.51+O66*16.51+P66*16.51+Q66*11.55+S66*11.55+T66*15+U66*1.7+V66*1.7+W66*11.55</f>
        <v>8518.22</v>
      </c>
      <c r="F66" s="80" t="n">
        <f aca="false">G66+H66+I66+J66+K66+L66+M66+N66+O66+P66+Q66+S66+T66+U66+V66+W66</f>
        <v>743</v>
      </c>
      <c r="G66" s="96" t="n">
        <v>150</v>
      </c>
      <c r="H66" s="97" t="n">
        <v>150</v>
      </c>
      <c r="I66" s="97" t="n">
        <v>1</v>
      </c>
      <c r="J66" s="82" t="n">
        <v>0</v>
      </c>
      <c r="K66" s="96" t="n">
        <v>40</v>
      </c>
      <c r="L66" s="97" t="n">
        <v>40</v>
      </c>
      <c r="M66" s="97" t="n">
        <v>2</v>
      </c>
      <c r="N66" s="81" t="n">
        <v>0</v>
      </c>
      <c r="O66" s="82" t="n">
        <v>0</v>
      </c>
      <c r="P66" s="81" t="n">
        <v>0</v>
      </c>
      <c r="Q66" s="82" t="n">
        <v>0</v>
      </c>
      <c r="R66" s="83" t="n">
        <v>0</v>
      </c>
      <c r="S66" s="82" t="n">
        <v>0</v>
      </c>
      <c r="T66" s="82" t="n">
        <v>0</v>
      </c>
      <c r="U66" s="97" t="n">
        <v>180</v>
      </c>
      <c r="V66" s="97" t="n">
        <v>180</v>
      </c>
      <c r="W66" s="82" t="n">
        <v>0</v>
      </c>
    </row>
    <row r="67" customFormat="false" ht="15" hidden="false" customHeight="false" outlineLevel="0" collapsed="false">
      <c r="A67" s="86" t="s">
        <v>52</v>
      </c>
      <c r="B67" s="87" t="n">
        <v>46083</v>
      </c>
      <c r="C67" s="88" t="n">
        <v>3.2</v>
      </c>
      <c r="D67" s="88" t="s">
        <v>53</v>
      </c>
      <c r="E67" s="89" t="n">
        <f aca="false">G67*23.12+H67*23.12+I67*23.12+J67*23.12+K67*11.55+L67*11.55+M67*11.55+N67*16.51+O67*16.51+P67*16.51+Q67*11.55+S67*11.55+T67*15+U67*1.7+V67*1.7+W67*11.55</f>
        <v>16502</v>
      </c>
      <c r="F67" s="90" t="n">
        <f aca="false">G67+H67+I67+J67+K67+L67+M67+N67+O67+P67+Q67+S67+T67+U67+V67+W67</f>
        <v>1092</v>
      </c>
      <c r="G67" s="93" t="n">
        <v>150</v>
      </c>
      <c r="H67" s="94" t="n">
        <v>150</v>
      </c>
      <c r="I67" s="92" t="n">
        <v>0</v>
      </c>
      <c r="J67" s="94" t="n">
        <v>60</v>
      </c>
      <c r="K67" s="93" t="n">
        <v>350</v>
      </c>
      <c r="L67" s="94" t="n">
        <v>350</v>
      </c>
      <c r="M67" s="94" t="n">
        <v>4</v>
      </c>
      <c r="N67" s="91" t="n">
        <v>0</v>
      </c>
      <c r="O67" s="92" t="n">
        <v>0</v>
      </c>
      <c r="P67" s="91" t="n">
        <v>0</v>
      </c>
      <c r="Q67" s="92" t="n">
        <v>0</v>
      </c>
      <c r="R67" s="95" t="n">
        <v>0</v>
      </c>
      <c r="S67" s="92" t="n">
        <v>0</v>
      </c>
      <c r="T67" s="92" t="n">
        <v>0</v>
      </c>
      <c r="U67" s="94" t="n">
        <v>28</v>
      </c>
      <c r="V67" s="92" t="n">
        <v>0</v>
      </c>
      <c r="W67" s="92" t="n">
        <v>0</v>
      </c>
    </row>
    <row r="68" customFormat="false" ht="15" hidden="false" customHeight="false" outlineLevel="0" collapsed="false">
      <c r="A68" s="76" t="s">
        <v>54</v>
      </c>
      <c r="B68" s="77" t="n">
        <v>46084</v>
      </c>
      <c r="C68" s="78" t="n">
        <v>3.2</v>
      </c>
      <c r="D68" s="78" t="s">
        <v>53</v>
      </c>
      <c r="E68" s="79" t="n">
        <f aca="false">G68*23.12+H68*23.12+I68*23.12+J68*23.12+K68*11.55+L68*11.55+M68*11.55+N68*16.51+O68*16.51+P68*16.51+Q68*11.55+S68*11.55+T68*15+U68*1.7+V68*1.7+W68*11.55</f>
        <v>16493.5</v>
      </c>
      <c r="F68" s="80" t="n">
        <f aca="false">G68+H68+I68+J68+K68+L68+M68+N68+O68+P68+Q68+S68+T68+U68+V68+W68</f>
        <v>1087</v>
      </c>
      <c r="G68" s="96" t="n">
        <v>150</v>
      </c>
      <c r="H68" s="97" t="n">
        <v>150</v>
      </c>
      <c r="I68" s="82" t="n">
        <v>0</v>
      </c>
      <c r="J68" s="97" t="n">
        <v>60</v>
      </c>
      <c r="K68" s="96" t="n">
        <v>350</v>
      </c>
      <c r="L68" s="97" t="n">
        <v>350</v>
      </c>
      <c r="M68" s="97" t="n">
        <v>4</v>
      </c>
      <c r="N68" s="81" t="n">
        <v>0</v>
      </c>
      <c r="O68" s="82" t="n">
        <v>0</v>
      </c>
      <c r="P68" s="81" t="n">
        <v>0</v>
      </c>
      <c r="Q68" s="82" t="n">
        <v>0</v>
      </c>
      <c r="R68" s="115" t="n">
        <v>3090</v>
      </c>
      <c r="S68" s="82" t="n">
        <v>0</v>
      </c>
      <c r="T68" s="82" t="n">
        <v>0</v>
      </c>
      <c r="U68" s="97" t="n">
        <v>23</v>
      </c>
      <c r="V68" s="82" t="n">
        <v>0</v>
      </c>
      <c r="W68" s="82" t="n">
        <v>0</v>
      </c>
    </row>
    <row r="69" customFormat="false" ht="15" hidden="false" customHeight="false" outlineLevel="0" collapsed="false">
      <c r="A69" s="68" t="s">
        <v>55</v>
      </c>
      <c r="B69" s="69" t="n">
        <v>46085</v>
      </c>
      <c r="C69" s="70" t="n">
        <v>3.2</v>
      </c>
      <c r="D69" s="70" t="s">
        <v>53</v>
      </c>
      <c r="E69" s="71" t="n">
        <f aca="false">G69*23.12+H69*23.12+I69*23.12+J69*23.12+K69*11.55+L69*11.55+M69*11.55+N69*16.51+O69*16.51+P69*16.51+Q69*11.55+S69*11.55+T69*15+U69*1.7+V69*1.7+W69*11.55</f>
        <v>15412.3</v>
      </c>
      <c r="F69" s="72" t="n">
        <f aca="false">G69+H69+I69+J69+K69+L69+M69+N69+O69+P69+Q69+S69+T69+U69+V69+W69</f>
        <v>1207</v>
      </c>
      <c r="G69" s="98" t="n">
        <v>150</v>
      </c>
      <c r="H69" s="99" t="n">
        <v>150</v>
      </c>
      <c r="I69" s="74" t="n">
        <v>0</v>
      </c>
      <c r="J69" s="74" t="n">
        <v>0</v>
      </c>
      <c r="K69" s="98" t="n">
        <v>350</v>
      </c>
      <c r="L69" s="99" t="n">
        <v>350</v>
      </c>
      <c r="M69" s="99" t="n">
        <v>4</v>
      </c>
      <c r="N69" s="73" t="n">
        <v>0</v>
      </c>
      <c r="O69" s="74" t="n">
        <v>0</v>
      </c>
      <c r="P69" s="73" t="n">
        <v>0</v>
      </c>
      <c r="Q69" s="74" t="n">
        <v>0</v>
      </c>
      <c r="R69" s="75" t="n">
        <v>0</v>
      </c>
      <c r="S69" s="74" t="n">
        <v>0</v>
      </c>
      <c r="T69" s="74" t="n">
        <v>0</v>
      </c>
      <c r="U69" s="99" t="n">
        <v>23</v>
      </c>
      <c r="V69" s="99" t="n">
        <v>180</v>
      </c>
      <c r="W69" s="74" t="n">
        <v>0</v>
      </c>
    </row>
    <row r="70" customFormat="false" ht="15" hidden="false" customHeight="false" outlineLevel="0" collapsed="false">
      <c r="A70" s="76" t="s">
        <v>47</v>
      </c>
      <c r="B70" s="77" t="n">
        <v>46086</v>
      </c>
      <c r="C70" s="78" t="n">
        <v>3.2</v>
      </c>
      <c r="D70" s="78" t="s">
        <v>53</v>
      </c>
      <c r="E70" s="79" t="n">
        <f aca="false">G70*23.12+H70*23.12+I70*23.12+J70*23.12+K70*11.55+L70*11.55+M70*11.55+N70*16.51+O70*16.51+P70*16.51+Q70*11.55+S70*11.55+T70*15+U70*1.7+V70*1.7+W70*11.55</f>
        <v>15089.3</v>
      </c>
      <c r="F70" s="80" t="n">
        <f aca="false">G70+H70+I70+J70+K70+L70+M70+N70+O70+P70+Q70+S70+T70+U70+V70+W70</f>
        <v>1017</v>
      </c>
      <c r="G70" s="96" t="n">
        <v>150</v>
      </c>
      <c r="H70" s="97" t="n">
        <v>150</v>
      </c>
      <c r="I70" s="82" t="n">
        <v>0</v>
      </c>
      <c r="J70" s="82" t="n">
        <v>0</v>
      </c>
      <c r="K70" s="96" t="n">
        <v>350</v>
      </c>
      <c r="L70" s="97" t="n">
        <v>350</v>
      </c>
      <c r="M70" s="97" t="n">
        <v>4</v>
      </c>
      <c r="N70" s="81" t="n">
        <v>0</v>
      </c>
      <c r="O70" s="82" t="n">
        <v>0</v>
      </c>
      <c r="P70" s="81" t="n">
        <v>0</v>
      </c>
      <c r="Q70" s="82" t="n">
        <v>0</v>
      </c>
      <c r="R70" s="83" t="n">
        <v>0</v>
      </c>
      <c r="S70" s="82" t="n">
        <v>0</v>
      </c>
      <c r="T70" s="82" t="n">
        <v>0</v>
      </c>
      <c r="U70" s="97" t="n">
        <v>13</v>
      </c>
      <c r="V70" s="82" t="n">
        <v>0</v>
      </c>
      <c r="W70" s="82" t="n">
        <v>0</v>
      </c>
    </row>
    <row r="71" customFormat="false" ht="15" hidden="false" customHeight="false" outlineLevel="0" collapsed="false">
      <c r="A71" s="68" t="s">
        <v>49</v>
      </c>
      <c r="B71" s="69" t="n">
        <v>46087</v>
      </c>
      <c r="C71" s="70" t="n">
        <v>3.2</v>
      </c>
      <c r="D71" s="70" t="s">
        <v>53</v>
      </c>
      <c r="E71" s="71" t="n">
        <f aca="false">G71*23.12+H71*23.12+I71*23.12+J71*23.12+K71*11.55+L71*11.55+M71*11.55+N71*16.51+O71*16.51+P71*16.51+Q71*11.55+S71*11.55+T71*15+U71*1.7+V71*1.7+W71*11.55</f>
        <v>16485</v>
      </c>
      <c r="F71" s="72" t="n">
        <f aca="false">G71+H71+I71+J71+K71+L71+M71+N71+O71+P71+Q71+S71+T71+U71+V71+W71</f>
        <v>1082</v>
      </c>
      <c r="G71" s="98" t="n">
        <v>150</v>
      </c>
      <c r="H71" s="99" t="n">
        <v>150</v>
      </c>
      <c r="I71" s="74" t="n">
        <v>0</v>
      </c>
      <c r="J71" s="99" t="n">
        <v>60</v>
      </c>
      <c r="K71" s="98" t="n">
        <v>350</v>
      </c>
      <c r="L71" s="99" t="n">
        <v>350</v>
      </c>
      <c r="M71" s="99" t="n">
        <v>4</v>
      </c>
      <c r="N71" s="73" t="n">
        <v>0</v>
      </c>
      <c r="O71" s="74" t="n">
        <v>0</v>
      </c>
      <c r="P71" s="73" t="n">
        <v>0</v>
      </c>
      <c r="Q71" s="74" t="n">
        <v>0</v>
      </c>
      <c r="R71" s="75" t="n">
        <v>0</v>
      </c>
      <c r="S71" s="74" t="n">
        <v>0</v>
      </c>
      <c r="T71" s="74" t="n">
        <v>0</v>
      </c>
      <c r="U71" s="99" t="n">
        <v>18</v>
      </c>
      <c r="V71" s="74" t="n">
        <v>0</v>
      </c>
      <c r="W71" s="74" t="n">
        <v>0</v>
      </c>
    </row>
    <row r="72" customFormat="false" ht="15" hidden="false" customHeight="false" outlineLevel="0" collapsed="false">
      <c r="A72" s="85" t="s">
        <v>50</v>
      </c>
      <c r="B72" s="77" t="n">
        <v>46088</v>
      </c>
      <c r="C72" s="78" t="n">
        <v>3.2</v>
      </c>
      <c r="D72" s="78" t="s">
        <v>53</v>
      </c>
      <c r="E72" s="79" t="n">
        <f aca="false">G72*23.12+H72*23.12+I72*23.12+J72*23.12+K72*11.55+L72*11.55+M72*11.55+N72*16.51+O72*16.51+P72*16.51+Q72*11.55+S72*11.55+T72*15+U72*1.7+V72*1.7+W72*11.55</f>
        <v>15067.2</v>
      </c>
      <c r="F72" s="80" t="n">
        <f aca="false">G72+H72+I72+J72+K72+L72+M72+N72+O72+P72+Q72+S72+T72+U72+V72+W72</f>
        <v>1004</v>
      </c>
      <c r="G72" s="96" t="n">
        <v>150</v>
      </c>
      <c r="H72" s="97" t="n">
        <v>150</v>
      </c>
      <c r="I72" s="82" t="n">
        <v>0</v>
      </c>
      <c r="J72" s="82" t="n">
        <v>0</v>
      </c>
      <c r="K72" s="96" t="n">
        <v>350</v>
      </c>
      <c r="L72" s="97" t="n">
        <v>350</v>
      </c>
      <c r="M72" s="97" t="n">
        <v>4</v>
      </c>
      <c r="N72" s="81" t="n">
        <v>0</v>
      </c>
      <c r="O72" s="82" t="n">
        <v>0</v>
      </c>
      <c r="P72" s="81" t="n">
        <v>0</v>
      </c>
      <c r="Q72" s="82" t="n">
        <v>0</v>
      </c>
      <c r="R72" s="83" t="n">
        <v>0</v>
      </c>
      <c r="S72" s="82" t="n">
        <v>0</v>
      </c>
      <c r="T72" s="82" t="n">
        <v>0</v>
      </c>
      <c r="U72" s="82" t="n">
        <v>0</v>
      </c>
      <c r="V72" s="82" t="n">
        <v>0</v>
      </c>
      <c r="W72" s="82" t="n">
        <v>0</v>
      </c>
    </row>
    <row r="73" customFormat="false" ht="15" hidden="false" customHeight="false" outlineLevel="0" collapsed="false">
      <c r="A73" s="84" t="s">
        <v>51</v>
      </c>
      <c r="B73" s="69" t="n">
        <v>46089</v>
      </c>
      <c r="C73" s="70" t="n">
        <v>3.2</v>
      </c>
      <c r="D73" s="70" t="s">
        <v>53</v>
      </c>
      <c r="E73" s="71" t="n">
        <f aca="false">G73*23.12+H73*23.12+I73*23.12+J73*23.12+K73*11.55+L73*11.55+M73*11.55+N73*16.51+O73*16.51+P73*16.51+Q73*11.55+S73*11.55+T73*15+U73*1.7+V73*1.7+W73*11.55</f>
        <v>16454.4</v>
      </c>
      <c r="F73" s="72" t="n">
        <f aca="false">G73+H73+I73+J73+K73+L73+M73+N73+O73+P73+Q73+S73+T73+U73+V73+W73</f>
        <v>1064</v>
      </c>
      <c r="G73" s="98" t="n">
        <v>150</v>
      </c>
      <c r="H73" s="99" t="n">
        <v>150</v>
      </c>
      <c r="I73" s="74" t="n">
        <v>0</v>
      </c>
      <c r="J73" s="99" t="n">
        <v>60</v>
      </c>
      <c r="K73" s="98" t="n">
        <v>350</v>
      </c>
      <c r="L73" s="99" t="n">
        <v>350</v>
      </c>
      <c r="M73" s="99" t="n">
        <v>4</v>
      </c>
      <c r="N73" s="73" t="n">
        <v>0</v>
      </c>
      <c r="O73" s="74" t="n">
        <v>0</v>
      </c>
      <c r="P73" s="73" t="n">
        <v>0</v>
      </c>
      <c r="Q73" s="74" t="n">
        <v>0</v>
      </c>
      <c r="R73" s="75" t="n">
        <v>0</v>
      </c>
      <c r="S73" s="74" t="n">
        <v>0</v>
      </c>
      <c r="T73" s="74" t="n">
        <v>0</v>
      </c>
      <c r="U73" s="74" t="n">
        <v>0</v>
      </c>
      <c r="V73" s="74" t="n">
        <v>0</v>
      </c>
      <c r="W73" s="74" t="n">
        <v>0</v>
      </c>
    </row>
    <row r="74" customFormat="false" ht="15" hidden="false" customHeight="false" outlineLevel="0" collapsed="false">
      <c r="A74" s="100" t="s">
        <v>52</v>
      </c>
      <c r="B74" s="101" t="n">
        <v>46090</v>
      </c>
      <c r="C74" s="102" t="n">
        <v>3.3</v>
      </c>
      <c r="D74" s="102" t="s">
        <v>56</v>
      </c>
      <c r="E74" s="103" t="n">
        <f aca="false">G74*23.12+H74*23.12+I74*23.12+J74*23.12+K74*11.55+L74*11.55+M74*11.55+N74*16.51+O74*16.51+P74*16.51+Q74*11.55+S74*11.55+T74*15+U74*1.7+V74*1.7+W74*11.55</f>
        <v>45.9</v>
      </c>
      <c r="F74" s="104" t="n">
        <f aca="false">G74+H74+I74+J74+K74+L74+M74+N74+O74+P74+Q74+S74+T74+U74+V74+W74</f>
        <v>27</v>
      </c>
      <c r="G74" s="105" t="n">
        <v>0</v>
      </c>
      <c r="H74" s="106" t="n">
        <v>0</v>
      </c>
      <c r="I74" s="106" t="n">
        <v>0</v>
      </c>
      <c r="J74" s="106" t="n">
        <v>0</v>
      </c>
      <c r="K74" s="105" t="n">
        <v>0</v>
      </c>
      <c r="L74" s="106" t="n">
        <v>0</v>
      </c>
      <c r="M74" s="106" t="n">
        <v>0</v>
      </c>
      <c r="N74" s="105" t="n">
        <v>0</v>
      </c>
      <c r="O74" s="106" t="n">
        <v>0</v>
      </c>
      <c r="P74" s="105" t="n">
        <v>0</v>
      </c>
      <c r="Q74" s="106" t="n">
        <v>0</v>
      </c>
      <c r="R74" s="109" t="n">
        <v>0</v>
      </c>
      <c r="S74" s="106" t="n">
        <v>0</v>
      </c>
      <c r="T74" s="106" t="n">
        <v>0</v>
      </c>
      <c r="U74" s="108" t="n">
        <v>27</v>
      </c>
      <c r="V74" s="106" t="n">
        <v>0</v>
      </c>
      <c r="W74" s="106" t="n">
        <v>0</v>
      </c>
    </row>
    <row r="75" customFormat="false" ht="15" hidden="false" customHeight="false" outlineLevel="0" collapsed="false">
      <c r="A75" s="68" t="s">
        <v>54</v>
      </c>
      <c r="B75" s="69" t="n">
        <v>46091</v>
      </c>
      <c r="C75" s="70" t="n">
        <v>3.3</v>
      </c>
      <c r="D75" s="70" t="s">
        <v>56</v>
      </c>
      <c r="E75" s="71" t="n">
        <f aca="false">G75*23.12+H75*23.12+I75*23.12+J75*23.12+K75*11.55+L75*11.55+M75*11.55+N75*16.51+O75*16.51+P75*16.51+Q75*11.55+S75*11.55+T75*15+U75*1.7+V75*1.7+W75*11.55</f>
        <v>16454.4</v>
      </c>
      <c r="F75" s="72" t="n">
        <f aca="false">G75+H75+I75+J75+K75+L75+M75+N75+O75+P75+Q75+S75+T75+U75+V75+W75</f>
        <v>1064</v>
      </c>
      <c r="G75" s="98" t="n">
        <v>150</v>
      </c>
      <c r="H75" s="99" t="n">
        <v>150</v>
      </c>
      <c r="I75" s="74" t="n">
        <v>0</v>
      </c>
      <c r="J75" s="99" t="n">
        <v>60</v>
      </c>
      <c r="K75" s="98" t="n">
        <v>350</v>
      </c>
      <c r="L75" s="99" t="n">
        <v>350</v>
      </c>
      <c r="M75" s="99" t="n">
        <v>4</v>
      </c>
      <c r="N75" s="73" t="n">
        <v>0</v>
      </c>
      <c r="O75" s="74" t="n">
        <v>0</v>
      </c>
      <c r="P75" s="73" t="n">
        <v>0</v>
      </c>
      <c r="Q75" s="74" t="n">
        <v>0</v>
      </c>
      <c r="R75" s="116" t="n">
        <v>1467.56</v>
      </c>
      <c r="S75" s="74" t="n">
        <v>0</v>
      </c>
      <c r="T75" s="74" t="n">
        <v>0</v>
      </c>
      <c r="U75" s="74" t="n">
        <v>0</v>
      </c>
      <c r="V75" s="74" t="n">
        <v>0</v>
      </c>
      <c r="W75" s="74" t="n">
        <v>0</v>
      </c>
    </row>
    <row r="76" customFormat="false" ht="15" hidden="false" customHeight="false" outlineLevel="0" collapsed="false">
      <c r="A76" s="76" t="s">
        <v>55</v>
      </c>
      <c r="B76" s="77" t="n">
        <v>46092</v>
      </c>
      <c r="C76" s="78" t="n">
        <v>3.3</v>
      </c>
      <c r="D76" s="78" t="s">
        <v>56</v>
      </c>
      <c r="E76" s="79" t="n">
        <f aca="false">G76*23.12+H76*23.12+I76*23.12+J76*23.12+K76*11.55+L76*11.55+M76*11.55+N76*16.51+O76*16.51+P76*16.51+Q76*11.55+S76*11.55+T76*15+U76*1.7+V76*1.7+W76*11.55</f>
        <v>11634.9</v>
      </c>
      <c r="F76" s="80" t="n">
        <f aca="false">G76+H76+I76+J76+K76+L76+M76+N76+O76+P76+Q76+S76+T76+U76+V76+W76</f>
        <v>875</v>
      </c>
      <c r="G76" s="81" t="n">
        <v>0</v>
      </c>
      <c r="H76" s="97" t="n">
        <v>150</v>
      </c>
      <c r="I76" s="82" t="n">
        <v>0</v>
      </c>
      <c r="J76" s="82" t="n">
        <v>0</v>
      </c>
      <c r="K76" s="96" t="n">
        <v>350</v>
      </c>
      <c r="L76" s="97" t="n">
        <v>350</v>
      </c>
      <c r="M76" s="97" t="n">
        <v>4</v>
      </c>
      <c r="N76" s="81" t="n">
        <v>0</v>
      </c>
      <c r="O76" s="82" t="n">
        <v>0</v>
      </c>
      <c r="P76" s="81" t="n">
        <v>0</v>
      </c>
      <c r="Q76" s="82" t="n">
        <v>0</v>
      </c>
      <c r="R76" s="83" t="n">
        <v>0</v>
      </c>
      <c r="S76" s="82" t="n">
        <v>0</v>
      </c>
      <c r="T76" s="82" t="n">
        <v>0</v>
      </c>
      <c r="U76" s="97" t="n">
        <v>21</v>
      </c>
      <c r="V76" s="82" t="n">
        <v>0</v>
      </c>
      <c r="W76" s="82" t="n">
        <v>0</v>
      </c>
    </row>
    <row r="77" customFormat="false" ht="15" hidden="false" customHeight="false" outlineLevel="0" collapsed="false">
      <c r="A77" s="68" t="s">
        <v>47</v>
      </c>
      <c r="B77" s="69" t="n">
        <v>46093</v>
      </c>
      <c r="C77" s="70" t="n">
        <v>3.3</v>
      </c>
      <c r="D77" s="70" t="s">
        <v>56</v>
      </c>
      <c r="E77" s="71" t="n">
        <f aca="false">G77*23.12+H77*23.12+I77*23.12+J77*23.12+K77*11.55+L77*11.55+M77*11.55+N77*16.51+O77*16.51+P77*16.51+Q77*11.55+S77*11.55+T77*15+U77*1.7+V77*1.7+W77*11.55</f>
        <v>15308.45</v>
      </c>
      <c r="F77" s="72" t="n">
        <f aca="false">G77+H77+I77+J77+K77+L77+M77+N77+O77+P77+Q77+S77+T77+U77+V77+W77</f>
        <v>1059</v>
      </c>
      <c r="G77" s="98" t="n">
        <v>150</v>
      </c>
      <c r="H77" s="99" t="n">
        <v>150</v>
      </c>
      <c r="I77" s="74" t="n">
        <v>0</v>
      </c>
      <c r="J77" s="74" t="n">
        <v>0</v>
      </c>
      <c r="K77" s="98" t="n">
        <v>365</v>
      </c>
      <c r="L77" s="99" t="n">
        <v>350</v>
      </c>
      <c r="M77" s="99" t="n">
        <v>4</v>
      </c>
      <c r="N77" s="73" t="n">
        <v>0</v>
      </c>
      <c r="O77" s="74" t="n">
        <v>0</v>
      </c>
      <c r="P77" s="73" t="n">
        <v>0</v>
      </c>
      <c r="Q77" s="74" t="n">
        <v>0</v>
      </c>
      <c r="R77" s="75" t="n">
        <v>0</v>
      </c>
      <c r="S77" s="74" t="n">
        <v>0</v>
      </c>
      <c r="T77" s="74" t="n">
        <v>0</v>
      </c>
      <c r="U77" s="99" t="n">
        <v>40</v>
      </c>
      <c r="V77" s="74" t="n">
        <v>0</v>
      </c>
      <c r="W77" s="74" t="n">
        <v>0</v>
      </c>
    </row>
    <row r="78" customFormat="false" ht="15" hidden="false" customHeight="false" outlineLevel="0" collapsed="false">
      <c r="A78" s="76" t="s">
        <v>49</v>
      </c>
      <c r="B78" s="77" t="n">
        <v>46094</v>
      </c>
      <c r="C78" s="78" t="n">
        <v>3.3</v>
      </c>
      <c r="D78" s="78" t="s">
        <v>56</v>
      </c>
      <c r="E78" s="79" t="n">
        <f aca="false">G78*23.12+H78*23.12+I78*23.12+J78*23.12+K78*11.55+L78*11.55+M78*11.55+N78*16.51+O78*16.51+P78*16.51+Q78*11.55+S78*11.55+T78*15+U78*1.7+V78*1.7+W78*11.55</f>
        <v>16656.2</v>
      </c>
      <c r="F78" s="80" t="n">
        <f aca="false">G78+H78+I78+J78+K78+L78+M78+N78+O78+P78+Q78+S78+T78+U78+V78+W78</f>
        <v>1090</v>
      </c>
      <c r="G78" s="96" t="n">
        <v>150</v>
      </c>
      <c r="H78" s="97" t="n">
        <v>150</v>
      </c>
      <c r="I78" s="82" t="n">
        <v>0</v>
      </c>
      <c r="J78" s="97" t="n">
        <v>60</v>
      </c>
      <c r="K78" s="96" t="n">
        <v>358</v>
      </c>
      <c r="L78" s="97" t="n">
        <v>358</v>
      </c>
      <c r="M78" s="97" t="n">
        <v>4</v>
      </c>
      <c r="N78" s="81" t="n">
        <v>0</v>
      </c>
      <c r="O78" s="82" t="n">
        <v>0</v>
      </c>
      <c r="P78" s="81" t="n">
        <v>0</v>
      </c>
      <c r="Q78" s="82" t="n">
        <v>0</v>
      </c>
      <c r="R78" s="83" t="n">
        <v>0</v>
      </c>
      <c r="S78" s="82" t="n">
        <v>0</v>
      </c>
      <c r="T78" s="82" t="n">
        <v>0</v>
      </c>
      <c r="U78" s="97" t="n">
        <v>10</v>
      </c>
      <c r="V78" s="82" t="n">
        <v>0</v>
      </c>
      <c r="W78" s="82" t="n">
        <v>0</v>
      </c>
    </row>
    <row r="79" customFormat="false" ht="15" hidden="false" customHeight="false" outlineLevel="0" collapsed="false">
      <c r="A79" s="84" t="s">
        <v>50</v>
      </c>
      <c r="B79" s="69" t="n">
        <v>46095</v>
      </c>
      <c r="C79" s="70" t="n">
        <v>3.3</v>
      </c>
      <c r="D79" s="70" t="s">
        <v>56</v>
      </c>
      <c r="E79" s="71" t="n">
        <f aca="false">G79*23.12+H79*23.12+I79*23.12+J79*23.12+K79*11.55+L79*11.55+M79*11.55+N79*16.51+O79*16.51+P79*16.51+Q79*11.55+S79*11.55+T79*15+U79*1.7+V79*1.7+W79*11.55</f>
        <v>16407.8</v>
      </c>
      <c r="F79" s="72" t="n">
        <f aca="false">G79+H79+I79+J79+K79+L79+M79+N79+O79+P79+Q79+S79+T79+U79+V79+W79</f>
        <v>1080</v>
      </c>
      <c r="G79" s="98" t="n">
        <v>140</v>
      </c>
      <c r="H79" s="99" t="n">
        <v>140</v>
      </c>
      <c r="I79" s="74" t="n">
        <v>0</v>
      </c>
      <c r="J79" s="99" t="n">
        <v>60</v>
      </c>
      <c r="K79" s="98" t="n">
        <v>368</v>
      </c>
      <c r="L79" s="99" t="n">
        <v>368</v>
      </c>
      <c r="M79" s="99" t="n">
        <v>4</v>
      </c>
      <c r="N79" s="73" t="n">
        <v>0</v>
      </c>
      <c r="O79" s="74" t="n">
        <v>0</v>
      </c>
      <c r="P79" s="73" t="n">
        <v>0</v>
      </c>
      <c r="Q79" s="74" t="n">
        <v>0</v>
      </c>
      <c r="R79" s="75" t="n">
        <v>0</v>
      </c>
      <c r="S79" s="74" t="n">
        <v>0</v>
      </c>
      <c r="T79" s="74" t="n">
        <v>0</v>
      </c>
      <c r="U79" s="74" t="n">
        <v>0</v>
      </c>
      <c r="V79" s="74" t="n">
        <v>0</v>
      </c>
      <c r="W79" s="74" t="n">
        <v>0</v>
      </c>
    </row>
    <row r="80" customFormat="false" ht="15" hidden="false" customHeight="false" outlineLevel="0" collapsed="false">
      <c r="A80" s="85" t="s">
        <v>51</v>
      </c>
      <c r="B80" s="77" t="n">
        <v>46096</v>
      </c>
      <c r="C80" s="78" t="n">
        <v>3.3</v>
      </c>
      <c r="D80" s="78" t="s">
        <v>56</v>
      </c>
      <c r="E80" s="79" t="n">
        <f aca="false">G80*23.12+H80*23.12+I80*23.12+J80*23.12+K80*11.55+L80*11.55+M80*11.55+N80*16.51+O80*16.51+P80*16.51+Q80*11.55+S80*11.55+T80*15+U80*1.7+V80*1.7+W80*11.55</f>
        <v>11830.2</v>
      </c>
      <c r="F80" s="80" t="n">
        <f aca="false">G80+H80+I80+J80+K80+L80+M80+N80+O80+P80+Q80+S80+T80+U80+V80+W80</f>
        <v>874</v>
      </c>
      <c r="G80" s="96" t="n">
        <v>75</v>
      </c>
      <c r="H80" s="97" t="n">
        <v>75</v>
      </c>
      <c r="I80" s="82" t="n">
        <v>0</v>
      </c>
      <c r="J80" s="82" t="n">
        <v>0</v>
      </c>
      <c r="K80" s="96" t="n">
        <v>360</v>
      </c>
      <c r="L80" s="97" t="n">
        <v>360</v>
      </c>
      <c r="M80" s="97" t="n">
        <v>4</v>
      </c>
      <c r="N80" s="81" t="n">
        <v>0</v>
      </c>
      <c r="O80" s="82" t="n">
        <v>0</v>
      </c>
      <c r="P80" s="81" t="n">
        <v>0</v>
      </c>
      <c r="Q80" s="82" t="n">
        <v>0</v>
      </c>
      <c r="R80" s="83" t="n">
        <v>0</v>
      </c>
      <c r="S80" s="82" t="n">
        <v>0</v>
      </c>
      <c r="T80" s="82" t="n">
        <v>0</v>
      </c>
      <c r="U80" s="82" t="n">
        <v>0</v>
      </c>
      <c r="V80" s="82" t="n">
        <v>0</v>
      </c>
      <c r="W80" s="82" t="n">
        <v>0</v>
      </c>
    </row>
    <row r="81" customFormat="false" ht="15" hidden="false" customHeight="false" outlineLevel="0" collapsed="false">
      <c r="A81" s="86" t="s">
        <v>52</v>
      </c>
      <c r="B81" s="87" t="n">
        <v>46097</v>
      </c>
      <c r="C81" s="88" t="n">
        <v>3.4</v>
      </c>
      <c r="D81" s="88" t="s">
        <v>57</v>
      </c>
      <c r="E81" s="89" t="n">
        <f aca="false">G81*23.12+H81*23.12+I81*23.12+J81*23.12+K81*11.55+L81*11.55+M81*11.55+N81*16.51+O81*16.51+P81*16.51+Q81*11.55+S81*11.55+T81*15+U81*1.7+V81*1.7+W81*11.55</f>
        <v>12136.2</v>
      </c>
      <c r="F81" s="90" t="n">
        <f aca="false">G81+H81+I81+J81+K81+L81+M81+N81+O81+P81+Q81+S81+T81+U81+V81+W81</f>
        <v>1054</v>
      </c>
      <c r="G81" s="93" t="n">
        <v>75</v>
      </c>
      <c r="H81" s="94" t="n">
        <v>75</v>
      </c>
      <c r="I81" s="92" t="n">
        <v>0</v>
      </c>
      <c r="J81" s="92" t="n">
        <v>0</v>
      </c>
      <c r="K81" s="93" t="n">
        <v>360</v>
      </c>
      <c r="L81" s="94" t="n">
        <v>360</v>
      </c>
      <c r="M81" s="94" t="n">
        <v>4</v>
      </c>
      <c r="N81" s="91" t="n">
        <v>0</v>
      </c>
      <c r="O81" s="92" t="n">
        <v>0</v>
      </c>
      <c r="P81" s="91" t="n">
        <v>0</v>
      </c>
      <c r="Q81" s="92" t="n">
        <v>0</v>
      </c>
      <c r="R81" s="95" t="n">
        <v>0</v>
      </c>
      <c r="S81" s="92" t="n">
        <v>0</v>
      </c>
      <c r="T81" s="92" t="n">
        <v>0</v>
      </c>
      <c r="U81" s="92" t="n">
        <v>0</v>
      </c>
      <c r="V81" s="94" t="n">
        <v>180</v>
      </c>
      <c r="W81" s="92" t="n">
        <v>0</v>
      </c>
    </row>
    <row r="82" customFormat="false" ht="15" hidden="false" customHeight="false" outlineLevel="0" collapsed="false">
      <c r="A82" s="76" t="s">
        <v>54</v>
      </c>
      <c r="B82" s="77" t="n">
        <v>46098</v>
      </c>
      <c r="C82" s="78" t="n">
        <v>3.4</v>
      </c>
      <c r="D82" s="78" t="s">
        <v>57</v>
      </c>
      <c r="E82" s="79" t="n">
        <f aca="false">G82*23.12+H82*23.12+I82*23.12+J82*23.12+K82*11.55+L82*11.55+M82*11.55+N82*16.51+O82*16.51+P82*16.51+Q82*11.55+S82*11.55+T82*15+U82*1.7+V82*1.7+W82*11.55</f>
        <v>0</v>
      </c>
      <c r="F82" s="80" t="n">
        <f aca="false">G82+H82+I82+J82+K82+L82+M82+N82+O82+P82+Q82+S82+T82+U82+V82+W82</f>
        <v>0</v>
      </c>
      <c r="G82" s="81" t="n">
        <v>0</v>
      </c>
      <c r="H82" s="82" t="n">
        <v>0</v>
      </c>
      <c r="I82" s="82" t="n">
        <v>0</v>
      </c>
      <c r="J82" s="82" t="n">
        <v>0</v>
      </c>
      <c r="K82" s="81" t="n">
        <v>0</v>
      </c>
      <c r="L82" s="82" t="n">
        <v>0</v>
      </c>
      <c r="M82" s="82" t="n">
        <v>0</v>
      </c>
      <c r="N82" s="81" t="n">
        <v>0</v>
      </c>
      <c r="O82" s="82" t="n">
        <v>0</v>
      </c>
      <c r="P82" s="81" t="n">
        <v>0</v>
      </c>
      <c r="Q82" s="82" t="n">
        <v>0</v>
      </c>
      <c r="R82" s="83" t="n">
        <v>0</v>
      </c>
      <c r="S82" s="82" t="n">
        <v>0</v>
      </c>
      <c r="T82" s="82" t="n">
        <v>0</v>
      </c>
      <c r="U82" s="82" t="n">
        <v>0</v>
      </c>
      <c r="V82" s="82" t="n">
        <v>0</v>
      </c>
      <c r="W82" s="82" t="n">
        <v>0</v>
      </c>
    </row>
    <row r="83" customFormat="false" ht="15" hidden="false" customHeight="false" outlineLevel="0" collapsed="false">
      <c r="A83" s="68" t="s">
        <v>55</v>
      </c>
      <c r="B83" s="69" t="n">
        <v>46099</v>
      </c>
      <c r="C83" s="70" t="n">
        <v>3.4</v>
      </c>
      <c r="D83" s="70" t="s">
        <v>57</v>
      </c>
      <c r="E83" s="71" t="n">
        <f aca="false">G83*23.12+H83*23.12+I83*23.12+J83*23.12+K83*11.55+L83*11.55+M83*11.55+N83*16.51+O83*16.51+P83*16.51+Q83*11.55+S83*11.55+T83*15+U83*1.7+V83*1.7+W83*11.55</f>
        <v>15529.6</v>
      </c>
      <c r="F83" s="72" t="n">
        <f aca="false">G83+H83+I83+J83+K83+L83+M83+N83+O83+P83+Q83+S83+T83+U83+V83+W83</f>
        <v>1024</v>
      </c>
      <c r="G83" s="98" t="n">
        <v>130</v>
      </c>
      <c r="H83" s="99" t="n">
        <v>130</v>
      </c>
      <c r="I83" s="74" t="n">
        <v>0</v>
      </c>
      <c r="J83" s="99" t="n">
        <v>60</v>
      </c>
      <c r="K83" s="98" t="n">
        <v>350</v>
      </c>
      <c r="L83" s="99" t="n">
        <v>350</v>
      </c>
      <c r="M83" s="99" t="n">
        <v>4</v>
      </c>
      <c r="N83" s="73" t="n">
        <v>0</v>
      </c>
      <c r="O83" s="74" t="n">
        <v>0</v>
      </c>
      <c r="P83" s="73" t="n">
        <v>0</v>
      </c>
      <c r="Q83" s="74" t="n">
        <v>0</v>
      </c>
      <c r="R83" s="75" t="n">
        <v>0</v>
      </c>
      <c r="S83" s="74" t="n">
        <v>0</v>
      </c>
      <c r="T83" s="74" t="n">
        <v>0</v>
      </c>
      <c r="U83" s="74" t="n">
        <v>0</v>
      </c>
      <c r="V83" s="74" t="n">
        <v>0</v>
      </c>
      <c r="W83" s="74" t="n">
        <v>0</v>
      </c>
    </row>
    <row r="84" customFormat="false" ht="15" hidden="false" customHeight="false" outlineLevel="0" collapsed="false">
      <c r="A84" s="76" t="s">
        <v>47</v>
      </c>
      <c r="B84" s="77" t="n">
        <v>46100</v>
      </c>
      <c r="C84" s="78" t="n">
        <v>3.4</v>
      </c>
      <c r="D84" s="78" t="s">
        <v>57</v>
      </c>
      <c r="E84" s="79" t="n">
        <f aca="false">G84*23.12+H84*23.12+I84*23.12+J84*23.12+K84*11.55+L84*11.55+M84*11.55+N84*16.51+O84*16.51+P84*16.51+Q84*11.55+S84*11.55+T84*15+U84*1.7+V84*1.7+W84*11.55</f>
        <v>15835.6</v>
      </c>
      <c r="F84" s="80" t="n">
        <f aca="false">G84+H84+I84+J84+K84+L84+M84+N84+O84+P84+Q84+S84+T84+U84+V84+W84</f>
        <v>1204</v>
      </c>
      <c r="G84" s="96" t="n">
        <v>130</v>
      </c>
      <c r="H84" s="97" t="n">
        <v>130</v>
      </c>
      <c r="I84" s="82" t="n">
        <v>0</v>
      </c>
      <c r="J84" s="97" t="n">
        <v>60</v>
      </c>
      <c r="K84" s="96" t="n">
        <v>350</v>
      </c>
      <c r="L84" s="97" t="n">
        <v>350</v>
      </c>
      <c r="M84" s="97" t="n">
        <v>4</v>
      </c>
      <c r="N84" s="81" t="n">
        <v>0</v>
      </c>
      <c r="O84" s="82" t="n">
        <v>0</v>
      </c>
      <c r="P84" s="81" t="n">
        <v>0</v>
      </c>
      <c r="Q84" s="82" t="n">
        <v>0</v>
      </c>
      <c r="R84" s="83" t="n">
        <v>0</v>
      </c>
      <c r="S84" s="82" t="n">
        <v>0</v>
      </c>
      <c r="T84" s="82" t="n">
        <v>0</v>
      </c>
      <c r="U84" s="82" t="n">
        <v>0</v>
      </c>
      <c r="V84" s="97" t="n">
        <v>180</v>
      </c>
      <c r="W84" s="82" t="n">
        <v>0</v>
      </c>
    </row>
    <row r="85" customFormat="false" ht="15" hidden="false" customHeight="false" outlineLevel="0" collapsed="false">
      <c r="A85" s="68" t="s">
        <v>49</v>
      </c>
      <c r="B85" s="69" t="n">
        <v>46101</v>
      </c>
      <c r="C85" s="70" t="n">
        <v>3.4</v>
      </c>
      <c r="D85" s="70" t="s">
        <v>57</v>
      </c>
      <c r="E85" s="71" t="n">
        <f aca="false">G85*23.12+H85*23.12+I85*23.12+J85*23.12+K85*11.55+L85*11.55+M85*11.55+N85*16.51+O85*16.51+P85*16.51+Q85*11.55+S85*11.55+T85*15+U85*1.7+V85*1.7+W85*11.55</f>
        <v>14142.4</v>
      </c>
      <c r="F85" s="72" t="n">
        <f aca="false">G85+H85+I85+J85+K85+L85+M85+N85+O85+P85+Q85+S85+T85+U85+V85+W85</f>
        <v>964</v>
      </c>
      <c r="G85" s="98" t="n">
        <v>130</v>
      </c>
      <c r="H85" s="99" t="n">
        <v>130</v>
      </c>
      <c r="I85" s="74" t="n">
        <v>0</v>
      </c>
      <c r="J85" s="74" t="n">
        <v>0</v>
      </c>
      <c r="K85" s="98" t="n">
        <v>350</v>
      </c>
      <c r="L85" s="99" t="n">
        <v>350</v>
      </c>
      <c r="M85" s="99" t="n">
        <v>4</v>
      </c>
      <c r="N85" s="73" t="n">
        <v>0</v>
      </c>
      <c r="O85" s="74" t="n">
        <v>0</v>
      </c>
      <c r="P85" s="73" t="n">
        <v>0</v>
      </c>
      <c r="Q85" s="74" t="n">
        <v>0</v>
      </c>
      <c r="R85" s="75" t="n">
        <v>0</v>
      </c>
      <c r="S85" s="74" t="n">
        <v>0</v>
      </c>
      <c r="T85" s="74" t="n">
        <v>0</v>
      </c>
      <c r="U85" s="74" t="n">
        <v>0</v>
      </c>
      <c r="V85" s="74" t="n">
        <v>0</v>
      </c>
      <c r="W85" s="74" t="n">
        <v>0</v>
      </c>
    </row>
    <row r="86" customFormat="false" ht="15" hidden="false" customHeight="false" outlineLevel="0" collapsed="false">
      <c r="A86" s="85" t="s">
        <v>50</v>
      </c>
      <c r="B86" s="77" t="n">
        <v>46102</v>
      </c>
      <c r="C86" s="78" t="n">
        <v>3.4</v>
      </c>
      <c r="D86" s="78" t="s">
        <v>57</v>
      </c>
      <c r="E86" s="79" t="n">
        <f aca="false">G86*23.12+H86*23.12+I86*23.12+J86*23.12+K86*11.55+L86*11.55+M86*11.55+N86*16.51+O86*16.51+P86*16.51+Q86*11.55+S86*11.55+T86*15+U86*1.7+V86*1.7+W86*11.55</f>
        <v>14142.4</v>
      </c>
      <c r="F86" s="80" t="n">
        <f aca="false">G86+H86+I86+J86+K86+L86+M86+N86+O86+P86+Q86+S86+T86+U86+V86+W86</f>
        <v>964</v>
      </c>
      <c r="G86" s="96" t="n">
        <v>130</v>
      </c>
      <c r="H86" s="97" t="n">
        <v>130</v>
      </c>
      <c r="I86" s="82" t="n">
        <v>0</v>
      </c>
      <c r="J86" s="82" t="n">
        <v>0</v>
      </c>
      <c r="K86" s="96" t="n">
        <v>350</v>
      </c>
      <c r="L86" s="97" t="n">
        <v>350</v>
      </c>
      <c r="M86" s="97" t="n">
        <v>4</v>
      </c>
      <c r="N86" s="81" t="n">
        <v>0</v>
      </c>
      <c r="O86" s="82" t="n">
        <v>0</v>
      </c>
      <c r="P86" s="81" t="n">
        <v>0</v>
      </c>
      <c r="Q86" s="82" t="n">
        <v>0</v>
      </c>
      <c r="R86" s="83" t="n">
        <v>0</v>
      </c>
      <c r="S86" s="82" t="n">
        <v>0</v>
      </c>
      <c r="T86" s="82" t="n">
        <v>0</v>
      </c>
      <c r="U86" s="82" t="n">
        <v>0</v>
      </c>
      <c r="V86" s="82" t="n">
        <v>0</v>
      </c>
      <c r="W86" s="82" t="n">
        <v>0</v>
      </c>
    </row>
    <row r="87" customFormat="false" ht="15" hidden="false" customHeight="false" outlineLevel="0" collapsed="false">
      <c r="A87" s="84" t="s">
        <v>51</v>
      </c>
      <c r="B87" s="69" t="n">
        <v>46103</v>
      </c>
      <c r="C87" s="70" t="n">
        <v>3.4</v>
      </c>
      <c r="D87" s="70" t="s">
        <v>57</v>
      </c>
      <c r="E87" s="71" t="n">
        <f aca="false">G87*23.12+H87*23.12+I87*23.12+J87*23.12+K87*11.55+L87*11.55+M87*11.55+N87*16.51+O87*16.51+P87*16.51+Q87*11.55+S87*11.55+T87*15+U87*1.7+V87*1.7+W87*11.55</f>
        <v>15529.6</v>
      </c>
      <c r="F87" s="72" t="n">
        <f aca="false">G87+H87+I87+J87+K87+L87+M87+N87+O87+P87+Q87+S87+T87+U87+V87+W87</f>
        <v>1024</v>
      </c>
      <c r="G87" s="98" t="n">
        <v>130</v>
      </c>
      <c r="H87" s="99" t="n">
        <v>130</v>
      </c>
      <c r="I87" s="74" t="n">
        <v>0</v>
      </c>
      <c r="J87" s="99" t="n">
        <v>60</v>
      </c>
      <c r="K87" s="98" t="n">
        <v>350</v>
      </c>
      <c r="L87" s="99" t="n">
        <v>350</v>
      </c>
      <c r="M87" s="99" t="n">
        <v>4</v>
      </c>
      <c r="N87" s="73" t="n">
        <v>0</v>
      </c>
      <c r="O87" s="74" t="n">
        <v>0</v>
      </c>
      <c r="P87" s="73" t="n">
        <v>0</v>
      </c>
      <c r="Q87" s="74" t="n">
        <v>0</v>
      </c>
      <c r="R87" s="75" t="n">
        <v>0</v>
      </c>
      <c r="S87" s="74" t="n">
        <v>0</v>
      </c>
      <c r="T87" s="74" t="n">
        <v>0</v>
      </c>
      <c r="U87" s="74" t="n">
        <v>0</v>
      </c>
      <c r="V87" s="74" t="n">
        <v>0</v>
      </c>
      <c r="W87" s="74" t="n">
        <v>0</v>
      </c>
    </row>
    <row r="88" customFormat="false" ht="15" hidden="false" customHeight="false" outlineLevel="0" collapsed="false">
      <c r="A88" s="100" t="s">
        <v>52</v>
      </c>
      <c r="B88" s="101" t="n">
        <v>46104</v>
      </c>
      <c r="C88" s="102" t="n">
        <v>4.1</v>
      </c>
      <c r="D88" s="102" t="s">
        <v>48</v>
      </c>
      <c r="E88" s="103" t="n">
        <f aca="false">G88*23.12+H88*23.12+I88*23.12+J88*23.12+K88*11.55+L88*11.55+M88*11.55+N88*16.51+O88*16.51+P88*16.51+Q88*11.55+S88*11.55+T88*15+U88*1.7+V88*1.7+W88*11.55</f>
        <v>8251.2</v>
      </c>
      <c r="F88" s="104" t="n">
        <f aca="false">G88+H88+I88+J88+K88+L88+M88+N88+O88+P88+Q88+S88+T88+U88+V88+W88</f>
        <v>489</v>
      </c>
      <c r="G88" s="107" t="n">
        <v>75</v>
      </c>
      <c r="H88" s="108" t="n">
        <v>75</v>
      </c>
      <c r="I88" s="106" t="n">
        <v>0</v>
      </c>
      <c r="J88" s="108" t="n">
        <v>75</v>
      </c>
      <c r="K88" s="107" t="n">
        <v>130</v>
      </c>
      <c r="L88" s="108" t="n">
        <v>130</v>
      </c>
      <c r="M88" s="108" t="n">
        <v>4</v>
      </c>
      <c r="N88" s="105" t="n">
        <v>0</v>
      </c>
      <c r="O88" s="106" t="n">
        <v>0</v>
      </c>
      <c r="P88" s="105" t="n">
        <v>0</v>
      </c>
      <c r="Q88" s="106" t="n">
        <v>0</v>
      </c>
      <c r="R88" s="109" t="n">
        <v>0</v>
      </c>
      <c r="S88" s="106" t="n">
        <v>0</v>
      </c>
      <c r="T88" s="106" t="n">
        <v>0</v>
      </c>
      <c r="U88" s="106" t="n">
        <v>0</v>
      </c>
      <c r="V88" s="106" t="n">
        <v>0</v>
      </c>
      <c r="W88" s="106" t="n">
        <v>0</v>
      </c>
    </row>
    <row r="89" customFormat="false" ht="15" hidden="false" customHeight="false" outlineLevel="0" collapsed="false">
      <c r="A89" s="68" t="s">
        <v>54</v>
      </c>
      <c r="B89" s="69" t="n">
        <v>46105</v>
      </c>
      <c r="C89" s="70" t="n">
        <v>4.1</v>
      </c>
      <c r="D89" s="70" t="s">
        <v>48</v>
      </c>
      <c r="E89" s="71" t="n">
        <f aca="false">G89*23.12+H89*23.12+I89*23.12+J89*23.12+K89*11.55+L89*11.55+M89*11.55+N89*16.51+O89*16.51+P89*16.51+Q89*11.55+S89*11.55+T89*15+U89*1.7+V89*1.7+W89*11.55</f>
        <v>6167.7</v>
      </c>
      <c r="F89" s="72" t="n">
        <f aca="false">G89+H89+I89+J89+K89+L89+M89+N89+O89+P89+Q89+S89+T89+U89+V89+W89</f>
        <v>534</v>
      </c>
      <c r="G89" s="73" t="n">
        <v>0</v>
      </c>
      <c r="H89" s="74" t="n">
        <v>0</v>
      </c>
      <c r="I89" s="74" t="n">
        <v>0</v>
      </c>
      <c r="J89" s="74" t="n">
        <v>0</v>
      </c>
      <c r="K89" s="98" t="n">
        <v>265</v>
      </c>
      <c r="L89" s="99" t="n">
        <v>265</v>
      </c>
      <c r="M89" s="99" t="n">
        <v>4</v>
      </c>
      <c r="N89" s="73" t="n">
        <v>0</v>
      </c>
      <c r="O89" s="74" t="n">
        <v>0</v>
      </c>
      <c r="P89" s="73" t="n">
        <v>0</v>
      </c>
      <c r="Q89" s="74" t="n">
        <v>0</v>
      </c>
      <c r="R89" s="75" t="n">
        <v>0</v>
      </c>
      <c r="S89" s="74" t="n">
        <v>0</v>
      </c>
      <c r="T89" s="74" t="n">
        <v>0</v>
      </c>
      <c r="U89" s="74" t="n">
        <v>0</v>
      </c>
      <c r="V89" s="74" t="n">
        <v>0</v>
      </c>
      <c r="W89" s="74" t="n">
        <v>0</v>
      </c>
    </row>
    <row r="90" customFormat="false" ht="15" hidden="false" customHeight="false" outlineLevel="0" collapsed="false">
      <c r="A90" s="76" t="s">
        <v>55</v>
      </c>
      <c r="B90" s="77" t="n">
        <v>46106</v>
      </c>
      <c r="C90" s="78" t="n">
        <v>4.1</v>
      </c>
      <c r="D90" s="78" t="s">
        <v>48</v>
      </c>
      <c r="E90" s="79" t="n">
        <f aca="false">G90*23.12+H90*23.12+I90*23.12+J90*23.12+K90*11.55+L90*11.55+M90*11.55+N90*16.51+O90*16.51+P90*16.51+Q90*11.55+S90*11.55+T90*15+U90*1.7+V90*1.7+W90*11.55</f>
        <v>6167.7</v>
      </c>
      <c r="F90" s="80" t="n">
        <f aca="false">G90+H90+I90+J90+K90+L90+M90+N90+O90+P90+Q90+S90+T90+U90+V90+W90</f>
        <v>534</v>
      </c>
      <c r="G90" s="81" t="n">
        <v>0</v>
      </c>
      <c r="H90" s="82" t="n">
        <v>0</v>
      </c>
      <c r="I90" s="82" t="n">
        <v>0</v>
      </c>
      <c r="J90" s="82" t="n">
        <v>0</v>
      </c>
      <c r="K90" s="96" t="n">
        <v>265</v>
      </c>
      <c r="L90" s="97" t="n">
        <v>265</v>
      </c>
      <c r="M90" s="97" t="n">
        <v>4</v>
      </c>
      <c r="N90" s="81" t="n">
        <v>0</v>
      </c>
      <c r="O90" s="82" t="n">
        <v>0</v>
      </c>
      <c r="P90" s="81" t="n">
        <v>0</v>
      </c>
      <c r="Q90" s="82" t="n">
        <v>0</v>
      </c>
      <c r="R90" s="83" t="n">
        <v>0</v>
      </c>
      <c r="S90" s="82" t="n">
        <v>0</v>
      </c>
      <c r="T90" s="82" t="n">
        <v>0</v>
      </c>
      <c r="U90" s="82" t="n">
        <v>0</v>
      </c>
      <c r="V90" s="82" t="n">
        <v>0</v>
      </c>
      <c r="W90" s="82" t="n">
        <v>0</v>
      </c>
    </row>
    <row r="91" customFormat="false" ht="15" hidden="false" customHeight="false" outlineLevel="0" collapsed="false">
      <c r="A91" s="68" t="s">
        <v>47</v>
      </c>
      <c r="B91" s="69" t="n">
        <v>46107</v>
      </c>
      <c r="C91" s="70" t="n">
        <v>4.1</v>
      </c>
      <c r="D91" s="70" t="s">
        <v>48</v>
      </c>
      <c r="E91" s="71" t="n">
        <f aca="false">G91*23.12+H91*23.12+I91*23.12+J91*23.12+K91*11.55+L91*11.55+M91*11.55+N91*16.51+O91*16.51+P91*16.51+Q91*11.55+S91*11.55+T91*15+U91*1.7+V91*1.7+W91*11.55</f>
        <v>6167.7</v>
      </c>
      <c r="F91" s="72" t="n">
        <f aca="false">G91+H91+I91+J91+K91+L91+M91+N91+O91+P91+Q91+S91+T91+U91+V91+W91</f>
        <v>534</v>
      </c>
      <c r="G91" s="73" t="n">
        <v>0</v>
      </c>
      <c r="H91" s="74" t="n">
        <v>0</v>
      </c>
      <c r="I91" s="74" t="n">
        <v>0</v>
      </c>
      <c r="J91" s="74" t="n">
        <v>0</v>
      </c>
      <c r="K91" s="98" t="n">
        <v>265</v>
      </c>
      <c r="L91" s="99" t="n">
        <v>265</v>
      </c>
      <c r="M91" s="99" t="n">
        <v>4</v>
      </c>
      <c r="N91" s="73" t="n">
        <v>0</v>
      </c>
      <c r="O91" s="74" t="n">
        <v>0</v>
      </c>
      <c r="P91" s="73" t="n">
        <v>0</v>
      </c>
      <c r="Q91" s="74" t="n">
        <v>0</v>
      </c>
      <c r="R91" s="75" t="n">
        <v>0</v>
      </c>
      <c r="S91" s="74" t="n">
        <v>0</v>
      </c>
      <c r="T91" s="74" t="n">
        <v>0</v>
      </c>
      <c r="U91" s="74" t="n">
        <v>0</v>
      </c>
      <c r="V91" s="74" t="n">
        <v>0</v>
      </c>
      <c r="W91" s="74" t="n">
        <v>0</v>
      </c>
    </row>
    <row r="92" customFormat="false" ht="15" hidden="false" customHeight="false" outlineLevel="0" collapsed="false">
      <c r="A92" s="76" t="s">
        <v>49</v>
      </c>
      <c r="B92" s="77" t="n">
        <v>46108</v>
      </c>
      <c r="C92" s="78" t="n">
        <v>4.1</v>
      </c>
      <c r="D92" s="78" t="s">
        <v>48</v>
      </c>
      <c r="E92" s="79" t="n">
        <f aca="false">G92*23.12+H92*23.12+I92*23.12+J92*23.12+K92*11.55+L92*11.55+M92*11.55+N92*16.51+O92*16.51+P92*16.51+Q92*11.55+S92*11.55+T92*15+U92*1.7+V92*1.7+W92*11.55</f>
        <v>6167.7</v>
      </c>
      <c r="F92" s="80" t="n">
        <f aca="false">G92+H92+I92+J92+K92+L92+M92+N92+O92+P92+Q92+S92+T92+U92+V92+W92</f>
        <v>534</v>
      </c>
      <c r="G92" s="81" t="n">
        <v>0</v>
      </c>
      <c r="H92" s="82" t="n">
        <v>0</v>
      </c>
      <c r="I92" s="82" t="n">
        <v>0</v>
      </c>
      <c r="J92" s="82" t="n">
        <v>0</v>
      </c>
      <c r="K92" s="96" t="n">
        <v>265</v>
      </c>
      <c r="L92" s="97" t="n">
        <v>265</v>
      </c>
      <c r="M92" s="97" t="n">
        <v>4</v>
      </c>
      <c r="N92" s="81" t="n">
        <v>0</v>
      </c>
      <c r="O92" s="82" t="n">
        <v>0</v>
      </c>
      <c r="P92" s="81" t="n">
        <v>0</v>
      </c>
      <c r="Q92" s="82" t="n">
        <v>0</v>
      </c>
      <c r="R92" s="83" t="n">
        <v>0</v>
      </c>
      <c r="S92" s="82" t="n">
        <v>0</v>
      </c>
      <c r="T92" s="82" t="n">
        <v>0</v>
      </c>
      <c r="U92" s="82" t="n">
        <v>0</v>
      </c>
      <c r="V92" s="82" t="n">
        <v>0</v>
      </c>
      <c r="W92" s="82" t="n">
        <v>0</v>
      </c>
    </row>
    <row r="93" customFormat="false" ht="15" hidden="false" customHeight="false" outlineLevel="0" collapsed="false">
      <c r="A93" s="84" t="s">
        <v>50</v>
      </c>
      <c r="B93" s="69" t="n">
        <v>46109</v>
      </c>
      <c r="C93" s="70" t="n">
        <v>4.1</v>
      </c>
      <c r="D93" s="70" t="s">
        <v>48</v>
      </c>
      <c r="E93" s="71" t="n">
        <f aca="false">G93*23.12+H93*23.12+I93*23.12+J93*23.12+K93*11.55+L93*11.55+M93*11.55+N93*16.51+O93*16.51+P93*16.51+Q93*11.55+S93*11.55+T93*15+U93*1.7+V93*1.7+W93*11.55</f>
        <v>6167.7</v>
      </c>
      <c r="F93" s="72" t="n">
        <f aca="false">G93+H93+I93+J93+K93+L93+M93+N93+O93+P93+Q93+S93+T93+U93+V93+W93</f>
        <v>534</v>
      </c>
      <c r="G93" s="73" t="n">
        <v>0</v>
      </c>
      <c r="H93" s="74" t="n">
        <v>0</v>
      </c>
      <c r="I93" s="74" t="n">
        <v>0</v>
      </c>
      <c r="J93" s="74" t="n">
        <v>0</v>
      </c>
      <c r="K93" s="98" t="n">
        <v>265</v>
      </c>
      <c r="L93" s="99" t="n">
        <v>265</v>
      </c>
      <c r="M93" s="99" t="n">
        <v>4</v>
      </c>
      <c r="N93" s="73" t="n">
        <v>0</v>
      </c>
      <c r="O93" s="74" t="n">
        <v>0</v>
      </c>
      <c r="P93" s="73" t="n">
        <v>0</v>
      </c>
      <c r="Q93" s="74" t="n">
        <v>0</v>
      </c>
      <c r="R93" s="75" t="n">
        <v>0</v>
      </c>
      <c r="S93" s="74" t="n">
        <v>0</v>
      </c>
      <c r="T93" s="74" t="n">
        <v>0</v>
      </c>
      <c r="U93" s="74" t="n">
        <v>0</v>
      </c>
      <c r="V93" s="74" t="n">
        <v>0</v>
      </c>
      <c r="W93" s="74" t="n">
        <v>0</v>
      </c>
    </row>
    <row r="94" customFormat="false" ht="15" hidden="false" customHeight="false" outlineLevel="0" collapsed="false">
      <c r="A94" s="85" t="s">
        <v>51</v>
      </c>
      <c r="B94" s="77" t="n">
        <v>46110</v>
      </c>
      <c r="C94" s="78" t="n">
        <v>4.1</v>
      </c>
      <c r="D94" s="78" t="s">
        <v>48</v>
      </c>
      <c r="E94" s="79" t="n">
        <f aca="false">G94*23.12+H94*23.12+I94*23.12+J94*23.12+K94*11.55+L94*11.55+M94*11.55+N94*16.51+O94*16.51+P94*16.51+Q94*11.55+S94*11.55+T94*15+U94*1.7+V94*1.7+W94*11.55</f>
        <v>138.6</v>
      </c>
      <c r="F94" s="80" t="n">
        <f aca="false">G94+H94+I94+J94+K94+L94+M94+N94+O94+P94+Q94+S94+T94+U94+V94+W94</f>
        <v>12</v>
      </c>
      <c r="G94" s="81" t="n">
        <v>0</v>
      </c>
      <c r="H94" s="82" t="n">
        <v>0</v>
      </c>
      <c r="I94" s="82" t="n">
        <v>0</v>
      </c>
      <c r="J94" s="82" t="n">
        <v>0</v>
      </c>
      <c r="K94" s="96" t="n">
        <v>4</v>
      </c>
      <c r="L94" s="97" t="n">
        <v>4</v>
      </c>
      <c r="M94" s="97" t="n">
        <v>4</v>
      </c>
      <c r="N94" s="81" t="n">
        <v>0</v>
      </c>
      <c r="O94" s="82" t="n">
        <v>0</v>
      </c>
      <c r="P94" s="81" t="n">
        <v>0</v>
      </c>
      <c r="Q94" s="82" t="n">
        <v>0</v>
      </c>
      <c r="R94" s="83" t="n">
        <v>0</v>
      </c>
      <c r="S94" s="82" t="n">
        <v>0</v>
      </c>
      <c r="T94" s="82" t="n">
        <v>0</v>
      </c>
      <c r="U94" s="82" t="n">
        <v>0</v>
      </c>
      <c r="V94" s="82" t="n">
        <v>0</v>
      </c>
      <c r="W94" s="82" t="n">
        <v>0</v>
      </c>
    </row>
    <row r="95" customFormat="false" ht="15" hidden="false" customHeight="false" outlineLevel="0" collapsed="false">
      <c r="A95" s="86" t="s">
        <v>52</v>
      </c>
      <c r="B95" s="87" t="n">
        <v>46111</v>
      </c>
      <c r="C95" s="88" t="n">
        <v>4.2</v>
      </c>
      <c r="D95" s="88" t="s">
        <v>53</v>
      </c>
      <c r="E95" s="89" t="n">
        <f aca="false">G95*23.12+H95*23.12+I95*23.12+J95*23.12+K95*11.55+L95*11.55+M95*11.55+N95*16.51+O95*16.51+P95*16.51+Q95*11.55+S95*11.55+T95*15+U95*1.7+V95*1.7+W95*11.55</f>
        <v>4791.25</v>
      </c>
      <c r="F95" s="90" t="n">
        <f aca="false">G95+H95+I95+J95+K95+L95+M95+N95+O95+P95+Q95+S95+T95+U95+V95+W95</f>
        <v>359</v>
      </c>
      <c r="G95" s="91" t="n">
        <v>0</v>
      </c>
      <c r="H95" s="92" t="n">
        <v>0</v>
      </c>
      <c r="I95" s="92" t="n">
        <v>0</v>
      </c>
      <c r="J95" s="92" t="n">
        <v>0</v>
      </c>
      <c r="K95" s="93" t="n">
        <v>75</v>
      </c>
      <c r="L95" s="94" t="n">
        <v>150</v>
      </c>
      <c r="M95" s="94" t="n">
        <v>4</v>
      </c>
      <c r="N95" s="93" t="n">
        <v>65</v>
      </c>
      <c r="O95" s="94" t="n">
        <v>65</v>
      </c>
      <c r="P95" s="91" t="n">
        <v>0</v>
      </c>
      <c r="Q95" s="92" t="n">
        <v>0</v>
      </c>
      <c r="R95" s="95" t="n">
        <v>0</v>
      </c>
      <c r="S95" s="92" t="n">
        <v>0</v>
      </c>
      <c r="T95" s="92" t="n">
        <v>0</v>
      </c>
      <c r="U95" s="92" t="n">
        <v>0</v>
      </c>
      <c r="V95" s="92" t="n">
        <v>0</v>
      </c>
      <c r="W95" s="92" t="n">
        <v>0</v>
      </c>
    </row>
    <row r="96" customFormat="false" ht="15" hidden="false" customHeight="false" outlineLevel="0" collapsed="false">
      <c r="A96" s="76" t="s">
        <v>54</v>
      </c>
      <c r="B96" s="77" t="n">
        <v>46112</v>
      </c>
      <c r="C96" s="78" t="n">
        <v>4.2</v>
      </c>
      <c r="D96" s="78" t="s">
        <v>53</v>
      </c>
      <c r="E96" s="79" t="n">
        <f aca="false">G96*23.12+H96*23.12+I96*23.12+J96*23.12+K96*11.55+L96*11.55+M96*11.55+N96*16.51+O96*16.51+P96*16.51+Q96*11.55+S96*11.55+T96*15+U96*1.7+V96*1.7+W96*11.55</f>
        <v>5657.5</v>
      </c>
      <c r="F96" s="80" t="n">
        <f aca="false">G96+H96+I96+J96+K96+L96+M96+N96+O96+P96+Q96+S96+T96+U96+V96+W96</f>
        <v>434</v>
      </c>
      <c r="G96" s="81" t="n">
        <v>0</v>
      </c>
      <c r="H96" s="82" t="n">
        <v>0</v>
      </c>
      <c r="I96" s="82" t="n">
        <v>0</v>
      </c>
      <c r="J96" s="82" t="n">
        <v>0</v>
      </c>
      <c r="K96" s="96" t="n">
        <v>150</v>
      </c>
      <c r="L96" s="97" t="n">
        <v>150</v>
      </c>
      <c r="M96" s="97" t="n">
        <v>4</v>
      </c>
      <c r="N96" s="96" t="n">
        <v>65</v>
      </c>
      <c r="O96" s="97" t="n">
        <v>65</v>
      </c>
      <c r="P96" s="81" t="n">
        <v>0</v>
      </c>
      <c r="Q96" s="82" t="n">
        <v>0</v>
      </c>
      <c r="R96" s="83" t="n">
        <v>0</v>
      </c>
      <c r="S96" s="82" t="n">
        <v>0</v>
      </c>
      <c r="T96" s="82" t="n">
        <v>0</v>
      </c>
      <c r="U96" s="82" t="n">
        <v>0</v>
      </c>
      <c r="V96" s="82" t="n">
        <v>0</v>
      </c>
      <c r="W96" s="82" t="n">
        <v>0</v>
      </c>
    </row>
    <row r="97" customFormat="false" ht="15" hidden="false" customHeight="false" outlineLevel="0" collapsed="false">
      <c r="A97" s="68" t="s">
        <v>55</v>
      </c>
      <c r="B97" s="69" t="n">
        <v>46113</v>
      </c>
      <c r="C97" s="70" t="n">
        <v>4.2</v>
      </c>
      <c r="D97" s="70" t="s">
        <v>53</v>
      </c>
      <c r="E97" s="71" t="n">
        <f aca="false">G97*23.12+H97*23.12+I97*23.12+J97*23.12+K97*11.55+L97*11.55+M97*11.55+N97*16.51+O97*16.51+P97*16.51+Q97*11.55+S97*11.55+T97*15+U97*1.7+V97*1.7+W97*11.55</f>
        <v>3817.2</v>
      </c>
      <c r="F97" s="72" t="n">
        <f aca="false">G97+H97+I97+J97+K97+L97+M97+N97+O97+P97+Q97+S97+T97+U97+V97+W97</f>
        <v>484</v>
      </c>
      <c r="G97" s="73" t="n">
        <v>0</v>
      </c>
      <c r="H97" s="74" t="n">
        <v>0</v>
      </c>
      <c r="I97" s="74" t="n">
        <v>0</v>
      </c>
      <c r="J97" s="74" t="n">
        <v>0</v>
      </c>
      <c r="K97" s="98" t="n">
        <v>150</v>
      </c>
      <c r="L97" s="99" t="n">
        <v>150</v>
      </c>
      <c r="M97" s="99" t="n">
        <v>4</v>
      </c>
      <c r="N97" s="73" t="n">
        <v>0</v>
      </c>
      <c r="O97" s="74" t="n">
        <v>0</v>
      </c>
      <c r="P97" s="73" t="n">
        <v>0</v>
      </c>
      <c r="Q97" s="74" t="n">
        <v>0</v>
      </c>
      <c r="R97" s="75" t="n">
        <v>0</v>
      </c>
      <c r="S97" s="74" t="n">
        <v>0</v>
      </c>
      <c r="T97" s="74" t="n">
        <v>0</v>
      </c>
      <c r="U97" s="74" t="n">
        <v>0</v>
      </c>
      <c r="V97" s="99" t="n">
        <v>180</v>
      </c>
      <c r="W97" s="74" t="n">
        <v>0</v>
      </c>
    </row>
    <row r="98" customFormat="false" ht="15" hidden="false" customHeight="false" outlineLevel="0" collapsed="false">
      <c r="A98" s="76" t="s">
        <v>47</v>
      </c>
      <c r="B98" s="77" t="n">
        <v>46114</v>
      </c>
      <c r="C98" s="78" t="n">
        <v>4.2</v>
      </c>
      <c r="D98" s="78" t="s">
        <v>53</v>
      </c>
      <c r="E98" s="79" t="n">
        <f aca="false">G98*23.12+H98*23.12+I98*23.12+J98*23.12+K98*11.55+L98*11.55+M98*11.55+N98*16.51+O98*16.51+P98*16.51+Q98*11.55+S98*11.55+T98*15+U98*1.7+V98*1.7+W98*11.55</f>
        <v>6070.25</v>
      </c>
      <c r="F98" s="80" t="n">
        <f aca="false">G98+H98+I98+J98+K98+L98+M98+N98+O98+P98+Q98+S98+T98+U98+V98+W98</f>
        <v>459</v>
      </c>
      <c r="G98" s="81" t="n">
        <v>0</v>
      </c>
      <c r="H98" s="82" t="n">
        <v>0</v>
      </c>
      <c r="I98" s="82" t="n">
        <v>0</v>
      </c>
      <c r="J98" s="82" t="n">
        <v>0</v>
      </c>
      <c r="K98" s="96" t="n">
        <v>150</v>
      </c>
      <c r="L98" s="97" t="n">
        <v>150</v>
      </c>
      <c r="M98" s="97" t="n">
        <v>4</v>
      </c>
      <c r="N98" s="96" t="n">
        <v>65</v>
      </c>
      <c r="O98" s="97" t="n">
        <v>65</v>
      </c>
      <c r="P98" s="96" t="n">
        <v>25</v>
      </c>
      <c r="Q98" s="82" t="n">
        <v>0</v>
      </c>
      <c r="R98" s="83" t="n">
        <v>0</v>
      </c>
      <c r="S98" s="82" t="n">
        <v>0</v>
      </c>
      <c r="T98" s="82" t="n">
        <v>0</v>
      </c>
      <c r="U98" s="82" t="n">
        <v>0</v>
      </c>
      <c r="V98" s="82" t="n">
        <v>0</v>
      </c>
      <c r="W98" s="82" t="n">
        <v>0</v>
      </c>
    </row>
    <row r="99" customFormat="false" ht="15" hidden="false" customHeight="false" outlineLevel="0" collapsed="false">
      <c r="A99" s="68" t="s">
        <v>49</v>
      </c>
      <c r="B99" s="69" t="n">
        <v>46115</v>
      </c>
      <c r="C99" s="70" t="n">
        <v>4.2</v>
      </c>
      <c r="D99" s="70" t="s">
        <v>53</v>
      </c>
      <c r="E99" s="71" t="n">
        <f aca="false">G99*23.12+H99*23.12+I99*23.12+J99*23.12+K99*11.55+L99*11.55+M99*11.55+N99*16.51+O99*16.51+P99*16.51+Q99*11.55+S99*11.55+T99*15+U99*1.7+V99*1.7+W99*11.55</f>
        <v>6070.25</v>
      </c>
      <c r="F99" s="72" t="n">
        <f aca="false">G99+H99+I99+J99+K99+L99+M99+N99+O99+P99+Q99+S99+T99+U99+V99+W99</f>
        <v>459</v>
      </c>
      <c r="G99" s="73" t="n">
        <v>0</v>
      </c>
      <c r="H99" s="74" t="n">
        <v>0</v>
      </c>
      <c r="I99" s="74" t="n">
        <v>0</v>
      </c>
      <c r="J99" s="74" t="n">
        <v>0</v>
      </c>
      <c r="K99" s="98" t="n">
        <v>150</v>
      </c>
      <c r="L99" s="99" t="n">
        <v>150</v>
      </c>
      <c r="M99" s="99" t="n">
        <v>4</v>
      </c>
      <c r="N99" s="98" t="n">
        <v>65</v>
      </c>
      <c r="O99" s="99" t="n">
        <v>65</v>
      </c>
      <c r="P99" s="98" t="n">
        <v>25</v>
      </c>
      <c r="Q99" s="74" t="n">
        <v>0</v>
      </c>
      <c r="R99" s="75" t="n">
        <v>0</v>
      </c>
      <c r="S99" s="74" t="n">
        <v>0</v>
      </c>
      <c r="T99" s="74" t="n">
        <v>0</v>
      </c>
      <c r="U99" s="74" t="n">
        <v>0</v>
      </c>
      <c r="V99" s="74" t="n">
        <v>0</v>
      </c>
      <c r="W99" s="74" t="n">
        <v>0</v>
      </c>
    </row>
    <row r="100" customFormat="false" ht="15" hidden="false" customHeight="false" outlineLevel="0" collapsed="false">
      <c r="A100" s="85" t="s">
        <v>50</v>
      </c>
      <c r="B100" s="77" t="n">
        <v>46116</v>
      </c>
      <c r="C100" s="78" t="n">
        <v>4.2</v>
      </c>
      <c r="D100" s="78" t="s">
        <v>53</v>
      </c>
      <c r="E100" s="79" t="n">
        <f aca="false">G100*23.12+H100*23.12+I100*23.12+J100*23.12+K100*11.55+L100*11.55+M100*11.55+N100*16.51+O100*16.51+P100*16.51+Q100*11.55+S100*11.55+T100*15+U100*1.7+V100*1.7+W100*11.55</f>
        <v>1485.9</v>
      </c>
      <c r="F100" s="80" t="n">
        <f aca="false">G100+H100+I100+J100+K100+L100+M100+N100+O100+P100+Q100+S100+T100+U100+V100+W100</f>
        <v>90</v>
      </c>
      <c r="G100" s="81" t="n">
        <v>0</v>
      </c>
      <c r="H100" s="82" t="n">
        <v>0</v>
      </c>
      <c r="I100" s="82" t="n">
        <v>0</v>
      </c>
      <c r="J100" s="82" t="n">
        <v>0</v>
      </c>
      <c r="K100" s="81" t="n">
        <v>0</v>
      </c>
      <c r="L100" s="82" t="n">
        <v>0</v>
      </c>
      <c r="M100" s="82" t="n">
        <v>0</v>
      </c>
      <c r="N100" s="96" t="n">
        <v>65</v>
      </c>
      <c r="O100" s="82" t="n">
        <v>0</v>
      </c>
      <c r="P100" s="96" t="n">
        <v>25</v>
      </c>
      <c r="Q100" s="82" t="n">
        <v>0</v>
      </c>
      <c r="R100" s="83" t="n">
        <v>0</v>
      </c>
      <c r="S100" s="82" t="n">
        <v>0</v>
      </c>
      <c r="T100" s="82" t="n">
        <v>0</v>
      </c>
      <c r="U100" s="82" t="n">
        <v>0</v>
      </c>
      <c r="V100" s="82" t="n">
        <v>0</v>
      </c>
      <c r="W100" s="82" t="n">
        <v>0</v>
      </c>
    </row>
    <row r="101" customFormat="false" ht="15" hidden="false" customHeight="false" outlineLevel="0" collapsed="false">
      <c r="A101" s="84" t="s">
        <v>51</v>
      </c>
      <c r="B101" s="69" t="n">
        <v>46117</v>
      </c>
      <c r="C101" s="70" t="n">
        <v>4.2</v>
      </c>
      <c r="D101" s="70" t="s">
        <v>53</v>
      </c>
      <c r="E101" s="71" t="n">
        <f aca="false">G101*23.12+H101*23.12+I101*23.12+J101*23.12+K101*11.55+L101*11.55+M101*11.55+N101*16.51+O101*16.51+P101*16.51+Q101*11.55+S101*11.55+T101*15+U101*1.7+V101*1.7+W101*11.55</f>
        <v>0</v>
      </c>
      <c r="F101" s="72" t="n">
        <f aca="false">G101+H101+I101+J101+K101+L101+M101+N101+O101+P101+Q101+S101+T101+U101+V101+W101</f>
        <v>0</v>
      </c>
      <c r="G101" s="73" t="n">
        <v>0</v>
      </c>
      <c r="H101" s="74" t="n">
        <v>0</v>
      </c>
      <c r="I101" s="74" t="n">
        <v>0</v>
      </c>
      <c r="J101" s="74" t="n">
        <v>0</v>
      </c>
      <c r="K101" s="73" t="n">
        <v>0</v>
      </c>
      <c r="L101" s="74" t="n">
        <v>0</v>
      </c>
      <c r="M101" s="74" t="n">
        <v>0</v>
      </c>
      <c r="N101" s="73" t="n">
        <v>0</v>
      </c>
      <c r="O101" s="74" t="n">
        <v>0</v>
      </c>
      <c r="P101" s="73" t="n">
        <v>0</v>
      </c>
      <c r="Q101" s="74" t="n">
        <v>0</v>
      </c>
      <c r="R101" s="75" t="n">
        <v>0</v>
      </c>
      <c r="S101" s="74" t="n">
        <v>0</v>
      </c>
      <c r="T101" s="74" t="n">
        <v>0</v>
      </c>
      <c r="U101" s="74" t="n">
        <v>0</v>
      </c>
      <c r="V101" s="74" t="n">
        <v>0</v>
      </c>
      <c r="W101" s="74" t="n">
        <v>0</v>
      </c>
    </row>
    <row r="102" customFormat="false" ht="15" hidden="false" customHeight="false" outlineLevel="0" collapsed="false">
      <c r="A102" s="100" t="s">
        <v>52</v>
      </c>
      <c r="B102" s="101" t="n">
        <v>46118</v>
      </c>
      <c r="C102" s="102" t="n">
        <v>4.3</v>
      </c>
      <c r="D102" s="102" t="s">
        <v>56</v>
      </c>
      <c r="E102" s="103" t="n">
        <f aca="false">G102*23.12+H102*23.12+I102*23.12+J102*23.12+K102*11.55+L102*11.55+M102*11.55+N102*16.51+O102*16.51+P102*16.51+Q102*11.55+S102*11.55+T102*15+U102*1.7+V102*1.7+W102*11.55</f>
        <v>2644.95</v>
      </c>
      <c r="F102" s="104" t="n">
        <f aca="false">G102+H102+I102+J102+K102+L102+M102+N102+O102+P102+Q102+S102+T102+U102+V102+W102</f>
        <v>229</v>
      </c>
      <c r="G102" s="105" t="n">
        <v>0</v>
      </c>
      <c r="H102" s="106" t="n">
        <v>0</v>
      </c>
      <c r="I102" s="106" t="n">
        <v>0</v>
      </c>
      <c r="J102" s="106" t="n">
        <v>0</v>
      </c>
      <c r="K102" s="107" t="n">
        <v>75</v>
      </c>
      <c r="L102" s="108" t="n">
        <v>150</v>
      </c>
      <c r="M102" s="108" t="n">
        <v>4</v>
      </c>
      <c r="N102" s="105" t="n">
        <v>0</v>
      </c>
      <c r="O102" s="106" t="n">
        <v>0</v>
      </c>
      <c r="P102" s="105" t="n">
        <v>0</v>
      </c>
      <c r="Q102" s="106" t="n">
        <v>0</v>
      </c>
      <c r="R102" s="109" t="n">
        <v>0</v>
      </c>
      <c r="S102" s="106" t="n">
        <v>0</v>
      </c>
      <c r="T102" s="106" t="n">
        <v>0</v>
      </c>
      <c r="U102" s="106" t="n">
        <v>0</v>
      </c>
      <c r="V102" s="106" t="n">
        <v>0</v>
      </c>
      <c r="W102" s="106" t="n">
        <v>0</v>
      </c>
    </row>
    <row r="103" customFormat="false" ht="15" hidden="false" customHeight="false" outlineLevel="0" collapsed="false">
      <c r="A103" s="68" t="s">
        <v>54</v>
      </c>
      <c r="B103" s="69" t="n">
        <v>46119</v>
      </c>
      <c r="C103" s="70" t="n">
        <v>4.3</v>
      </c>
      <c r="D103" s="70" t="s">
        <v>56</v>
      </c>
      <c r="E103" s="71" t="n">
        <f aca="false">G103*23.12+H103*23.12+I103*23.12+J103*23.12+K103*11.55+L103*11.55+M103*11.55+N103*16.51+O103*16.51+P103*16.51+Q103*11.55+S103*11.55+T103*15+U103*1.7+V103*1.7+W103*11.55</f>
        <v>3817.2</v>
      </c>
      <c r="F103" s="72" t="n">
        <f aca="false">G103+H103+I103+J103+K103+L103+M103+N103+O103+P103+Q103+S103+T103+U103+V103+W103</f>
        <v>484</v>
      </c>
      <c r="G103" s="73" t="n">
        <v>0</v>
      </c>
      <c r="H103" s="74" t="n">
        <v>0</v>
      </c>
      <c r="I103" s="74" t="n">
        <v>0</v>
      </c>
      <c r="J103" s="74" t="n">
        <v>0</v>
      </c>
      <c r="K103" s="98" t="n">
        <v>150</v>
      </c>
      <c r="L103" s="99" t="n">
        <v>150</v>
      </c>
      <c r="M103" s="99" t="n">
        <v>4</v>
      </c>
      <c r="N103" s="73" t="n">
        <v>0</v>
      </c>
      <c r="O103" s="74" t="n">
        <v>0</v>
      </c>
      <c r="P103" s="73" t="n">
        <v>0</v>
      </c>
      <c r="Q103" s="74" t="n">
        <v>0</v>
      </c>
      <c r="R103" s="75" t="n">
        <v>0</v>
      </c>
      <c r="S103" s="74" t="n">
        <v>0</v>
      </c>
      <c r="T103" s="74" t="n">
        <v>0</v>
      </c>
      <c r="U103" s="74" t="n">
        <v>0</v>
      </c>
      <c r="V103" s="99" t="n">
        <v>180</v>
      </c>
      <c r="W103" s="74" t="n">
        <v>0</v>
      </c>
    </row>
    <row r="104" customFormat="false" ht="15" hidden="false" customHeight="false" outlineLevel="0" collapsed="false">
      <c r="A104" s="76" t="s">
        <v>55</v>
      </c>
      <c r="B104" s="77" t="n">
        <v>46120</v>
      </c>
      <c r="C104" s="78" t="n">
        <v>4.3</v>
      </c>
      <c r="D104" s="78" t="s">
        <v>56</v>
      </c>
      <c r="E104" s="79" t="n">
        <f aca="false">G104*23.12+H104*23.12+I104*23.12+J104*23.12+K104*11.55+L104*11.55+M104*11.55+N104*16.51+O104*16.51+P104*16.51+Q104*11.55+S104*11.55+T104*15+U104*1.7+V104*1.7+W104*11.55</f>
        <v>3511.2</v>
      </c>
      <c r="F104" s="80" t="n">
        <f aca="false">G104+H104+I104+J104+K104+L104+M104+N104+O104+P104+Q104+S104+T104+U104+V104+W104</f>
        <v>304</v>
      </c>
      <c r="G104" s="81" t="n">
        <v>0</v>
      </c>
      <c r="H104" s="82" t="n">
        <v>0</v>
      </c>
      <c r="I104" s="82" t="n">
        <v>0</v>
      </c>
      <c r="J104" s="82" t="n">
        <v>0</v>
      </c>
      <c r="K104" s="96" t="n">
        <v>150</v>
      </c>
      <c r="L104" s="97" t="n">
        <v>150</v>
      </c>
      <c r="M104" s="97" t="n">
        <v>4</v>
      </c>
      <c r="N104" s="81" t="n">
        <v>0</v>
      </c>
      <c r="O104" s="82" t="n">
        <v>0</v>
      </c>
      <c r="P104" s="81" t="n">
        <v>0</v>
      </c>
      <c r="Q104" s="82" t="n">
        <v>0</v>
      </c>
      <c r="R104" s="83" t="n">
        <v>0</v>
      </c>
      <c r="S104" s="82" t="n">
        <v>0</v>
      </c>
      <c r="T104" s="82" t="n">
        <v>0</v>
      </c>
      <c r="U104" s="82" t="n">
        <v>0</v>
      </c>
      <c r="V104" s="82" t="n">
        <v>0</v>
      </c>
      <c r="W104" s="82" t="n">
        <v>0</v>
      </c>
    </row>
    <row r="105" customFormat="false" ht="15" hidden="false" customHeight="false" outlineLevel="0" collapsed="false">
      <c r="A105" s="68" t="s">
        <v>47</v>
      </c>
      <c r="B105" s="69" t="n">
        <v>46121</v>
      </c>
      <c r="C105" s="70" t="n">
        <v>4.3</v>
      </c>
      <c r="D105" s="70" t="s">
        <v>56</v>
      </c>
      <c r="E105" s="71" t="n">
        <f aca="false">G105*23.12+H105*23.12+I105*23.12+J105*23.12+K105*11.55+L105*11.55+M105*11.55+N105*16.51+O105*16.51+P105*16.51+Q105*11.55+S105*11.55+T105*15+U105*1.7+V105*1.7+W105*11.55</f>
        <v>3511.2</v>
      </c>
      <c r="F105" s="72" t="n">
        <f aca="false">G105+H105+I105+J105+K105+L105+M105+N105+O105+P105+Q105+S105+T105+U105+V105+W105</f>
        <v>304</v>
      </c>
      <c r="G105" s="73" t="n">
        <v>0</v>
      </c>
      <c r="H105" s="74" t="n">
        <v>0</v>
      </c>
      <c r="I105" s="74" t="n">
        <v>0</v>
      </c>
      <c r="J105" s="74" t="n">
        <v>0</v>
      </c>
      <c r="K105" s="98" t="n">
        <v>150</v>
      </c>
      <c r="L105" s="99" t="n">
        <v>150</v>
      </c>
      <c r="M105" s="99" t="n">
        <v>4</v>
      </c>
      <c r="N105" s="73" t="n">
        <v>0</v>
      </c>
      <c r="O105" s="74" t="n">
        <v>0</v>
      </c>
      <c r="P105" s="73" t="n">
        <v>0</v>
      </c>
      <c r="Q105" s="74" t="n">
        <v>0</v>
      </c>
      <c r="R105" s="75" t="n">
        <v>0</v>
      </c>
      <c r="S105" s="74" t="n">
        <v>0</v>
      </c>
      <c r="T105" s="74" t="n">
        <v>0</v>
      </c>
      <c r="U105" s="74" t="n">
        <v>0</v>
      </c>
      <c r="V105" s="74" t="n">
        <v>0</v>
      </c>
      <c r="W105" s="74" t="n">
        <v>0</v>
      </c>
    </row>
    <row r="106" customFormat="false" ht="15" hidden="false" customHeight="false" outlineLevel="0" collapsed="false">
      <c r="A106" s="76" t="s">
        <v>49</v>
      </c>
      <c r="B106" s="77" t="n">
        <v>46122</v>
      </c>
      <c r="C106" s="78" t="n">
        <v>4.3</v>
      </c>
      <c r="D106" s="78" t="s">
        <v>56</v>
      </c>
      <c r="E106" s="79" t="n">
        <f aca="false">G106*23.12+H106*23.12+I106*23.12+J106*23.12+K106*11.55+L106*11.55+M106*11.55+N106*16.51+O106*16.51+P106*16.51+Q106*11.55+S106*11.55+T106*15+U106*1.7+V106*1.7+W106*11.55</f>
        <v>3817.2</v>
      </c>
      <c r="F106" s="80" t="n">
        <f aca="false">G106+H106+I106+J106+K106+L106+M106+N106+O106+P106+Q106+S106+T106+U106+V106+W106</f>
        <v>484</v>
      </c>
      <c r="G106" s="81" t="n">
        <v>0</v>
      </c>
      <c r="H106" s="82" t="n">
        <v>0</v>
      </c>
      <c r="I106" s="82" t="n">
        <v>0</v>
      </c>
      <c r="J106" s="82" t="n">
        <v>0</v>
      </c>
      <c r="K106" s="96" t="n">
        <v>150</v>
      </c>
      <c r="L106" s="97" t="n">
        <v>150</v>
      </c>
      <c r="M106" s="97" t="n">
        <v>4</v>
      </c>
      <c r="N106" s="81" t="n">
        <v>0</v>
      </c>
      <c r="O106" s="82" t="n">
        <v>0</v>
      </c>
      <c r="P106" s="81" t="n">
        <v>0</v>
      </c>
      <c r="Q106" s="82" t="n">
        <v>0</v>
      </c>
      <c r="R106" s="83" t="n">
        <v>0</v>
      </c>
      <c r="S106" s="82" t="n">
        <v>0</v>
      </c>
      <c r="T106" s="82" t="n">
        <v>0</v>
      </c>
      <c r="U106" s="82" t="n">
        <v>0</v>
      </c>
      <c r="V106" s="97" t="n">
        <v>180</v>
      </c>
      <c r="W106" s="82" t="n">
        <v>0</v>
      </c>
    </row>
    <row r="107" customFormat="false" ht="15" hidden="false" customHeight="false" outlineLevel="0" collapsed="false">
      <c r="A107" s="84" t="s">
        <v>50</v>
      </c>
      <c r="B107" s="69" t="n">
        <v>46123</v>
      </c>
      <c r="C107" s="70" t="n">
        <v>4.3</v>
      </c>
      <c r="D107" s="70" t="s">
        <v>56</v>
      </c>
      <c r="E107" s="71" t="n">
        <f aca="false">G107*23.12+H107*23.12+I107*23.12+J107*23.12+K107*11.55+L107*11.55+M107*11.55+N107*16.51+O107*16.51+P107*16.51+Q107*11.55+S107*11.55+T107*15+U107*1.7+V107*1.7+W107*11.55</f>
        <v>3534.3</v>
      </c>
      <c r="F107" s="72" t="n">
        <f aca="false">G107+H107+I107+J107+K107+L107+M107+N107+O107+P107+Q107+S107+T107+U107+V107+W107</f>
        <v>306</v>
      </c>
      <c r="G107" s="73" t="n">
        <v>0</v>
      </c>
      <c r="H107" s="74" t="n">
        <v>0</v>
      </c>
      <c r="I107" s="74" t="n">
        <v>0</v>
      </c>
      <c r="J107" s="74" t="n">
        <v>0</v>
      </c>
      <c r="K107" s="98" t="n">
        <v>150</v>
      </c>
      <c r="L107" s="99" t="n">
        <v>150</v>
      </c>
      <c r="M107" s="99" t="n">
        <v>6</v>
      </c>
      <c r="N107" s="73" t="n">
        <v>0</v>
      </c>
      <c r="O107" s="74" t="n">
        <v>0</v>
      </c>
      <c r="P107" s="73" t="n">
        <v>0</v>
      </c>
      <c r="Q107" s="74" t="n">
        <v>0</v>
      </c>
      <c r="R107" s="75" t="n">
        <v>0</v>
      </c>
      <c r="S107" s="74" t="n">
        <v>0</v>
      </c>
      <c r="T107" s="74" t="n">
        <v>0</v>
      </c>
      <c r="U107" s="74" t="n">
        <v>0</v>
      </c>
      <c r="V107" s="74" t="n">
        <v>0</v>
      </c>
      <c r="W107" s="74" t="n">
        <v>0</v>
      </c>
    </row>
    <row r="108" customFormat="false" ht="15" hidden="false" customHeight="false" outlineLevel="0" collapsed="false">
      <c r="A108" s="85" t="s">
        <v>51</v>
      </c>
      <c r="B108" s="77" t="n">
        <v>46124</v>
      </c>
      <c r="C108" s="78" t="n">
        <v>4.3</v>
      </c>
      <c r="D108" s="78" t="s">
        <v>56</v>
      </c>
      <c r="E108" s="79" t="n">
        <f aca="false">G108*23.12+H108*23.12+I108*23.12+J108*23.12+K108*11.55+L108*11.55+M108*11.55+N108*16.51+O108*16.51+P108*16.51+Q108*11.55+S108*11.55+T108*15+U108*1.7+V108*1.7+W108*11.55</f>
        <v>207.9</v>
      </c>
      <c r="F108" s="80" t="n">
        <f aca="false">G108+H108+I108+J108+K108+L108+M108+N108+O108+P108+Q108+S108+T108+U108+V108+W108</f>
        <v>18</v>
      </c>
      <c r="G108" s="81" t="n">
        <v>0</v>
      </c>
      <c r="H108" s="82" t="n">
        <v>0</v>
      </c>
      <c r="I108" s="82" t="n">
        <v>0</v>
      </c>
      <c r="J108" s="82" t="n">
        <v>0</v>
      </c>
      <c r="K108" s="96" t="n">
        <v>6</v>
      </c>
      <c r="L108" s="97" t="n">
        <v>6</v>
      </c>
      <c r="M108" s="97" t="n">
        <v>6</v>
      </c>
      <c r="N108" s="81" t="n">
        <v>0</v>
      </c>
      <c r="O108" s="82" t="n">
        <v>0</v>
      </c>
      <c r="P108" s="81" t="n">
        <v>0</v>
      </c>
      <c r="Q108" s="82" t="n">
        <v>0</v>
      </c>
      <c r="R108" s="83" t="n">
        <v>0</v>
      </c>
      <c r="S108" s="82" t="n">
        <v>0</v>
      </c>
      <c r="T108" s="82" t="n">
        <v>0</v>
      </c>
      <c r="U108" s="82" t="n">
        <v>0</v>
      </c>
      <c r="V108" s="82" t="n">
        <v>0</v>
      </c>
      <c r="W108" s="82" t="n">
        <v>0</v>
      </c>
    </row>
    <row r="109" customFormat="false" ht="15" hidden="false" customHeight="false" outlineLevel="0" collapsed="false">
      <c r="A109" s="86" t="s">
        <v>52</v>
      </c>
      <c r="B109" s="87" t="n">
        <v>46125</v>
      </c>
      <c r="C109" s="88" t="n">
        <v>4.4</v>
      </c>
      <c r="D109" s="88" t="s">
        <v>57</v>
      </c>
      <c r="E109" s="89" t="n">
        <f aca="false">G109*23.12+H109*23.12+I109*23.12+J109*23.12+K109*11.55+L109*11.55+M109*11.55+N109*16.51+O109*16.51+P109*16.51+Q109*11.55+S109*11.55+T109*15+U109*1.7+V109*1.7+W109*11.55</f>
        <v>3522.75</v>
      </c>
      <c r="F109" s="90" t="n">
        <f aca="false">G109+H109+I109+J109+K109+L109+M109+N109+O109+P109+Q109+S109+T109+U109+V109+W109</f>
        <v>305</v>
      </c>
      <c r="G109" s="91" t="n">
        <v>0</v>
      </c>
      <c r="H109" s="92" t="n">
        <v>0</v>
      </c>
      <c r="I109" s="92" t="n">
        <v>0</v>
      </c>
      <c r="J109" s="92" t="n">
        <v>0</v>
      </c>
      <c r="K109" s="93" t="n">
        <v>150</v>
      </c>
      <c r="L109" s="94" t="n">
        <v>150</v>
      </c>
      <c r="M109" s="94" t="n">
        <v>5</v>
      </c>
      <c r="N109" s="91" t="n">
        <v>0</v>
      </c>
      <c r="O109" s="92" t="n">
        <v>0</v>
      </c>
      <c r="P109" s="91" t="n">
        <v>0</v>
      </c>
      <c r="Q109" s="92" t="n">
        <v>0</v>
      </c>
      <c r="R109" s="95" t="n">
        <v>0</v>
      </c>
      <c r="S109" s="92" t="n">
        <v>0</v>
      </c>
      <c r="T109" s="92" t="n">
        <v>0</v>
      </c>
      <c r="U109" s="92" t="n">
        <v>0</v>
      </c>
      <c r="V109" s="92" t="n">
        <v>0</v>
      </c>
      <c r="W109" s="92" t="n">
        <v>0</v>
      </c>
    </row>
    <row r="110" customFormat="false" ht="15" hidden="false" customHeight="false" outlineLevel="0" collapsed="false">
      <c r="A110" s="76" t="s">
        <v>54</v>
      </c>
      <c r="B110" s="77" t="n">
        <v>46126</v>
      </c>
      <c r="C110" s="78" t="n">
        <v>4.4</v>
      </c>
      <c r="D110" s="78" t="s">
        <v>57</v>
      </c>
      <c r="E110" s="79" t="n">
        <f aca="false">G110*23.12+H110*23.12+I110*23.12+J110*23.12+K110*11.55+L110*11.55+M110*11.55+N110*16.51+O110*16.51+P110*16.51+Q110*11.55+S110*11.55+T110*15+U110*1.7+V110*1.7+W110*11.55</f>
        <v>3854</v>
      </c>
      <c r="F110" s="80" t="n">
        <f aca="false">G110+H110+I110+J110+K110+L110+M110+N110+O110+P110+Q110+S110+T110+U110+V110+W110</f>
        <v>280</v>
      </c>
      <c r="G110" s="81" t="n">
        <v>0</v>
      </c>
      <c r="H110" s="82" t="n">
        <v>0</v>
      </c>
      <c r="I110" s="82" t="n">
        <v>0</v>
      </c>
      <c r="J110" s="82" t="n">
        <v>0</v>
      </c>
      <c r="K110" s="96" t="n">
        <v>150</v>
      </c>
      <c r="L110" s="82" t="n">
        <v>0</v>
      </c>
      <c r="M110" s="97" t="n">
        <v>5</v>
      </c>
      <c r="N110" s="96" t="n">
        <v>50</v>
      </c>
      <c r="O110" s="97" t="n">
        <v>50</v>
      </c>
      <c r="P110" s="96" t="n">
        <v>25</v>
      </c>
      <c r="Q110" s="82" t="n">
        <v>0</v>
      </c>
      <c r="R110" s="83" t="n">
        <v>0</v>
      </c>
      <c r="S110" s="82" t="n">
        <v>0</v>
      </c>
      <c r="T110" s="82" t="n">
        <v>0</v>
      </c>
      <c r="U110" s="82" t="n">
        <v>0</v>
      </c>
      <c r="V110" s="82" t="n">
        <v>0</v>
      </c>
      <c r="W110" s="82" t="n">
        <v>0</v>
      </c>
    </row>
    <row r="111" customFormat="false" ht="15" hidden="false" customHeight="false" outlineLevel="0" collapsed="false">
      <c r="A111" s="68" t="s">
        <v>55</v>
      </c>
      <c r="B111" s="69" t="n">
        <v>46127</v>
      </c>
      <c r="C111" s="70" t="n">
        <v>4.4</v>
      </c>
      <c r="D111" s="70" t="s">
        <v>57</v>
      </c>
      <c r="E111" s="71" t="n">
        <f aca="false">G111*23.12+H111*23.12+I111*23.12+J111*23.12+K111*11.55+L111*11.55+M111*11.55+N111*16.51+O111*16.51+P111*16.51+Q111*11.55+S111*11.55+T111*15+U111*1.7+V111*1.7+W111*11.55</f>
        <v>6036.95</v>
      </c>
      <c r="F111" s="72" t="n">
        <f aca="false">G111+H111+I111+J111+K111+L111+M111+N111+O111+P111+Q111+S111+T111+U111+V111+W111</f>
        <v>469</v>
      </c>
      <c r="G111" s="73" t="n">
        <v>0</v>
      </c>
      <c r="H111" s="74" t="n">
        <v>0</v>
      </c>
      <c r="I111" s="74" t="n">
        <v>0</v>
      </c>
      <c r="J111" s="74" t="n">
        <v>0</v>
      </c>
      <c r="K111" s="98" t="n">
        <v>150</v>
      </c>
      <c r="L111" s="99" t="n">
        <v>150</v>
      </c>
      <c r="M111" s="99" t="n">
        <v>5</v>
      </c>
      <c r="N111" s="98" t="n">
        <v>50</v>
      </c>
      <c r="O111" s="99" t="n">
        <v>50</v>
      </c>
      <c r="P111" s="98" t="n">
        <v>25</v>
      </c>
      <c r="Q111" s="74" t="n">
        <v>0</v>
      </c>
      <c r="R111" s="75" t="n">
        <v>0</v>
      </c>
      <c r="S111" s="74" t="n">
        <v>0</v>
      </c>
      <c r="T111" s="74" t="n">
        <v>0</v>
      </c>
      <c r="U111" s="74" t="n">
        <v>0</v>
      </c>
      <c r="V111" s="74" t="n">
        <v>0</v>
      </c>
      <c r="W111" s="99" t="n">
        <v>39</v>
      </c>
    </row>
    <row r="112" customFormat="false" ht="15" hidden="false" customHeight="false" outlineLevel="0" collapsed="false">
      <c r="A112" s="76" t="s">
        <v>47</v>
      </c>
      <c r="B112" s="77" t="n">
        <v>46128</v>
      </c>
      <c r="C112" s="78" t="n">
        <v>4.4</v>
      </c>
      <c r="D112" s="78" t="s">
        <v>57</v>
      </c>
      <c r="E112" s="79" t="n">
        <f aca="false">G112*23.12+H112*23.12+I112*23.12+J112*23.12+K112*11.55+L112*11.55+M112*11.55+N112*16.51+O112*16.51+P112*16.51+Q112*11.55+S112*11.55+T112*15+U112*1.7+V112*1.7+W112*11.55</f>
        <v>6036.95</v>
      </c>
      <c r="F112" s="80" t="n">
        <f aca="false">G112+H112+I112+J112+K112+L112+M112+N112+O112+P112+Q112+S112+T112+U112+V112+W112</f>
        <v>469</v>
      </c>
      <c r="G112" s="81" t="n">
        <v>0</v>
      </c>
      <c r="H112" s="82" t="n">
        <v>0</v>
      </c>
      <c r="I112" s="82" t="n">
        <v>0</v>
      </c>
      <c r="J112" s="82" t="n">
        <v>0</v>
      </c>
      <c r="K112" s="96" t="n">
        <v>150</v>
      </c>
      <c r="L112" s="97" t="n">
        <v>150</v>
      </c>
      <c r="M112" s="97" t="n">
        <v>5</v>
      </c>
      <c r="N112" s="96" t="n">
        <v>50</v>
      </c>
      <c r="O112" s="97" t="n">
        <v>50</v>
      </c>
      <c r="P112" s="96" t="n">
        <v>25</v>
      </c>
      <c r="Q112" s="82" t="n">
        <v>0</v>
      </c>
      <c r="R112" s="83" t="n">
        <v>0</v>
      </c>
      <c r="S112" s="82" t="n">
        <v>0</v>
      </c>
      <c r="T112" s="82" t="n">
        <v>0</v>
      </c>
      <c r="U112" s="82" t="n">
        <v>0</v>
      </c>
      <c r="V112" s="82" t="n">
        <v>0</v>
      </c>
      <c r="W112" s="97" t="n">
        <v>39</v>
      </c>
    </row>
    <row r="113" customFormat="false" ht="15" hidden="false" customHeight="false" outlineLevel="0" collapsed="false">
      <c r="A113" s="68" t="s">
        <v>49</v>
      </c>
      <c r="B113" s="69" t="n">
        <v>46129</v>
      </c>
      <c r="C113" s="70" t="n">
        <v>4.4</v>
      </c>
      <c r="D113" s="70" t="s">
        <v>57</v>
      </c>
      <c r="E113" s="71" t="n">
        <f aca="false">G113*23.12+H113*23.12+I113*23.12+J113*23.12+K113*11.55+L113*11.55+M113*11.55+N113*16.51+O113*16.51+P113*16.51+Q113*11.55+S113*11.55+T113*15+U113*1.7+V113*1.7+W113*11.55</f>
        <v>6036.95</v>
      </c>
      <c r="F113" s="72" t="n">
        <f aca="false">G113+H113+I113+J113+K113+L113+M113+N113+O113+P113+Q113+S113+T113+U113+V113+W113</f>
        <v>469</v>
      </c>
      <c r="G113" s="73" t="n">
        <v>0</v>
      </c>
      <c r="H113" s="74" t="n">
        <v>0</v>
      </c>
      <c r="I113" s="74" t="n">
        <v>0</v>
      </c>
      <c r="J113" s="74" t="n">
        <v>0</v>
      </c>
      <c r="K113" s="98" t="n">
        <v>150</v>
      </c>
      <c r="L113" s="99" t="n">
        <v>150</v>
      </c>
      <c r="M113" s="99" t="n">
        <v>5</v>
      </c>
      <c r="N113" s="98" t="n">
        <v>50</v>
      </c>
      <c r="O113" s="99" t="n">
        <v>50</v>
      </c>
      <c r="P113" s="98" t="n">
        <v>25</v>
      </c>
      <c r="Q113" s="74" t="n">
        <v>0</v>
      </c>
      <c r="R113" s="75" t="n">
        <v>0</v>
      </c>
      <c r="S113" s="74" t="n">
        <v>0</v>
      </c>
      <c r="T113" s="74" t="n">
        <v>0</v>
      </c>
      <c r="U113" s="74" t="n">
        <v>0</v>
      </c>
      <c r="V113" s="74" t="n">
        <v>0</v>
      </c>
      <c r="W113" s="99" t="n">
        <v>39</v>
      </c>
    </row>
    <row r="114" customFormat="false" ht="15" hidden="false" customHeight="false" outlineLevel="0" collapsed="false">
      <c r="A114" s="85" t="s">
        <v>50</v>
      </c>
      <c r="B114" s="77" t="n">
        <v>46130</v>
      </c>
      <c r="C114" s="78" t="n">
        <v>4.4</v>
      </c>
      <c r="D114" s="78" t="s">
        <v>57</v>
      </c>
      <c r="E114" s="79" t="n">
        <f aca="false">G114*23.12+H114*23.12+I114*23.12+J114*23.12+K114*11.55+L114*11.55+M114*11.55+N114*16.51+O114*16.51+P114*16.51+Q114*11.55+S114*11.55+T114*15+U114*1.7+V114*1.7+W114*11.55</f>
        <v>5211.45</v>
      </c>
      <c r="F114" s="80" t="n">
        <f aca="false">G114+H114+I114+J114+K114+L114+M114+N114+O114+P114+Q114+S114+T114+U114+V114+W114</f>
        <v>419</v>
      </c>
      <c r="G114" s="81" t="n">
        <v>0</v>
      </c>
      <c r="H114" s="82" t="n">
        <v>0</v>
      </c>
      <c r="I114" s="82" t="n">
        <v>0</v>
      </c>
      <c r="J114" s="82" t="n">
        <v>0</v>
      </c>
      <c r="K114" s="96" t="n">
        <v>150</v>
      </c>
      <c r="L114" s="97" t="n">
        <v>150</v>
      </c>
      <c r="M114" s="97" t="n">
        <v>5</v>
      </c>
      <c r="N114" s="96" t="n">
        <v>50</v>
      </c>
      <c r="O114" s="82" t="n">
        <v>0</v>
      </c>
      <c r="P114" s="96" t="n">
        <v>25</v>
      </c>
      <c r="Q114" s="82" t="n">
        <v>0</v>
      </c>
      <c r="R114" s="83" t="n">
        <v>0</v>
      </c>
      <c r="S114" s="82" t="n">
        <v>0</v>
      </c>
      <c r="T114" s="82" t="n">
        <v>0</v>
      </c>
      <c r="U114" s="82" t="n">
        <v>0</v>
      </c>
      <c r="V114" s="82" t="n">
        <v>0</v>
      </c>
      <c r="W114" s="97" t="n">
        <v>39</v>
      </c>
    </row>
    <row r="115" customFormat="false" ht="15" hidden="false" customHeight="false" outlineLevel="0" collapsed="false">
      <c r="A115" s="84" t="s">
        <v>51</v>
      </c>
      <c r="B115" s="69" t="n">
        <v>46131</v>
      </c>
      <c r="C115" s="70" t="n">
        <v>4.4</v>
      </c>
      <c r="D115" s="70" t="s">
        <v>57</v>
      </c>
      <c r="E115" s="71" t="n">
        <f aca="false">G115*23.12+H115*23.12+I115*23.12+J115*23.12+K115*11.55+L115*11.55+M115*11.55+N115*16.51+O115*16.51+P115*16.51+Q115*11.55+S115*11.55+T115*15+U115*1.7+V115*1.7+W115*11.55</f>
        <v>173.25</v>
      </c>
      <c r="F115" s="72" t="n">
        <f aca="false">G115+H115+I115+J115+K115+L115+M115+N115+O115+P115+Q115+S115+T115+U115+V115+W115</f>
        <v>15</v>
      </c>
      <c r="G115" s="73" t="n">
        <v>0</v>
      </c>
      <c r="H115" s="74" t="n">
        <v>0</v>
      </c>
      <c r="I115" s="74" t="n">
        <v>0</v>
      </c>
      <c r="J115" s="74" t="n">
        <v>0</v>
      </c>
      <c r="K115" s="98" t="n">
        <v>5</v>
      </c>
      <c r="L115" s="99" t="n">
        <v>5</v>
      </c>
      <c r="M115" s="99" t="n">
        <v>5</v>
      </c>
      <c r="N115" s="73" t="n">
        <v>0</v>
      </c>
      <c r="O115" s="74" t="n">
        <v>0</v>
      </c>
      <c r="P115" s="73" t="n">
        <v>0</v>
      </c>
      <c r="Q115" s="74" t="n">
        <v>0</v>
      </c>
      <c r="R115" s="75" t="n">
        <v>0</v>
      </c>
      <c r="S115" s="74" t="n">
        <v>0</v>
      </c>
      <c r="T115" s="74" t="n">
        <v>0</v>
      </c>
      <c r="U115" s="74" t="n">
        <v>0</v>
      </c>
      <c r="V115" s="74" t="n">
        <v>0</v>
      </c>
      <c r="W115" s="74" t="n">
        <v>0</v>
      </c>
    </row>
    <row r="116" customFormat="false" ht="15" hidden="false" customHeight="false" outlineLevel="0" collapsed="false">
      <c r="A116" s="100" t="s">
        <v>52</v>
      </c>
      <c r="B116" s="101" t="n">
        <v>46132</v>
      </c>
      <c r="C116" s="102" t="n">
        <v>5.1</v>
      </c>
      <c r="D116" s="102" t="s">
        <v>48</v>
      </c>
      <c r="E116" s="103" t="n">
        <f aca="false">G116*23.12+H116*23.12+I116*23.12+J116*23.12+K116*11.55+L116*11.55+M116*11.55+N116*16.51+O116*16.51+P116*16.51+Q116*11.55+S116*11.55+T116*15+U116*1.7+V116*1.7+W116*11.55</f>
        <v>3973.2</v>
      </c>
      <c r="F116" s="104" t="n">
        <f aca="false">G116+H116+I116+J116+K116+L116+M116+N116+O116+P116+Q116+S116+T116+U116+V116+W116</f>
        <v>344</v>
      </c>
      <c r="G116" s="105" t="n">
        <v>0</v>
      </c>
      <c r="H116" s="106" t="n">
        <v>0</v>
      </c>
      <c r="I116" s="106" t="n">
        <v>0</v>
      </c>
      <c r="J116" s="106" t="n">
        <v>0</v>
      </c>
      <c r="K116" s="107" t="n">
        <v>150</v>
      </c>
      <c r="L116" s="108" t="n">
        <v>150</v>
      </c>
      <c r="M116" s="108" t="n">
        <v>5</v>
      </c>
      <c r="N116" s="105" t="n">
        <v>0</v>
      </c>
      <c r="O116" s="106" t="n">
        <v>0</v>
      </c>
      <c r="P116" s="105" t="n">
        <v>0</v>
      </c>
      <c r="Q116" s="106" t="n">
        <v>0</v>
      </c>
      <c r="R116" s="109" t="n">
        <v>0</v>
      </c>
      <c r="S116" s="106" t="n">
        <v>0</v>
      </c>
      <c r="T116" s="106" t="n">
        <v>0</v>
      </c>
      <c r="U116" s="106" t="n">
        <v>0</v>
      </c>
      <c r="V116" s="106" t="n">
        <v>0</v>
      </c>
      <c r="W116" s="108" t="n">
        <v>39</v>
      </c>
    </row>
    <row r="117" customFormat="false" ht="15" hidden="false" customHeight="false" outlineLevel="0" collapsed="false">
      <c r="A117" s="68" t="s">
        <v>54</v>
      </c>
      <c r="B117" s="69" t="n">
        <v>46133</v>
      </c>
      <c r="C117" s="70" t="n">
        <v>5.1</v>
      </c>
      <c r="D117" s="70" t="s">
        <v>48</v>
      </c>
      <c r="E117" s="71" t="n">
        <f aca="false">G117*23.12+H117*23.12+I117*23.12+J117*23.12+K117*11.55+L117*11.55+M117*11.55+N117*16.51+O117*16.51+P117*16.51+Q117*11.55+S117*11.55+T117*15+U117*1.7+V117*1.7+W117*11.55</f>
        <v>3973.2</v>
      </c>
      <c r="F117" s="72" t="n">
        <f aca="false">G117+H117+I117+J117+K117+L117+M117+N117+O117+P117+Q117+S117+T117+U117+V117+W117</f>
        <v>344</v>
      </c>
      <c r="G117" s="73" t="n">
        <v>0</v>
      </c>
      <c r="H117" s="74" t="n">
        <v>0</v>
      </c>
      <c r="I117" s="74" t="n">
        <v>0</v>
      </c>
      <c r="J117" s="74" t="n">
        <v>0</v>
      </c>
      <c r="K117" s="98" t="n">
        <v>150</v>
      </c>
      <c r="L117" s="99" t="n">
        <v>150</v>
      </c>
      <c r="M117" s="99" t="n">
        <v>5</v>
      </c>
      <c r="N117" s="73" t="n">
        <v>0</v>
      </c>
      <c r="O117" s="74" t="n">
        <v>0</v>
      </c>
      <c r="P117" s="73" t="n">
        <v>0</v>
      </c>
      <c r="Q117" s="74" t="n">
        <v>0</v>
      </c>
      <c r="R117" s="75" t="n">
        <v>0</v>
      </c>
      <c r="S117" s="74" t="n">
        <v>0</v>
      </c>
      <c r="T117" s="74" t="n">
        <v>0</v>
      </c>
      <c r="U117" s="74" t="n">
        <v>0</v>
      </c>
      <c r="V117" s="74" t="n">
        <v>0</v>
      </c>
      <c r="W117" s="99" t="n">
        <v>39</v>
      </c>
    </row>
    <row r="118" customFormat="false" ht="15" hidden="false" customHeight="false" outlineLevel="0" collapsed="false">
      <c r="A118" s="76" t="s">
        <v>55</v>
      </c>
      <c r="B118" s="77" t="n">
        <v>46134</v>
      </c>
      <c r="C118" s="78" t="n">
        <v>5.1</v>
      </c>
      <c r="D118" s="78" t="s">
        <v>48</v>
      </c>
      <c r="E118" s="79" t="n">
        <f aca="false">G118*23.12+H118*23.12+I118*23.12+J118*23.12+K118*11.55+L118*11.55+M118*11.55+N118*16.51+O118*16.51+P118*16.51+Q118*11.55+S118*11.55+T118*15+U118*1.7+V118*1.7+W118*11.55</f>
        <v>3973.2</v>
      </c>
      <c r="F118" s="80" t="n">
        <f aca="false">G118+H118+I118+J118+K118+L118+M118+N118+O118+P118+Q118+S118+T118+U118+V118+W118</f>
        <v>344</v>
      </c>
      <c r="G118" s="81" t="n">
        <v>0</v>
      </c>
      <c r="H118" s="82" t="n">
        <v>0</v>
      </c>
      <c r="I118" s="82" t="n">
        <v>0</v>
      </c>
      <c r="J118" s="82" t="n">
        <v>0</v>
      </c>
      <c r="K118" s="96" t="n">
        <v>150</v>
      </c>
      <c r="L118" s="97" t="n">
        <v>150</v>
      </c>
      <c r="M118" s="97" t="n">
        <v>5</v>
      </c>
      <c r="N118" s="81" t="n">
        <v>0</v>
      </c>
      <c r="O118" s="82" t="n">
        <v>0</v>
      </c>
      <c r="P118" s="81" t="n">
        <v>0</v>
      </c>
      <c r="Q118" s="82" t="n">
        <v>0</v>
      </c>
      <c r="R118" s="83" t="n">
        <v>0</v>
      </c>
      <c r="S118" s="82" t="n">
        <v>0</v>
      </c>
      <c r="T118" s="82" t="n">
        <v>0</v>
      </c>
      <c r="U118" s="82" t="n">
        <v>0</v>
      </c>
      <c r="V118" s="82" t="n">
        <v>0</v>
      </c>
      <c r="W118" s="97" t="n">
        <v>39</v>
      </c>
    </row>
    <row r="119" customFormat="false" ht="15" hidden="false" customHeight="false" outlineLevel="0" collapsed="false">
      <c r="A119" s="68" t="s">
        <v>47</v>
      </c>
      <c r="B119" s="69" t="n">
        <v>46135</v>
      </c>
      <c r="C119" s="70" t="n">
        <v>5.1</v>
      </c>
      <c r="D119" s="70" t="s">
        <v>48</v>
      </c>
      <c r="E119" s="71" t="n">
        <f aca="false">G119*23.12+H119*23.12+I119*23.12+J119*23.12+K119*11.55+L119*11.55+M119*11.55+N119*16.51+O119*16.51+P119*16.51+Q119*11.55+S119*11.55+T119*15+U119*1.7+V119*1.7+W119*11.55</f>
        <v>4279.2</v>
      </c>
      <c r="F119" s="72" t="n">
        <f aca="false">G119+H119+I119+J119+K119+L119+M119+N119+O119+P119+Q119+S119+T119+U119+V119+W119</f>
        <v>524</v>
      </c>
      <c r="G119" s="73" t="n">
        <v>0</v>
      </c>
      <c r="H119" s="74" t="n">
        <v>0</v>
      </c>
      <c r="I119" s="74" t="n">
        <v>0</v>
      </c>
      <c r="J119" s="74" t="n">
        <v>0</v>
      </c>
      <c r="K119" s="98" t="n">
        <v>150</v>
      </c>
      <c r="L119" s="99" t="n">
        <v>150</v>
      </c>
      <c r="M119" s="99" t="n">
        <v>5</v>
      </c>
      <c r="N119" s="73" t="n">
        <v>0</v>
      </c>
      <c r="O119" s="74" t="n">
        <v>0</v>
      </c>
      <c r="P119" s="73" t="n">
        <v>0</v>
      </c>
      <c r="Q119" s="74" t="n">
        <v>0</v>
      </c>
      <c r="R119" s="75" t="n">
        <v>0</v>
      </c>
      <c r="S119" s="74" t="n">
        <v>0</v>
      </c>
      <c r="T119" s="74" t="n">
        <v>0</v>
      </c>
      <c r="U119" s="74" t="n">
        <v>0</v>
      </c>
      <c r="V119" s="99" t="n">
        <v>180</v>
      </c>
      <c r="W119" s="99" t="n">
        <v>39</v>
      </c>
    </row>
    <row r="120" customFormat="false" ht="15" hidden="false" customHeight="false" outlineLevel="0" collapsed="false">
      <c r="A120" s="76" t="s">
        <v>49</v>
      </c>
      <c r="B120" s="77" t="n">
        <v>46136</v>
      </c>
      <c r="C120" s="78" t="n">
        <v>5.1</v>
      </c>
      <c r="D120" s="78" t="s">
        <v>48</v>
      </c>
      <c r="E120" s="79" t="n">
        <f aca="false">G120*23.12+H120*23.12+I120*23.12+J120*23.12+K120*11.55+L120*11.55+M120*11.55+N120*16.51+O120*16.51+P120*16.51+Q120*11.55+S120*11.55+T120*15+U120*1.7+V120*1.7+W120*11.55</f>
        <v>3684.45</v>
      </c>
      <c r="F120" s="80" t="n">
        <f aca="false">G120+H120+I120+J120+K120+L120+M120+N120+O120+P120+Q120+S120+T120+U120+V120+W120</f>
        <v>319</v>
      </c>
      <c r="G120" s="81" t="n">
        <v>0</v>
      </c>
      <c r="H120" s="82" t="n">
        <v>0</v>
      </c>
      <c r="I120" s="82" t="n">
        <v>0</v>
      </c>
      <c r="J120" s="82" t="n">
        <v>0</v>
      </c>
      <c r="K120" s="96" t="n">
        <v>150</v>
      </c>
      <c r="L120" s="97" t="n">
        <v>150</v>
      </c>
      <c r="M120" s="97" t="n">
        <v>3</v>
      </c>
      <c r="N120" s="81" t="n">
        <v>0</v>
      </c>
      <c r="O120" s="82" t="n">
        <v>0</v>
      </c>
      <c r="P120" s="81" t="n">
        <v>0</v>
      </c>
      <c r="Q120" s="97" t="n">
        <v>16</v>
      </c>
      <c r="R120" s="83" t="n">
        <v>0</v>
      </c>
      <c r="S120" s="82" t="n">
        <v>0</v>
      </c>
      <c r="T120" s="82" t="n">
        <v>0</v>
      </c>
      <c r="U120" s="82" t="n">
        <v>0</v>
      </c>
      <c r="V120" s="82" t="n">
        <v>0</v>
      </c>
      <c r="W120" s="82" t="n">
        <v>0</v>
      </c>
    </row>
    <row r="121" customFormat="false" ht="15" hidden="false" customHeight="false" outlineLevel="0" collapsed="false">
      <c r="A121" s="84" t="s">
        <v>50</v>
      </c>
      <c r="B121" s="69" t="n">
        <v>46137</v>
      </c>
      <c r="C121" s="70" t="n">
        <v>5.1</v>
      </c>
      <c r="D121" s="70" t="s">
        <v>48</v>
      </c>
      <c r="E121" s="71" t="n">
        <f aca="false">G121*23.12+H121*23.12+I121*23.12+J121*23.12+K121*11.55+L121*11.55+M121*11.55+N121*16.51+O121*16.51+P121*16.51+Q121*11.55+S121*11.55+T121*15+U121*1.7+V121*1.7+W121*11.55</f>
        <v>3684.45</v>
      </c>
      <c r="F121" s="72" t="n">
        <f aca="false">G121+H121+I121+J121+K121+L121+M121+N121+O121+P121+Q121+S121+T121+U121+V121+W121</f>
        <v>319</v>
      </c>
      <c r="G121" s="73" t="n">
        <v>0</v>
      </c>
      <c r="H121" s="74" t="n">
        <v>0</v>
      </c>
      <c r="I121" s="74" t="n">
        <v>0</v>
      </c>
      <c r="J121" s="74" t="n">
        <v>0</v>
      </c>
      <c r="K121" s="98" t="n">
        <v>150</v>
      </c>
      <c r="L121" s="99" t="n">
        <v>150</v>
      </c>
      <c r="M121" s="99" t="n">
        <v>3</v>
      </c>
      <c r="N121" s="73" t="n">
        <v>0</v>
      </c>
      <c r="O121" s="74" t="n">
        <v>0</v>
      </c>
      <c r="P121" s="73" t="n">
        <v>0</v>
      </c>
      <c r="Q121" s="99" t="n">
        <v>16</v>
      </c>
      <c r="R121" s="75" t="n">
        <v>0</v>
      </c>
      <c r="S121" s="74" t="n">
        <v>0</v>
      </c>
      <c r="T121" s="74" t="n">
        <v>0</v>
      </c>
      <c r="U121" s="74" t="n">
        <v>0</v>
      </c>
      <c r="V121" s="74" t="n">
        <v>0</v>
      </c>
      <c r="W121" s="74" t="n">
        <v>0</v>
      </c>
    </row>
    <row r="122" customFormat="false" ht="15" hidden="false" customHeight="false" outlineLevel="0" collapsed="false">
      <c r="A122" s="85" t="s">
        <v>51</v>
      </c>
      <c r="B122" s="77" t="n">
        <v>46138</v>
      </c>
      <c r="C122" s="78" t="n">
        <v>5.1</v>
      </c>
      <c r="D122" s="78" t="s">
        <v>48</v>
      </c>
      <c r="E122" s="79" t="n">
        <f aca="false">G122*23.12+H122*23.12+I122*23.12+J122*23.12+K122*11.55+L122*11.55+M122*11.55+N122*16.51+O122*16.51+P122*16.51+Q122*11.55+S122*11.55+T122*15+U122*1.7+V122*1.7+W122*11.55</f>
        <v>103.95</v>
      </c>
      <c r="F122" s="80" t="n">
        <f aca="false">G122+H122+I122+J122+K122+L122+M122+N122+O122+P122+Q122+S122+T122+U122+V122+W122</f>
        <v>9</v>
      </c>
      <c r="G122" s="81" t="n">
        <v>0</v>
      </c>
      <c r="H122" s="82" t="n">
        <v>0</v>
      </c>
      <c r="I122" s="82" t="n">
        <v>0</v>
      </c>
      <c r="J122" s="82" t="n">
        <v>0</v>
      </c>
      <c r="K122" s="96" t="n">
        <v>3</v>
      </c>
      <c r="L122" s="97" t="n">
        <v>3</v>
      </c>
      <c r="M122" s="97" t="n">
        <v>3</v>
      </c>
      <c r="N122" s="81" t="n">
        <v>0</v>
      </c>
      <c r="O122" s="82" t="n">
        <v>0</v>
      </c>
      <c r="P122" s="81" t="n">
        <v>0</v>
      </c>
      <c r="Q122" s="82" t="n">
        <v>0</v>
      </c>
      <c r="R122" s="83" t="n">
        <v>0</v>
      </c>
      <c r="S122" s="82" t="n">
        <v>0</v>
      </c>
      <c r="T122" s="82" t="n">
        <v>0</v>
      </c>
      <c r="U122" s="82" t="n">
        <v>0</v>
      </c>
      <c r="V122" s="82" t="n">
        <v>0</v>
      </c>
      <c r="W122" s="82" t="n">
        <v>0</v>
      </c>
    </row>
    <row r="123" customFormat="false" ht="15" hidden="false" customHeight="false" outlineLevel="0" collapsed="false">
      <c r="A123" s="86" t="s">
        <v>52</v>
      </c>
      <c r="B123" s="87" t="n">
        <v>46139</v>
      </c>
      <c r="C123" s="88" t="n">
        <v>5.2</v>
      </c>
      <c r="D123" s="88" t="s">
        <v>53</v>
      </c>
      <c r="E123" s="89" t="n">
        <f aca="false">G123*23.12+H123*23.12+I123*23.12+J123*23.12+K123*11.55+L123*11.55+M123*11.55+N123*16.51+O123*16.51+P123*16.51+Q123*11.55+S123*11.55+T123*15+U123*1.7+V123*1.7+W123*11.55</f>
        <v>3465</v>
      </c>
      <c r="F123" s="90" t="n">
        <f aca="false">G123+H123+I123+J123+K123+L123+M123+N123+O123+P123+Q123+S123+T123+U123+V123+W123</f>
        <v>300</v>
      </c>
      <c r="G123" s="91" t="n">
        <v>0</v>
      </c>
      <c r="H123" s="92" t="n">
        <v>0</v>
      </c>
      <c r="I123" s="92" t="n">
        <v>0</v>
      </c>
      <c r="J123" s="92" t="n">
        <v>0</v>
      </c>
      <c r="K123" s="93" t="n">
        <v>150</v>
      </c>
      <c r="L123" s="94" t="n">
        <v>150</v>
      </c>
      <c r="M123" s="92" t="n">
        <v>0</v>
      </c>
      <c r="N123" s="91" t="n">
        <v>0</v>
      </c>
      <c r="O123" s="92" t="n">
        <v>0</v>
      </c>
      <c r="P123" s="91" t="n">
        <v>0</v>
      </c>
      <c r="Q123" s="92" t="n">
        <v>0</v>
      </c>
      <c r="R123" s="95" t="n">
        <v>0</v>
      </c>
      <c r="S123" s="92" t="n">
        <v>0</v>
      </c>
      <c r="T123" s="92" t="n">
        <v>0</v>
      </c>
      <c r="U123" s="92" t="n">
        <v>0</v>
      </c>
      <c r="V123" s="92" t="n">
        <v>0</v>
      </c>
      <c r="W123" s="92" t="n">
        <v>0</v>
      </c>
    </row>
    <row r="124" customFormat="false" ht="15" hidden="false" customHeight="false" outlineLevel="0" collapsed="false">
      <c r="A124" s="76" t="s">
        <v>54</v>
      </c>
      <c r="B124" s="77" t="n">
        <v>46140</v>
      </c>
      <c r="C124" s="78" t="n">
        <v>5.2</v>
      </c>
      <c r="D124" s="78" t="s">
        <v>53</v>
      </c>
      <c r="E124" s="79" t="n">
        <f aca="false">G124*23.12+H124*23.12+I124*23.12+J124*23.12+K124*11.55+L124*11.55+M124*11.55+N124*16.51+O124*16.51+P124*16.51+Q124*11.55+S124*11.55+T124*15+U124*1.7+V124*1.7+W124*11.55</f>
        <v>5462.71</v>
      </c>
      <c r="F124" s="80" t="n">
        <f aca="false">G124+H124+I124+J124+K124+L124+M124+N124+O124+P124+Q124+S124+T124+U124+V124+W124</f>
        <v>421</v>
      </c>
      <c r="G124" s="81" t="n">
        <v>0</v>
      </c>
      <c r="H124" s="82" t="n">
        <v>0</v>
      </c>
      <c r="I124" s="82" t="n">
        <v>0</v>
      </c>
      <c r="J124" s="82" t="n">
        <v>0</v>
      </c>
      <c r="K124" s="96" t="n">
        <v>150</v>
      </c>
      <c r="L124" s="97" t="n">
        <v>150</v>
      </c>
      <c r="M124" s="82" t="n">
        <v>0</v>
      </c>
      <c r="N124" s="96" t="n">
        <v>50</v>
      </c>
      <c r="O124" s="97" t="n">
        <v>50</v>
      </c>
      <c r="P124" s="96" t="n">
        <v>21</v>
      </c>
      <c r="Q124" s="82" t="n">
        <v>0</v>
      </c>
      <c r="R124" s="83" t="n">
        <v>0</v>
      </c>
      <c r="S124" s="82" t="n">
        <v>0</v>
      </c>
      <c r="T124" s="82" t="n">
        <v>0</v>
      </c>
      <c r="U124" s="82" t="n">
        <v>0</v>
      </c>
      <c r="V124" s="82" t="n">
        <v>0</v>
      </c>
      <c r="W124" s="82" t="n">
        <v>0</v>
      </c>
    </row>
    <row r="125" customFormat="false" ht="15" hidden="false" customHeight="false" outlineLevel="0" collapsed="false">
      <c r="A125" s="68" t="s">
        <v>55</v>
      </c>
      <c r="B125" s="69" t="n">
        <v>46141</v>
      </c>
      <c r="C125" s="70" t="n">
        <v>5.2</v>
      </c>
      <c r="D125" s="70" t="s">
        <v>53</v>
      </c>
      <c r="E125" s="71" t="n">
        <f aca="false">G125*23.12+H125*23.12+I125*23.12+J125*23.12+K125*11.55+L125*11.55+M125*11.55+N125*16.51+O125*16.51+P125*16.51+Q125*11.55+S125*11.55+T125*15+U125*1.7+V125*1.7+W125*11.55</f>
        <v>5462.71</v>
      </c>
      <c r="F125" s="72" t="n">
        <f aca="false">G125+H125+I125+J125+K125+L125+M125+N125+O125+P125+Q125+S125+T125+U125+V125+W125</f>
        <v>421</v>
      </c>
      <c r="G125" s="73" t="n">
        <v>0</v>
      </c>
      <c r="H125" s="74" t="n">
        <v>0</v>
      </c>
      <c r="I125" s="74" t="n">
        <v>0</v>
      </c>
      <c r="J125" s="74" t="n">
        <v>0</v>
      </c>
      <c r="K125" s="98" t="n">
        <v>150</v>
      </c>
      <c r="L125" s="99" t="n">
        <v>150</v>
      </c>
      <c r="M125" s="74" t="n">
        <v>0</v>
      </c>
      <c r="N125" s="98" t="n">
        <v>50</v>
      </c>
      <c r="O125" s="99" t="n">
        <v>50</v>
      </c>
      <c r="P125" s="98" t="n">
        <v>21</v>
      </c>
      <c r="Q125" s="74" t="n">
        <v>0</v>
      </c>
      <c r="R125" s="75" t="n">
        <v>0</v>
      </c>
      <c r="S125" s="74" t="n">
        <v>0</v>
      </c>
      <c r="T125" s="74" t="n">
        <v>0</v>
      </c>
      <c r="U125" s="74" t="n">
        <v>0</v>
      </c>
      <c r="V125" s="74" t="n">
        <v>0</v>
      </c>
      <c r="W125" s="74" t="n">
        <v>0</v>
      </c>
    </row>
    <row r="126" customFormat="false" ht="15" hidden="false" customHeight="false" outlineLevel="0" collapsed="false">
      <c r="A126" s="76" t="s">
        <v>47</v>
      </c>
      <c r="B126" s="77" t="n">
        <v>46142</v>
      </c>
      <c r="C126" s="78" t="n">
        <v>5.2</v>
      </c>
      <c r="D126" s="78" t="s">
        <v>53</v>
      </c>
      <c r="E126" s="79" t="n">
        <f aca="false">G126*23.12+H126*23.12+I126*23.12+J126*23.12+K126*11.55+L126*11.55+M126*11.55+N126*16.51+O126*16.51+P126*16.51+Q126*11.55+S126*11.55+T126*15+U126*1.7+V126*1.7+W126*11.55</f>
        <v>5785.22</v>
      </c>
      <c r="F126" s="80" t="n">
        <f aca="false">G126+H126+I126+J126+K126+L126+M126+N126+O126+P126+Q126+S126+T126+U126+V126+W126</f>
        <v>602</v>
      </c>
      <c r="G126" s="81" t="n">
        <v>0</v>
      </c>
      <c r="H126" s="82" t="n">
        <v>0</v>
      </c>
      <c r="I126" s="82" t="n">
        <v>0</v>
      </c>
      <c r="J126" s="82" t="n">
        <v>0</v>
      </c>
      <c r="K126" s="96" t="n">
        <v>150</v>
      </c>
      <c r="L126" s="97" t="n">
        <v>150</v>
      </c>
      <c r="M126" s="82" t="n">
        <v>0</v>
      </c>
      <c r="N126" s="96" t="n">
        <v>50</v>
      </c>
      <c r="O126" s="97" t="n">
        <v>50</v>
      </c>
      <c r="P126" s="96" t="n">
        <v>22</v>
      </c>
      <c r="Q126" s="82" t="n">
        <v>0</v>
      </c>
      <c r="R126" s="83" t="n">
        <v>0</v>
      </c>
      <c r="S126" s="82" t="n">
        <v>0</v>
      </c>
      <c r="T126" s="82" t="n">
        <v>0</v>
      </c>
      <c r="U126" s="82" t="n">
        <v>0</v>
      </c>
      <c r="V126" s="97" t="n">
        <v>180</v>
      </c>
      <c r="W126" s="82" t="n">
        <v>0</v>
      </c>
    </row>
    <row r="127" customFormat="false" ht="15" hidden="false" customHeight="false" outlineLevel="0" collapsed="false">
      <c r="A127" s="68" t="s">
        <v>49</v>
      </c>
      <c r="B127" s="69" t="n">
        <v>46143</v>
      </c>
      <c r="C127" s="70" t="n">
        <v>5.2</v>
      </c>
      <c r="D127" s="70" t="s">
        <v>53</v>
      </c>
      <c r="E127" s="71" t="n">
        <f aca="false">G127*23.12+H127*23.12+I127*23.12+J127*23.12+K127*11.55+L127*11.55+M127*11.55+N127*16.51+O127*16.51+P127*16.51+Q127*11.55+S127*11.55+T127*15+U127*1.7+V127*1.7+W127*11.55</f>
        <v>5495.73</v>
      </c>
      <c r="F127" s="72" t="n">
        <f aca="false">G127+H127+I127+J127+K127+L127+M127+N127+O127+P127+Q127+S127+T127+U127+V127+W127</f>
        <v>423</v>
      </c>
      <c r="G127" s="73" t="n">
        <v>0</v>
      </c>
      <c r="H127" s="74" t="n">
        <v>0</v>
      </c>
      <c r="I127" s="74" t="n">
        <v>0</v>
      </c>
      <c r="J127" s="74" t="n">
        <v>0</v>
      </c>
      <c r="K127" s="98" t="n">
        <v>150</v>
      </c>
      <c r="L127" s="99" t="n">
        <v>150</v>
      </c>
      <c r="M127" s="74" t="n">
        <v>0</v>
      </c>
      <c r="N127" s="98" t="n">
        <v>50</v>
      </c>
      <c r="O127" s="99" t="n">
        <v>50</v>
      </c>
      <c r="P127" s="98" t="n">
        <v>23</v>
      </c>
      <c r="Q127" s="74" t="n">
        <v>0</v>
      </c>
      <c r="R127" s="75" t="n">
        <v>0</v>
      </c>
      <c r="S127" s="74" t="n">
        <v>0</v>
      </c>
      <c r="T127" s="74" t="n">
        <v>0</v>
      </c>
      <c r="U127" s="74" t="n">
        <v>0</v>
      </c>
      <c r="V127" s="74" t="n">
        <v>0</v>
      </c>
      <c r="W127" s="74" t="n">
        <v>0</v>
      </c>
    </row>
    <row r="128" customFormat="false" ht="15" hidden="false" customHeight="false" outlineLevel="0" collapsed="false">
      <c r="A128" s="85" t="s">
        <v>50</v>
      </c>
      <c r="B128" s="77" t="n">
        <v>46144</v>
      </c>
      <c r="C128" s="78" t="n">
        <v>5.2</v>
      </c>
      <c r="D128" s="78" t="s">
        <v>53</v>
      </c>
      <c r="E128" s="79" t="n">
        <f aca="false">G128*23.12+H128*23.12+I128*23.12+J128*23.12+K128*11.55+L128*11.55+M128*11.55+N128*16.51+O128*16.51+P128*16.51+Q128*11.55+S128*11.55+T128*15+U128*1.7+V128*1.7+W128*11.55</f>
        <v>4620.7</v>
      </c>
      <c r="F128" s="80" t="n">
        <f aca="false">G128+H128+I128+J128+K128+L128+M128+N128+O128+P128+Q128+S128+T128+U128+V128+W128</f>
        <v>370</v>
      </c>
      <c r="G128" s="81" t="n">
        <v>0</v>
      </c>
      <c r="H128" s="82" t="n">
        <v>0</v>
      </c>
      <c r="I128" s="82" t="n">
        <v>0</v>
      </c>
      <c r="J128" s="82" t="n">
        <v>0</v>
      </c>
      <c r="K128" s="96" t="n">
        <v>150</v>
      </c>
      <c r="L128" s="97" t="n">
        <v>150</v>
      </c>
      <c r="M128" s="82" t="n">
        <v>0</v>
      </c>
      <c r="N128" s="96" t="n">
        <v>50</v>
      </c>
      <c r="O128" s="82" t="n">
        <v>0</v>
      </c>
      <c r="P128" s="96" t="n">
        <v>20</v>
      </c>
      <c r="Q128" s="82" t="n">
        <v>0</v>
      </c>
      <c r="R128" s="83" t="n">
        <v>0</v>
      </c>
      <c r="S128" s="82" t="n">
        <v>0</v>
      </c>
      <c r="T128" s="82" t="n">
        <v>0</v>
      </c>
      <c r="U128" s="82" t="n">
        <v>0</v>
      </c>
      <c r="V128" s="82" t="n">
        <v>0</v>
      </c>
      <c r="W128" s="82" t="n">
        <v>0</v>
      </c>
    </row>
    <row r="129" customFormat="false" ht="15" hidden="false" customHeight="false" outlineLevel="0" collapsed="false">
      <c r="A129" s="84" t="s">
        <v>51</v>
      </c>
      <c r="B129" s="69" t="n">
        <v>46145</v>
      </c>
      <c r="C129" s="70" t="n">
        <v>5.2</v>
      </c>
      <c r="D129" s="70" t="s">
        <v>53</v>
      </c>
      <c r="E129" s="71" t="n">
        <f aca="false">G129*23.12+H129*23.12+I129*23.12+J129*23.12+K129*11.55+L129*11.55+M129*11.55+N129*16.51+O129*16.51+P129*16.51+Q129*11.55+S129*11.55+T129*15+U129*1.7+V129*1.7+W129*11.55</f>
        <v>0</v>
      </c>
      <c r="F129" s="72" t="n">
        <f aca="false">G129+H129+I129+J129+K129+L129+M129+N129+O129+P129+Q129+S129+T129+U129+V129+W129</f>
        <v>0</v>
      </c>
      <c r="G129" s="73" t="n">
        <v>0</v>
      </c>
      <c r="H129" s="74" t="n">
        <v>0</v>
      </c>
      <c r="I129" s="74" t="n">
        <v>0</v>
      </c>
      <c r="J129" s="74" t="n">
        <v>0</v>
      </c>
      <c r="K129" s="73" t="n">
        <v>0</v>
      </c>
      <c r="L129" s="74" t="n">
        <v>0</v>
      </c>
      <c r="M129" s="74" t="n">
        <v>0</v>
      </c>
      <c r="N129" s="73" t="n">
        <v>0</v>
      </c>
      <c r="O129" s="74" t="n">
        <v>0</v>
      </c>
      <c r="P129" s="73" t="n">
        <v>0</v>
      </c>
      <c r="Q129" s="74" t="n">
        <v>0</v>
      </c>
      <c r="R129" s="75" t="n">
        <v>0</v>
      </c>
      <c r="S129" s="74" t="n">
        <v>0</v>
      </c>
      <c r="T129" s="74" t="n">
        <v>0</v>
      </c>
      <c r="U129" s="74" t="n">
        <v>0</v>
      </c>
      <c r="V129" s="74" t="n">
        <v>0</v>
      </c>
      <c r="W129" s="74" t="n">
        <v>0</v>
      </c>
    </row>
    <row r="130" customFormat="false" ht="15" hidden="false" customHeight="false" outlineLevel="0" collapsed="false">
      <c r="A130" s="100" t="s">
        <v>52</v>
      </c>
      <c r="B130" s="101" t="n">
        <v>46146</v>
      </c>
      <c r="C130" s="102" t="n">
        <v>5.3</v>
      </c>
      <c r="D130" s="102" t="s">
        <v>56</v>
      </c>
      <c r="E130" s="103" t="n">
        <f aca="false">G130*23.12+H130*23.12+I130*23.12+J130*23.12+K130*11.55+L130*11.55+M130*11.55+N130*16.51+O130*16.51+P130*16.51+Q130*11.55+S130*11.55+T130*15+U130*1.7+V130*1.7+W130*11.55</f>
        <v>3465</v>
      </c>
      <c r="F130" s="104" t="n">
        <f aca="false">G130+H130+I130+J130+K130+L130+M130+N130+O130+P130+Q130+S130+T130+U130+V130+W130</f>
        <v>300</v>
      </c>
      <c r="G130" s="105" t="n">
        <v>0</v>
      </c>
      <c r="H130" s="106" t="n">
        <v>0</v>
      </c>
      <c r="I130" s="106" t="n">
        <v>0</v>
      </c>
      <c r="J130" s="106" t="n">
        <v>0</v>
      </c>
      <c r="K130" s="107" t="n">
        <v>150</v>
      </c>
      <c r="L130" s="108" t="n">
        <v>150</v>
      </c>
      <c r="M130" s="106" t="n">
        <v>0</v>
      </c>
      <c r="N130" s="105" t="n">
        <v>0</v>
      </c>
      <c r="O130" s="106" t="n">
        <v>0</v>
      </c>
      <c r="P130" s="105" t="n">
        <v>0</v>
      </c>
      <c r="Q130" s="106" t="n">
        <v>0</v>
      </c>
      <c r="R130" s="109" t="n">
        <v>0</v>
      </c>
      <c r="S130" s="106" t="n">
        <v>0</v>
      </c>
      <c r="T130" s="106" t="n">
        <v>0</v>
      </c>
      <c r="U130" s="106" t="n">
        <v>0</v>
      </c>
      <c r="V130" s="106" t="n">
        <v>0</v>
      </c>
      <c r="W130" s="106" t="n">
        <v>0</v>
      </c>
    </row>
    <row r="131" customFormat="false" ht="15" hidden="false" customHeight="false" outlineLevel="0" collapsed="false">
      <c r="A131" s="68" t="s">
        <v>54</v>
      </c>
      <c r="B131" s="69" t="n">
        <v>46147</v>
      </c>
      <c r="C131" s="70" t="n">
        <v>5.3</v>
      </c>
      <c r="D131" s="70" t="s">
        <v>56</v>
      </c>
      <c r="E131" s="71" t="n">
        <f aca="false">G131*23.12+H131*23.12+I131*23.12+J131*23.12+K131*11.55+L131*11.55+M131*11.55+N131*16.51+O131*16.51+P131*16.51+Q131*11.55+S131*11.55+T131*15+U131*1.7+V131*1.7+W131*11.55</f>
        <v>5578.21</v>
      </c>
      <c r="F131" s="72" t="n">
        <f aca="false">G131+H131+I131+J131+K131+L131+M131+N131+O131+P131+Q131+S131+T131+U131+V131+W131</f>
        <v>431</v>
      </c>
      <c r="G131" s="73" t="n">
        <v>0</v>
      </c>
      <c r="H131" s="74" t="n">
        <v>0</v>
      </c>
      <c r="I131" s="74" t="n">
        <v>0</v>
      </c>
      <c r="J131" s="74" t="n">
        <v>0</v>
      </c>
      <c r="K131" s="98" t="n">
        <v>150</v>
      </c>
      <c r="L131" s="99" t="n">
        <v>110</v>
      </c>
      <c r="M131" s="99" t="n">
        <v>50</v>
      </c>
      <c r="N131" s="98" t="n">
        <v>50</v>
      </c>
      <c r="O131" s="99" t="n">
        <v>50</v>
      </c>
      <c r="P131" s="98" t="n">
        <v>21</v>
      </c>
      <c r="Q131" s="74" t="n">
        <v>0</v>
      </c>
      <c r="R131" s="75" t="n">
        <v>0</v>
      </c>
      <c r="S131" s="74" t="n">
        <v>0</v>
      </c>
      <c r="T131" s="74" t="n">
        <v>0</v>
      </c>
      <c r="U131" s="74" t="n">
        <v>0</v>
      </c>
      <c r="V131" s="74" t="n">
        <v>0</v>
      </c>
      <c r="W131" s="74" t="n">
        <v>0</v>
      </c>
    </row>
    <row r="132" customFormat="false" ht="15" hidden="false" customHeight="false" outlineLevel="0" collapsed="false">
      <c r="A132" s="76" t="s">
        <v>55</v>
      </c>
      <c r="B132" s="77" t="n">
        <v>46148</v>
      </c>
      <c r="C132" s="78" t="n">
        <v>5.3</v>
      </c>
      <c r="D132" s="78" t="s">
        <v>56</v>
      </c>
      <c r="E132" s="79" t="n">
        <f aca="false">G132*23.12+H132*23.12+I132*23.12+J132*23.12+K132*11.55+L132*11.55+M132*11.55+N132*16.51+O132*16.51+P132*16.51+Q132*11.55+S132*11.55+T132*15+U132*1.7+V132*1.7+W132*11.55</f>
        <v>5462.71</v>
      </c>
      <c r="F132" s="80" t="n">
        <f aca="false">G132+H132+I132+J132+K132+L132+M132+N132+O132+P132+Q132+S132+T132+U132+V132+W132</f>
        <v>421</v>
      </c>
      <c r="G132" s="81" t="n">
        <v>0</v>
      </c>
      <c r="H132" s="82" t="n">
        <v>0</v>
      </c>
      <c r="I132" s="82" t="n">
        <v>0</v>
      </c>
      <c r="J132" s="82" t="n">
        <v>0</v>
      </c>
      <c r="K132" s="96" t="n">
        <v>150</v>
      </c>
      <c r="L132" s="97" t="n">
        <v>150</v>
      </c>
      <c r="M132" s="82" t="n">
        <v>0</v>
      </c>
      <c r="N132" s="96" t="n">
        <v>50</v>
      </c>
      <c r="O132" s="97" t="n">
        <v>50</v>
      </c>
      <c r="P132" s="96" t="n">
        <v>21</v>
      </c>
      <c r="Q132" s="82" t="n">
        <v>0</v>
      </c>
      <c r="R132" s="115" t="n">
        <v>6644.7</v>
      </c>
      <c r="S132" s="82" t="n">
        <v>0</v>
      </c>
      <c r="T132" s="82" t="n">
        <v>0</v>
      </c>
      <c r="U132" s="82" t="n">
        <v>0</v>
      </c>
      <c r="V132" s="82" t="n">
        <v>0</v>
      </c>
      <c r="W132" s="82" t="n">
        <v>0</v>
      </c>
    </row>
    <row r="133" customFormat="false" ht="15" hidden="false" customHeight="false" outlineLevel="0" collapsed="false">
      <c r="A133" s="68" t="s">
        <v>47</v>
      </c>
      <c r="B133" s="69" t="n">
        <v>46149</v>
      </c>
      <c r="C133" s="70" t="n">
        <v>5.3</v>
      </c>
      <c r="D133" s="70" t="s">
        <v>56</v>
      </c>
      <c r="E133" s="71" t="n">
        <f aca="false">G133*23.12+H133*23.12+I133*23.12+J133*23.12+K133*11.55+L133*11.55+M133*11.55+N133*16.51+O133*16.51+P133*16.51+Q133*11.55+S133*11.55+T133*15+U133*1.7+V133*1.7+W133*11.55</f>
        <v>5495.73</v>
      </c>
      <c r="F133" s="72" t="n">
        <f aca="false">G133+H133+I133+J133+K133+L133+M133+N133+O133+P133+Q133+S133+T133+U133+V133+W133</f>
        <v>423</v>
      </c>
      <c r="G133" s="73" t="n">
        <v>0</v>
      </c>
      <c r="H133" s="74" t="n">
        <v>0</v>
      </c>
      <c r="I133" s="74" t="n">
        <v>0</v>
      </c>
      <c r="J133" s="74" t="n">
        <v>0</v>
      </c>
      <c r="K133" s="98" t="n">
        <v>150</v>
      </c>
      <c r="L133" s="99" t="n">
        <v>150</v>
      </c>
      <c r="M133" s="74" t="n">
        <v>0</v>
      </c>
      <c r="N133" s="98" t="n">
        <v>50</v>
      </c>
      <c r="O133" s="99" t="n">
        <v>50</v>
      </c>
      <c r="P133" s="98" t="n">
        <v>23</v>
      </c>
      <c r="Q133" s="74" t="n">
        <v>0</v>
      </c>
      <c r="R133" s="75" t="n">
        <v>0</v>
      </c>
      <c r="S133" s="74" t="n">
        <v>0</v>
      </c>
      <c r="T133" s="74" t="n">
        <v>0</v>
      </c>
      <c r="U133" s="74" t="n">
        <v>0</v>
      </c>
      <c r="V133" s="74" t="n">
        <v>0</v>
      </c>
      <c r="W133" s="74" t="n">
        <v>0</v>
      </c>
    </row>
    <row r="134" customFormat="false" ht="15" hidden="false" customHeight="false" outlineLevel="0" collapsed="false">
      <c r="A134" s="76" t="s">
        <v>49</v>
      </c>
      <c r="B134" s="77" t="n">
        <v>46150</v>
      </c>
      <c r="C134" s="78" t="n">
        <v>5.3</v>
      </c>
      <c r="D134" s="78" t="s">
        <v>56</v>
      </c>
      <c r="E134" s="79" t="n">
        <f aca="false">G134*23.12+H134*23.12+I134*23.12+J134*23.12+K134*11.55+L134*11.55+M134*11.55+N134*16.51+O134*16.51+P134*16.51+Q134*11.55+S134*11.55+T134*15+U134*1.7+V134*1.7+W134*11.55</f>
        <v>5495.73</v>
      </c>
      <c r="F134" s="80" t="n">
        <f aca="false">G134+H134+I134+J134+K134+L134+M134+N134+O134+P134+Q134+S134+T134+U134+V134+W134</f>
        <v>423</v>
      </c>
      <c r="G134" s="81" t="n">
        <v>0</v>
      </c>
      <c r="H134" s="82" t="n">
        <v>0</v>
      </c>
      <c r="I134" s="82" t="n">
        <v>0</v>
      </c>
      <c r="J134" s="82" t="n">
        <v>0</v>
      </c>
      <c r="K134" s="96" t="n">
        <v>150</v>
      </c>
      <c r="L134" s="97" t="n">
        <v>150</v>
      </c>
      <c r="M134" s="82" t="n">
        <v>0</v>
      </c>
      <c r="N134" s="96" t="n">
        <v>50</v>
      </c>
      <c r="O134" s="97" t="n">
        <v>50</v>
      </c>
      <c r="P134" s="96" t="n">
        <v>23</v>
      </c>
      <c r="Q134" s="82" t="n">
        <v>0</v>
      </c>
      <c r="R134" s="83" t="n">
        <v>0</v>
      </c>
      <c r="S134" s="82" t="n">
        <v>0</v>
      </c>
      <c r="T134" s="82" t="n">
        <v>0</v>
      </c>
      <c r="U134" s="82" t="n">
        <v>0</v>
      </c>
      <c r="V134" s="82" t="n">
        <v>0</v>
      </c>
      <c r="W134" s="82" t="n">
        <v>0</v>
      </c>
    </row>
    <row r="135" customFormat="false" ht="15" hidden="false" customHeight="false" outlineLevel="0" collapsed="false">
      <c r="A135" s="84" t="s">
        <v>50</v>
      </c>
      <c r="B135" s="69" t="n">
        <v>46151</v>
      </c>
      <c r="C135" s="70" t="n">
        <v>5.3</v>
      </c>
      <c r="D135" s="70" t="s">
        <v>56</v>
      </c>
      <c r="E135" s="71" t="n">
        <f aca="false">G135*23.12+H135*23.12+I135*23.12+J135*23.12+K135*11.55+L135*11.55+M135*11.55+N135*16.51+O135*16.51+P135*16.51+Q135*11.55+S135*11.55+T135*15+U135*1.7+V135*1.7+W135*11.55</f>
        <v>4637.21</v>
      </c>
      <c r="F135" s="72" t="n">
        <f aca="false">G135+H135+I135+J135+K135+L135+M135+N135+O135+P135+Q135+S135+T135+U135+V135+W135</f>
        <v>371</v>
      </c>
      <c r="G135" s="73" t="n">
        <v>0</v>
      </c>
      <c r="H135" s="74" t="n">
        <v>0</v>
      </c>
      <c r="I135" s="74" t="n">
        <v>0</v>
      </c>
      <c r="J135" s="74" t="n">
        <v>0</v>
      </c>
      <c r="K135" s="98" t="n">
        <v>150</v>
      </c>
      <c r="L135" s="99" t="n">
        <v>150</v>
      </c>
      <c r="M135" s="74" t="n">
        <v>0</v>
      </c>
      <c r="N135" s="98" t="n">
        <v>50</v>
      </c>
      <c r="O135" s="74" t="n">
        <v>0</v>
      </c>
      <c r="P135" s="98" t="n">
        <v>21</v>
      </c>
      <c r="Q135" s="74" t="n">
        <v>0</v>
      </c>
      <c r="R135" s="75" t="n">
        <v>0</v>
      </c>
      <c r="S135" s="74" t="n">
        <v>0</v>
      </c>
      <c r="T135" s="74" t="n">
        <v>0</v>
      </c>
      <c r="U135" s="74" t="n">
        <v>0</v>
      </c>
      <c r="V135" s="74" t="n">
        <v>0</v>
      </c>
      <c r="W135" s="74" t="n">
        <v>0</v>
      </c>
    </row>
    <row r="136" customFormat="false" ht="15" hidden="false" customHeight="false" outlineLevel="0" collapsed="false">
      <c r="A136" s="85" t="s">
        <v>51</v>
      </c>
      <c r="B136" s="77" t="n">
        <v>46152</v>
      </c>
      <c r="C136" s="78" t="n">
        <v>5.3</v>
      </c>
      <c r="D136" s="78" t="s">
        <v>56</v>
      </c>
      <c r="E136" s="79" t="n">
        <f aca="false">G136*23.12+H136*23.12+I136*23.12+J136*23.12+K136*11.55+L136*11.55+M136*11.55+N136*16.51+O136*16.51+P136*16.51+Q136*11.55+S136*11.55+T136*15+U136*1.7+V136*1.7+W136*11.55</f>
        <v>103.95</v>
      </c>
      <c r="F136" s="80" t="n">
        <f aca="false">G136+H136+I136+J136+K136+L136+M136+N136+O136+P136+Q136+S136+T136+U136+V136+W136</f>
        <v>9</v>
      </c>
      <c r="G136" s="81" t="n">
        <v>0</v>
      </c>
      <c r="H136" s="82" t="n">
        <v>0</v>
      </c>
      <c r="I136" s="82" t="n">
        <v>0</v>
      </c>
      <c r="J136" s="82" t="n">
        <v>0</v>
      </c>
      <c r="K136" s="96" t="n">
        <v>3</v>
      </c>
      <c r="L136" s="97" t="n">
        <v>3</v>
      </c>
      <c r="M136" s="97" t="n">
        <v>3</v>
      </c>
      <c r="N136" s="81" t="n">
        <v>0</v>
      </c>
      <c r="O136" s="82" t="n">
        <v>0</v>
      </c>
      <c r="P136" s="81" t="n">
        <v>0</v>
      </c>
      <c r="Q136" s="82" t="n">
        <v>0</v>
      </c>
      <c r="R136" s="83" t="n">
        <v>0</v>
      </c>
      <c r="S136" s="82" t="n">
        <v>0</v>
      </c>
      <c r="T136" s="82" t="n">
        <v>0</v>
      </c>
      <c r="U136" s="82" t="n">
        <v>0</v>
      </c>
      <c r="V136" s="82" t="n">
        <v>0</v>
      </c>
      <c r="W136" s="82" t="n">
        <v>0</v>
      </c>
    </row>
    <row r="137" customFormat="false" ht="15" hidden="false" customHeight="false" outlineLevel="0" collapsed="false">
      <c r="A137" s="86" t="s">
        <v>52</v>
      </c>
      <c r="B137" s="87" t="n">
        <v>46153</v>
      </c>
      <c r="C137" s="88" t="n">
        <v>5.4</v>
      </c>
      <c r="D137" s="88" t="s">
        <v>57</v>
      </c>
      <c r="E137" s="89" t="n">
        <f aca="false">G137*23.12+H137*23.12+I137*23.12+J137*23.12+K137*11.55+L137*11.55+M137*11.55+N137*16.51+O137*16.51+P137*16.51+Q137*11.55+S137*11.55+T137*15+U137*1.7+V137*1.7+W137*11.55</f>
        <v>3499.65</v>
      </c>
      <c r="F137" s="90" t="n">
        <f aca="false">G137+H137+I137+J137+K137+L137+M137+N137+O137+P137+Q137+S137+T137+U137+V137+W137</f>
        <v>303</v>
      </c>
      <c r="G137" s="91" t="n">
        <v>0</v>
      </c>
      <c r="H137" s="92" t="n">
        <v>0</v>
      </c>
      <c r="I137" s="92" t="n">
        <v>0</v>
      </c>
      <c r="J137" s="92" t="n">
        <v>0</v>
      </c>
      <c r="K137" s="93" t="n">
        <v>150</v>
      </c>
      <c r="L137" s="94" t="n">
        <v>150</v>
      </c>
      <c r="M137" s="94" t="n">
        <v>3</v>
      </c>
      <c r="N137" s="91" t="n">
        <v>0</v>
      </c>
      <c r="O137" s="92" t="n">
        <v>0</v>
      </c>
      <c r="P137" s="91" t="n">
        <v>0</v>
      </c>
      <c r="Q137" s="92" t="n">
        <v>0</v>
      </c>
      <c r="R137" s="95" t="n">
        <v>0</v>
      </c>
      <c r="S137" s="92" t="n">
        <v>0</v>
      </c>
      <c r="T137" s="92" t="n">
        <v>0</v>
      </c>
      <c r="U137" s="92" t="n">
        <v>0</v>
      </c>
      <c r="V137" s="92" t="n">
        <v>0</v>
      </c>
      <c r="W137" s="92" t="n">
        <v>0</v>
      </c>
    </row>
    <row r="138" customFormat="false" ht="15" hidden="false" customHeight="false" outlineLevel="0" collapsed="false">
      <c r="A138" s="76" t="s">
        <v>54</v>
      </c>
      <c r="B138" s="77" t="n">
        <v>46154</v>
      </c>
      <c r="C138" s="78" t="n">
        <v>5.4</v>
      </c>
      <c r="D138" s="78" t="s">
        <v>57</v>
      </c>
      <c r="E138" s="79" t="n">
        <f aca="false">G138*23.12+H138*23.12+I138*23.12+J138*23.12+K138*11.55+L138*11.55+M138*11.55+N138*16.51+O138*16.51+P138*16.51+Q138*11.55+S138*11.55+T138*15+U138*1.7+V138*1.7+W138*11.55</f>
        <v>3684.45</v>
      </c>
      <c r="F138" s="80" t="n">
        <f aca="false">G138+H138+I138+J138+K138+L138+M138+N138+O138+P138+Q138+S138+T138+U138+V138+W138</f>
        <v>319</v>
      </c>
      <c r="G138" s="81" t="n">
        <v>0</v>
      </c>
      <c r="H138" s="82" t="n">
        <v>0</v>
      </c>
      <c r="I138" s="82" t="n">
        <v>0</v>
      </c>
      <c r="J138" s="82" t="n">
        <v>0</v>
      </c>
      <c r="K138" s="96" t="n">
        <v>150</v>
      </c>
      <c r="L138" s="97" t="n">
        <v>150</v>
      </c>
      <c r="M138" s="97" t="n">
        <v>3</v>
      </c>
      <c r="N138" s="81" t="n">
        <v>0</v>
      </c>
      <c r="O138" s="82" t="n">
        <v>0</v>
      </c>
      <c r="P138" s="81" t="n">
        <v>0</v>
      </c>
      <c r="Q138" s="97" t="n">
        <v>16</v>
      </c>
      <c r="R138" s="83" t="n">
        <v>0</v>
      </c>
      <c r="S138" s="82" t="n">
        <v>0</v>
      </c>
      <c r="T138" s="82" t="n">
        <v>0</v>
      </c>
      <c r="U138" s="82" t="n">
        <v>0</v>
      </c>
      <c r="V138" s="82" t="n">
        <v>0</v>
      </c>
      <c r="W138" s="82" t="n">
        <v>0</v>
      </c>
    </row>
    <row r="139" customFormat="false" ht="15" hidden="false" customHeight="false" outlineLevel="0" collapsed="false">
      <c r="A139" s="68" t="s">
        <v>55</v>
      </c>
      <c r="B139" s="69" t="n">
        <v>46155</v>
      </c>
      <c r="C139" s="70" t="n">
        <v>5.4</v>
      </c>
      <c r="D139" s="70" t="s">
        <v>57</v>
      </c>
      <c r="E139" s="71" t="n">
        <f aca="false">G139*23.12+H139*23.12+I139*23.12+J139*23.12+K139*11.55+L139*11.55+M139*11.55+N139*16.51+O139*16.51+P139*16.51+Q139*11.55+S139*11.55+T139*15+U139*1.7+V139*1.7+W139*11.55</f>
        <v>3499.65</v>
      </c>
      <c r="F139" s="72" t="n">
        <f aca="false">G139+H139+I139+J139+K139+L139+M139+N139+O139+P139+Q139+S139+T139+U139+V139+W139</f>
        <v>303</v>
      </c>
      <c r="G139" s="73" t="n">
        <v>0</v>
      </c>
      <c r="H139" s="74" t="n">
        <v>0</v>
      </c>
      <c r="I139" s="74" t="n">
        <v>0</v>
      </c>
      <c r="J139" s="74" t="n">
        <v>0</v>
      </c>
      <c r="K139" s="98" t="n">
        <v>150</v>
      </c>
      <c r="L139" s="99" t="n">
        <v>150</v>
      </c>
      <c r="M139" s="99" t="n">
        <v>3</v>
      </c>
      <c r="N139" s="73" t="n">
        <v>0</v>
      </c>
      <c r="O139" s="74" t="n">
        <v>0</v>
      </c>
      <c r="P139" s="73" t="n">
        <v>0</v>
      </c>
      <c r="Q139" s="74" t="n">
        <v>0</v>
      </c>
      <c r="R139" s="75" t="n">
        <v>0</v>
      </c>
      <c r="S139" s="74" t="n">
        <v>0</v>
      </c>
      <c r="T139" s="74" t="n">
        <v>0</v>
      </c>
      <c r="U139" s="74" t="n">
        <v>0</v>
      </c>
      <c r="V139" s="74" t="n">
        <v>0</v>
      </c>
      <c r="W139" s="74" t="n">
        <v>0</v>
      </c>
    </row>
    <row r="140" customFormat="false" ht="15" hidden="false" customHeight="false" outlineLevel="0" collapsed="false">
      <c r="A140" s="76" t="s">
        <v>47</v>
      </c>
      <c r="B140" s="77" t="n">
        <v>46156</v>
      </c>
      <c r="C140" s="78" t="n">
        <v>5.4</v>
      </c>
      <c r="D140" s="78" t="s">
        <v>57</v>
      </c>
      <c r="E140" s="79" t="n">
        <f aca="false">G140*23.12+H140*23.12+I140*23.12+J140*23.12+K140*11.55+L140*11.55+M140*11.55+N140*16.51+O140*16.51+P140*16.51+Q140*11.55+S140*11.55+T140*15+U140*1.7+V140*1.7+W140*11.55</f>
        <v>3990.45</v>
      </c>
      <c r="F140" s="80" t="n">
        <f aca="false">G140+H140+I140+J140+K140+L140+M140+N140+O140+P140+Q140+S140+T140+U140+V140+W140</f>
        <v>499</v>
      </c>
      <c r="G140" s="81" t="n">
        <v>0</v>
      </c>
      <c r="H140" s="82" t="n">
        <v>0</v>
      </c>
      <c r="I140" s="82" t="n">
        <v>0</v>
      </c>
      <c r="J140" s="82" t="n">
        <v>0</v>
      </c>
      <c r="K140" s="96" t="n">
        <v>150</v>
      </c>
      <c r="L140" s="97" t="n">
        <v>150</v>
      </c>
      <c r="M140" s="97" t="n">
        <v>3</v>
      </c>
      <c r="N140" s="81" t="n">
        <v>0</v>
      </c>
      <c r="O140" s="82" t="n">
        <v>0</v>
      </c>
      <c r="P140" s="81" t="n">
        <v>0</v>
      </c>
      <c r="Q140" s="97" t="n">
        <v>16</v>
      </c>
      <c r="R140" s="83" t="n">
        <v>0</v>
      </c>
      <c r="S140" s="82" t="n">
        <v>0</v>
      </c>
      <c r="T140" s="82" t="n">
        <v>0</v>
      </c>
      <c r="U140" s="82" t="n">
        <v>0</v>
      </c>
      <c r="V140" s="97" t="n">
        <v>180</v>
      </c>
      <c r="W140" s="82" t="n">
        <v>0</v>
      </c>
    </row>
    <row r="141" customFormat="false" ht="15" hidden="false" customHeight="false" outlineLevel="0" collapsed="false">
      <c r="A141" s="68" t="s">
        <v>49</v>
      </c>
      <c r="B141" s="69" t="n">
        <v>46157</v>
      </c>
      <c r="C141" s="70" t="n">
        <v>5.4</v>
      </c>
      <c r="D141" s="70" t="s">
        <v>57</v>
      </c>
      <c r="E141" s="71" t="n">
        <f aca="false">G141*23.12+H141*23.12+I141*23.12+J141*23.12+K141*11.55+L141*11.55+M141*11.55+N141*16.51+O141*16.51+P141*16.51+Q141*11.55+S141*11.55+T141*15+U141*1.7+V141*1.7+W141*11.55</f>
        <v>3499.65</v>
      </c>
      <c r="F141" s="72" t="n">
        <f aca="false">G141+H141+I141+J141+K141+L141+M141+N141+O141+P141+Q141+S141+T141+U141+V141+W141</f>
        <v>303</v>
      </c>
      <c r="G141" s="73" t="n">
        <v>0</v>
      </c>
      <c r="H141" s="74" t="n">
        <v>0</v>
      </c>
      <c r="I141" s="74" t="n">
        <v>0</v>
      </c>
      <c r="J141" s="74" t="n">
        <v>0</v>
      </c>
      <c r="K141" s="98" t="n">
        <v>150</v>
      </c>
      <c r="L141" s="99" t="n">
        <v>150</v>
      </c>
      <c r="M141" s="99" t="n">
        <v>3</v>
      </c>
      <c r="N141" s="73" t="n">
        <v>0</v>
      </c>
      <c r="O141" s="74" t="n">
        <v>0</v>
      </c>
      <c r="P141" s="73" t="n">
        <v>0</v>
      </c>
      <c r="Q141" s="74" t="n">
        <v>0</v>
      </c>
      <c r="R141" s="75" t="n">
        <v>0</v>
      </c>
      <c r="S141" s="74" t="n">
        <v>0</v>
      </c>
      <c r="T141" s="74" t="n">
        <v>0</v>
      </c>
      <c r="U141" s="74" t="n">
        <v>0</v>
      </c>
      <c r="V141" s="74" t="n">
        <v>0</v>
      </c>
      <c r="W141" s="74" t="n">
        <v>0</v>
      </c>
    </row>
    <row r="142" customFormat="false" ht="15" hidden="false" customHeight="false" outlineLevel="0" collapsed="false">
      <c r="A142" s="85" t="s">
        <v>50</v>
      </c>
      <c r="B142" s="77" t="n">
        <v>46158</v>
      </c>
      <c r="C142" s="78" t="n">
        <v>5.4</v>
      </c>
      <c r="D142" s="78" t="s">
        <v>57</v>
      </c>
      <c r="E142" s="79" t="n">
        <f aca="false">G142*23.12+H142*23.12+I142*23.12+J142*23.12+K142*11.55+L142*11.55+M142*11.55+N142*16.51+O142*16.51+P142*16.51+Q142*11.55+S142*11.55+T142*15+U142*1.7+V142*1.7+W142*11.55</f>
        <v>3499.65</v>
      </c>
      <c r="F142" s="80" t="n">
        <f aca="false">G142+H142+I142+J142+K142+L142+M142+N142+O142+P142+Q142+S142+T142+U142+V142+W142</f>
        <v>303</v>
      </c>
      <c r="G142" s="81" t="n">
        <v>0</v>
      </c>
      <c r="H142" s="82" t="n">
        <v>0</v>
      </c>
      <c r="I142" s="82" t="n">
        <v>0</v>
      </c>
      <c r="J142" s="82" t="n">
        <v>0</v>
      </c>
      <c r="K142" s="96" t="n">
        <v>150</v>
      </c>
      <c r="L142" s="97" t="n">
        <v>150</v>
      </c>
      <c r="M142" s="97" t="n">
        <v>3</v>
      </c>
      <c r="N142" s="81" t="n">
        <v>0</v>
      </c>
      <c r="O142" s="82" t="n">
        <v>0</v>
      </c>
      <c r="P142" s="81" t="n">
        <v>0</v>
      </c>
      <c r="Q142" s="82" t="n">
        <v>0</v>
      </c>
      <c r="R142" s="83" t="n">
        <v>0</v>
      </c>
      <c r="S142" s="82" t="n">
        <v>0</v>
      </c>
      <c r="T142" s="82" t="n">
        <v>0</v>
      </c>
      <c r="U142" s="82" t="n">
        <v>0</v>
      </c>
      <c r="V142" s="82" t="n">
        <v>0</v>
      </c>
      <c r="W142" s="82" t="n">
        <v>0</v>
      </c>
    </row>
    <row r="143" customFormat="false" ht="15" hidden="false" customHeight="false" outlineLevel="0" collapsed="false">
      <c r="A143" s="84" t="s">
        <v>51</v>
      </c>
      <c r="B143" s="69" t="n">
        <v>46159</v>
      </c>
      <c r="C143" s="70" t="n">
        <v>5.4</v>
      </c>
      <c r="D143" s="70" t="s">
        <v>57</v>
      </c>
      <c r="E143" s="71" t="n">
        <f aca="false">G143*23.12+H143*23.12+I143*23.12+J143*23.12+K143*11.55+L143*11.55+M143*11.55+N143*16.51+O143*16.51+P143*16.51+Q143*11.55+S143*11.55+T143*15+U143*1.7+V143*1.7+W143*11.55</f>
        <v>103.95</v>
      </c>
      <c r="F143" s="72" t="n">
        <f aca="false">G143+H143+I143+J143+K143+L143+M143+N143+O143+P143+Q143+S143+T143+U143+V143+W143</f>
        <v>9</v>
      </c>
      <c r="G143" s="73" t="n">
        <v>0</v>
      </c>
      <c r="H143" s="74" t="n">
        <v>0</v>
      </c>
      <c r="I143" s="74" t="n">
        <v>0</v>
      </c>
      <c r="J143" s="74" t="n">
        <v>0</v>
      </c>
      <c r="K143" s="98" t="n">
        <v>3</v>
      </c>
      <c r="L143" s="99" t="n">
        <v>3</v>
      </c>
      <c r="M143" s="99" t="n">
        <v>3</v>
      </c>
      <c r="N143" s="73" t="n">
        <v>0</v>
      </c>
      <c r="O143" s="74" t="n">
        <v>0</v>
      </c>
      <c r="P143" s="73" t="n">
        <v>0</v>
      </c>
      <c r="Q143" s="74" t="n">
        <v>0</v>
      </c>
      <c r="R143" s="75" t="n">
        <v>0</v>
      </c>
      <c r="S143" s="74" t="n">
        <v>0</v>
      </c>
      <c r="T143" s="74" t="n">
        <v>0</v>
      </c>
      <c r="U143" s="74" t="n">
        <v>0</v>
      </c>
      <c r="V143" s="74" t="n">
        <v>0</v>
      </c>
      <c r="W143" s="74" t="n">
        <v>0</v>
      </c>
    </row>
    <row r="144" customFormat="false" ht="15" hidden="false" customHeight="false" outlineLevel="0" collapsed="false">
      <c r="A144" s="100" t="s">
        <v>52</v>
      </c>
      <c r="B144" s="101" t="n">
        <v>46160</v>
      </c>
      <c r="C144" s="102" t="n">
        <v>6.1</v>
      </c>
      <c r="D144" s="102" t="s">
        <v>48</v>
      </c>
      <c r="E144" s="103" t="n">
        <f aca="false">G144*23.12+H144*23.12+I144*23.12+J144*23.12+K144*11.55+L144*11.55+M144*11.55+N144*16.51+O144*16.51+P144*16.51+Q144*11.55+S144*11.55+T144*15+U144*1.7+V144*1.7+W144*11.55</f>
        <v>3499.65</v>
      </c>
      <c r="F144" s="104" t="n">
        <f aca="false">G144+H144+I144+J144+K144+L144+M144+N144+O144+P144+Q144+S144+T144+U144+V144+W144</f>
        <v>303</v>
      </c>
      <c r="G144" s="105" t="n">
        <v>0</v>
      </c>
      <c r="H144" s="106" t="n">
        <v>0</v>
      </c>
      <c r="I144" s="106" t="n">
        <v>0</v>
      </c>
      <c r="J144" s="106" t="n">
        <v>0</v>
      </c>
      <c r="K144" s="107" t="n">
        <v>150</v>
      </c>
      <c r="L144" s="108" t="n">
        <v>150</v>
      </c>
      <c r="M144" s="108" t="n">
        <v>3</v>
      </c>
      <c r="N144" s="105" t="n">
        <v>0</v>
      </c>
      <c r="O144" s="106" t="n">
        <v>0</v>
      </c>
      <c r="P144" s="105" t="n">
        <v>0</v>
      </c>
      <c r="Q144" s="106" t="n">
        <v>0</v>
      </c>
      <c r="R144" s="109" t="n">
        <v>0</v>
      </c>
      <c r="S144" s="106" t="n">
        <v>0</v>
      </c>
      <c r="T144" s="106" t="n">
        <v>0</v>
      </c>
      <c r="U144" s="106" t="n">
        <v>0</v>
      </c>
      <c r="V144" s="106" t="n">
        <v>0</v>
      </c>
      <c r="W144" s="106" t="n">
        <v>0</v>
      </c>
    </row>
    <row r="145" customFormat="false" ht="15" hidden="false" customHeight="false" outlineLevel="0" collapsed="false">
      <c r="A145" s="68" t="s">
        <v>54</v>
      </c>
      <c r="B145" s="69" t="n">
        <v>46161</v>
      </c>
      <c r="C145" s="70" t="n">
        <v>6.1</v>
      </c>
      <c r="D145" s="70" t="s">
        <v>48</v>
      </c>
      <c r="E145" s="71" t="n">
        <f aca="false">G145*23.12+H145*23.12+I145*23.12+J145*23.12+K145*11.55+L145*11.55+M145*11.55+N145*16.51+O145*16.51+P145*16.51+Q145*11.55+S145*11.55+T145*15+U145*1.7+V145*1.7+W145*11.55</f>
        <v>5185.3</v>
      </c>
      <c r="F145" s="72" t="n">
        <f aca="false">G145+H145+I145+J145+K145+L145+M145+N145+O145+P145+Q145+S145+T145+U145+V145+W145</f>
        <v>406</v>
      </c>
      <c r="G145" s="73" t="n">
        <v>0</v>
      </c>
      <c r="H145" s="74" t="n">
        <v>0</v>
      </c>
      <c r="I145" s="74" t="n">
        <v>0</v>
      </c>
      <c r="J145" s="74" t="n">
        <v>0</v>
      </c>
      <c r="K145" s="98" t="n">
        <v>150</v>
      </c>
      <c r="L145" s="99" t="n">
        <v>150</v>
      </c>
      <c r="M145" s="99" t="n">
        <v>2</v>
      </c>
      <c r="N145" s="98" t="n">
        <v>50</v>
      </c>
      <c r="O145" s="99" t="n">
        <v>50</v>
      </c>
      <c r="P145" s="73" t="n">
        <v>0</v>
      </c>
      <c r="Q145" s="99" t="n">
        <v>4</v>
      </c>
      <c r="R145" s="75" t="n">
        <v>0</v>
      </c>
      <c r="S145" s="74" t="n">
        <v>0</v>
      </c>
      <c r="T145" s="74" t="n">
        <v>0</v>
      </c>
      <c r="U145" s="74" t="n">
        <v>0</v>
      </c>
      <c r="V145" s="74" t="n">
        <v>0</v>
      </c>
      <c r="W145" s="74" t="n">
        <v>0</v>
      </c>
    </row>
    <row r="146" customFormat="false" ht="15" hidden="false" customHeight="false" outlineLevel="0" collapsed="false">
      <c r="A146" s="76" t="s">
        <v>55</v>
      </c>
      <c r="B146" s="77" t="n">
        <v>46162</v>
      </c>
      <c r="C146" s="78" t="n">
        <v>6.1</v>
      </c>
      <c r="D146" s="78" t="s">
        <v>48</v>
      </c>
      <c r="E146" s="79" t="n">
        <f aca="false">G146*23.12+H146*23.12+I146*23.12+J146*23.12+K146*11.55+L146*11.55+M146*11.55+N146*16.51+O146*16.51+P146*16.51+Q146*11.55+S146*11.55+T146*15+U146*1.7+V146*1.7+W146*11.55</f>
        <v>5139.1</v>
      </c>
      <c r="F146" s="80" t="n">
        <f aca="false">G146+H146+I146+J146+K146+L146+M146+N146+O146+P146+Q146+S146+T146+U146+V146+W146</f>
        <v>402</v>
      </c>
      <c r="G146" s="81" t="n">
        <v>0</v>
      </c>
      <c r="H146" s="82" t="n">
        <v>0</v>
      </c>
      <c r="I146" s="82" t="n">
        <v>0</v>
      </c>
      <c r="J146" s="82" t="n">
        <v>0</v>
      </c>
      <c r="K146" s="96" t="n">
        <v>150</v>
      </c>
      <c r="L146" s="97" t="n">
        <v>150</v>
      </c>
      <c r="M146" s="97" t="n">
        <v>2</v>
      </c>
      <c r="N146" s="96" t="n">
        <v>50</v>
      </c>
      <c r="O146" s="97" t="n">
        <v>50</v>
      </c>
      <c r="P146" s="81" t="n">
        <v>0</v>
      </c>
      <c r="Q146" s="82" t="n">
        <v>0</v>
      </c>
      <c r="R146" s="83" t="n">
        <v>0</v>
      </c>
      <c r="S146" s="82" t="n">
        <v>0</v>
      </c>
      <c r="T146" s="82" t="n">
        <v>0</v>
      </c>
      <c r="U146" s="82" t="n">
        <v>0</v>
      </c>
      <c r="V146" s="82" t="n">
        <v>0</v>
      </c>
      <c r="W146" s="82" t="n">
        <v>0</v>
      </c>
    </row>
    <row r="147" customFormat="false" ht="15" hidden="false" customHeight="false" outlineLevel="0" collapsed="false">
      <c r="A147" s="68" t="s">
        <v>47</v>
      </c>
      <c r="B147" s="69" t="n">
        <v>46163</v>
      </c>
      <c r="C147" s="70" t="n">
        <v>6.1</v>
      </c>
      <c r="D147" s="70" t="s">
        <v>48</v>
      </c>
      <c r="E147" s="71" t="n">
        <f aca="false">G147*23.12+H147*23.12+I147*23.12+J147*23.12+K147*11.55+L147*11.55+M147*11.55+N147*16.51+O147*16.51+P147*16.51+Q147*11.55+S147*11.55+T147*15+U147*1.7+V147*1.7+W147*11.55</f>
        <v>5139.1</v>
      </c>
      <c r="F147" s="72" t="n">
        <f aca="false">G147+H147+I147+J147+K147+L147+M147+N147+O147+P147+Q147+S147+T147+U147+V147+W147</f>
        <v>402</v>
      </c>
      <c r="G147" s="73" t="n">
        <v>0</v>
      </c>
      <c r="H147" s="74" t="n">
        <v>0</v>
      </c>
      <c r="I147" s="74" t="n">
        <v>0</v>
      </c>
      <c r="J147" s="74" t="n">
        <v>0</v>
      </c>
      <c r="K147" s="98" t="n">
        <v>150</v>
      </c>
      <c r="L147" s="99" t="n">
        <v>150</v>
      </c>
      <c r="M147" s="99" t="n">
        <v>2</v>
      </c>
      <c r="N147" s="98" t="n">
        <v>50</v>
      </c>
      <c r="O147" s="99" t="n">
        <v>50</v>
      </c>
      <c r="P147" s="73" t="n">
        <v>0</v>
      </c>
      <c r="Q147" s="74" t="n">
        <v>0</v>
      </c>
      <c r="R147" s="75" t="n">
        <v>0</v>
      </c>
      <c r="S147" s="74" t="n">
        <v>0</v>
      </c>
      <c r="T147" s="74" t="n">
        <v>0</v>
      </c>
      <c r="U147" s="74" t="n">
        <v>0</v>
      </c>
      <c r="V147" s="74" t="n">
        <v>0</v>
      </c>
      <c r="W147" s="74" t="n">
        <v>0</v>
      </c>
    </row>
    <row r="148" customFormat="false" ht="15" hidden="false" customHeight="false" outlineLevel="0" collapsed="false">
      <c r="A148" s="76" t="s">
        <v>49</v>
      </c>
      <c r="B148" s="77" t="n">
        <v>46164</v>
      </c>
      <c r="C148" s="78" t="n">
        <v>6.1</v>
      </c>
      <c r="D148" s="78" t="s">
        <v>48</v>
      </c>
      <c r="E148" s="79" t="n">
        <f aca="false">G148*23.12+H148*23.12+I148*23.12+J148*23.12+K148*11.55+L148*11.55+M148*11.55+N148*16.51+O148*16.51+P148*16.51+Q148*11.55+S148*11.55+T148*15+U148*1.7+V148*1.7+W148*11.55</f>
        <v>4677.1</v>
      </c>
      <c r="F148" s="80" t="n">
        <f aca="false">G148+H148+I148+J148+K148+L148+M148+N148+O148+P148+Q148+S148+T148+U148+V148+W148</f>
        <v>362</v>
      </c>
      <c r="G148" s="81" t="n">
        <v>0</v>
      </c>
      <c r="H148" s="82" t="n">
        <v>0</v>
      </c>
      <c r="I148" s="82" t="n">
        <v>0</v>
      </c>
      <c r="J148" s="82" t="n">
        <v>0</v>
      </c>
      <c r="K148" s="96" t="n">
        <v>150</v>
      </c>
      <c r="L148" s="97" t="n">
        <v>110</v>
      </c>
      <c r="M148" s="97" t="n">
        <v>2</v>
      </c>
      <c r="N148" s="96" t="n">
        <v>50</v>
      </c>
      <c r="O148" s="97" t="n">
        <v>50</v>
      </c>
      <c r="P148" s="81" t="n">
        <v>0</v>
      </c>
      <c r="Q148" s="82" t="n">
        <v>0</v>
      </c>
      <c r="R148" s="83" t="n">
        <v>0</v>
      </c>
      <c r="S148" s="82" t="n">
        <v>0</v>
      </c>
      <c r="T148" s="82" t="n">
        <v>0</v>
      </c>
      <c r="U148" s="82" t="n">
        <v>0</v>
      </c>
      <c r="V148" s="82" t="n">
        <v>0</v>
      </c>
      <c r="W148" s="82" t="n">
        <v>0</v>
      </c>
    </row>
    <row r="149" customFormat="false" ht="15" hidden="false" customHeight="false" outlineLevel="0" collapsed="false">
      <c r="A149" s="84" t="s">
        <v>50</v>
      </c>
      <c r="B149" s="69" t="n">
        <v>46165</v>
      </c>
      <c r="C149" s="70" t="n">
        <v>6.1</v>
      </c>
      <c r="D149" s="70" t="s">
        <v>48</v>
      </c>
      <c r="E149" s="71" t="n">
        <f aca="false">G149*23.12+H149*23.12+I149*23.12+J149*23.12+K149*11.55+L149*11.55+M149*11.55+N149*16.51+O149*16.51+P149*16.51+Q149*11.55+S149*11.55+T149*15+U149*1.7+V149*1.7+W149*11.55</f>
        <v>4313.6</v>
      </c>
      <c r="F149" s="72" t="n">
        <f aca="false">G149+H149+I149+J149+K149+L149+M149+N149+O149+P149+Q149+S149+T149+U149+V149+W149</f>
        <v>352</v>
      </c>
      <c r="G149" s="73" t="n">
        <v>0</v>
      </c>
      <c r="H149" s="74" t="n">
        <v>0</v>
      </c>
      <c r="I149" s="74" t="n">
        <v>0</v>
      </c>
      <c r="J149" s="74" t="n">
        <v>0</v>
      </c>
      <c r="K149" s="98" t="n">
        <v>150</v>
      </c>
      <c r="L149" s="99" t="n">
        <v>150</v>
      </c>
      <c r="M149" s="99" t="n">
        <v>2</v>
      </c>
      <c r="N149" s="98" t="n">
        <v>50</v>
      </c>
      <c r="O149" s="74" t="n">
        <v>0</v>
      </c>
      <c r="P149" s="73" t="n">
        <v>0</v>
      </c>
      <c r="Q149" s="74" t="n">
        <v>0</v>
      </c>
      <c r="R149" s="75" t="n">
        <v>0</v>
      </c>
      <c r="S149" s="74" t="n">
        <v>0</v>
      </c>
      <c r="T149" s="74" t="n">
        <v>0</v>
      </c>
      <c r="U149" s="74" t="n">
        <v>0</v>
      </c>
      <c r="V149" s="74" t="n">
        <v>0</v>
      </c>
      <c r="W149" s="74" t="n">
        <v>0</v>
      </c>
    </row>
    <row r="150" customFormat="false" ht="15" hidden="false" customHeight="false" outlineLevel="0" collapsed="false">
      <c r="A150" s="85" t="s">
        <v>51</v>
      </c>
      <c r="B150" s="77" t="n">
        <v>46166</v>
      </c>
      <c r="C150" s="78" t="n">
        <v>6.1</v>
      </c>
      <c r="D150" s="78" t="s">
        <v>48</v>
      </c>
      <c r="E150" s="79" t="n">
        <f aca="false">G150*23.12+H150*23.12+I150*23.12+J150*23.12+K150*11.55+L150*11.55+M150*11.55+N150*16.51+O150*16.51+P150*16.51+Q150*11.55+S150*11.55+T150*15+U150*1.7+V150*1.7+W150*11.55</f>
        <v>69.3</v>
      </c>
      <c r="F150" s="80" t="n">
        <f aca="false">G150+H150+I150+J150+K150+L150+M150+N150+O150+P150+Q150+S150+T150+U150+V150+W150</f>
        <v>6</v>
      </c>
      <c r="G150" s="81" t="n">
        <v>0</v>
      </c>
      <c r="H150" s="82" t="n">
        <v>0</v>
      </c>
      <c r="I150" s="82" t="n">
        <v>0</v>
      </c>
      <c r="J150" s="82" t="n">
        <v>0</v>
      </c>
      <c r="K150" s="96" t="n">
        <v>2</v>
      </c>
      <c r="L150" s="97" t="n">
        <v>2</v>
      </c>
      <c r="M150" s="97" t="n">
        <v>2</v>
      </c>
      <c r="N150" s="81" t="n">
        <v>0</v>
      </c>
      <c r="O150" s="82" t="n">
        <v>0</v>
      </c>
      <c r="P150" s="81" t="n">
        <v>0</v>
      </c>
      <c r="Q150" s="82" t="n">
        <v>0</v>
      </c>
      <c r="R150" s="83" t="n">
        <v>0</v>
      </c>
      <c r="S150" s="82" t="n">
        <v>0</v>
      </c>
      <c r="T150" s="82" t="n">
        <v>0</v>
      </c>
      <c r="U150" s="82" t="n">
        <v>0</v>
      </c>
      <c r="V150" s="82" t="n">
        <v>0</v>
      </c>
      <c r="W150" s="82" t="n">
        <v>0</v>
      </c>
    </row>
    <row r="151" customFormat="false" ht="15" hidden="false" customHeight="false" outlineLevel="0" collapsed="false">
      <c r="A151" s="86" t="s">
        <v>52</v>
      </c>
      <c r="B151" s="87" t="n">
        <v>46167</v>
      </c>
      <c r="C151" s="88" t="n">
        <v>6.2</v>
      </c>
      <c r="D151" s="88" t="s">
        <v>53</v>
      </c>
      <c r="E151" s="89" t="n">
        <f aca="false">G151*23.12+H151*23.12+I151*23.12+J151*23.12+K151*11.55+L151*11.55+M151*11.55+N151*16.51+O151*16.51+P151*16.51+Q151*11.55+S151*11.55+T151*15+U151*1.7+V151*1.7+W151*11.55</f>
        <v>3488.1</v>
      </c>
      <c r="F151" s="90" t="n">
        <f aca="false">G151+H151+I151+J151+K151+L151+M151+N151+O151+P151+Q151+S151+T151+U151+V151+W151</f>
        <v>302</v>
      </c>
      <c r="G151" s="91" t="n">
        <v>0</v>
      </c>
      <c r="H151" s="92" t="n">
        <v>0</v>
      </c>
      <c r="I151" s="92" t="n">
        <v>0</v>
      </c>
      <c r="J151" s="92" t="n">
        <v>0</v>
      </c>
      <c r="K151" s="93" t="n">
        <v>150</v>
      </c>
      <c r="L151" s="94" t="n">
        <v>150</v>
      </c>
      <c r="M151" s="94" t="n">
        <v>2</v>
      </c>
      <c r="N151" s="91" t="n">
        <v>0</v>
      </c>
      <c r="O151" s="92" t="n">
        <v>0</v>
      </c>
      <c r="P151" s="91" t="n">
        <v>0</v>
      </c>
      <c r="Q151" s="92" t="n">
        <v>0</v>
      </c>
      <c r="R151" s="95" t="n">
        <v>0</v>
      </c>
      <c r="S151" s="92" t="n">
        <v>0</v>
      </c>
      <c r="T151" s="92" t="n">
        <v>0</v>
      </c>
      <c r="U151" s="92" t="n">
        <v>0</v>
      </c>
      <c r="V151" s="92" t="n">
        <v>0</v>
      </c>
      <c r="W151" s="92" t="n">
        <v>0</v>
      </c>
    </row>
    <row r="152" customFormat="false" ht="15" hidden="false" customHeight="false" outlineLevel="0" collapsed="false">
      <c r="A152" s="76" t="s">
        <v>54</v>
      </c>
      <c r="B152" s="77" t="n">
        <v>46168</v>
      </c>
      <c r="C152" s="78" t="n">
        <v>6.2</v>
      </c>
      <c r="D152" s="78" t="s">
        <v>53</v>
      </c>
      <c r="E152" s="79" t="n">
        <f aca="false">G152*23.12+H152*23.12+I152*23.12+J152*23.12+K152*11.55+L152*11.55+M152*11.55+N152*16.51+O152*16.51+P152*16.51+Q152*11.55+S152*11.55+T152*15+U152*1.7+V152*1.7+W152*11.55</f>
        <v>3210.9</v>
      </c>
      <c r="F152" s="80" t="n">
        <f aca="false">G152+H152+I152+J152+K152+L152+M152+N152+O152+P152+Q152+S152+T152+U152+V152+W152</f>
        <v>278</v>
      </c>
      <c r="G152" s="81" t="n">
        <v>0</v>
      </c>
      <c r="H152" s="82" t="n">
        <v>0</v>
      </c>
      <c r="I152" s="82" t="n">
        <v>0</v>
      </c>
      <c r="J152" s="82" t="n">
        <v>0</v>
      </c>
      <c r="K152" s="96" t="n">
        <v>150</v>
      </c>
      <c r="L152" s="97" t="n">
        <v>110</v>
      </c>
      <c r="M152" s="97" t="n">
        <v>2</v>
      </c>
      <c r="N152" s="81" t="n">
        <v>0</v>
      </c>
      <c r="O152" s="82" t="n">
        <v>0</v>
      </c>
      <c r="P152" s="81" t="n">
        <v>0</v>
      </c>
      <c r="Q152" s="97" t="n">
        <v>16</v>
      </c>
      <c r="R152" s="83" t="n">
        <v>0</v>
      </c>
      <c r="S152" s="82" t="n">
        <v>0</v>
      </c>
      <c r="T152" s="82" t="n">
        <v>0</v>
      </c>
      <c r="U152" s="82" t="n">
        <v>0</v>
      </c>
      <c r="V152" s="82" t="n">
        <v>0</v>
      </c>
      <c r="W152" s="82" t="n">
        <v>0</v>
      </c>
    </row>
    <row r="153" customFormat="false" ht="15" hidden="false" customHeight="false" outlineLevel="0" collapsed="false">
      <c r="A153" s="68" t="s">
        <v>55</v>
      </c>
      <c r="B153" s="69" t="n">
        <v>46169</v>
      </c>
      <c r="C153" s="70" t="n">
        <v>6.2</v>
      </c>
      <c r="D153" s="70" t="s">
        <v>53</v>
      </c>
      <c r="E153" s="71" t="n">
        <f aca="false">G153*23.12+H153*23.12+I153*23.12+J153*23.12+K153*11.55+L153*11.55+M153*11.55+N153*16.51+O153*16.51+P153*16.51+Q153*11.55+S153*11.55+T153*15+U153*1.7+V153*1.7+W153*11.55</f>
        <v>3794.1</v>
      </c>
      <c r="F153" s="72" t="n">
        <f aca="false">G153+H153+I153+J153+K153+L153+M153+N153+O153+P153+Q153+S153+T153+U153+V153+W153</f>
        <v>482</v>
      </c>
      <c r="G153" s="73" t="n">
        <v>0</v>
      </c>
      <c r="H153" s="74" t="n">
        <v>0</v>
      </c>
      <c r="I153" s="74" t="n">
        <v>0</v>
      </c>
      <c r="J153" s="74" t="n">
        <v>0</v>
      </c>
      <c r="K153" s="98" t="n">
        <v>150</v>
      </c>
      <c r="L153" s="99" t="n">
        <v>150</v>
      </c>
      <c r="M153" s="99" t="n">
        <v>2</v>
      </c>
      <c r="N153" s="73" t="n">
        <v>0</v>
      </c>
      <c r="O153" s="74" t="n">
        <v>0</v>
      </c>
      <c r="P153" s="73" t="n">
        <v>0</v>
      </c>
      <c r="Q153" s="74" t="n">
        <v>0</v>
      </c>
      <c r="R153" s="75" t="n">
        <v>0</v>
      </c>
      <c r="S153" s="74" t="n">
        <v>0</v>
      </c>
      <c r="T153" s="74" t="n">
        <v>0</v>
      </c>
      <c r="U153" s="74" t="n">
        <v>0</v>
      </c>
      <c r="V153" s="99" t="n">
        <v>180</v>
      </c>
      <c r="W153" s="74" t="n">
        <v>0</v>
      </c>
    </row>
    <row r="154" customFormat="false" ht="15" hidden="false" customHeight="false" outlineLevel="0" collapsed="false">
      <c r="A154" s="76" t="s">
        <v>47</v>
      </c>
      <c r="B154" s="77" t="n">
        <v>46170</v>
      </c>
      <c r="C154" s="78" t="n">
        <v>6.2</v>
      </c>
      <c r="D154" s="78" t="s">
        <v>53</v>
      </c>
      <c r="E154" s="79" t="n">
        <f aca="false">G154*23.12+H154*23.12+I154*23.12+J154*23.12+K154*11.55+L154*11.55+M154*11.55+N154*16.51+O154*16.51+P154*16.51+Q154*11.55+S154*11.55+T154*15+U154*1.7+V154*1.7+W154*11.55</f>
        <v>3488.1</v>
      </c>
      <c r="F154" s="80" t="n">
        <f aca="false">G154+H154+I154+J154+K154+L154+M154+N154+O154+P154+Q154+S154+T154+U154+V154+W154</f>
        <v>302</v>
      </c>
      <c r="G154" s="81" t="n">
        <v>0</v>
      </c>
      <c r="H154" s="82" t="n">
        <v>0</v>
      </c>
      <c r="I154" s="82" t="n">
        <v>0</v>
      </c>
      <c r="J154" s="82" t="n">
        <v>0</v>
      </c>
      <c r="K154" s="96" t="n">
        <v>150</v>
      </c>
      <c r="L154" s="97" t="n">
        <v>150</v>
      </c>
      <c r="M154" s="97" t="n">
        <v>2</v>
      </c>
      <c r="N154" s="81" t="n">
        <v>0</v>
      </c>
      <c r="O154" s="82" t="n">
        <v>0</v>
      </c>
      <c r="P154" s="81" t="n">
        <v>0</v>
      </c>
      <c r="Q154" s="82" t="n">
        <v>0</v>
      </c>
      <c r="R154" s="83" t="n">
        <v>0</v>
      </c>
      <c r="S154" s="82" t="n">
        <v>0</v>
      </c>
      <c r="T154" s="82" t="n">
        <v>0</v>
      </c>
      <c r="U154" s="82" t="n">
        <v>0</v>
      </c>
      <c r="V154" s="82" t="n">
        <v>0</v>
      </c>
      <c r="W154" s="82" t="n">
        <v>0</v>
      </c>
    </row>
    <row r="155" customFormat="false" ht="15" hidden="false" customHeight="false" outlineLevel="0" collapsed="false">
      <c r="A155" s="68" t="s">
        <v>49</v>
      </c>
      <c r="B155" s="69" t="n">
        <v>46171</v>
      </c>
      <c r="C155" s="70" t="n">
        <v>6.2</v>
      </c>
      <c r="D155" s="70" t="s">
        <v>53</v>
      </c>
      <c r="E155" s="71" t="n">
        <f aca="false">G155*23.12+H155*23.12+I155*23.12+J155*23.12+K155*11.55+L155*11.55+M155*11.55+N155*16.51+O155*16.51+P155*16.51+Q155*11.55+S155*11.55+T155*15+U155*1.7+V155*1.7+W155*11.55</f>
        <v>3672.9</v>
      </c>
      <c r="F155" s="72" t="n">
        <f aca="false">G155+H155+I155+J155+K155+L155+M155+N155+O155+P155+Q155+S155+T155+U155+V155+W155</f>
        <v>318</v>
      </c>
      <c r="G155" s="73" t="n">
        <v>0</v>
      </c>
      <c r="H155" s="74" t="n">
        <v>0</v>
      </c>
      <c r="I155" s="74" t="n">
        <v>0</v>
      </c>
      <c r="J155" s="74" t="n">
        <v>0</v>
      </c>
      <c r="K155" s="98" t="n">
        <v>150</v>
      </c>
      <c r="L155" s="99" t="n">
        <v>150</v>
      </c>
      <c r="M155" s="99" t="n">
        <v>2</v>
      </c>
      <c r="N155" s="73" t="n">
        <v>0</v>
      </c>
      <c r="O155" s="74" t="n">
        <v>0</v>
      </c>
      <c r="P155" s="73" t="n">
        <v>0</v>
      </c>
      <c r="Q155" s="99" t="n">
        <v>16</v>
      </c>
      <c r="R155" s="75" t="n">
        <v>0</v>
      </c>
      <c r="S155" s="74" t="n">
        <v>0</v>
      </c>
      <c r="T155" s="74" t="n">
        <v>0</v>
      </c>
      <c r="U155" s="74" t="n">
        <v>0</v>
      </c>
      <c r="V155" s="74" t="n">
        <v>0</v>
      </c>
      <c r="W155" s="74" t="n">
        <v>0</v>
      </c>
    </row>
    <row r="156" customFormat="false" ht="15" hidden="false" customHeight="false" outlineLevel="0" collapsed="false">
      <c r="A156" s="85" t="s">
        <v>50</v>
      </c>
      <c r="B156" s="77" t="n">
        <v>46172</v>
      </c>
      <c r="C156" s="78" t="n">
        <v>6.2</v>
      </c>
      <c r="D156" s="78" t="s">
        <v>53</v>
      </c>
      <c r="E156" s="79" t="n">
        <f aca="false">G156*23.12+H156*23.12+I156*23.12+J156*23.12+K156*11.55+L156*11.55+M156*11.55+N156*16.51+O156*16.51+P156*16.51+Q156*11.55+S156*11.55+T156*15+U156*1.7+V156*1.7+W156*11.55</f>
        <v>3488.1</v>
      </c>
      <c r="F156" s="80" t="n">
        <f aca="false">G156+H156+I156+J156+K156+L156+M156+N156+O156+P156+Q156+S156+T156+U156+V156+W156</f>
        <v>302</v>
      </c>
      <c r="G156" s="81" t="n">
        <v>0</v>
      </c>
      <c r="H156" s="82" t="n">
        <v>0</v>
      </c>
      <c r="I156" s="82" t="n">
        <v>0</v>
      </c>
      <c r="J156" s="82" t="n">
        <v>0</v>
      </c>
      <c r="K156" s="96" t="n">
        <v>150</v>
      </c>
      <c r="L156" s="97" t="n">
        <v>150</v>
      </c>
      <c r="M156" s="97" t="n">
        <v>2</v>
      </c>
      <c r="N156" s="81" t="n">
        <v>0</v>
      </c>
      <c r="O156" s="82" t="n">
        <v>0</v>
      </c>
      <c r="P156" s="81" t="n">
        <v>0</v>
      </c>
      <c r="Q156" s="82" t="n">
        <v>0</v>
      </c>
      <c r="R156" s="83" t="n">
        <v>0</v>
      </c>
      <c r="S156" s="82" t="n">
        <v>0</v>
      </c>
      <c r="T156" s="82" t="n">
        <v>0</v>
      </c>
      <c r="U156" s="82" t="n">
        <v>0</v>
      </c>
      <c r="V156" s="82" t="n">
        <v>0</v>
      </c>
      <c r="W156" s="82" t="n">
        <v>0</v>
      </c>
    </row>
    <row r="157" customFormat="false" ht="15" hidden="false" customHeight="false" outlineLevel="0" collapsed="false">
      <c r="A157" s="84" t="s">
        <v>51</v>
      </c>
      <c r="B157" s="69" t="n">
        <v>46173</v>
      </c>
      <c r="C157" s="70" t="n">
        <v>6.2</v>
      </c>
      <c r="D157" s="70" t="s">
        <v>53</v>
      </c>
      <c r="E157" s="71" t="n">
        <f aca="false">G157*23.12+H157*23.12+I157*23.12+J157*23.12+K157*11.55+L157*11.55+M157*11.55+N157*16.51+O157*16.51+P157*16.51+Q157*11.55+S157*11.55+T157*15+U157*1.7+V157*1.7+W157*11.55</f>
        <v>69.3</v>
      </c>
      <c r="F157" s="72" t="n">
        <f aca="false">G157+H157+I157+J157+K157+L157+M157+N157+O157+P157+Q157+S157+T157+U157+V157+W157</f>
        <v>6</v>
      </c>
      <c r="G157" s="73" t="n">
        <v>0</v>
      </c>
      <c r="H157" s="74" t="n">
        <v>0</v>
      </c>
      <c r="I157" s="74" t="n">
        <v>0</v>
      </c>
      <c r="J157" s="74" t="n">
        <v>0</v>
      </c>
      <c r="K157" s="98" t="n">
        <v>2</v>
      </c>
      <c r="L157" s="99" t="n">
        <v>2</v>
      </c>
      <c r="M157" s="99" t="n">
        <v>2</v>
      </c>
      <c r="N157" s="73" t="n">
        <v>0</v>
      </c>
      <c r="O157" s="74" t="n">
        <v>0</v>
      </c>
      <c r="P157" s="73" t="n">
        <v>0</v>
      </c>
      <c r="Q157" s="74" t="n">
        <v>0</v>
      </c>
      <c r="R157" s="75" t="n">
        <v>0</v>
      </c>
      <c r="S157" s="74" t="n">
        <v>0</v>
      </c>
      <c r="T157" s="74" t="n">
        <v>0</v>
      </c>
      <c r="U157" s="74" t="n">
        <v>0</v>
      </c>
      <c r="V157" s="74" t="n">
        <v>0</v>
      </c>
      <c r="W157" s="74" t="n">
        <v>0</v>
      </c>
    </row>
    <row r="158" customFormat="false" ht="15" hidden="false" customHeight="false" outlineLevel="0" collapsed="false">
      <c r="A158" s="100" t="s">
        <v>52</v>
      </c>
      <c r="B158" s="101" t="n">
        <v>46174</v>
      </c>
      <c r="C158" s="102" t="n">
        <v>6.3</v>
      </c>
      <c r="D158" s="102" t="s">
        <v>56</v>
      </c>
      <c r="E158" s="103" t="n">
        <f aca="false">G158*23.12+H158*23.12+I158*23.12+J158*23.12+K158*11.55+L158*11.55+M158*11.55+N158*16.51+O158*16.51+P158*16.51+Q158*11.55+S158*11.55+T158*15+U158*1.7+V158*1.7+W158*11.55</f>
        <v>4007.85</v>
      </c>
      <c r="F158" s="104" t="n">
        <f aca="false">G158+H158+I158+J158+K158+L158+M158+N158+O158+P158+Q158+S158+T158+U158+V158+W158</f>
        <v>347</v>
      </c>
      <c r="G158" s="105" t="n">
        <v>0</v>
      </c>
      <c r="H158" s="106" t="n">
        <v>0</v>
      </c>
      <c r="I158" s="106" t="n">
        <v>0</v>
      </c>
      <c r="J158" s="106" t="n">
        <v>0</v>
      </c>
      <c r="K158" s="107" t="n">
        <v>150</v>
      </c>
      <c r="L158" s="108" t="n">
        <v>150</v>
      </c>
      <c r="M158" s="108" t="n">
        <v>2</v>
      </c>
      <c r="N158" s="105" t="n">
        <v>0</v>
      </c>
      <c r="O158" s="106" t="n">
        <v>0</v>
      </c>
      <c r="P158" s="105" t="n">
        <v>0</v>
      </c>
      <c r="Q158" s="106" t="n">
        <v>0</v>
      </c>
      <c r="R158" s="109" t="n">
        <v>0</v>
      </c>
      <c r="S158" s="108" t="n">
        <v>45</v>
      </c>
      <c r="T158" s="106" t="n">
        <v>0</v>
      </c>
      <c r="U158" s="106" t="n">
        <v>0</v>
      </c>
      <c r="V158" s="106" t="n">
        <v>0</v>
      </c>
      <c r="W158" s="106" t="n">
        <v>0</v>
      </c>
    </row>
    <row r="159" customFormat="false" ht="15" hidden="false" customHeight="false" outlineLevel="0" collapsed="false">
      <c r="A159" s="68" t="s">
        <v>54</v>
      </c>
      <c r="B159" s="69" t="n">
        <v>46175</v>
      </c>
      <c r="C159" s="70" t="n">
        <v>6.3</v>
      </c>
      <c r="D159" s="70" t="s">
        <v>56</v>
      </c>
      <c r="E159" s="71" t="n">
        <f aca="false">G159*23.12+H159*23.12+I159*23.12+J159*23.12+K159*11.55+L159*11.55+M159*11.55+N159*16.51+O159*16.51+P159*16.51+Q159*11.55+S159*11.55+T159*15+U159*1.7+V159*1.7+W159*11.55</f>
        <v>5510.54</v>
      </c>
      <c r="F159" s="72" t="n">
        <f aca="false">G159+H159+I159+J159+K159+L159+M159+N159+O159+P159+Q159+S159+T159+U159+V159+W159</f>
        <v>426</v>
      </c>
      <c r="G159" s="73" t="n">
        <v>0</v>
      </c>
      <c r="H159" s="74" t="n">
        <v>0</v>
      </c>
      <c r="I159" s="74" t="n">
        <v>0</v>
      </c>
      <c r="J159" s="74" t="n">
        <v>0</v>
      </c>
      <c r="K159" s="98" t="n">
        <v>150</v>
      </c>
      <c r="L159" s="99" t="n">
        <v>110</v>
      </c>
      <c r="M159" s="99" t="n">
        <v>2</v>
      </c>
      <c r="N159" s="98" t="n">
        <v>50</v>
      </c>
      <c r="O159" s="99" t="n">
        <v>50</v>
      </c>
      <c r="P159" s="98" t="n">
        <v>19</v>
      </c>
      <c r="Q159" s="74" t="n">
        <v>0</v>
      </c>
      <c r="R159" s="75" t="n">
        <v>0</v>
      </c>
      <c r="S159" s="99" t="n">
        <v>45</v>
      </c>
      <c r="T159" s="74" t="n">
        <v>0</v>
      </c>
      <c r="U159" s="74" t="n">
        <v>0</v>
      </c>
      <c r="V159" s="74" t="n">
        <v>0</v>
      </c>
      <c r="W159" s="74" t="n">
        <v>0</v>
      </c>
    </row>
    <row r="160" customFormat="false" ht="15" hidden="false" customHeight="false" outlineLevel="0" collapsed="false">
      <c r="A160" s="76" t="s">
        <v>55</v>
      </c>
      <c r="B160" s="77" t="n">
        <v>46176</v>
      </c>
      <c r="C160" s="78" t="n">
        <v>6.3</v>
      </c>
      <c r="D160" s="78" t="s">
        <v>56</v>
      </c>
      <c r="E160" s="79" t="n">
        <f aca="false">G160*23.12+H160*23.12+I160*23.12+J160*23.12+K160*11.55+L160*11.55+M160*11.55+N160*16.51+O160*16.51+P160*16.51+Q160*11.55+S160*11.55+T160*15+U160*1.7+V160*1.7+W160*11.55</f>
        <v>5147.04</v>
      </c>
      <c r="F160" s="80" t="n">
        <f aca="false">G160+H160+I160+J160+K160+L160+M160+N160+O160+P160+Q160+S160+T160+U160+V160+W160</f>
        <v>416</v>
      </c>
      <c r="G160" s="81" t="n">
        <v>0</v>
      </c>
      <c r="H160" s="82" t="n">
        <v>0</v>
      </c>
      <c r="I160" s="82" t="n">
        <v>0</v>
      </c>
      <c r="J160" s="82" t="n">
        <v>0</v>
      </c>
      <c r="K160" s="96" t="n">
        <v>150</v>
      </c>
      <c r="L160" s="97" t="n">
        <v>150</v>
      </c>
      <c r="M160" s="97" t="n">
        <v>2</v>
      </c>
      <c r="N160" s="96" t="n">
        <v>50</v>
      </c>
      <c r="O160" s="82" t="n">
        <v>0</v>
      </c>
      <c r="P160" s="96" t="n">
        <v>19</v>
      </c>
      <c r="Q160" s="82" t="n">
        <v>0</v>
      </c>
      <c r="R160" s="83" t="n">
        <v>0</v>
      </c>
      <c r="S160" s="97" t="n">
        <v>45</v>
      </c>
      <c r="T160" s="82" t="n">
        <v>0</v>
      </c>
      <c r="U160" s="82" t="n">
        <v>0</v>
      </c>
      <c r="V160" s="82" t="n">
        <v>0</v>
      </c>
      <c r="W160" s="82" t="n">
        <v>0</v>
      </c>
    </row>
    <row r="161" customFormat="false" ht="15" hidden="false" customHeight="false" outlineLevel="0" collapsed="false">
      <c r="A161" s="68" t="s">
        <v>47</v>
      </c>
      <c r="B161" s="69" t="n">
        <v>46177</v>
      </c>
      <c r="C161" s="70" t="n">
        <v>6.3</v>
      </c>
      <c r="D161" s="70" t="s">
        <v>56</v>
      </c>
      <c r="E161" s="71" t="n">
        <f aca="false">G161*23.12+H161*23.12+I161*23.12+J161*23.12+K161*11.55+L161*11.55+M161*11.55+N161*16.51+O161*16.51+P161*16.51+Q161*11.55+S161*11.55+T161*15+U161*1.7+V161*1.7+W161*11.55</f>
        <v>5972.54</v>
      </c>
      <c r="F161" s="72" t="n">
        <f aca="false">G161+H161+I161+J161+K161+L161+M161+N161+O161+P161+Q161+S161+T161+U161+V161+W161</f>
        <v>466</v>
      </c>
      <c r="G161" s="73" t="n">
        <v>0</v>
      </c>
      <c r="H161" s="74" t="n">
        <v>0</v>
      </c>
      <c r="I161" s="74" t="n">
        <v>0</v>
      </c>
      <c r="J161" s="74" t="n">
        <v>0</v>
      </c>
      <c r="K161" s="98" t="n">
        <v>150</v>
      </c>
      <c r="L161" s="99" t="n">
        <v>150</v>
      </c>
      <c r="M161" s="99" t="n">
        <v>2</v>
      </c>
      <c r="N161" s="98" t="n">
        <v>50</v>
      </c>
      <c r="O161" s="99" t="n">
        <v>50</v>
      </c>
      <c r="P161" s="98" t="n">
        <v>19</v>
      </c>
      <c r="Q161" s="74" t="n">
        <v>0</v>
      </c>
      <c r="R161" s="75" t="n">
        <v>0</v>
      </c>
      <c r="S161" s="99" t="n">
        <v>45</v>
      </c>
      <c r="T161" s="74" t="n">
        <v>0</v>
      </c>
      <c r="U161" s="74" t="n">
        <v>0</v>
      </c>
      <c r="V161" s="74" t="n">
        <v>0</v>
      </c>
      <c r="W161" s="74" t="n">
        <v>0</v>
      </c>
    </row>
    <row r="162" customFormat="false" ht="15" hidden="false" customHeight="false" outlineLevel="0" collapsed="false">
      <c r="A162" s="76" t="s">
        <v>49</v>
      </c>
      <c r="B162" s="77" t="n">
        <v>46178</v>
      </c>
      <c r="C162" s="78" t="n">
        <v>6.3</v>
      </c>
      <c r="D162" s="78" t="s">
        <v>56</v>
      </c>
      <c r="E162" s="79" t="n">
        <f aca="false">G162*23.12+H162*23.12+I162*23.12+J162*23.12+K162*11.55+L162*11.55+M162*11.55+N162*16.51+O162*16.51+P162*16.51+Q162*11.55+S162*11.55+T162*15+U162*1.7+V162*1.7+W162*11.55</f>
        <v>5497.36</v>
      </c>
      <c r="F162" s="80" t="n">
        <f aca="false">G162+H162+I162+J162+K162+L162+M162+N162+O162+P162+Q162+S162+T162+U162+V162+W162</f>
        <v>424</v>
      </c>
      <c r="G162" s="81" t="n">
        <v>0</v>
      </c>
      <c r="H162" s="82" t="n">
        <v>0</v>
      </c>
      <c r="I162" s="82" t="n">
        <v>0</v>
      </c>
      <c r="J162" s="82" t="n">
        <v>0</v>
      </c>
      <c r="K162" s="96" t="n">
        <v>150</v>
      </c>
      <c r="L162" s="97" t="n">
        <v>150</v>
      </c>
      <c r="M162" s="97" t="n">
        <v>3</v>
      </c>
      <c r="N162" s="96" t="n">
        <v>50</v>
      </c>
      <c r="O162" s="97" t="n">
        <v>50</v>
      </c>
      <c r="P162" s="96" t="n">
        <v>21</v>
      </c>
      <c r="Q162" s="82" t="n">
        <v>0</v>
      </c>
      <c r="R162" s="83" t="n">
        <v>0</v>
      </c>
      <c r="S162" s="82" t="n">
        <v>0</v>
      </c>
      <c r="T162" s="82" t="n">
        <v>0</v>
      </c>
      <c r="U162" s="82" t="n">
        <v>0</v>
      </c>
      <c r="V162" s="82" t="n">
        <v>0</v>
      </c>
      <c r="W162" s="82" t="n">
        <v>0</v>
      </c>
    </row>
    <row r="163" customFormat="false" ht="15" hidden="false" customHeight="false" outlineLevel="0" collapsed="false">
      <c r="A163" s="84" t="s">
        <v>50</v>
      </c>
      <c r="B163" s="69" t="n">
        <v>46179</v>
      </c>
      <c r="C163" s="70" t="n">
        <v>6.3</v>
      </c>
      <c r="D163" s="70" t="s">
        <v>56</v>
      </c>
      <c r="E163" s="71" t="n">
        <f aca="false">G163*23.12+H163*23.12+I163*23.12+J163*23.12+K163*11.55+L163*11.55+M163*11.55+N163*16.51+O163*16.51+P163*16.51+Q163*11.55+S163*11.55+T163*15+U163*1.7+V163*1.7+W163*11.55</f>
        <v>4655.35</v>
      </c>
      <c r="F163" s="72" t="n">
        <f aca="false">G163+H163+I163+J163+K163+L163+M163+N163+O163+P163+Q163+S163+T163+U163+V163+W163</f>
        <v>373</v>
      </c>
      <c r="G163" s="73" t="n">
        <v>0</v>
      </c>
      <c r="H163" s="74" t="n">
        <v>0</v>
      </c>
      <c r="I163" s="74" t="n">
        <v>0</v>
      </c>
      <c r="J163" s="74" t="n">
        <v>0</v>
      </c>
      <c r="K163" s="98" t="n">
        <v>150</v>
      </c>
      <c r="L163" s="99" t="n">
        <v>150</v>
      </c>
      <c r="M163" s="99" t="n">
        <v>3</v>
      </c>
      <c r="N163" s="98" t="n">
        <v>50</v>
      </c>
      <c r="O163" s="74" t="n">
        <v>0</v>
      </c>
      <c r="P163" s="98" t="n">
        <v>20</v>
      </c>
      <c r="Q163" s="74" t="n">
        <v>0</v>
      </c>
      <c r="R163" s="75" t="n">
        <v>0</v>
      </c>
      <c r="S163" s="74" t="n">
        <v>0</v>
      </c>
      <c r="T163" s="74" t="n">
        <v>0</v>
      </c>
      <c r="U163" s="74" t="n">
        <v>0</v>
      </c>
      <c r="V163" s="74" t="n">
        <v>0</v>
      </c>
      <c r="W163" s="74" t="n">
        <v>0</v>
      </c>
    </row>
    <row r="164" customFormat="false" ht="15" hidden="false" customHeight="false" outlineLevel="0" collapsed="false">
      <c r="A164" s="85" t="s">
        <v>51</v>
      </c>
      <c r="B164" s="77" t="n">
        <v>46180</v>
      </c>
      <c r="C164" s="78" t="n">
        <v>6.3</v>
      </c>
      <c r="D164" s="78" t="s">
        <v>56</v>
      </c>
      <c r="E164" s="79" t="n">
        <f aca="false">G164*23.12+H164*23.12+I164*23.12+J164*23.12+K164*11.55+L164*11.55+M164*11.55+N164*16.51+O164*16.51+P164*16.51+Q164*11.55+S164*11.55+T164*15+U164*1.7+V164*1.7+W164*11.55</f>
        <v>103.95</v>
      </c>
      <c r="F164" s="80" t="n">
        <f aca="false">G164+H164+I164+J164+K164+L164+M164+N164+O164+P164+Q164+S164+T164+U164+V164+W164</f>
        <v>9</v>
      </c>
      <c r="G164" s="81" t="n">
        <v>0</v>
      </c>
      <c r="H164" s="82" t="n">
        <v>0</v>
      </c>
      <c r="I164" s="82" t="n">
        <v>0</v>
      </c>
      <c r="J164" s="82" t="n">
        <v>0</v>
      </c>
      <c r="K164" s="96" t="n">
        <v>3</v>
      </c>
      <c r="L164" s="97" t="n">
        <v>3</v>
      </c>
      <c r="M164" s="97" t="n">
        <v>3</v>
      </c>
      <c r="N164" s="81" t="n">
        <v>0</v>
      </c>
      <c r="O164" s="82" t="n">
        <v>0</v>
      </c>
      <c r="P164" s="81" t="n">
        <v>0</v>
      </c>
      <c r="Q164" s="82" t="n">
        <v>0</v>
      </c>
      <c r="R164" s="83" t="n">
        <v>0</v>
      </c>
      <c r="S164" s="82" t="n">
        <v>0</v>
      </c>
      <c r="T164" s="82" t="n">
        <v>0</v>
      </c>
      <c r="U164" s="82" t="n">
        <v>0</v>
      </c>
      <c r="V164" s="82" t="n">
        <v>0</v>
      </c>
      <c r="W164" s="82" t="n">
        <v>0</v>
      </c>
    </row>
    <row r="165" customFormat="false" ht="15" hidden="false" customHeight="false" outlineLevel="0" collapsed="false">
      <c r="A165" s="86" t="s">
        <v>52</v>
      </c>
      <c r="B165" s="87" t="n">
        <v>46181</v>
      </c>
      <c r="C165" s="88" t="n">
        <v>6.4</v>
      </c>
      <c r="D165" s="88" t="s">
        <v>57</v>
      </c>
      <c r="E165" s="89" t="n">
        <f aca="false">G165*23.12+H165*23.12+I165*23.12+J165*23.12+K165*11.55+L165*11.55+M165*11.55+N165*16.51+O165*16.51+P165*16.51+Q165*11.55+S165*11.55+T165*15+U165*1.7+V165*1.7+W165*11.55</f>
        <v>3037.65</v>
      </c>
      <c r="F165" s="90" t="n">
        <f aca="false">G165+H165+I165+J165+K165+L165+M165+N165+O165+P165+Q165+S165+T165+U165+V165+W165</f>
        <v>263</v>
      </c>
      <c r="G165" s="91" t="n">
        <v>0</v>
      </c>
      <c r="H165" s="92" t="n">
        <v>0</v>
      </c>
      <c r="I165" s="92" t="n">
        <v>0</v>
      </c>
      <c r="J165" s="92" t="n">
        <v>0</v>
      </c>
      <c r="K165" s="93" t="n">
        <v>150</v>
      </c>
      <c r="L165" s="94" t="n">
        <v>110</v>
      </c>
      <c r="M165" s="94" t="n">
        <v>3</v>
      </c>
      <c r="N165" s="91" t="n">
        <v>0</v>
      </c>
      <c r="O165" s="92" t="n">
        <v>0</v>
      </c>
      <c r="P165" s="91" t="n">
        <v>0</v>
      </c>
      <c r="Q165" s="92" t="n">
        <v>0</v>
      </c>
      <c r="R165" s="95" t="n">
        <v>0</v>
      </c>
      <c r="S165" s="92" t="n">
        <v>0</v>
      </c>
      <c r="T165" s="92" t="n">
        <v>0</v>
      </c>
      <c r="U165" s="92" t="n">
        <v>0</v>
      </c>
      <c r="V165" s="92" t="n">
        <v>0</v>
      </c>
      <c r="W165" s="92" t="n">
        <v>0</v>
      </c>
    </row>
    <row r="166" customFormat="false" ht="15" hidden="false" customHeight="false" outlineLevel="0" collapsed="false">
      <c r="A166" s="76" t="s">
        <v>54</v>
      </c>
      <c r="B166" s="77" t="n">
        <v>46182</v>
      </c>
      <c r="C166" s="78" t="n">
        <v>6.4</v>
      </c>
      <c r="D166" s="78" t="s">
        <v>57</v>
      </c>
      <c r="E166" s="79" t="n">
        <f aca="false">G166*23.12+H166*23.12+I166*23.12+J166*23.12+K166*11.55+L166*11.55+M166*11.55+N166*16.51+O166*16.51+P166*16.51+Q166*11.55+S166*11.55+T166*15+U166*1.7+V166*1.7+W166*11.55</f>
        <v>3528.45</v>
      </c>
      <c r="F166" s="80" t="n">
        <f aca="false">G166+H166+I166+J166+K166+L166+M166+N166+O166+P166+Q166+S166+T166+U166+V166+W166</f>
        <v>459</v>
      </c>
      <c r="G166" s="81" t="n">
        <v>0</v>
      </c>
      <c r="H166" s="82" t="n">
        <v>0</v>
      </c>
      <c r="I166" s="82" t="n">
        <v>0</v>
      </c>
      <c r="J166" s="82" t="n">
        <v>0</v>
      </c>
      <c r="K166" s="96" t="n">
        <v>110</v>
      </c>
      <c r="L166" s="97" t="n">
        <v>150</v>
      </c>
      <c r="M166" s="97" t="n">
        <v>3</v>
      </c>
      <c r="N166" s="81" t="n">
        <v>0</v>
      </c>
      <c r="O166" s="82" t="n">
        <v>0</v>
      </c>
      <c r="P166" s="81" t="n">
        <v>0</v>
      </c>
      <c r="Q166" s="97" t="n">
        <v>16</v>
      </c>
      <c r="R166" s="83" t="n">
        <v>0</v>
      </c>
      <c r="S166" s="82" t="n">
        <v>0</v>
      </c>
      <c r="T166" s="82" t="n">
        <v>0</v>
      </c>
      <c r="U166" s="82" t="n">
        <v>0</v>
      </c>
      <c r="V166" s="97" t="n">
        <v>180</v>
      </c>
      <c r="W166" s="82" t="n">
        <v>0</v>
      </c>
    </row>
    <row r="167" customFormat="false" ht="15" hidden="false" customHeight="false" outlineLevel="0" collapsed="false">
      <c r="A167" s="68" t="s">
        <v>55</v>
      </c>
      <c r="B167" s="69" t="n">
        <v>46183</v>
      </c>
      <c r="C167" s="70" t="n">
        <v>6.4</v>
      </c>
      <c r="D167" s="70" t="s">
        <v>57</v>
      </c>
      <c r="E167" s="71" t="n">
        <f aca="false">G167*23.12+H167*23.12+I167*23.12+J167*23.12+K167*11.55+L167*11.55+M167*11.55+N167*16.51+O167*16.51+P167*16.51+Q167*11.55+S167*11.55+T167*15+U167*1.7+V167*1.7+W167*11.55</f>
        <v>3499.65</v>
      </c>
      <c r="F167" s="72" t="n">
        <f aca="false">G167+H167+I167+J167+K167+L167+M167+N167+O167+P167+Q167+S167+T167+U167+V167+W167</f>
        <v>303</v>
      </c>
      <c r="G167" s="73" t="n">
        <v>0</v>
      </c>
      <c r="H167" s="74" t="n">
        <v>0</v>
      </c>
      <c r="I167" s="74" t="n">
        <v>0</v>
      </c>
      <c r="J167" s="74" t="n">
        <v>0</v>
      </c>
      <c r="K167" s="98" t="n">
        <v>150</v>
      </c>
      <c r="L167" s="99" t="n">
        <v>150</v>
      </c>
      <c r="M167" s="99" t="n">
        <v>3</v>
      </c>
      <c r="N167" s="73" t="n">
        <v>0</v>
      </c>
      <c r="O167" s="74" t="n">
        <v>0</v>
      </c>
      <c r="P167" s="73" t="n">
        <v>0</v>
      </c>
      <c r="Q167" s="74" t="n">
        <v>0</v>
      </c>
      <c r="R167" s="75" t="n">
        <v>0</v>
      </c>
      <c r="S167" s="74" t="n">
        <v>0</v>
      </c>
      <c r="T167" s="74" t="n">
        <v>0</v>
      </c>
      <c r="U167" s="74" t="n">
        <v>0</v>
      </c>
      <c r="V167" s="74" t="n">
        <v>0</v>
      </c>
      <c r="W167" s="74" t="n">
        <v>0</v>
      </c>
    </row>
    <row r="168" customFormat="false" ht="15" hidden="false" customHeight="false" outlineLevel="0" collapsed="false">
      <c r="A168" s="76" t="s">
        <v>47</v>
      </c>
      <c r="B168" s="77" t="n">
        <v>46184</v>
      </c>
      <c r="C168" s="78" t="n">
        <v>6.4</v>
      </c>
      <c r="D168" s="78" t="s">
        <v>57</v>
      </c>
      <c r="E168" s="79" t="n">
        <f aca="false">G168*23.12+H168*23.12+I168*23.12+J168*23.12+K168*11.55+L168*11.55+M168*11.55+N168*16.51+O168*16.51+P168*16.51+Q168*11.55+S168*11.55+T168*15+U168*1.7+V168*1.7+W168*11.55</f>
        <v>3684.45</v>
      </c>
      <c r="F168" s="80" t="n">
        <f aca="false">G168+H168+I168+J168+K168+L168+M168+N168+O168+P168+Q168+S168+T168+U168+V168+W168</f>
        <v>319</v>
      </c>
      <c r="G168" s="81" t="n">
        <v>0</v>
      </c>
      <c r="H168" s="82" t="n">
        <v>0</v>
      </c>
      <c r="I168" s="82" t="n">
        <v>0</v>
      </c>
      <c r="J168" s="82" t="n">
        <v>0</v>
      </c>
      <c r="K168" s="96" t="n">
        <v>150</v>
      </c>
      <c r="L168" s="97" t="n">
        <v>150</v>
      </c>
      <c r="M168" s="97" t="n">
        <v>3</v>
      </c>
      <c r="N168" s="81" t="n">
        <v>0</v>
      </c>
      <c r="O168" s="82" t="n">
        <v>0</v>
      </c>
      <c r="P168" s="81" t="n">
        <v>0</v>
      </c>
      <c r="Q168" s="97" t="n">
        <v>16</v>
      </c>
      <c r="R168" s="83" t="n">
        <v>0</v>
      </c>
      <c r="S168" s="82" t="n">
        <v>0</v>
      </c>
      <c r="T168" s="82" t="n">
        <v>0</v>
      </c>
      <c r="U168" s="82" t="n">
        <v>0</v>
      </c>
      <c r="V168" s="82" t="n">
        <v>0</v>
      </c>
      <c r="W168" s="82" t="n">
        <v>0</v>
      </c>
    </row>
    <row r="169" customFormat="false" ht="15" hidden="false" customHeight="false" outlineLevel="0" collapsed="false">
      <c r="A169" s="68" t="s">
        <v>49</v>
      </c>
      <c r="B169" s="69" t="n">
        <v>46185</v>
      </c>
      <c r="C169" s="70" t="n">
        <v>6.4</v>
      </c>
      <c r="D169" s="70" t="s">
        <v>57</v>
      </c>
      <c r="E169" s="71" t="n">
        <f aca="false">G169*23.12+H169*23.12+I169*23.12+J169*23.12+K169*11.55+L169*11.55+M169*11.55+N169*16.51+O169*16.51+P169*16.51+Q169*11.55+S169*11.55+T169*15+U169*1.7+V169*1.7+W169*11.55</f>
        <v>3805.65</v>
      </c>
      <c r="F169" s="72" t="n">
        <f aca="false">G169+H169+I169+J169+K169+L169+M169+N169+O169+P169+Q169+S169+T169+U169+V169+W169</f>
        <v>483</v>
      </c>
      <c r="G169" s="73" t="n">
        <v>0</v>
      </c>
      <c r="H169" s="74" t="n">
        <v>0</v>
      </c>
      <c r="I169" s="74" t="n">
        <v>0</v>
      </c>
      <c r="J169" s="74" t="n">
        <v>0</v>
      </c>
      <c r="K169" s="98" t="n">
        <v>150</v>
      </c>
      <c r="L169" s="99" t="n">
        <v>150</v>
      </c>
      <c r="M169" s="99" t="n">
        <v>3</v>
      </c>
      <c r="N169" s="73" t="n">
        <v>0</v>
      </c>
      <c r="O169" s="74" t="n">
        <v>0</v>
      </c>
      <c r="P169" s="73" t="n">
        <v>0</v>
      </c>
      <c r="Q169" s="74" t="n">
        <v>0</v>
      </c>
      <c r="R169" s="75" t="n">
        <v>0</v>
      </c>
      <c r="S169" s="74" t="n">
        <v>0</v>
      </c>
      <c r="T169" s="74" t="n">
        <v>0</v>
      </c>
      <c r="U169" s="74" t="n">
        <v>0</v>
      </c>
      <c r="V169" s="99" t="n">
        <v>180</v>
      </c>
      <c r="W169" s="74" t="n">
        <v>0</v>
      </c>
    </row>
    <row r="170" customFormat="false" ht="15" hidden="false" customHeight="false" outlineLevel="0" collapsed="false">
      <c r="A170" s="85" t="s">
        <v>50</v>
      </c>
      <c r="B170" s="77" t="n">
        <v>46186</v>
      </c>
      <c r="C170" s="78" t="n">
        <v>6.4</v>
      </c>
      <c r="D170" s="78" t="s">
        <v>57</v>
      </c>
      <c r="E170" s="79" t="n">
        <f aca="false">G170*23.12+H170*23.12+I170*23.12+J170*23.12+K170*11.55+L170*11.55+M170*11.55+N170*16.51+O170*16.51+P170*16.51+Q170*11.55+S170*11.55+T170*15+U170*1.7+V170*1.7+W170*11.55</f>
        <v>3499.65</v>
      </c>
      <c r="F170" s="80" t="n">
        <f aca="false">G170+H170+I170+J170+K170+L170+M170+N170+O170+P170+Q170+S170+T170+U170+V170+W170</f>
        <v>303</v>
      </c>
      <c r="G170" s="81" t="n">
        <v>0</v>
      </c>
      <c r="H170" s="82" t="n">
        <v>0</v>
      </c>
      <c r="I170" s="82" t="n">
        <v>0</v>
      </c>
      <c r="J170" s="82" t="n">
        <v>0</v>
      </c>
      <c r="K170" s="96" t="n">
        <v>150</v>
      </c>
      <c r="L170" s="97" t="n">
        <v>150</v>
      </c>
      <c r="M170" s="97" t="n">
        <v>3</v>
      </c>
      <c r="N170" s="81" t="n">
        <v>0</v>
      </c>
      <c r="O170" s="82" t="n">
        <v>0</v>
      </c>
      <c r="P170" s="81" t="n">
        <v>0</v>
      </c>
      <c r="Q170" s="82" t="n">
        <v>0</v>
      </c>
      <c r="R170" s="83" t="n">
        <v>0</v>
      </c>
      <c r="S170" s="82" t="n">
        <v>0</v>
      </c>
      <c r="T170" s="82" t="n">
        <v>0</v>
      </c>
      <c r="U170" s="82" t="n">
        <v>0</v>
      </c>
      <c r="V170" s="82" t="n">
        <v>0</v>
      </c>
      <c r="W170" s="82" t="n">
        <v>0</v>
      </c>
    </row>
    <row r="171" customFormat="false" ht="15" hidden="false" customHeight="false" outlineLevel="0" collapsed="false">
      <c r="A171" s="84" t="s">
        <v>51</v>
      </c>
      <c r="B171" s="69" t="n">
        <v>46187</v>
      </c>
      <c r="C171" s="70" t="n">
        <v>6.4</v>
      </c>
      <c r="D171" s="70" t="s">
        <v>57</v>
      </c>
      <c r="E171" s="71" t="n">
        <f aca="false">G171*23.12+H171*23.12+I171*23.12+J171*23.12+K171*11.55+L171*11.55+M171*11.55+N171*16.51+O171*16.51+P171*16.51+Q171*11.55+S171*11.55+T171*15+U171*1.7+V171*1.7+W171*11.55</f>
        <v>103.95</v>
      </c>
      <c r="F171" s="72" t="n">
        <f aca="false">G171+H171+I171+J171+K171+L171+M171+N171+O171+P171+Q171+S171+T171+U171+V171+W171</f>
        <v>9</v>
      </c>
      <c r="G171" s="73" t="n">
        <v>0</v>
      </c>
      <c r="H171" s="74" t="n">
        <v>0</v>
      </c>
      <c r="I171" s="74" t="n">
        <v>0</v>
      </c>
      <c r="J171" s="74" t="n">
        <v>0</v>
      </c>
      <c r="K171" s="98" t="n">
        <v>3</v>
      </c>
      <c r="L171" s="99" t="n">
        <v>3</v>
      </c>
      <c r="M171" s="99" t="n">
        <v>3</v>
      </c>
      <c r="N171" s="73" t="n">
        <v>0</v>
      </c>
      <c r="O171" s="74" t="n">
        <v>0</v>
      </c>
      <c r="P171" s="73" t="n">
        <v>0</v>
      </c>
      <c r="Q171" s="74" t="n">
        <v>0</v>
      </c>
      <c r="R171" s="75" t="n">
        <v>0</v>
      </c>
      <c r="S171" s="74" t="n">
        <v>0</v>
      </c>
      <c r="T171" s="74" t="n">
        <v>0</v>
      </c>
      <c r="U171" s="74" t="n">
        <v>0</v>
      </c>
      <c r="V171" s="74" t="n">
        <v>0</v>
      </c>
      <c r="W171" s="74" t="n">
        <v>0</v>
      </c>
    </row>
    <row r="172" customFormat="false" ht="15" hidden="false" customHeight="false" outlineLevel="0" collapsed="false">
      <c r="A172" s="100" t="s">
        <v>52</v>
      </c>
      <c r="B172" s="101" t="n">
        <v>46188</v>
      </c>
      <c r="C172" s="102" t="n">
        <v>7.1</v>
      </c>
      <c r="D172" s="102" t="s">
        <v>48</v>
      </c>
      <c r="E172" s="103" t="n">
        <f aca="false">G172*23.12+H172*23.12+I172*23.12+J172*23.12+K172*11.55+L172*11.55+M172*11.55+N172*16.51+O172*16.51+P172*16.51+Q172*11.55+S172*11.55+T172*15+U172*1.7+V172*1.7+W172*11.55</f>
        <v>3499.65</v>
      </c>
      <c r="F172" s="104" t="n">
        <f aca="false">G172+H172+I172+J172+K172+L172+M172+N172+O172+P172+Q172+S172+T172+U172+V172+W172</f>
        <v>303</v>
      </c>
      <c r="G172" s="105" t="n">
        <v>0</v>
      </c>
      <c r="H172" s="106" t="n">
        <v>0</v>
      </c>
      <c r="I172" s="106" t="n">
        <v>0</v>
      </c>
      <c r="J172" s="106" t="n">
        <v>0</v>
      </c>
      <c r="K172" s="107" t="n">
        <v>150</v>
      </c>
      <c r="L172" s="108" t="n">
        <v>150</v>
      </c>
      <c r="M172" s="108" t="n">
        <v>3</v>
      </c>
      <c r="N172" s="105" t="n">
        <v>0</v>
      </c>
      <c r="O172" s="106" t="n">
        <v>0</v>
      </c>
      <c r="P172" s="105" t="n">
        <v>0</v>
      </c>
      <c r="Q172" s="106" t="n">
        <v>0</v>
      </c>
      <c r="R172" s="109" t="n">
        <v>0</v>
      </c>
      <c r="S172" s="106" t="n">
        <v>0</v>
      </c>
      <c r="T172" s="106" t="n">
        <v>0</v>
      </c>
      <c r="U172" s="106" t="n">
        <v>0</v>
      </c>
      <c r="V172" s="106" t="n">
        <v>0</v>
      </c>
      <c r="W172" s="106" t="n">
        <v>0</v>
      </c>
    </row>
    <row r="173" customFormat="false" ht="15" hidden="false" customHeight="false" outlineLevel="0" collapsed="false">
      <c r="A173" s="68" t="s">
        <v>54</v>
      </c>
      <c r="B173" s="69" t="n">
        <v>46189</v>
      </c>
      <c r="C173" s="70" t="n">
        <v>7.1</v>
      </c>
      <c r="D173" s="70" t="s">
        <v>48</v>
      </c>
      <c r="E173" s="71" t="n">
        <f aca="false">G173*23.12+H173*23.12+I173*23.12+J173*23.12+K173*11.55+L173*11.55+M173*11.55+N173*16.51+O173*16.51+P173*16.51+Q173*11.55+S173*11.55+T173*15+U173*1.7+V173*1.7+W173*11.55</f>
        <v>3684.45</v>
      </c>
      <c r="F173" s="72" t="n">
        <f aca="false">G173+H173+I173+J173+K173+L173+M173+N173+O173+P173+Q173+S173+T173+U173+V173+W173</f>
        <v>319</v>
      </c>
      <c r="G173" s="73" t="n">
        <v>0</v>
      </c>
      <c r="H173" s="74" t="n">
        <v>0</v>
      </c>
      <c r="I173" s="74" t="n">
        <v>0</v>
      </c>
      <c r="J173" s="74" t="n">
        <v>0</v>
      </c>
      <c r="K173" s="98" t="n">
        <v>150</v>
      </c>
      <c r="L173" s="99" t="n">
        <v>150</v>
      </c>
      <c r="M173" s="99" t="n">
        <v>3</v>
      </c>
      <c r="N173" s="73" t="n">
        <v>0</v>
      </c>
      <c r="O173" s="74" t="n">
        <v>0</v>
      </c>
      <c r="P173" s="73" t="n">
        <v>0</v>
      </c>
      <c r="Q173" s="99" t="n">
        <v>16</v>
      </c>
      <c r="R173" s="75" t="n">
        <v>0</v>
      </c>
      <c r="S173" s="74" t="n">
        <v>0</v>
      </c>
      <c r="T173" s="74" t="n">
        <v>0</v>
      </c>
      <c r="U173" s="74" t="n">
        <v>0</v>
      </c>
      <c r="V173" s="74" t="n">
        <v>0</v>
      </c>
      <c r="W173" s="74" t="n">
        <v>0</v>
      </c>
    </row>
    <row r="174" customFormat="false" ht="15" hidden="false" customHeight="false" outlineLevel="0" collapsed="false">
      <c r="A174" s="76" t="s">
        <v>55</v>
      </c>
      <c r="B174" s="77" t="n">
        <v>46190</v>
      </c>
      <c r="C174" s="78" t="n">
        <v>7.1</v>
      </c>
      <c r="D174" s="78" t="s">
        <v>48</v>
      </c>
      <c r="E174" s="79" t="n">
        <f aca="false">G174*23.12+H174*23.12+I174*23.12+J174*23.12+K174*11.55+L174*11.55+M174*11.55+N174*16.51+O174*16.51+P174*16.51+Q174*11.55+S174*11.55+T174*15+U174*1.7+V174*1.7+W174*11.55</f>
        <v>3499.65</v>
      </c>
      <c r="F174" s="80" t="n">
        <f aca="false">G174+H174+I174+J174+K174+L174+M174+N174+O174+P174+Q174+S174+T174+U174+V174+W174</f>
        <v>303</v>
      </c>
      <c r="G174" s="81" t="n">
        <v>0</v>
      </c>
      <c r="H174" s="82" t="n">
        <v>0</v>
      </c>
      <c r="I174" s="82" t="n">
        <v>0</v>
      </c>
      <c r="J174" s="82" t="n">
        <v>0</v>
      </c>
      <c r="K174" s="96" t="n">
        <v>150</v>
      </c>
      <c r="L174" s="97" t="n">
        <v>150</v>
      </c>
      <c r="M174" s="97" t="n">
        <v>3</v>
      </c>
      <c r="N174" s="81" t="n">
        <v>0</v>
      </c>
      <c r="O174" s="82" t="n">
        <v>0</v>
      </c>
      <c r="P174" s="81" t="n">
        <v>0</v>
      </c>
      <c r="Q174" s="82" t="n">
        <v>0</v>
      </c>
      <c r="R174" s="83" t="n">
        <v>0</v>
      </c>
      <c r="S174" s="82" t="n">
        <v>0</v>
      </c>
      <c r="T174" s="82" t="n">
        <v>0</v>
      </c>
      <c r="U174" s="82" t="n">
        <v>0</v>
      </c>
      <c r="V174" s="82" t="n">
        <v>0</v>
      </c>
      <c r="W174" s="82" t="n">
        <v>0</v>
      </c>
    </row>
    <row r="175" customFormat="false" ht="15" hidden="false" customHeight="false" outlineLevel="0" collapsed="false">
      <c r="A175" s="68" t="s">
        <v>47</v>
      </c>
      <c r="B175" s="69" t="n">
        <v>46191</v>
      </c>
      <c r="C175" s="70" t="n">
        <v>7.1</v>
      </c>
      <c r="D175" s="70" t="s">
        <v>48</v>
      </c>
      <c r="E175" s="71" t="n">
        <f aca="false">G175*23.12+H175*23.12+I175*23.12+J175*23.12+K175*11.55+L175*11.55+M175*11.55+N175*16.51+O175*16.51+P175*16.51+Q175*11.55+S175*11.55+T175*15+U175*1.7+V175*1.7+W175*11.55</f>
        <v>3684.45</v>
      </c>
      <c r="F175" s="72" t="n">
        <f aca="false">G175+H175+I175+J175+K175+L175+M175+N175+O175+P175+Q175+S175+T175+U175+V175+W175</f>
        <v>319</v>
      </c>
      <c r="G175" s="73" t="n">
        <v>0</v>
      </c>
      <c r="H175" s="74" t="n">
        <v>0</v>
      </c>
      <c r="I175" s="74" t="n">
        <v>0</v>
      </c>
      <c r="J175" s="74" t="n">
        <v>0</v>
      </c>
      <c r="K175" s="98" t="n">
        <v>150</v>
      </c>
      <c r="L175" s="99" t="n">
        <v>150</v>
      </c>
      <c r="M175" s="99" t="n">
        <v>3</v>
      </c>
      <c r="N175" s="73" t="n">
        <v>0</v>
      </c>
      <c r="O175" s="74" t="n">
        <v>0</v>
      </c>
      <c r="P175" s="73" t="n">
        <v>0</v>
      </c>
      <c r="Q175" s="99" t="n">
        <v>16</v>
      </c>
      <c r="R175" s="75" t="n">
        <v>0</v>
      </c>
      <c r="S175" s="74" t="n">
        <v>0</v>
      </c>
      <c r="T175" s="74" t="n">
        <v>0</v>
      </c>
      <c r="U175" s="74" t="n">
        <v>0</v>
      </c>
      <c r="V175" s="74" t="n">
        <v>0</v>
      </c>
      <c r="W175" s="74" t="n">
        <v>0</v>
      </c>
    </row>
    <row r="176" customFormat="false" ht="15" hidden="false" customHeight="false" outlineLevel="0" collapsed="false">
      <c r="A176" s="76" t="s">
        <v>49</v>
      </c>
      <c r="B176" s="77" t="n">
        <v>46192</v>
      </c>
      <c r="C176" s="78" t="n">
        <v>7.1</v>
      </c>
      <c r="D176" s="78" t="s">
        <v>48</v>
      </c>
      <c r="E176" s="79" t="n">
        <f aca="false">G176*23.12+H176*23.12+I176*23.12+J176*23.12+K176*11.55+L176*11.55+M176*11.55+N176*16.51+O176*16.51+P176*16.51+Q176*11.55+S176*11.55+T176*15+U176*1.7+V176*1.7+W176*11.55</f>
        <v>3499.65</v>
      </c>
      <c r="F176" s="80" t="n">
        <f aca="false">G176+H176+I176+J176+K176+L176+M176+N176+O176+P176+Q176+S176+T176+U176+V176+W176</f>
        <v>303</v>
      </c>
      <c r="G176" s="81" t="n">
        <v>0</v>
      </c>
      <c r="H176" s="82" t="n">
        <v>0</v>
      </c>
      <c r="I176" s="82" t="n">
        <v>0</v>
      </c>
      <c r="J176" s="82" t="n">
        <v>0</v>
      </c>
      <c r="K176" s="96" t="n">
        <v>150</v>
      </c>
      <c r="L176" s="97" t="n">
        <v>150</v>
      </c>
      <c r="M176" s="97" t="n">
        <v>3</v>
      </c>
      <c r="N176" s="81" t="n">
        <v>0</v>
      </c>
      <c r="O176" s="82" t="n">
        <v>0</v>
      </c>
      <c r="P176" s="81" t="n">
        <v>0</v>
      </c>
      <c r="Q176" s="82" t="n">
        <v>0</v>
      </c>
      <c r="R176" s="83" t="n">
        <v>0</v>
      </c>
      <c r="S176" s="82" t="n">
        <v>0</v>
      </c>
      <c r="T176" s="82" t="n">
        <v>0</v>
      </c>
      <c r="U176" s="82" t="n">
        <v>0</v>
      </c>
      <c r="V176" s="82" t="n">
        <v>0</v>
      </c>
      <c r="W176" s="82" t="n">
        <v>0</v>
      </c>
    </row>
    <row r="177" customFormat="false" ht="15" hidden="false" customHeight="false" outlineLevel="0" collapsed="false">
      <c r="A177" s="84" t="s">
        <v>50</v>
      </c>
      <c r="B177" s="69" t="n">
        <v>46193</v>
      </c>
      <c r="C177" s="70" t="n">
        <v>7.1</v>
      </c>
      <c r="D177" s="70" t="s">
        <v>48</v>
      </c>
      <c r="E177" s="71" t="n">
        <f aca="false">G177*23.12+H177*23.12+I177*23.12+J177*23.12+K177*11.55+L177*11.55+M177*11.55+N177*16.51+O177*16.51+P177*16.51+Q177*11.55+S177*11.55+T177*15+U177*1.7+V177*1.7+W177*11.55</f>
        <v>3499.65</v>
      </c>
      <c r="F177" s="72" t="n">
        <f aca="false">G177+H177+I177+J177+K177+L177+M177+N177+O177+P177+Q177+S177+T177+U177+V177+W177</f>
        <v>303</v>
      </c>
      <c r="G177" s="73" t="n">
        <v>0</v>
      </c>
      <c r="H177" s="74" t="n">
        <v>0</v>
      </c>
      <c r="I177" s="74" t="n">
        <v>0</v>
      </c>
      <c r="J177" s="74" t="n">
        <v>0</v>
      </c>
      <c r="K177" s="98" t="n">
        <v>150</v>
      </c>
      <c r="L177" s="99" t="n">
        <v>150</v>
      </c>
      <c r="M177" s="99" t="n">
        <v>3</v>
      </c>
      <c r="N177" s="73" t="n">
        <v>0</v>
      </c>
      <c r="O177" s="74" t="n">
        <v>0</v>
      </c>
      <c r="P177" s="73" t="n">
        <v>0</v>
      </c>
      <c r="Q177" s="74" t="n">
        <v>0</v>
      </c>
      <c r="R177" s="75" t="n">
        <v>0</v>
      </c>
      <c r="S177" s="74" t="n">
        <v>0</v>
      </c>
      <c r="T177" s="74" t="n">
        <v>0</v>
      </c>
      <c r="U177" s="74" t="n">
        <v>0</v>
      </c>
      <c r="V177" s="74" t="n">
        <v>0</v>
      </c>
      <c r="W177" s="74" t="n">
        <v>0</v>
      </c>
    </row>
    <row r="178" customFormat="false" ht="15" hidden="false" customHeight="false" outlineLevel="0" collapsed="false">
      <c r="A178" s="85" t="s">
        <v>51</v>
      </c>
      <c r="B178" s="77" t="n">
        <v>46194</v>
      </c>
      <c r="C178" s="78" t="n">
        <v>7.1</v>
      </c>
      <c r="D178" s="78" t="s">
        <v>48</v>
      </c>
      <c r="E178" s="79" t="n">
        <f aca="false">G178*23.12+H178*23.12+I178*23.12+J178*23.12+K178*11.55+L178*11.55+M178*11.55+N178*16.51+O178*16.51+P178*16.51+Q178*11.55+S178*11.55+T178*15+U178*1.7+V178*1.7+W178*11.55</f>
        <v>103.95</v>
      </c>
      <c r="F178" s="80" t="n">
        <f aca="false">G178+H178+I178+J178+K178+L178+M178+N178+O178+P178+Q178+S178+T178+U178+V178+W178</f>
        <v>9</v>
      </c>
      <c r="G178" s="81" t="n">
        <v>0</v>
      </c>
      <c r="H178" s="82" t="n">
        <v>0</v>
      </c>
      <c r="I178" s="82" t="n">
        <v>0</v>
      </c>
      <c r="J178" s="82" t="n">
        <v>0</v>
      </c>
      <c r="K178" s="96" t="n">
        <v>3</v>
      </c>
      <c r="L178" s="97" t="n">
        <v>3</v>
      </c>
      <c r="M178" s="97" t="n">
        <v>3</v>
      </c>
      <c r="N178" s="81" t="n">
        <v>0</v>
      </c>
      <c r="O178" s="82" t="n">
        <v>0</v>
      </c>
      <c r="P178" s="81" t="n">
        <v>0</v>
      </c>
      <c r="Q178" s="82" t="n">
        <v>0</v>
      </c>
      <c r="R178" s="83" t="n">
        <v>0</v>
      </c>
      <c r="S178" s="82" t="n">
        <v>0</v>
      </c>
      <c r="T178" s="82" t="n">
        <v>0</v>
      </c>
      <c r="U178" s="82" t="n">
        <v>0</v>
      </c>
      <c r="V178" s="82" t="n">
        <v>0</v>
      </c>
      <c r="W178" s="82" t="n">
        <v>0</v>
      </c>
    </row>
    <row r="179" customFormat="false" ht="15" hidden="false" customHeight="false" outlineLevel="0" collapsed="false">
      <c r="A179" s="86" t="s">
        <v>52</v>
      </c>
      <c r="B179" s="87" t="n">
        <v>46195</v>
      </c>
      <c r="C179" s="88" t="n">
        <v>7.2</v>
      </c>
      <c r="D179" s="88" t="s">
        <v>53</v>
      </c>
      <c r="E179" s="89" t="n">
        <f aca="false">G179*23.12+H179*23.12+I179*23.12+J179*23.12+K179*11.55+L179*11.55+M179*11.55+N179*16.51+O179*16.51+P179*16.51+Q179*11.55+S179*11.55+T179*15+U179*1.7+V179*1.7+W179*11.55</f>
        <v>0</v>
      </c>
      <c r="F179" s="90" t="n">
        <f aca="false">G179+H179+I179+J179+K179+L179+M179+N179+O179+P179+Q179+S179+T179+U179+V179+W179</f>
        <v>0</v>
      </c>
      <c r="G179" s="91" t="n">
        <v>0</v>
      </c>
      <c r="H179" s="92" t="n">
        <v>0</v>
      </c>
      <c r="I179" s="92" t="n">
        <v>0</v>
      </c>
      <c r="J179" s="92" t="n">
        <v>0</v>
      </c>
      <c r="K179" s="91" t="n">
        <v>0</v>
      </c>
      <c r="L179" s="92" t="n">
        <v>0</v>
      </c>
      <c r="M179" s="92" t="n">
        <v>0</v>
      </c>
      <c r="N179" s="91" t="n">
        <v>0</v>
      </c>
      <c r="O179" s="92" t="n">
        <v>0</v>
      </c>
      <c r="P179" s="91" t="n">
        <v>0</v>
      </c>
      <c r="Q179" s="92" t="n">
        <v>0</v>
      </c>
      <c r="R179" s="95" t="n">
        <v>0</v>
      </c>
      <c r="S179" s="92" t="n">
        <v>0</v>
      </c>
      <c r="T179" s="92" t="n">
        <v>0</v>
      </c>
      <c r="U179" s="92" t="n">
        <v>0</v>
      </c>
      <c r="V179" s="92" t="n">
        <v>0</v>
      </c>
      <c r="W179" s="92" t="n">
        <v>0</v>
      </c>
    </row>
    <row r="180" customFormat="false" ht="15" hidden="false" customHeight="false" outlineLevel="0" collapsed="false">
      <c r="A180" s="76" t="s">
        <v>54</v>
      </c>
      <c r="B180" s="77" t="n">
        <v>46196</v>
      </c>
      <c r="C180" s="78" t="n">
        <v>7.2</v>
      </c>
      <c r="D180" s="78" t="s">
        <v>53</v>
      </c>
      <c r="E180" s="79" t="n">
        <f aca="false">G180*23.12+H180*23.12+I180*23.12+J180*23.12+K180*11.55+L180*11.55+M180*11.55+N180*16.51+O180*16.51+P180*16.51+Q180*11.55+S180*11.55+T180*15+U180*1.7+V180*1.7+W180*11.55</f>
        <v>0</v>
      </c>
      <c r="F180" s="80" t="n">
        <f aca="false">G180+H180+I180+J180+K180+L180+M180+N180+O180+P180+Q180+S180+T180+U180+V180+W180</f>
        <v>0</v>
      </c>
      <c r="G180" s="81" t="n">
        <v>0</v>
      </c>
      <c r="H180" s="82" t="n">
        <v>0</v>
      </c>
      <c r="I180" s="82" t="n">
        <v>0</v>
      </c>
      <c r="J180" s="82" t="n">
        <v>0</v>
      </c>
      <c r="K180" s="81" t="n">
        <v>0</v>
      </c>
      <c r="L180" s="82" t="n">
        <v>0</v>
      </c>
      <c r="M180" s="82" t="n">
        <v>0</v>
      </c>
      <c r="N180" s="81" t="n">
        <v>0</v>
      </c>
      <c r="O180" s="82" t="n">
        <v>0</v>
      </c>
      <c r="P180" s="81" t="n">
        <v>0</v>
      </c>
      <c r="Q180" s="82" t="n">
        <v>0</v>
      </c>
      <c r="R180" s="83" t="n">
        <v>0</v>
      </c>
      <c r="S180" s="82" t="n">
        <v>0</v>
      </c>
      <c r="T180" s="82" t="n">
        <v>0</v>
      </c>
      <c r="U180" s="82" t="n">
        <v>0</v>
      </c>
      <c r="V180" s="82" t="n">
        <v>0</v>
      </c>
      <c r="W180" s="82" t="n">
        <v>0</v>
      </c>
    </row>
    <row r="181" customFormat="false" ht="15" hidden="false" customHeight="false" outlineLevel="0" collapsed="false">
      <c r="A181" s="68" t="s">
        <v>55</v>
      </c>
      <c r="B181" s="69" t="n">
        <v>46197</v>
      </c>
      <c r="C181" s="70" t="n">
        <v>7.2</v>
      </c>
      <c r="D181" s="70" t="s">
        <v>53</v>
      </c>
      <c r="E181" s="71" t="n">
        <f aca="false">G181*23.12+H181*23.12+I181*23.12+J181*23.12+K181*11.55+L181*11.55+M181*11.55+N181*16.51+O181*16.51+P181*16.51+Q181*11.55+S181*11.55+T181*15+U181*1.7+V181*1.7+W181*11.55</f>
        <v>0</v>
      </c>
      <c r="F181" s="72" t="n">
        <f aca="false">G181+H181+I181+J181+K181+L181+M181+N181+O181+P181+Q181+S181+T181+U181+V181+W181</f>
        <v>0</v>
      </c>
      <c r="G181" s="73" t="n">
        <v>0</v>
      </c>
      <c r="H181" s="74" t="n">
        <v>0</v>
      </c>
      <c r="I181" s="74" t="n">
        <v>0</v>
      </c>
      <c r="J181" s="74" t="n">
        <v>0</v>
      </c>
      <c r="K181" s="73" t="n">
        <v>0</v>
      </c>
      <c r="L181" s="74" t="n">
        <v>0</v>
      </c>
      <c r="M181" s="74" t="n">
        <v>0</v>
      </c>
      <c r="N181" s="73" t="n">
        <v>0</v>
      </c>
      <c r="O181" s="74" t="n">
        <v>0</v>
      </c>
      <c r="P181" s="73" t="n">
        <v>0</v>
      </c>
      <c r="Q181" s="74" t="n">
        <v>0</v>
      </c>
      <c r="R181" s="75" t="n">
        <v>0</v>
      </c>
      <c r="S181" s="74" t="n">
        <v>0</v>
      </c>
      <c r="T181" s="74" t="n">
        <v>0</v>
      </c>
      <c r="U181" s="74" t="n">
        <v>0</v>
      </c>
      <c r="V181" s="74" t="n">
        <v>0</v>
      </c>
      <c r="W181" s="74" t="n">
        <v>0</v>
      </c>
    </row>
    <row r="182" customFormat="false" ht="15" hidden="false" customHeight="false" outlineLevel="0" collapsed="false">
      <c r="A182" s="76" t="s">
        <v>47</v>
      </c>
      <c r="B182" s="77" t="n">
        <v>46198</v>
      </c>
      <c r="C182" s="78" t="n">
        <v>7.2</v>
      </c>
      <c r="D182" s="78" t="s">
        <v>53</v>
      </c>
      <c r="E182" s="79" t="n">
        <f aca="false">G182*23.12+H182*23.12+I182*23.12+J182*23.12+K182*11.55+L182*11.55+M182*11.55+N182*16.51+O182*16.51+P182*16.51+Q182*11.55+S182*11.55+T182*15+U182*1.7+V182*1.7+W182*11.55</f>
        <v>0</v>
      </c>
      <c r="F182" s="80" t="n">
        <f aca="false">G182+H182+I182+J182+K182+L182+M182+N182+O182+P182+Q182+S182+T182+U182+V182+W182</f>
        <v>0</v>
      </c>
      <c r="G182" s="81" t="n">
        <v>0</v>
      </c>
      <c r="H182" s="82" t="n">
        <v>0</v>
      </c>
      <c r="I182" s="82" t="n">
        <v>0</v>
      </c>
      <c r="J182" s="82" t="n">
        <v>0</v>
      </c>
      <c r="K182" s="81" t="n">
        <v>0</v>
      </c>
      <c r="L182" s="82" t="n">
        <v>0</v>
      </c>
      <c r="M182" s="82" t="n">
        <v>0</v>
      </c>
      <c r="N182" s="81" t="n">
        <v>0</v>
      </c>
      <c r="O182" s="82" t="n">
        <v>0</v>
      </c>
      <c r="P182" s="81" t="n">
        <v>0</v>
      </c>
      <c r="Q182" s="82" t="n">
        <v>0</v>
      </c>
      <c r="R182" s="83" t="n">
        <v>0</v>
      </c>
      <c r="S182" s="82" t="n">
        <v>0</v>
      </c>
      <c r="T182" s="82" t="n">
        <v>0</v>
      </c>
      <c r="U182" s="82" t="n">
        <v>0</v>
      </c>
      <c r="V182" s="82" t="n">
        <v>0</v>
      </c>
      <c r="W182" s="82" t="n">
        <v>0</v>
      </c>
    </row>
    <row r="183" customFormat="false" ht="15" hidden="false" customHeight="false" outlineLevel="0" collapsed="false">
      <c r="A183" s="68" t="s">
        <v>49</v>
      </c>
      <c r="B183" s="69" t="n">
        <v>46199</v>
      </c>
      <c r="C183" s="70" t="n">
        <v>7.2</v>
      </c>
      <c r="D183" s="70" t="s">
        <v>53</v>
      </c>
      <c r="E183" s="71" t="n">
        <f aca="false">G183*23.12+H183*23.12+I183*23.12+J183*23.12+K183*11.55+L183*11.55+M183*11.55+N183*16.51+O183*16.51+P183*16.51+Q183*11.55+S183*11.55+T183*15+U183*1.7+V183*1.7+W183*11.55</f>
        <v>0</v>
      </c>
      <c r="F183" s="72" t="n">
        <f aca="false">G183+H183+I183+J183+K183+L183+M183+N183+O183+P183+Q183+S183+T183+U183+V183+W183</f>
        <v>0</v>
      </c>
      <c r="G183" s="73" t="n">
        <v>0</v>
      </c>
      <c r="H183" s="74" t="n">
        <v>0</v>
      </c>
      <c r="I183" s="74" t="n">
        <v>0</v>
      </c>
      <c r="J183" s="74" t="n">
        <v>0</v>
      </c>
      <c r="K183" s="73" t="n">
        <v>0</v>
      </c>
      <c r="L183" s="74" t="n">
        <v>0</v>
      </c>
      <c r="M183" s="74" t="n">
        <v>0</v>
      </c>
      <c r="N183" s="73" t="n">
        <v>0</v>
      </c>
      <c r="O183" s="74" t="n">
        <v>0</v>
      </c>
      <c r="P183" s="73" t="n">
        <v>0</v>
      </c>
      <c r="Q183" s="74" t="n">
        <v>0</v>
      </c>
      <c r="R183" s="75" t="n">
        <v>0</v>
      </c>
      <c r="S183" s="74" t="n">
        <v>0</v>
      </c>
      <c r="T183" s="74" t="n">
        <v>0</v>
      </c>
      <c r="U183" s="74" t="n">
        <v>0</v>
      </c>
      <c r="V183" s="74" t="n">
        <v>0</v>
      </c>
      <c r="W183" s="74" t="n">
        <v>0</v>
      </c>
    </row>
    <row r="184" customFormat="false" ht="15" hidden="false" customHeight="false" outlineLevel="0" collapsed="false">
      <c r="A184" s="85" t="s">
        <v>50</v>
      </c>
      <c r="B184" s="77" t="n">
        <v>46200</v>
      </c>
      <c r="C184" s="78" t="n">
        <v>7.2</v>
      </c>
      <c r="D184" s="78" t="s">
        <v>53</v>
      </c>
      <c r="E184" s="79" t="n">
        <f aca="false">G184*23.12+H184*23.12+I184*23.12+J184*23.12+K184*11.55+L184*11.55+M184*11.55+N184*16.51+O184*16.51+P184*16.51+Q184*11.55+S184*11.55+T184*15+U184*1.7+V184*1.7+W184*11.55</f>
        <v>0</v>
      </c>
      <c r="F184" s="80" t="n">
        <f aca="false">G184+H184+I184+J184+K184+L184+M184+N184+O184+P184+Q184+S184+T184+U184+V184+W184</f>
        <v>0</v>
      </c>
      <c r="G184" s="81" t="n">
        <v>0</v>
      </c>
      <c r="H184" s="82" t="n">
        <v>0</v>
      </c>
      <c r="I184" s="82" t="n">
        <v>0</v>
      </c>
      <c r="J184" s="82" t="n">
        <v>0</v>
      </c>
      <c r="K184" s="81" t="n">
        <v>0</v>
      </c>
      <c r="L184" s="82" t="n">
        <v>0</v>
      </c>
      <c r="M184" s="82" t="n">
        <v>0</v>
      </c>
      <c r="N184" s="81" t="n">
        <v>0</v>
      </c>
      <c r="O184" s="82" t="n">
        <v>0</v>
      </c>
      <c r="P184" s="81" t="n">
        <v>0</v>
      </c>
      <c r="Q184" s="82" t="n">
        <v>0</v>
      </c>
      <c r="R184" s="83" t="n">
        <v>0</v>
      </c>
      <c r="S184" s="82" t="n">
        <v>0</v>
      </c>
      <c r="T184" s="82" t="n">
        <v>0</v>
      </c>
      <c r="U184" s="82" t="n">
        <v>0</v>
      </c>
      <c r="V184" s="82" t="n">
        <v>0</v>
      </c>
      <c r="W184" s="82" t="n">
        <v>0</v>
      </c>
    </row>
    <row r="185" customFormat="false" ht="15" hidden="false" customHeight="false" outlineLevel="0" collapsed="false">
      <c r="A185" s="84" t="s">
        <v>51</v>
      </c>
      <c r="B185" s="69" t="n">
        <v>46201</v>
      </c>
      <c r="C185" s="70" t="n">
        <v>7.2</v>
      </c>
      <c r="D185" s="70" t="s">
        <v>53</v>
      </c>
      <c r="E185" s="71" t="n">
        <f aca="false">G185*23.12+H185*23.12+I185*23.12+J185*23.12+K185*11.55+L185*11.55+M185*11.55+N185*16.51+O185*16.51+P185*16.51+Q185*11.55+S185*11.55+T185*15+U185*1.7+V185*1.7+W185*11.55</f>
        <v>0</v>
      </c>
      <c r="F185" s="72" t="n">
        <f aca="false">G185+H185+I185+J185+K185+L185+M185+N185+O185+P185+Q185+S185+T185+U185+V185+W185</f>
        <v>0</v>
      </c>
      <c r="G185" s="73" t="n">
        <v>0</v>
      </c>
      <c r="H185" s="74" t="n">
        <v>0</v>
      </c>
      <c r="I185" s="74" t="n">
        <v>0</v>
      </c>
      <c r="J185" s="74" t="n">
        <v>0</v>
      </c>
      <c r="K185" s="73" t="n">
        <v>0</v>
      </c>
      <c r="L185" s="74" t="n">
        <v>0</v>
      </c>
      <c r="M185" s="74" t="n">
        <v>0</v>
      </c>
      <c r="N185" s="73" t="n">
        <v>0</v>
      </c>
      <c r="O185" s="74" t="n">
        <v>0</v>
      </c>
      <c r="P185" s="73" t="n">
        <v>0</v>
      </c>
      <c r="Q185" s="74" t="n">
        <v>0</v>
      </c>
      <c r="R185" s="75" t="n">
        <v>0</v>
      </c>
      <c r="S185" s="74" t="n">
        <v>0</v>
      </c>
      <c r="T185" s="74" t="n">
        <v>0</v>
      </c>
      <c r="U185" s="74" t="n">
        <v>0</v>
      </c>
      <c r="V185" s="74" t="n">
        <v>0</v>
      </c>
      <c r="W185" s="74" t="n">
        <v>0</v>
      </c>
    </row>
    <row r="186" customFormat="false" ht="15" hidden="false" customHeight="false" outlineLevel="0" collapsed="false">
      <c r="A186" s="100" t="s">
        <v>52</v>
      </c>
      <c r="B186" s="101" t="n">
        <v>46202</v>
      </c>
      <c r="C186" s="102" t="n">
        <v>7.3</v>
      </c>
      <c r="D186" s="102" t="s">
        <v>56</v>
      </c>
      <c r="E186" s="103" t="n">
        <f aca="false">G186*23.12+H186*23.12+I186*23.12+J186*23.12+K186*11.55+L186*11.55+M186*11.55+N186*16.51+O186*16.51+P186*16.51+Q186*11.55+S186*11.55+T186*15+U186*1.7+V186*1.7+W186*11.55</f>
        <v>0</v>
      </c>
      <c r="F186" s="104" t="n">
        <f aca="false">G186+H186+I186+J186+K186+L186+M186+N186+O186+P186+Q186+S186+T186+U186+V186+W186</f>
        <v>0</v>
      </c>
      <c r="G186" s="105" t="n">
        <v>0</v>
      </c>
      <c r="H186" s="106" t="n">
        <v>0</v>
      </c>
      <c r="I186" s="106" t="n">
        <v>0</v>
      </c>
      <c r="J186" s="106" t="n">
        <v>0</v>
      </c>
      <c r="K186" s="105" t="n">
        <v>0</v>
      </c>
      <c r="L186" s="106" t="n">
        <v>0</v>
      </c>
      <c r="M186" s="106" t="n">
        <v>0</v>
      </c>
      <c r="N186" s="105" t="n">
        <v>0</v>
      </c>
      <c r="O186" s="106" t="n">
        <v>0</v>
      </c>
      <c r="P186" s="105" t="n">
        <v>0</v>
      </c>
      <c r="Q186" s="106" t="n">
        <v>0</v>
      </c>
      <c r="R186" s="109" t="n">
        <v>0</v>
      </c>
      <c r="S186" s="106" t="n">
        <v>0</v>
      </c>
      <c r="T186" s="106" t="n">
        <v>0</v>
      </c>
      <c r="U186" s="106" t="n">
        <v>0</v>
      </c>
      <c r="V186" s="106" t="n">
        <v>0</v>
      </c>
      <c r="W186" s="106" t="n">
        <v>0</v>
      </c>
    </row>
    <row r="187" customFormat="false" ht="15" hidden="false" customHeight="false" outlineLevel="0" collapsed="false">
      <c r="A187" s="68" t="s">
        <v>54</v>
      </c>
      <c r="B187" s="69" t="n">
        <v>46203</v>
      </c>
      <c r="C187" s="70" t="n">
        <v>7.3</v>
      </c>
      <c r="D187" s="70" t="s">
        <v>56</v>
      </c>
      <c r="E187" s="71" t="n">
        <f aca="false">G187*23.12+H187*23.12+I187*23.12+J187*23.12+K187*11.55+L187*11.55+M187*11.55+N187*16.51+O187*16.51+P187*16.51+Q187*11.55+S187*11.55+T187*15+U187*1.7+V187*1.7+W187*11.55</f>
        <v>0</v>
      </c>
      <c r="F187" s="72" t="n">
        <f aca="false">G187+H187+I187+J187+K187+L187+M187+N187+O187+P187+Q187+S187+T187+U187+V187+W187</f>
        <v>0</v>
      </c>
      <c r="G187" s="73" t="n">
        <v>0</v>
      </c>
      <c r="H187" s="74" t="n">
        <v>0</v>
      </c>
      <c r="I187" s="74" t="n">
        <v>0</v>
      </c>
      <c r="J187" s="74" t="n">
        <v>0</v>
      </c>
      <c r="K187" s="73" t="n">
        <v>0</v>
      </c>
      <c r="L187" s="74" t="n">
        <v>0</v>
      </c>
      <c r="M187" s="74" t="n">
        <v>0</v>
      </c>
      <c r="N187" s="73" t="n">
        <v>0</v>
      </c>
      <c r="O187" s="74" t="n">
        <v>0</v>
      </c>
      <c r="P187" s="73" t="n">
        <v>0</v>
      </c>
      <c r="Q187" s="74" t="n">
        <v>0</v>
      </c>
      <c r="R187" s="75" t="n">
        <v>0</v>
      </c>
      <c r="S187" s="74" t="n">
        <v>0</v>
      </c>
      <c r="T187" s="74" t="n">
        <v>0</v>
      </c>
      <c r="U187" s="74" t="n">
        <v>0</v>
      </c>
      <c r="V187" s="74" t="n">
        <v>0</v>
      </c>
      <c r="W187" s="74" t="n">
        <v>0</v>
      </c>
    </row>
    <row r="188" customFormat="false" ht="15" hidden="false" customHeight="false" outlineLevel="0" collapsed="false">
      <c r="A188" s="76" t="s">
        <v>55</v>
      </c>
      <c r="B188" s="77" t="n">
        <v>46204</v>
      </c>
      <c r="C188" s="78" t="n">
        <v>7.3</v>
      </c>
      <c r="D188" s="78" t="s">
        <v>56</v>
      </c>
      <c r="E188" s="79" t="n">
        <f aca="false">G188*23.12+H188*23.12+I188*23.12+J188*23.12+K188*11.55+L188*11.55+M188*11.55+N188*16.51+O188*16.51+P188*16.51+Q188*11.55+S188*11.55+T188*15+U188*1.7+V188*1.7+W188*11.55</f>
        <v>0</v>
      </c>
      <c r="F188" s="80" t="n">
        <f aca="false">G188+H188+I188+J188+K188+L188+M188+N188+O188+P188+Q188+S188+T188+U188+V188+W188</f>
        <v>0</v>
      </c>
      <c r="G188" s="81" t="n">
        <v>0</v>
      </c>
      <c r="H188" s="82" t="n">
        <v>0</v>
      </c>
      <c r="I188" s="82" t="n">
        <v>0</v>
      </c>
      <c r="J188" s="82" t="n">
        <v>0</v>
      </c>
      <c r="K188" s="81" t="n">
        <v>0</v>
      </c>
      <c r="L188" s="82" t="n">
        <v>0</v>
      </c>
      <c r="M188" s="82" t="n">
        <v>0</v>
      </c>
      <c r="N188" s="81" t="n">
        <v>0</v>
      </c>
      <c r="O188" s="82" t="n">
        <v>0</v>
      </c>
      <c r="P188" s="81" t="n">
        <v>0</v>
      </c>
      <c r="Q188" s="82" t="n">
        <v>0</v>
      </c>
      <c r="R188" s="83" t="n">
        <v>0</v>
      </c>
      <c r="S188" s="82" t="n">
        <v>0</v>
      </c>
      <c r="T188" s="82" t="n">
        <v>0</v>
      </c>
      <c r="U188" s="82" t="n">
        <v>0</v>
      </c>
      <c r="V188" s="82" t="n">
        <v>0</v>
      </c>
      <c r="W188" s="82" t="n">
        <v>0</v>
      </c>
    </row>
    <row r="189" customFormat="false" ht="15" hidden="false" customHeight="false" outlineLevel="0" collapsed="false">
      <c r="A189" s="68" t="s">
        <v>47</v>
      </c>
      <c r="B189" s="69" t="n">
        <v>46205</v>
      </c>
      <c r="C189" s="70" t="n">
        <v>7.3</v>
      </c>
      <c r="D189" s="70" t="s">
        <v>56</v>
      </c>
      <c r="E189" s="71" t="n">
        <f aca="false">G189*23.12+H189*23.12+I189*23.12+J189*23.12+K189*11.55+L189*11.55+M189*11.55+N189*16.51+O189*16.51+P189*16.51+Q189*11.55+S189*11.55+T189*15+U189*1.7+V189*1.7+W189*11.55</f>
        <v>0</v>
      </c>
      <c r="F189" s="72" t="n">
        <f aca="false">G189+H189+I189+J189+K189+L189+M189+N189+O189+P189+Q189+S189+T189+U189+V189+W189</f>
        <v>0</v>
      </c>
      <c r="G189" s="73" t="n">
        <v>0</v>
      </c>
      <c r="H189" s="74" t="n">
        <v>0</v>
      </c>
      <c r="I189" s="74" t="n">
        <v>0</v>
      </c>
      <c r="J189" s="74" t="n">
        <v>0</v>
      </c>
      <c r="K189" s="73" t="n">
        <v>0</v>
      </c>
      <c r="L189" s="74" t="n">
        <v>0</v>
      </c>
      <c r="M189" s="74" t="n">
        <v>0</v>
      </c>
      <c r="N189" s="73" t="n">
        <v>0</v>
      </c>
      <c r="O189" s="74" t="n">
        <v>0</v>
      </c>
      <c r="P189" s="73" t="n">
        <v>0</v>
      </c>
      <c r="Q189" s="74" t="n">
        <v>0</v>
      </c>
      <c r="R189" s="75" t="n">
        <v>0</v>
      </c>
      <c r="S189" s="74" t="n">
        <v>0</v>
      </c>
      <c r="T189" s="74" t="n">
        <v>0</v>
      </c>
      <c r="U189" s="74" t="n">
        <v>0</v>
      </c>
      <c r="V189" s="74" t="n">
        <v>0</v>
      </c>
      <c r="W189" s="74" t="n">
        <v>0</v>
      </c>
    </row>
    <row r="190" customFormat="false" ht="15" hidden="false" customHeight="false" outlineLevel="0" collapsed="false">
      <c r="A190" s="76" t="s">
        <v>49</v>
      </c>
      <c r="B190" s="77" t="n">
        <v>46206</v>
      </c>
      <c r="C190" s="78" t="n">
        <v>7.3</v>
      </c>
      <c r="D190" s="78" t="s">
        <v>56</v>
      </c>
      <c r="E190" s="79" t="n">
        <f aca="false">G190*23.12+H190*23.12+I190*23.12+J190*23.12+K190*11.55+L190*11.55+M190*11.55+N190*16.51+O190*16.51+P190*16.51+Q190*11.55+S190*11.55+T190*15+U190*1.7+V190*1.7+W190*11.55</f>
        <v>0</v>
      </c>
      <c r="F190" s="80" t="n">
        <f aca="false">G190+H190+I190+J190+K190+L190+M190+N190+O190+P190+Q190+S190+T190+U190+V190+W190</f>
        <v>0</v>
      </c>
      <c r="G190" s="81" t="n">
        <v>0</v>
      </c>
      <c r="H190" s="82" t="n">
        <v>0</v>
      </c>
      <c r="I190" s="82" t="n">
        <v>0</v>
      </c>
      <c r="J190" s="82" t="n">
        <v>0</v>
      </c>
      <c r="K190" s="81" t="n">
        <v>0</v>
      </c>
      <c r="L190" s="82" t="n">
        <v>0</v>
      </c>
      <c r="M190" s="82" t="n">
        <v>0</v>
      </c>
      <c r="N190" s="81" t="n">
        <v>0</v>
      </c>
      <c r="O190" s="82" t="n">
        <v>0</v>
      </c>
      <c r="P190" s="81" t="n">
        <v>0</v>
      </c>
      <c r="Q190" s="82" t="n">
        <v>0</v>
      </c>
      <c r="R190" s="83" t="n">
        <v>0</v>
      </c>
      <c r="S190" s="82" t="n">
        <v>0</v>
      </c>
      <c r="T190" s="82" t="n">
        <v>0</v>
      </c>
      <c r="U190" s="82" t="n">
        <v>0</v>
      </c>
      <c r="V190" s="82" t="n">
        <v>0</v>
      </c>
      <c r="W190" s="82" t="n">
        <v>0</v>
      </c>
    </row>
    <row r="191" customFormat="false" ht="15" hidden="false" customHeight="false" outlineLevel="0" collapsed="false">
      <c r="A191" s="84" t="s">
        <v>50</v>
      </c>
      <c r="B191" s="69" t="n">
        <v>46207</v>
      </c>
      <c r="C191" s="70" t="n">
        <v>7.3</v>
      </c>
      <c r="D191" s="70" t="s">
        <v>56</v>
      </c>
      <c r="E191" s="71" t="n">
        <f aca="false">G191*23.12+H191*23.12+I191*23.12+J191*23.12+K191*11.55+L191*11.55+M191*11.55+N191*16.51+O191*16.51+P191*16.51+Q191*11.55+S191*11.55+T191*15+U191*1.7+V191*1.7+W191*11.55</f>
        <v>0</v>
      </c>
      <c r="F191" s="72" t="n">
        <f aca="false">G191+H191+I191+J191+K191+L191+M191+N191+O191+P191+Q191+S191+T191+U191+V191+W191</f>
        <v>0</v>
      </c>
      <c r="G191" s="73" t="n">
        <v>0</v>
      </c>
      <c r="H191" s="74" t="n">
        <v>0</v>
      </c>
      <c r="I191" s="74" t="n">
        <v>0</v>
      </c>
      <c r="J191" s="74" t="n">
        <v>0</v>
      </c>
      <c r="K191" s="73" t="n">
        <v>0</v>
      </c>
      <c r="L191" s="74" t="n">
        <v>0</v>
      </c>
      <c r="M191" s="74" t="n">
        <v>0</v>
      </c>
      <c r="N191" s="73" t="n">
        <v>0</v>
      </c>
      <c r="O191" s="74" t="n">
        <v>0</v>
      </c>
      <c r="P191" s="73" t="n">
        <v>0</v>
      </c>
      <c r="Q191" s="74" t="n">
        <v>0</v>
      </c>
      <c r="R191" s="75" t="n">
        <v>0</v>
      </c>
      <c r="S191" s="74" t="n">
        <v>0</v>
      </c>
      <c r="T191" s="74" t="n">
        <v>0</v>
      </c>
      <c r="U191" s="74" t="n">
        <v>0</v>
      </c>
      <c r="V191" s="74" t="n">
        <v>0</v>
      </c>
      <c r="W191" s="74" t="n">
        <v>0</v>
      </c>
    </row>
    <row r="192" customFormat="false" ht="15" hidden="false" customHeight="false" outlineLevel="0" collapsed="false">
      <c r="A192" s="85" t="s">
        <v>51</v>
      </c>
      <c r="B192" s="77" t="n">
        <v>46208</v>
      </c>
      <c r="C192" s="78" t="n">
        <v>7.3</v>
      </c>
      <c r="D192" s="78" t="s">
        <v>56</v>
      </c>
      <c r="E192" s="79" t="n">
        <f aca="false">G192*23.12+H192*23.12+I192*23.12+J192*23.12+K192*11.55+L192*11.55+M192*11.55+N192*16.51+O192*16.51+P192*16.51+Q192*11.55+S192*11.55+T192*15+U192*1.7+V192*1.7+W192*11.55</f>
        <v>0</v>
      </c>
      <c r="F192" s="80" t="n">
        <f aca="false">G192+H192+I192+J192+K192+L192+M192+N192+O192+P192+Q192+S192+T192+U192+V192+W192</f>
        <v>0</v>
      </c>
      <c r="G192" s="81" t="n">
        <v>0</v>
      </c>
      <c r="H192" s="82" t="n">
        <v>0</v>
      </c>
      <c r="I192" s="82" t="n">
        <v>0</v>
      </c>
      <c r="J192" s="82" t="n">
        <v>0</v>
      </c>
      <c r="K192" s="81" t="n">
        <v>0</v>
      </c>
      <c r="L192" s="82" t="n">
        <v>0</v>
      </c>
      <c r="M192" s="82" t="n">
        <v>0</v>
      </c>
      <c r="N192" s="81" t="n">
        <v>0</v>
      </c>
      <c r="O192" s="82" t="n">
        <v>0</v>
      </c>
      <c r="P192" s="81" t="n">
        <v>0</v>
      </c>
      <c r="Q192" s="82" t="n">
        <v>0</v>
      </c>
      <c r="R192" s="83" t="n">
        <v>0</v>
      </c>
      <c r="S192" s="82" t="n">
        <v>0</v>
      </c>
      <c r="T192" s="82" t="n">
        <v>0</v>
      </c>
      <c r="U192" s="82" t="n">
        <v>0</v>
      </c>
      <c r="V192" s="82" t="n">
        <v>0</v>
      </c>
      <c r="W192" s="82" t="n">
        <v>0</v>
      </c>
    </row>
    <row r="193" customFormat="false" ht="15" hidden="false" customHeight="false" outlineLevel="0" collapsed="false">
      <c r="A193" s="86" t="s">
        <v>52</v>
      </c>
      <c r="B193" s="87" t="n">
        <v>46209</v>
      </c>
      <c r="C193" s="88" t="n">
        <v>7.4</v>
      </c>
      <c r="D193" s="88" t="s">
        <v>57</v>
      </c>
      <c r="E193" s="89" t="n">
        <f aca="false">G193*23.12+H193*23.12+I193*23.12+J193*23.12+K193*11.55+L193*11.55+M193*11.55+N193*16.51+O193*16.51+P193*16.51+Q193*11.55+S193*11.55+T193*15+U193*1.7+V193*1.7+W193*11.55</f>
        <v>0</v>
      </c>
      <c r="F193" s="90" t="n">
        <f aca="false">G193+H193+I193+J193+K193+L193+M193+N193+O193+P193+Q193+S193+T193+U193+V193+W193</f>
        <v>0</v>
      </c>
      <c r="G193" s="91" t="n">
        <v>0</v>
      </c>
      <c r="H193" s="92" t="n">
        <v>0</v>
      </c>
      <c r="I193" s="92" t="n">
        <v>0</v>
      </c>
      <c r="J193" s="92" t="n">
        <v>0</v>
      </c>
      <c r="K193" s="91" t="n">
        <v>0</v>
      </c>
      <c r="L193" s="92" t="n">
        <v>0</v>
      </c>
      <c r="M193" s="92" t="n">
        <v>0</v>
      </c>
      <c r="N193" s="91" t="n">
        <v>0</v>
      </c>
      <c r="O193" s="92" t="n">
        <v>0</v>
      </c>
      <c r="P193" s="91" t="n">
        <v>0</v>
      </c>
      <c r="Q193" s="92" t="n">
        <v>0</v>
      </c>
      <c r="R193" s="95" t="n">
        <v>0</v>
      </c>
      <c r="S193" s="92" t="n">
        <v>0</v>
      </c>
      <c r="T193" s="92" t="n">
        <v>0</v>
      </c>
      <c r="U193" s="92" t="n">
        <v>0</v>
      </c>
      <c r="V193" s="92" t="n">
        <v>0</v>
      </c>
      <c r="W193" s="92" t="n">
        <v>0</v>
      </c>
    </row>
    <row r="194" customFormat="false" ht="15" hidden="false" customHeight="false" outlineLevel="0" collapsed="false">
      <c r="A194" s="76" t="s">
        <v>54</v>
      </c>
      <c r="B194" s="77" t="n">
        <v>46210</v>
      </c>
      <c r="C194" s="78" t="n">
        <v>7.4</v>
      </c>
      <c r="D194" s="78" t="s">
        <v>57</v>
      </c>
      <c r="E194" s="79" t="n">
        <f aca="false">G194*23.12+H194*23.12+I194*23.12+J194*23.12+K194*11.55+L194*11.55+M194*11.55+N194*16.51+O194*16.51+P194*16.51+Q194*11.55+S194*11.55+T194*15+U194*1.7+V194*1.7+W194*11.55</f>
        <v>0</v>
      </c>
      <c r="F194" s="80" t="n">
        <f aca="false">G194+H194+I194+J194+K194+L194+M194+N194+O194+P194+Q194+S194+T194+U194+V194+W194</f>
        <v>0</v>
      </c>
      <c r="G194" s="81" t="n">
        <v>0</v>
      </c>
      <c r="H194" s="82" t="n">
        <v>0</v>
      </c>
      <c r="I194" s="82" t="n">
        <v>0</v>
      </c>
      <c r="J194" s="82" t="n">
        <v>0</v>
      </c>
      <c r="K194" s="81" t="n">
        <v>0</v>
      </c>
      <c r="L194" s="82" t="n">
        <v>0</v>
      </c>
      <c r="M194" s="82" t="n">
        <v>0</v>
      </c>
      <c r="N194" s="81" t="n">
        <v>0</v>
      </c>
      <c r="O194" s="82" t="n">
        <v>0</v>
      </c>
      <c r="P194" s="81" t="n">
        <v>0</v>
      </c>
      <c r="Q194" s="82" t="n">
        <v>0</v>
      </c>
      <c r="R194" s="83" t="n">
        <v>0</v>
      </c>
      <c r="S194" s="82" t="n">
        <v>0</v>
      </c>
      <c r="T194" s="82" t="n">
        <v>0</v>
      </c>
      <c r="U194" s="82" t="n">
        <v>0</v>
      </c>
      <c r="V194" s="82" t="n">
        <v>0</v>
      </c>
      <c r="W194" s="82" t="n">
        <v>0</v>
      </c>
    </row>
    <row r="195" customFormat="false" ht="15" hidden="false" customHeight="false" outlineLevel="0" collapsed="false">
      <c r="A195" s="68" t="s">
        <v>55</v>
      </c>
      <c r="B195" s="69" t="n">
        <v>46211</v>
      </c>
      <c r="C195" s="70" t="n">
        <v>7.4</v>
      </c>
      <c r="D195" s="70" t="s">
        <v>57</v>
      </c>
      <c r="E195" s="71" t="n">
        <f aca="false">G195*23.12+H195*23.12+I195*23.12+J195*23.12+K195*11.55+L195*11.55+M195*11.55+N195*16.51+O195*16.51+P195*16.51+Q195*11.55+S195*11.55+T195*15+U195*1.7+V195*1.7+W195*11.55</f>
        <v>0</v>
      </c>
      <c r="F195" s="72" t="n">
        <f aca="false">G195+H195+I195+J195+K195+L195+M195+N195+O195+P195+Q195+S195+T195+U195+V195+W195</f>
        <v>0</v>
      </c>
      <c r="G195" s="73" t="n">
        <v>0</v>
      </c>
      <c r="H195" s="74" t="n">
        <v>0</v>
      </c>
      <c r="I195" s="74" t="n">
        <v>0</v>
      </c>
      <c r="J195" s="74" t="n">
        <v>0</v>
      </c>
      <c r="K195" s="73" t="n">
        <v>0</v>
      </c>
      <c r="L195" s="74" t="n">
        <v>0</v>
      </c>
      <c r="M195" s="74" t="n">
        <v>0</v>
      </c>
      <c r="N195" s="73" t="n">
        <v>0</v>
      </c>
      <c r="O195" s="74" t="n">
        <v>0</v>
      </c>
      <c r="P195" s="73" t="n">
        <v>0</v>
      </c>
      <c r="Q195" s="74" t="n">
        <v>0</v>
      </c>
      <c r="R195" s="75" t="n">
        <v>0</v>
      </c>
      <c r="S195" s="74" t="n">
        <v>0</v>
      </c>
      <c r="T195" s="74" t="n">
        <v>0</v>
      </c>
      <c r="U195" s="74" t="n">
        <v>0</v>
      </c>
      <c r="V195" s="74" t="n">
        <v>0</v>
      </c>
      <c r="W195" s="74" t="n">
        <v>0</v>
      </c>
    </row>
    <row r="196" customFormat="false" ht="15" hidden="false" customHeight="false" outlineLevel="0" collapsed="false">
      <c r="A196" s="76" t="s">
        <v>47</v>
      </c>
      <c r="B196" s="77" t="n">
        <v>46212</v>
      </c>
      <c r="C196" s="78" t="n">
        <v>7.4</v>
      </c>
      <c r="D196" s="78" t="s">
        <v>57</v>
      </c>
      <c r="E196" s="79" t="n">
        <f aca="false">G196*23.12+H196*23.12+I196*23.12+J196*23.12+K196*11.55+L196*11.55+M196*11.55+N196*16.51+O196*16.51+P196*16.51+Q196*11.55+S196*11.55+T196*15+U196*1.7+V196*1.7+W196*11.55</f>
        <v>0</v>
      </c>
      <c r="F196" s="80" t="n">
        <f aca="false">G196+H196+I196+J196+K196+L196+M196+N196+O196+P196+Q196+S196+T196+U196+V196+W196</f>
        <v>0</v>
      </c>
      <c r="G196" s="81" t="n">
        <v>0</v>
      </c>
      <c r="H196" s="82" t="n">
        <v>0</v>
      </c>
      <c r="I196" s="82" t="n">
        <v>0</v>
      </c>
      <c r="J196" s="82" t="n">
        <v>0</v>
      </c>
      <c r="K196" s="81" t="n">
        <v>0</v>
      </c>
      <c r="L196" s="82" t="n">
        <v>0</v>
      </c>
      <c r="M196" s="82" t="n">
        <v>0</v>
      </c>
      <c r="N196" s="81" t="n">
        <v>0</v>
      </c>
      <c r="O196" s="82" t="n">
        <v>0</v>
      </c>
      <c r="P196" s="81" t="n">
        <v>0</v>
      </c>
      <c r="Q196" s="82" t="n">
        <v>0</v>
      </c>
      <c r="R196" s="83" t="n">
        <v>0</v>
      </c>
      <c r="S196" s="82" t="n">
        <v>0</v>
      </c>
      <c r="T196" s="82" t="n">
        <v>0</v>
      </c>
      <c r="U196" s="82" t="n">
        <v>0</v>
      </c>
      <c r="V196" s="82" t="n">
        <v>0</v>
      </c>
      <c r="W196" s="82" t="n">
        <v>0</v>
      </c>
    </row>
    <row r="197" customFormat="false" ht="15" hidden="false" customHeight="false" outlineLevel="0" collapsed="false">
      <c r="A197" s="68" t="s">
        <v>49</v>
      </c>
      <c r="B197" s="69" t="n">
        <v>46213</v>
      </c>
      <c r="C197" s="70" t="n">
        <v>7.4</v>
      </c>
      <c r="D197" s="70" t="s">
        <v>57</v>
      </c>
      <c r="E197" s="71" t="n">
        <f aca="false">G197*23.12+H197*23.12+I197*23.12+J197*23.12+K197*11.55+L197*11.55+M197*11.55+N197*16.51+O197*16.51+P197*16.51+Q197*11.55+S197*11.55+T197*15+U197*1.7+V197*1.7+W197*11.55</f>
        <v>0</v>
      </c>
      <c r="F197" s="72" t="n">
        <f aca="false">G197+H197+I197+J197+K197+L197+M197+N197+O197+P197+Q197+S197+T197+U197+V197+W197</f>
        <v>0</v>
      </c>
      <c r="G197" s="73" t="n">
        <v>0</v>
      </c>
      <c r="H197" s="74" t="n">
        <v>0</v>
      </c>
      <c r="I197" s="74" t="n">
        <v>0</v>
      </c>
      <c r="J197" s="74" t="n">
        <v>0</v>
      </c>
      <c r="K197" s="73" t="n">
        <v>0</v>
      </c>
      <c r="L197" s="74" t="n">
        <v>0</v>
      </c>
      <c r="M197" s="74" t="n">
        <v>0</v>
      </c>
      <c r="N197" s="73" t="n">
        <v>0</v>
      </c>
      <c r="O197" s="74" t="n">
        <v>0</v>
      </c>
      <c r="P197" s="73" t="n">
        <v>0</v>
      </c>
      <c r="Q197" s="74" t="n">
        <v>0</v>
      </c>
      <c r="R197" s="75" t="n">
        <v>0</v>
      </c>
      <c r="S197" s="74" t="n">
        <v>0</v>
      </c>
      <c r="T197" s="74" t="n">
        <v>0</v>
      </c>
      <c r="U197" s="74" t="n">
        <v>0</v>
      </c>
      <c r="V197" s="74" t="n">
        <v>0</v>
      </c>
      <c r="W197" s="74" t="n">
        <v>0</v>
      </c>
    </row>
    <row r="198" customFormat="false" ht="15" hidden="false" customHeight="false" outlineLevel="0" collapsed="false">
      <c r="A198" s="85" t="s">
        <v>50</v>
      </c>
      <c r="B198" s="77" t="n">
        <v>46214</v>
      </c>
      <c r="C198" s="78" t="n">
        <v>7.4</v>
      </c>
      <c r="D198" s="78" t="s">
        <v>57</v>
      </c>
      <c r="E198" s="79" t="n">
        <f aca="false">G198*23.12+H198*23.12+I198*23.12+J198*23.12+K198*11.55+L198*11.55+M198*11.55+N198*16.51+O198*16.51+P198*16.51+Q198*11.55+S198*11.55+T198*15+U198*1.7+V198*1.7+W198*11.55</f>
        <v>0</v>
      </c>
      <c r="F198" s="80" t="n">
        <f aca="false">G198+H198+I198+J198+K198+L198+M198+N198+O198+P198+Q198+S198+T198+U198+V198+W198</f>
        <v>0</v>
      </c>
      <c r="G198" s="81" t="n">
        <v>0</v>
      </c>
      <c r="H198" s="82" t="n">
        <v>0</v>
      </c>
      <c r="I198" s="82" t="n">
        <v>0</v>
      </c>
      <c r="J198" s="82" t="n">
        <v>0</v>
      </c>
      <c r="K198" s="81" t="n">
        <v>0</v>
      </c>
      <c r="L198" s="82" t="n">
        <v>0</v>
      </c>
      <c r="M198" s="82" t="n">
        <v>0</v>
      </c>
      <c r="N198" s="81" t="n">
        <v>0</v>
      </c>
      <c r="O198" s="82" t="n">
        <v>0</v>
      </c>
      <c r="P198" s="81" t="n">
        <v>0</v>
      </c>
      <c r="Q198" s="82" t="n">
        <v>0</v>
      </c>
      <c r="R198" s="83" t="n">
        <v>0</v>
      </c>
      <c r="S198" s="82" t="n">
        <v>0</v>
      </c>
      <c r="T198" s="82" t="n">
        <v>0</v>
      </c>
      <c r="U198" s="82" t="n">
        <v>0</v>
      </c>
      <c r="V198" s="82" t="n">
        <v>0</v>
      </c>
      <c r="W198" s="82" t="n">
        <v>0</v>
      </c>
    </row>
    <row r="199" customFormat="false" ht="15" hidden="false" customHeight="false" outlineLevel="0" collapsed="false">
      <c r="A199" s="84" t="s">
        <v>51</v>
      </c>
      <c r="B199" s="69" t="n">
        <v>46215</v>
      </c>
      <c r="C199" s="70" t="n">
        <v>7.4</v>
      </c>
      <c r="D199" s="70" t="s">
        <v>57</v>
      </c>
      <c r="E199" s="71" t="n">
        <f aca="false">G199*23.12+H199*23.12+I199*23.12+J199*23.12+K199*11.55+L199*11.55+M199*11.55+N199*16.51+O199*16.51+P199*16.51+Q199*11.55+S199*11.55+T199*15+U199*1.7+V199*1.7+W199*11.55</f>
        <v>0</v>
      </c>
      <c r="F199" s="72" t="n">
        <f aca="false">G199+H199+I199+J199+K199+L199+M199+N199+O199+P199+Q199+S199+T199+U199+V199+W199</f>
        <v>0</v>
      </c>
      <c r="G199" s="73" t="n">
        <v>0</v>
      </c>
      <c r="H199" s="74" t="n">
        <v>0</v>
      </c>
      <c r="I199" s="74" t="n">
        <v>0</v>
      </c>
      <c r="J199" s="74" t="n">
        <v>0</v>
      </c>
      <c r="K199" s="73" t="n">
        <v>0</v>
      </c>
      <c r="L199" s="74" t="n">
        <v>0</v>
      </c>
      <c r="M199" s="74" t="n">
        <v>0</v>
      </c>
      <c r="N199" s="73" t="n">
        <v>0</v>
      </c>
      <c r="O199" s="74" t="n">
        <v>0</v>
      </c>
      <c r="P199" s="73" t="n">
        <v>0</v>
      </c>
      <c r="Q199" s="74" t="n">
        <v>0</v>
      </c>
      <c r="R199" s="75" t="n">
        <v>0</v>
      </c>
      <c r="S199" s="74" t="n">
        <v>0</v>
      </c>
      <c r="T199" s="74" t="n">
        <v>0</v>
      </c>
      <c r="U199" s="74" t="n">
        <v>0</v>
      </c>
      <c r="V199" s="74" t="n">
        <v>0</v>
      </c>
      <c r="W199" s="74" t="n">
        <v>0</v>
      </c>
    </row>
    <row r="200" customFormat="false" ht="15" hidden="false" customHeight="false" outlineLevel="0" collapsed="false">
      <c r="A200" s="100" t="s">
        <v>52</v>
      </c>
      <c r="B200" s="101" t="n">
        <v>46216</v>
      </c>
      <c r="C200" s="102" t="n">
        <v>8.1</v>
      </c>
      <c r="D200" s="102" t="s">
        <v>48</v>
      </c>
      <c r="E200" s="103" t="n">
        <f aca="false">G200*23.12+H200*23.12+I200*23.12+J200*23.12+K200*11.55+L200*11.55+M200*11.55+N200*16.51+O200*16.51+P200*16.51+Q200*11.55+S200*11.55+T200*15+U200*1.7+V200*1.7+W200*11.55</f>
        <v>0</v>
      </c>
      <c r="F200" s="104" t="n">
        <f aca="false">G200+H200+I200+J200+K200+L200+M200+N200+O200+P200+Q200+S200+T200+U200+V200+W200</f>
        <v>0</v>
      </c>
      <c r="G200" s="105" t="n">
        <v>0</v>
      </c>
      <c r="H200" s="106" t="n">
        <v>0</v>
      </c>
      <c r="I200" s="106" t="n">
        <v>0</v>
      </c>
      <c r="J200" s="106" t="n">
        <v>0</v>
      </c>
      <c r="K200" s="105" t="n">
        <v>0</v>
      </c>
      <c r="L200" s="106" t="n">
        <v>0</v>
      </c>
      <c r="M200" s="106" t="n">
        <v>0</v>
      </c>
      <c r="N200" s="105" t="n">
        <v>0</v>
      </c>
      <c r="O200" s="106" t="n">
        <v>0</v>
      </c>
      <c r="P200" s="105" t="n">
        <v>0</v>
      </c>
      <c r="Q200" s="106" t="n">
        <v>0</v>
      </c>
      <c r="R200" s="109" t="n">
        <v>0</v>
      </c>
      <c r="S200" s="106" t="n">
        <v>0</v>
      </c>
      <c r="T200" s="106" t="n">
        <v>0</v>
      </c>
      <c r="U200" s="106" t="n">
        <v>0</v>
      </c>
      <c r="V200" s="106" t="n">
        <v>0</v>
      </c>
      <c r="W200" s="106" t="n">
        <v>0</v>
      </c>
    </row>
    <row r="201" customFormat="false" ht="15" hidden="false" customHeight="false" outlineLevel="0" collapsed="false">
      <c r="A201" s="68" t="s">
        <v>54</v>
      </c>
      <c r="B201" s="69" t="n">
        <v>46217</v>
      </c>
      <c r="C201" s="70" t="n">
        <v>8.1</v>
      </c>
      <c r="D201" s="70" t="s">
        <v>48</v>
      </c>
      <c r="E201" s="71" t="n">
        <f aca="false">G201*23.12+H201*23.12+I201*23.12+J201*23.12+K201*11.55+L201*11.55+M201*11.55+N201*16.51+O201*16.51+P201*16.51+Q201*11.55+S201*11.55+T201*15+U201*1.7+V201*1.7+W201*11.55</f>
        <v>0</v>
      </c>
      <c r="F201" s="72" t="n">
        <f aca="false">G201+H201+I201+J201+K201+L201+M201+N201+O201+P201+Q201+S201+T201+U201+V201+W201</f>
        <v>0</v>
      </c>
      <c r="G201" s="73" t="n">
        <v>0</v>
      </c>
      <c r="H201" s="74" t="n">
        <v>0</v>
      </c>
      <c r="I201" s="74" t="n">
        <v>0</v>
      </c>
      <c r="J201" s="74" t="n">
        <v>0</v>
      </c>
      <c r="K201" s="73" t="n">
        <v>0</v>
      </c>
      <c r="L201" s="74" t="n">
        <v>0</v>
      </c>
      <c r="M201" s="74" t="n">
        <v>0</v>
      </c>
      <c r="N201" s="73" t="n">
        <v>0</v>
      </c>
      <c r="O201" s="74" t="n">
        <v>0</v>
      </c>
      <c r="P201" s="73" t="n">
        <v>0</v>
      </c>
      <c r="Q201" s="74" t="n">
        <v>0</v>
      </c>
      <c r="R201" s="75" t="n">
        <v>0</v>
      </c>
      <c r="S201" s="74" t="n">
        <v>0</v>
      </c>
      <c r="T201" s="74" t="n">
        <v>0</v>
      </c>
      <c r="U201" s="74" t="n">
        <v>0</v>
      </c>
      <c r="V201" s="74" t="n">
        <v>0</v>
      </c>
      <c r="W201" s="74" t="n">
        <v>0</v>
      </c>
    </row>
    <row r="202" customFormat="false" ht="15" hidden="false" customHeight="false" outlineLevel="0" collapsed="false">
      <c r="A202" s="76" t="s">
        <v>55</v>
      </c>
      <c r="B202" s="77" t="n">
        <v>46218</v>
      </c>
      <c r="C202" s="78" t="n">
        <v>8.1</v>
      </c>
      <c r="D202" s="78" t="s">
        <v>48</v>
      </c>
      <c r="E202" s="79" t="n">
        <f aca="false">G202*23.12+H202*23.12+I202*23.12+J202*23.12+K202*11.55+L202*11.55+M202*11.55+N202*16.51+O202*16.51+P202*16.51+Q202*11.55+S202*11.55+T202*15+U202*1.7+V202*1.7+W202*11.55</f>
        <v>0</v>
      </c>
      <c r="F202" s="80" t="n">
        <f aca="false">G202+H202+I202+J202+K202+L202+M202+N202+O202+P202+Q202+S202+T202+U202+V202+W202</f>
        <v>0</v>
      </c>
      <c r="G202" s="81" t="n">
        <v>0</v>
      </c>
      <c r="H202" s="82" t="n">
        <v>0</v>
      </c>
      <c r="I202" s="82" t="n">
        <v>0</v>
      </c>
      <c r="J202" s="82" t="n">
        <v>0</v>
      </c>
      <c r="K202" s="81" t="n">
        <v>0</v>
      </c>
      <c r="L202" s="82" t="n">
        <v>0</v>
      </c>
      <c r="M202" s="82" t="n">
        <v>0</v>
      </c>
      <c r="N202" s="81" t="n">
        <v>0</v>
      </c>
      <c r="O202" s="82" t="n">
        <v>0</v>
      </c>
      <c r="P202" s="81" t="n">
        <v>0</v>
      </c>
      <c r="Q202" s="82" t="n">
        <v>0</v>
      </c>
      <c r="R202" s="83" t="n">
        <v>0</v>
      </c>
      <c r="S202" s="82" t="n">
        <v>0</v>
      </c>
      <c r="T202" s="82" t="n">
        <v>0</v>
      </c>
      <c r="U202" s="82" t="n">
        <v>0</v>
      </c>
      <c r="V202" s="82" t="n">
        <v>0</v>
      </c>
      <c r="W202" s="82" t="n">
        <v>0</v>
      </c>
    </row>
    <row r="203" customFormat="false" ht="15" hidden="false" customHeight="false" outlineLevel="0" collapsed="false">
      <c r="A203" s="68" t="s">
        <v>47</v>
      </c>
      <c r="B203" s="69" t="n">
        <v>46219</v>
      </c>
      <c r="C203" s="70" t="n">
        <v>8.1</v>
      </c>
      <c r="D203" s="70" t="s">
        <v>48</v>
      </c>
      <c r="E203" s="71" t="n">
        <f aca="false">G203*23.12+H203*23.12+I203*23.12+J203*23.12+K203*11.55+L203*11.55+M203*11.55+N203*16.51+O203*16.51+P203*16.51+Q203*11.55+S203*11.55+T203*15+U203*1.7+V203*1.7+W203*11.55</f>
        <v>0</v>
      </c>
      <c r="F203" s="72" t="n">
        <f aca="false">G203+H203+I203+J203+K203+L203+M203+N203+O203+P203+Q203+S203+T203+U203+V203+W203</f>
        <v>0</v>
      </c>
      <c r="G203" s="73" t="n">
        <v>0</v>
      </c>
      <c r="H203" s="74" t="n">
        <v>0</v>
      </c>
      <c r="I203" s="74" t="n">
        <v>0</v>
      </c>
      <c r="J203" s="74" t="n">
        <v>0</v>
      </c>
      <c r="K203" s="73" t="n">
        <v>0</v>
      </c>
      <c r="L203" s="74" t="n">
        <v>0</v>
      </c>
      <c r="M203" s="74" t="n">
        <v>0</v>
      </c>
      <c r="N203" s="73" t="n">
        <v>0</v>
      </c>
      <c r="O203" s="74" t="n">
        <v>0</v>
      </c>
      <c r="P203" s="73" t="n">
        <v>0</v>
      </c>
      <c r="Q203" s="74" t="n">
        <v>0</v>
      </c>
      <c r="R203" s="75" t="n">
        <v>0</v>
      </c>
      <c r="S203" s="74" t="n">
        <v>0</v>
      </c>
      <c r="T203" s="74" t="n">
        <v>0</v>
      </c>
      <c r="U203" s="74" t="n">
        <v>0</v>
      </c>
      <c r="V203" s="74" t="n">
        <v>0</v>
      </c>
      <c r="W203" s="74" t="n">
        <v>0</v>
      </c>
    </row>
    <row r="204" customFormat="false" ht="15" hidden="false" customHeight="false" outlineLevel="0" collapsed="false">
      <c r="A204" s="76" t="s">
        <v>49</v>
      </c>
      <c r="B204" s="77" t="n">
        <v>46220</v>
      </c>
      <c r="C204" s="78" t="n">
        <v>8.1</v>
      </c>
      <c r="D204" s="78" t="s">
        <v>48</v>
      </c>
      <c r="E204" s="79" t="n">
        <f aca="false">G204*23.12+H204*23.12+I204*23.12+J204*23.12+K204*11.55+L204*11.55+M204*11.55+N204*16.51+O204*16.51+P204*16.51+Q204*11.55+S204*11.55+T204*15+U204*1.7+V204*1.7+W204*11.55</f>
        <v>0</v>
      </c>
      <c r="F204" s="80" t="n">
        <f aca="false">G204+H204+I204+J204+K204+L204+M204+N204+O204+P204+Q204+S204+T204+U204+V204+W204</f>
        <v>0</v>
      </c>
      <c r="G204" s="81" t="n">
        <v>0</v>
      </c>
      <c r="H204" s="82" t="n">
        <v>0</v>
      </c>
      <c r="I204" s="82" t="n">
        <v>0</v>
      </c>
      <c r="J204" s="82" t="n">
        <v>0</v>
      </c>
      <c r="K204" s="81" t="n">
        <v>0</v>
      </c>
      <c r="L204" s="82" t="n">
        <v>0</v>
      </c>
      <c r="M204" s="82" t="n">
        <v>0</v>
      </c>
      <c r="N204" s="81" t="n">
        <v>0</v>
      </c>
      <c r="O204" s="82" t="n">
        <v>0</v>
      </c>
      <c r="P204" s="81" t="n">
        <v>0</v>
      </c>
      <c r="Q204" s="82" t="n">
        <v>0</v>
      </c>
      <c r="R204" s="83" t="n">
        <v>0</v>
      </c>
      <c r="S204" s="82" t="n">
        <v>0</v>
      </c>
      <c r="T204" s="82" t="n">
        <v>0</v>
      </c>
      <c r="U204" s="82" t="n">
        <v>0</v>
      </c>
      <c r="V204" s="82" t="n">
        <v>0</v>
      </c>
      <c r="W204" s="82" t="n">
        <v>0</v>
      </c>
    </row>
    <row r="205" customFormat="false" ht="15" hidden="false" customHeight="false" outlineLevel="0" collapsed="false">
      <c r="A205" s="84" t="s">
        <v>50</v>
      </c>
      <c r="B205" s="69" t="n">
        <v>46221</v>
      </c>
      <c r="C205" s="70" t="n">
        <v>8.1</v>
      </c>
      <c r="D205" s="70" t="s">
        <v>48</v>
      </c>
      <c r="E205" s="71" t="n">
        <f aca="false">G205*23.12+H205*23.12+I205*23.12+J205*23.12+K205*11.55+L205*11.55+M205*11.55+N205*16.51+O205*16.51+P205*16.51+Q205*11.55+S205*11.55+T205*15+U205*1.7+V205*1.7+W205*11.55</f>
        <v>0</v>
      </c>
      <c r="F205" s="72" t="n">
        <f aca="false">G205+H205+I205+J205+K205+L205+M205+N205+O205+P205+Q205+S205+T205+U205+V205+W205</f>
        <v>0</v>
      </c>
      <c r="G205" s="73" t="n">
        <v>0</v>
      </c>
      <c r="H205" s="74" t="n">
        <v>0</v>
      </c>
      <c r="I205" s="74" t="n">
        <v>0</v>
      </c>
      <c r="J205" s="74" t="n">
        <v>0</v>
      </c>
      <c r="K205" s="73" t="n">
        <v>0</v>
      </c>
      <c r="L205" s="74" t="n">
        <v>0</v>
      </c>
      <c r="M205" s="74" t="n">
        <v>0</v>
      </c>
      <c r="N205" s="73" t="n">
        <v>0</v>
      </c>
      <c r="O205" s="74" t="n">
        <v>0</v>
      </c>
      <c r="P205" s="73" t="n">
        <v>0</v>
      </c>
      <c r="Q205" s="74" t="n">
        <v>0</v>
      </c>
      <c r="R205" s="75" t="n">
        <v>0</v>
      </c>
      <c r="S205" s="74" t="n">
        <v>0</v>
      </c>
      <c r="T205" s="74" t="n">
        <v>0</v>
      </c>
      <c r="U205" s="74" t="n">
        <v>0</v>
      </c>
      <c r="V205" s="74" t="n">
        <v>0</v>
      </c>
      <c r="W205" s="74" t="n">
        <v>0</v>
      </c>
    </row>
    <row r="206" customFormat="false" ht="15" hidden="false" customHeight="false" outlineLevel="0" collapsed="false">
      <c r="A206" s="85" t="s">
        <v>51</v>
      </c>
      <c r="B206" s="77" t="n">
        <v>46222</v>
      </c>
      <c r="C206" s="78" t="n">
        <v>8.1</v>
      </c>
      <c r="D206" s="78" t="s">
        <v>48</v>
      </c>
      <c r="E206" s="79" t="n">
        <f aca="false">G206*23.12+H206*23.12+I206*23.12+J206*23.12+K206*11.55+L206*11.55+M206*11.55+N206*16.51+O206*16.51+P206*16.51+Q206*11.55+S206*11.55+T206*15+U206*1.7+V206*1.7+W206*11.55</f>
        <v>0</v>
      </c>
      <c r="F206" s="80" t="n">
        <f aca="false">G206+H206+I206+J206+K206+L206+M206+N206+O206+P206+Q206+S206+T206+U206+V206+W206</f>
        <v>0</v>
      </c>
      <c r="G206" s="81" t="n">
        <v>0</v>
      </c>
      <c r="H206" s="82" t="n">
        <v>0</v>
      </c>
      <c r="I206" s="82" t="n">
        <v>0</v>
      </c>
      <c r="J206" s="82" t="n">
        <v>0</v>
      </c>
      <c r="K206" s="81" t="n">
        <v>0</v>
      </c>
      <c r="L206" s="82" t="n">
        <v>0</v>
      </c>
      <c r="M206" s="82" t="n">
        <v>0</v>
      </c>
      <c r="N206" s="81" t="n">
        <v>0</v>
      </c>
      <c r="O206" s="82" t="n">
        <v>0</v>
      </c>
      <c r="P206" s="81" t="n">
        <v>0</v>
      </c>
      <c r="Q206" s="82" t="n">
        <v>0</v>
      </c>
      <c r="R206" s="83" t="n">
        <v>0</v>
      </c>
      <c r="S206" s="82" t="n">
        <v>0</v>
      </c>
      <c r="T206" s="82" t="n">
        <v>0</v>
      </c>
      <c r="U206" s="82" t="n">
        <v>0</v>
      </c>
      <c r="V206" s="82" t="n">
        <v>0</v>
      </c>
      <c r="W206" s="82" t="n">
        <v>0</v>
      </c>
    </row>
    <row r="207" customFormat="false" ht="15" hidden="false" customHeight="false" outlineLevel="0" collapsed="false">
      <c r="A207" s="86" t="s">
        <v>52</v>
      </c>
      <c r="B207" s="87" t="n">
        <v>46223</v>
      </c>
      <c r="C207" s="88" t="n">
        <v>8.2</v>
      </c>
      <c r="D207" s="88" t="s">
        <v>53</v>
      </c>
      <c r="E207" s="89" t="n">
        <f aca="false">G207*23.12+H207*23.12+I207*23.12+J207*23.12+K207*11.55+L207*11.55+M207*11.55+N207*16.51+O207*16.51+P207*16.51+Q207*11.55+S207*11.55+T207*15+U207*1.7+V207*1.7+W207*11.55</f>
        <v>0</v>
      </c>
      <c r="F207" s="90" t="n">
        <f aca="false">G207+H207+I207+J207+K207+L207+M207+N207+O207+P207+Q207+S207+T207+U207+V207+W207</f>
        <v>0</v>
      </c>
      <c r="G207" s="91" t="n">
        <v>0</v>
      </c>
      <c r="H207" s="92" t="n">
        <v>0</v>
      </c>
      <c r="I207" s="92" t="n">
        <v>0</v>
      </c>
      <c r="J207" s="92" t="n">
        <v>0</v>
      </c>
      <c r="K207" s="91" t="n">
        <v>0</v>
      </c>
      <c r="L207" s="92" t="n">
        <v>0</v>
      </c>
      <c r="M207" s="92" t="n">
        <v>0</v>
      </c>
      <c r="N207" s="91" t="n">
        <v>0</v>
      </c>
      <c r="O207" s="92" t="n">
        <v>0</v>
      </c>
      <c r="P207" s="91" t="n">
        <v>0</v>
      </c>
      <c r="Q207" s="92" t="n">
        <v>0</v>
      </c>
      <c r="R207" s="95" t="n">
        <v>0</v>
      </c>
      <c r="S207" s="92" t="n">
        <v>0</v>
      </c>
      <c r="T207" s="92" t="n">
        <v>0</v>
      </c>
      <c r="U207" s="92" t="n">
        <v>0</v>
      </c>
      <c r="V207" s="92" t="n">
        <v>0</v>
      </c>
      <c r="W207" s="92" t="n">
        <v>0</v>
      </c>
    </row>
    <row r="208" customFormat="false" ht="15" hidden="false" customHeight="false" outlineLevel="0" collapsed="false">
      <c r="A208" s="76" t="s">
        <v>54</v>
      </c>
      <c r="B208" s="77" t="n">
        <v>46224</v>
      </c>
      <c r="C208" s="78" t="n">
        <v>8.2</v>
      </c>
      <c r="D208" s="78" t="s">
        <v>53</v>
      </c>
      <c r="E208" s="79" t="n">
        <f aca="false">G208*23.12+H208*23.12+I208*23.12+J208*23.12+K208*11.55+L208*11.55+M208*11.55+N208*16.51+O208*16.51+P208*16.51+Q208*11.55+S208*11.55+T208*15+U208*1.7+V208*1.7+W208*11.55</f>
        <v>0</v>
      </c>
      <c r="F208" s="80" t="n">
        <f aca="false">G208+H208+I208+J208+K208+L208+M208+N208+O208+P208+Q208+S208+T208+U208+V208+W208</f>
        <v>0</v>
      </c>
      <c r="G208" s="81" t="n">
        <v>0</v>
      </c>
      <c r="H208" s="82" t="n">
        <v>0</v>
      </c>
      <c r="I208" s="82" t="n">
        <v>0</v>
      </c>
      <c r="J208" s="82" t="n">
        <v>0</v>
      </c>
      <c r="K208" s="81" t="n">
        <v>0</v>
      </c>
      <c r="L208" s="82" t="n">
        <v>0</v>
      </c>
      <c r="M208" s="82" t="n">
        <v>0</v>
      </c>
      <c r="N208" s="81" t="n">
        <v>0</v>
      </c>
      <c r="O208" s="82" t="n">
        <v>0</v>
      </c>
      <c r="P208" s="81" t="n">
        <v>0</v>
      </c>
      <c r="Q208" s="82" t="n">
        <v>0</v>
      </c>
      <c r="R208" s="83" t="n">
        <v>0</v>
      </c>
      <c r="S208" s="82" t="n">
        <v>0</v>
      </c>
      <c r="T208" s="82" t="n">
        <v>0</v>
      </c>
      <c r="U208" s="82" t="n">
        <v>0</v>
      </c>
      <c r="V208" s="82" t="n">
        <v>0</v>
      </c>
      <c r="W208" s="82" t="n">
        <v>0</v>
      </c>
    </row>
    <row r="209" customFormat="false" ht="15" hidden="false" customHeight="false" outlineLevel="0" collapsed="false">
      <c r="A209" s="68" t="s">
        <v>55</v>
      </c>
      <c r="B209" s="69" t="n">
        <v>46225</v>
      </c>
      <c r="C209" s="70" t="n">
        <v>8.2</v>
      </c>
      <c r="D209" s="70" t="s">
        <v>53</v>
      </c>
      <c r="E209" s="71" t="n">
        <f aca="false">G209*23.12+H209*23.12+I209*23.12+J209*23.12+K209*11.55+L209*11.55+M209*11.55+N209*16.51+O209*16.51+P209*16.51+Q209*11.55+S209*11.55+T209*15+U209*1.7+V209*1.7+W209*11.55</f>
        <v>0</v>
      </c>
      <c r="F209" s="72" t="n">
        <f aca="false">G209+H209+I209+J209+K209+L209+M209+N209+O209+P209+Q209+S209+T209+U209+V209+W209</f>
        <v>0</v>
      </c>
      <c r="G209" s="73" t="n">
        <v>0</v>
      </c>
      <c r="H209" s="74" t="n">
        <v>0</v>
      </c>
      <c r="I209" s="74" t="n">
        <v>0</v>
      </c>
      <c r="J209" s="74" t="n">
        <v>0</v>
      </c>
      <c r="K209" s="73" t="n">
        <v>0</v>
      </c>
      <c r="L209" s="74" t="n">
        <v>0</v>
      </c>
      <c r="M209" s="74" t="n">
        <v>0</v>
      </c>
      <c r="N209" s="73" t="n">
        <v>0</v>
      </c>
      <c r="O209" s="74" t="n">
        <v>0</v>
      </c>
      <c r="P209" s="73" t="n">
        <v>0</v>
      </c>
      <c r="Q209" s="74" t="n">
        <v>0</v>
      </c>
      <c r="R209" s="75" t="n">
        <v>0</v>
      </c>
      <c r="S209" s="74" t="n">
        <v>0</v>
      </c>
      <c r="T209" s="74" t="n">
        <v>0</v>
      </c>
      <c r="U209" s="74" t="n">
        <v>0</v>
      </c>
      <c r="V209" s="74" t="n">
        <v>0</v>
      </c>
      <c r="W209" s="74" t="n">
        <v>0</v>
      </c>
    </row>
    <row r="210" customFormat="false" ht="15" hidden="false" customHeight="false" outlineLevel="0" collapsed="false">
      <c r="A210" s="76" t="s">
        <v>47</v>
      </c>
      <c r="B210" s="77" t="n">
        <v>46226</v>
      </c>
      <c r="C210" s="78" t="n">
        <v>8.2</v>
      </c>
      <c r="D210" s="78" t="s">
        <v>53</v>
      </c>
      <c r="E210" s="79" t="n">
        <f aca="false">G210*23.12+H210*23.12+I210*23.12+J210*23.12+K210*11.55+L210*11.55+M210*11.55+N210*16.51+O210*16.51+P210*16.51+Q210*11.55+S210*11.55+T210*15+U210*1.7+V210*1.7+W210*11.55</f>
        <v>0</v>
      </c>
      <c r="F210" s="80" t="n">
        <f aca="false">G210+H210+I210+J210+K210+L210+M210+N210+O210+P210+Q210+S210+T210+U210+V210+W210</f>
        <v>0</v>
      </c>
      <c r="G210" s="81" t="n">
        <v>0</v>
      </c>
      <c r="H210" s="82" t="n">
        <v>0</v>
      </c>
      <c r="I210" s="82" t="n">
        <v>0</v>
      </c>
      <c r="J210" s="82" t="n">
        <v>0</v>
      </c>
      <c r="K210" s="81" t="n">
        <v>0</v>
      </c>
      <c r="L210" s="82" t="n">
        <v>0</v>
      </c>
      <c r="M210" s="82" t="n">
        <v>0</v>
      </c>
      <c r="N210" s="81" t="n">
        <v>0</v>
      </c>
      <c r="O210" s="82" t="n">
        <v>0</v>
      </c>
      <c r="P210" s="81" t="n">
        <v>0</v>
      </c>
      <c r="Q210" s="82" t="n">
        <v>0</v>
      </c>
      <c r="R210" s="83" t="n">
        <v>0</v>
      </c>
      <c r="S210" s="82" t="n">
        <v>0</v>
      </c>
      <c r="T210" s="82" t="n">
        <v>0</v>
      </c>
      <c r="U210" s="82" t="n">
        <v>0</v>
      </c>
      <c r="V210" s="82" t="n">
        <v>0</v>
      </c>
      <c r="W210" s="82" t="n">
        <v>0</v>
      </c>
    </row>
    <row r="211" customFormat="false" ht="15" hidden="false" customHeight="false" outlineLevel="0" collapsed="false">
      <c r="A211" s="68" t="s">
        <v>49</v>
      </c>
      <c r="B211" s="69" t="n">
        <v>46227</v>
      </c>
      <c r="C211" s="70" t="n">
        <v>8.2</v>
      </c>
      <c r="D211" s="70" t="s">
        <v>53</v>
      </c>
      <c r="E211" s="71" t="n">
        <f aca="false">G211*23.12+H211*23.12+I211*23.12+J211*23.12+K211*11.55+L211*11.55+M211*11.55+N211*16.51+O211*16.51+P211*16.51+Q211*11.55+S211*11.55+T211*15+U211*1.7+V211*1.7+W211*11.55</f>
        <v>0</v>
      </c>
      <c r="F211" s="72" t="n">
        <f aca="false">G211+H211+I211+J211+K211+L211+M211+N211+O211+P211+Q211+S211+T211+U211+V211+W211</f>
        <v>0</v>
      </c>
      <c r="G211" s="73" t="n">
        <v>0</v>
      </c>
      <c r="H211" s="74" t="n">
        <v>0</v>
      </c>
      <c r="I211" s="74" t="n">
        <v>0</v>
      </c>
      <c r="J211" s="74" t="n">
        <v>0</v>
      </c>
      <c r="K211" s="73" t="n">
        <v>0</v>
      </c>
      <c r="L211" s="74" t="n">
        <v>0</v>
      </c>
      <c r="M211" s="74" t="n">
        <v>0</v>
      </c>
      <c r="N211" s="73" t="n">
        <v>0</v>
      </c>
      <c r="O211" s="74" t="n">
        <v>0</v>
      </c>
      <c r="P211" s="73" t="n">
        <v>0</v>
      </c>
      <c r="Q211" s="74" t="n">
        <v>0</v>
      </c>
      <c r="R211" s="75" t="n">
        <v>0</v>
      </c>
      <c r="S211" s="74" t="n">
        <v>0</v>
      </c>
      <c r="T211" s="74" t="n">
        <v>0</v>
      </c>
      <c r="U211" s="74" t="n">
        <v>0</v>
      </c>
      <c r="V211" s="74" t="n">
        <v>0</v>
      </c>
      <c r="W211" s="74" t="n">
        <v>0</v>
      </c>
    </row>
    <row r="212" customFormat="false" ht="15" hidden="false" customHeight="false" outlineLevel="0" collapsed="false">
      <c r="A212" s="85" t="s">
        <v>50</v>
      </c>
      <c r="B212" s="77" t="n">
        <v>46228</v>
      </c>
      <c r="C212" s="78" t="n">
        <v>8.2</v>
      </c>
      <c r="D212" s="78" t="s">
        <v>53</v>
      </c>
      <c r="E212" s="79" t="n">
        <f aca="false">G212*23.12+H212*23.12+I212*23.12+J212*23.12+K212*11.55+L212*11.55+M212*11.55+N212*16.51+O212*16.51+P212*16.51+Q212*11.55+S212*11.55+T212*15+U212*1.7+V212*1.7+W212*11.55</f>
        <v>0</v>
      </c>
      <c r="F212" s="80" t="n">
        <f aca="false">G212+H212+I212+J212+K212+L212+M212+N212+O212+P212+Q212+S212+T212+U212+V212+W212</f>
        <v>0</v>
      </c>
      <c r="G212" s="81" t="n">
        <v>0</v>
      </c>
      <c r="H212" s="82" t="n">
        <v>0</v>
      </c>
      <c r="I212" s="82" t="n">
        <v>0</v>
      </c>
      <c r="J212" s="82" t="n">
        <v>0</v>
      </c>
      <c r="K212" s="81" t="n">
        <v>0</v>
      </c>
      <c r="L212" s="82" t="n">
        <v>0</v>
      </c>
      <c r="M212" s="82" t="n">
        <v>0</v>
      </c>
      <c r="N212" s="81" t="n">
        <v>0</v>
      </c>
      <c r="O212" s="82" t="n">
        <v>0</v>
      </c>
      <c r="P212" s="81" t="n">
        <v>0</v>
      </c>
      <c r="Q212" s="82" t="n">
        <v>0</v>
      </c>
      <c r="R212" s="83" t="n">
        <v>0</v>
      </c>
      <c r="S212" s="82" t="n">
        <v>0</v>
      </c>
      <c r="T212" s="82" t="n">
        <v>0</v>
      </c>
      <c r="U212" s="82" t="n">
        <v>0</v>
      </c>
      <c r="V212" s="82" t="n">
        <v>0</v>
      </c>
      <c r="W212" s="82" t="n">
        <v>0</v>
      </c>
    </row>
    <row r="213" customFormat="false" ht="15" hidden="false" customHeight="false" outlineLevel="0" collapsed="false">
      <c r="A213" s="84" t="s">
        <v>51</v>
      </c>
      <c r="B213" s="69" t="n">
        <v>46229</v>
      </c>
      <c r="C213" s="70" t="n">
        <v>8.2</v>
      </c>
      <c r="D213" s="70" t="s">
        <v>53</v>
      </c>
      <c r="E213" s="71" t="n">
        <f aca="false">G213*23.12+H213*23.12+I213*23.12+J213*23.12+K213*11.55+L213*11.55+M213*11.55+N213*16.51+O213*16.51+P213*16.51+Q213*11.55+S213*11.55+T213*15+U213*1.7+V213*1.7+W213*11.55</f>
        <v>0</v>
      </c>
      <c r="F213" s="72" t="n">
        <f aca="false">G213+H213+I213+J213+K213+L213+M213+N213+O213+P213+Q213+S213+T213+U213+V213+W213</f>
        <v>0</v>
      </c>
      <c r="G213" s="73" t="n">
        <v>0</v>
      </c>
      <c r="H213" s="74" t="n">
        <v>0</v>
      </c>
      <c r="I213" s="74" t="n">
        <v>0</v>
      </c>
      <c r="J213" s="74" t="n">
        <v>0</v>
      </c>
      <c r="K213" s="73" t="n">
        <v>0</v>
      </c>
      <c r="L213" s="74" t="n">
        <v>0</v>
      </c>
      <c r="M213" s="74" t="n">
        <v>0</v>
      </c>
      <c r="N213" s="73" t="n">
        <v>0</v>
      </c>
      <c r="O213" s="74" t="n">
        <v>0</v>
      </c>
      <c r="P213" s="73" t="n">
        <v>0</v>
      </c>
      <c r="Q213" s="74" t="n">
        <v>0</v>
      </c>
      <c r="R213" s="75" t="n">
        <v>0</v>
      </c>
      <c r="S213" s="74" t="n">
        <v>0</v>
      </c>
      <c r="T213" s="74" t="n">
        <v>0</v>
      </c>
      <c r="U213" s="74" t="n">
        <v>0</v>
      </c>
      <c r="V213" s="74" t="n">
        <v>0</v>
      </c>
      <c r="W213" s="74" t="n">
        <v>0</v>
      </c>
    </row>
    <row r="214" customFormat="false" ht="15" hidden="false" customHeight="false" outlineLevel="0" collapsed="false">
      <c r="A214" s="100" t="s">
        <v>52</v>
      </c>
      <c r="B214" s="101" t="n">
        <v>46230</v>
      </c>
      <c r="C214" s="102" t="n">
        <v>8.3</v>
      </c>
      <c r="D214" s="102" t="s">
        <v>56</v>
      </c>
      <c r="E214" s="103" t="n">
        <f aca="false">G214*23.12+H214*23.12+I214*23.12+J214*23.12+K214*11.55+L214*11.55+M214*11.55+N214*16.51+O214*16.51+P214*16.51+Q214*11.55+S214*11.55+T214*15+U214*1.7+V214*1.7+W214*11.55</f>
        <v>0</v>
      </c>
      <c r="F214" s="104" t="n">
        <f aca="false">G214+H214+I214+J214+K214+L214+M214+N214+O214+P214+Q214+S214+T214+U214+V214+W214</f>
        <v>0</v>
      </c>
      <c r="G214" s="105" t="n">
        <v>0</v>
      </c>
      <c r="H214" s="106" t="n">
        <v>0</v>
      </c>
      <c r="I214" s="106" t="n">
        <v>0</v>
      </c>
      <c r="J214" s="106" t="n">
        <v>0</v>
      </c>
      <c r="K214" s="105" t="n">
        <v>0</v>
      </c>
      <c r="L214" s="106" t="n">
        <v>0</v>
      </c>
      <c r="M214" s="106" t="n">
        <v>0</v>
      </c>
      <c r="N214" s="105" t="n">
        <v>0</v>
      </c>
      <c r="O214" s="106" t="n">
        <v>0</v>
      </c>
      <c r="P214" s="105" t="n">
        <v>0</v>
      </c>
      <c r="Q214" s="106" t="n">
        <v>0</v>
      </c>
      <c r="R214" s="109" t="n">
        <v>0</v>
      </c>
      <c r="S214" s="106" t="n">
        <v>0</v>
      </c>
      <c r="T214" s="106" t="n">
        <v>0</v>
      </c>
      <c r="U214" s="106" t="n">
        <v>0</v>
      </c>
      <c r="V214" s="106" t="n">
        <v>0</v>
      </c>
      <c r="W214" s="106" t="n">
        <v>0</v>
      </c>
    </row>
    <row r="215" customFormat="false" ht="15" hidden="false" customHeight="false" outlineLevel="0" collapsed="false">
      <c r="A215" s="68" t="s">
        <v>54</v>
      </c>
      <c r="B215" s="69" t="n">
        <v>46231</v>
      </c>
      <c r="C215" s="70" t="n">
        <v>8.3</v>
      </c>
      <c r="D215" s="70" t="s">
        <v>56</v>
      </c>
      <c r="E215" s="71" t="n">
        <f aca="false">G215*23.12+H215*23.12+I215*23.12+J215*23.12+K215*11.55+L215*11.55+M215*11.55+N215*16.51+O215*16.51+P215*16.51+Q215*11.55+S215*11.55+T215*15+U215*1.7+V215*1.7+W215*11.55</f>
        <v>0</v>
      </c>
      <c r="F215" s="72" t="n">
        <f aca="false">G215+H215+I215+J215+K215+L215+M215+N215+O215+P215+Q215+S215+T215+U215+V215+W215</f>
        <v>0</v>
      </c>
      <c r="G215" s="73" t="n">
        <v>0</v>
      </c>
      <c r="H215" s="74" t="n">
        <v>0</v>
      </c>
      <c r="I215" s="74" t="n">
        <v>0</v>
      </c>
      <c r="J215" s="74" t="n">
        <v>0</v>
      </c>
      <c r="K215" s="73" t="n">
        <v>0</v>
      </c>
      <c r="L215" s="74" t="n">
        <v>0</v>
      </c>
      <c r="M215" s="74" t="n">
        <v>0</v>
      </c>
      <c r="N215" s="73" t="n">
        <v>0</v>
      </c>
      <c r="O215" s="74" t="n">
        <v>0</v>
      </c>
      <c r="P215" s="73" t="n">
        <v>0</v>
      </c>
      <c r="Q215" s="74" t="n">
        <v>0</v>
      </c>
      <c r="R215" s="75" t="n">
        <v>0</v>
      </c>
      <c r="S215" s="74" t="n">
        <v>0</v>
      </c>
      <c r="T215" s="74" t="n">
        <v>0</v>
      </c>
      <c r="U215" s="74" t="n">
        <v>0</v>
      </c>
      <c r="V215" s="74" t="n">
        <v>0</v>
      </c>
      <c r="W215" s="74" t="n">
        <v>0</v>
      </c>
    </row>
    <row r="216" customFormat="false" ht="15" hidden="false" customHeight="false" outlineLevel="0" collapsed="false">
      <c r="A216" s="76" t="s">
        <v>55</v>
      </c>
      <c r="B216" s="77" t="n">
        <v>46232</v>
      </c>
      <c r="C216" s="78" t="n">
        <v>8.3</v>
      </c>
      <c r="D216" s="78" t="s">
        <v>56</v>
      </c>
      <c r="E216" s="79" t="n">
        <f aca="false">G216*23.12+H216*23.12+I216*23.12+J216*23.12+K216*11.55+L216*11.55+M216*11.55+N216*16.51+O216*16.51+P216*16.51+Q216*11.55+S216*11.55+T216*15+U216*1.7+V216*1.7+W216*11.55</f>
        <v>0</v>
      </c>
      <c r="F216" s="80" t="n">
        <f aca="false">G216+H216+I216+J216+K216+L216+M216+N216+O216+P216+Q216+S216+T216+U216+V216+W216</f>
        <v>0</v>
      </c>
      <c r="G216" s="81" t="n">
        <v>0</v>
      </c>
      <c r="H216" s="82" t="n">
        <v>0</v>
      </c>
      <c r="I216" s="82" t="n">
        <v>0</v>
      </c>
      <c r="J216" s="82" t="n">
        <v>0</v>
      </c>
      <c r="K216" s="81" t="n">
        <v>0</v>
      </c>
      <c r="L216" s="82" t="n">
        <v>0</v>
      </c>
      <c r="M216" s="82" t="n">
        <v>0</v>
      </c>
      <c r="N216" s="81" t="n">
        <v>0</v>
      </c>
      <c r="O216" s="82" t="n">
        <v>0</v>
      </c>
      <c r="P216" s="81" t="n">
        <v>0</v>
      </c>
      <c r="Q216" s="82" t="n">
        <v>0</v>
      </c>
      <c r="R216" s="83" t="n">
        <v>0</v>
      </c>
      <c r="S216" s="82" t="n">
        <v>0</v>
      </c>
      <c r="T216" s="82" t="n">
        <v>0</v>
      </c>
      <c r="U216" s="82" t="n">
        <v>0</v>
      </c>
      <c r="V216" s="82" t="n">
        <v>0</v>
      </c>
      <c r="W216" s="82" t="n">
        <v>0</v>
      </c>
    </row>
    <row r="217" customFormat="false" ht="15" hidden="false" customHeight="false" outlineLevel="0" collapsed="false">
      <c r="A217" s="68" t="s">
        <v>47</v>
      </c>
      <c r="B217" s="69" t="n">
        <v>46233</v>
      </c>
      <c r="C217" s="70" t="n">
        <v>8.3</v>
      </c>
      <c r="D217" s="70" t="s">
        <v>56</v>
      </c>
      <c r="E217" s="71" t="n">
        <f aca="false">G217*23.12+H217*23.12+I217*23.12+J217*23.12+K217*11.55+L217*11.55+M217*11.55+N217*16.51+O217*16.51+P217*16.51+Q217*11.55+S217*11.55+T217*15+U217*1.7+V217*1.7+W217*11.55</f>
        <v>0</v>
      </c>
      <c r="F217" s="72" t="n">
        <f aca="false">G217+H217+I217+J217+K217+L217+M217+N217+O217+P217+Q217+S217+T217+U217+V217+W217</f>
        <v>0</v>
      </c>
      <c r="G217" s="73" t="n">
        <v>0</v>
      </c>
      <c r="H217" s="74" t="n">
        <v>0</v>
      </c>
      <c r="I217" s="74" t="n">
        <v>0</v>
      </c>
      <c r="J217" s="74" t="n">
        <v>0</v>
      </c>
      <c r="K217" s="73" t="n">
        <v>0</v>
      </c>
      <c r="L217" s="74" t="n">
        <v>0</v>
      </c>
      <c r="M217" s="74" t="n">
        <v>0</v>
      </c>
      <c r="N217" s="73" t="n">
        <v>0</v>
      </c>
      <c r="O217" s="74" t="n">
        <v>0</v>
      </c>
      <c r="P217" s="73" t="n">
        <v>0</v>
      </c>
      <c r="Q217" s="74" t="n">
        <v>0</v>
      </c>
      <c r="R217" s="75" t="n">
        <v>0</v>
      </c>
      <c r="S217" s="74" t="n">
        <v>0</v>
      </c>
      <c r="T217" s="74" t="n">
        <v>0</v>
      </c>
      <c r="U217" s="74" t="n">
        <v>0</v>
      </c>
      <c r="V217" s="74" t="n">
        <v>0</v>
      </c>
      <c r="W217" s="74" t="n">
        <v>0</v>
      </c>
    </row>
    <row r="218" customFormat="false" ht="15" hidden="false" customHeight="false" outlineLevel="0" collapsed="false">
      <c r="A218" s="76" t="s">
        <v>49</v>
      </c>
      <c r="B218" s="77" t="n">
        <v>46234</v>
      </c>
      <c r="C218" s="78" t="n">
        <v>8.3</v>
      </c>
      <c r="D218" s="78" t="s">
        <v>56</v>
      </c>
      <c r="E218" s="79" t="n">
        <f aca="false">G218*23.12+H218*23.12+I218*23.12+J218*23.12+K218*11.55+L218*11.55+M218*11.55+N218*16.51+O218*16.51+P218*16.51+Q218*11.55+S218*11.55+T218*15+U218*1.7+V218*1.7+W218*11.55</f>
        <v>0</v>
      </c>
      <c r="F218" s="80" t="n">
        <f aca="false">G218+H218+I218+J218+K218+L218+M218+N218+O218+P218+Q218+S218+T218+U218+V218+W218</f>
        <v>0</v>
      </c>
      <c r="G218" s="81" t="n">
        <v>0</v>
      </c>
      <c r="H218" s="82" t="n">
        <v>0</v>
      </c>
      <c r="I218" s="82" t="n">
        <v>0</v>
      </c>
      <c r="J218" s="82" t="n">
        <v>0</v>
      </c>
      <c r="K218" s="81" t="n">
        <v>0</v>
      </c>
      <c r="L218" s="82" t="n">
        <v>0</v>
      </c>
      <c r="M218" s="82" t="n">
        <v>0</v>
      </c>
      <c r="N218" s="81" t="n">
        <v>0</v>
      </c>
      <c r="O218" s="82" t="n">
        <v>0</v>
      </c>
      <c r="P218" s="81" t="n">
        <v>0</v>
      </c>
      <c r="Q218" s="82" t="n">
        <v>0</v>
      </c>
      <c r="R218" s="83" t="n">
        <v>0</v>
      </c>
      <c r="S218" s="82" t="n">
        <v>0</v>
      </c>
      <c r="T218" s="82" t="n">
        <v>0</v>
      </c>
      <c r="U218" s="82" t="n">
        <v>0</v>
      </c>
      <c r="V218" s="82" t="n">
        <v>0</v>
      </c>
      <c r="W218" s="82" t="n">
        <v>0</v>
      </c>
    </row>
    <row r="219" customFormat="false" ht="15" hidden="false" customHeight="false" outlineLevel="0" collapsed="false">
      <c r="A219" s="84" t="s">
        <v>50</v>
      </c>
      <c r="B219" s="69" t="n">
        <v>46235</v>
      </c>
      <c r="C219" s="70" t="n">
        <v>8.3</v>
      </c>
      <c r="D219" s="70" t="s">
        <v>56</v>
      </c>
      <c r="E219" s="71" t="n">
        <f aca="false">G219*23.12+H219*23.12+I219*23.12+J219*23.12+K219*11.55+L219*11.55+M219*11.55+N219*16.51+O219*16.51+P219*16.51+Q219*11.55+S219*11.55+T219*15+U219*1.7+V219*1.7+W219*11.55</f>
        <v>0</v>
      </c>
      <c r="F219" s="72" t="n">
        <f aca="false">G219+H219+I219+J219+K219+L219+M219+N219+O219+P219+Q219+S219+T219+U219+V219+W219</f>
        <v>0</v>
      </c>
      <c r="G219" s="73" t="n">
        <v>0</v>
      </c>
      <c r="H219" s="74" t="n">
        <v>0</v>
      </c>
      <c r="I219" s="74" t="n">
        <v>0</v>
      </c>
      <c r="J219" s="74" t="n">
        <v>0</v>
      </c>
      <c r="K219" s="73" t="n">
        <v>0</v>
      </c>
      <c r="L219" s="74" t="n">
        <v>0</v>
      </c>
      <c r="M219" s="74" t="n">
        <v>0</v>
      </c>
      <c r="N219" s="73" t="n">
        <v>0</v>
      </c>
      <c r="O219" s="74" t="n">
        <v>0</v>
      </c>
      <c r="P219" s="73" t="n">
        <v>0</v>
      </c>
      <c r="Q219" s="74" t="n">
        <v>0</v>
      </c>
      <c r="R219" s="75" t="n">
        <v>0</v>
      </c>
      <c r="S219" s="74" t="n">
        <v>0</v>
      </c>
      <c r="T219" s="74" t="n">
        <v>0</v>
      </c>
      <c r="U219" s="74" t="n">
        <v>0</v>
      </c>
      <c r="V219" s="74" t="n">
        <v>0</v>
      </c>
      <c r="W219" s="74" t="n">
        <v>0</v>
      </c>
    </row>
    <row r="220" customFormat="false" ht="15" hidden="false" customHeight="false" outlineLevel="0" collapsed="false">
      <c r="A220" s="85" t="s">
        <v>51</v>
      </c>
      <c r="B220" s="77" t="n">
        <v>46236</v>
      </c>
      <c r="C220" s="78" t="n">
        <v>8.3</v>
      </c>
      <c r="D220" s="78" t="s">
        <v>56</v>
      </c>
      <c r="E220" s="79" t="n">
        <f aca="false">G220*23.12+H220*23.12+I220*23.12+J220*23.12+K220*11.55+L220*11.55+M220*11.55+N220*16.51+O220*16.51+P220*16.51+Q220*11.55+S220*11.55+T220*15+U220*1.7+V220*1.7+W220*11.55</f>
        <v>0</v>
      </c>
      <c r="F220" s="80" t="n">
        <f aca="false">G220+H220+I220+J220+K220+L220+M220+N220+O220+P220+Q220+S220+T220+U220+V220+W220</f>
        <v>0</v>
      </c>
      <c r="G220" s="81" t="n">
        <v>0</v>
      </c>
      <c r="H220" s="82" t="n">
        <v>0</v>
      </c>
      <c r="I220" s="82" t="n">
        <v>0</v>
      </c>
      <c r="J220" s="82" t="n">
        <v>0</v>
      </c>
      <c r="K220" s="81" t="n">
        <v>0</v>
      </c>
      <c r="L220" s="82" t="n">
        <v>0</v>
      </c>
      <c r="M220" s="82" t="n">
        <v>0</v>
      </c>
      <c r="N220" s="81" t="n">
        <v>0</v>
      </c>
      <c r="O220" s="82" t="n">
        <v>0</v>
      </c>
      <c r="P220" s="81" t="n">
        <v>0</v>
      </c>
      <c r="Q220" s="82" t="n">
        <v>0</v>
      </c>
      <c r="R220" s="83" t="n">
        <v>0</v>
      </c>
      <c r="S220" s="82" t="n">
        <v>0</v>
      </c>
      <c r="T220" s="82" t="n">
        <v>0</v>
      </c>
      <c r="U220" s="82" t="n">
        <v>0</v>
      </c>
      <c r="V220" s="82" t="n">
        <v>0</v>
      </c>
      <c r="W220" s="82" t="n">
        <v>0</v>
      </c>
    </row>
    <row r="221" customFormat="false" ht="15" hidden="false" customHeight="false" outlineLevel="0" collapsed="false">
      <c r="A221" s="86" t="s">
        <v>52</v>
      </c>
      <c r="B221" s="87" t="n">
        <v>46237</v>
      </c>
      <c r="C221" s="88" t="n">
        <v>8.4</v>
      </c>
      <c r="D221" s="88" t="s">
        <v>57</v>
      </c>
      <c r="E221" s="89" t="n">
        <f aca="false">G221*23.12+H221*23.12+I221*23.12+J221*23.12+K221*11.55+L221*11.55+M221*11.55+N221*16.51+O221*16.51+P221*16.51+Q221*11.55+S221*11.55+T221*15+U221*1.7+V221*1.7+W221*11.55</f>
        <v>0</v>
      </c>
      <c r="F221" s="90" t="n">
        <f aca="false">G221+H221+I221+J221+K221+L221+M221+N221+O221+P221+Q221+S221+T221+U221+V221+W221</f>
        <v>0</v>
      </c>
      <c r="G221" s="91" t="n">
        <v>0</v>
      </c>
      <c r="H221" s="92" t="n">
        <v>0</v>
      </c>
      <c r="I221" s="92" t="n">
        <v>0</v>
      </c>
      <c r="J221" s="92" t="n">
        <v>0</v>
      </c>
      <c r="K221" s="91" t="n">
        <v>0</v>
      </c>
      <c r="L221" s="92" t="n">
        <v>0</v>
      </c>
      <c r="M221" s="92" t="n">
        <v>0</v>
      </c>
      <c r="N221" s="91" t="n">
        <v>0</v>
      </c>
      <c r="O221" s="92" t="n">
        <v>0</v>
      </c>
      <c r="P221" s="91" t="n">
        <v>0</v>
      </c>
      <c r="Q221" s="92" t="n">
        <v>0</v>
      </c>
      <c r="R221" s="95" t="n">
        <v>0</v>
      </c>
      <c r="S221" s="92" t="n">
        <v>0</v>
      </c>
      <c r="T221" s="92" t="n">
        <v>0</v>
      </c>
      <c r="U221" s="92" t="n">
        <v>0</v>
      </c>
      <c r="V221" s="92" t="n">
        <v>0</v>
      </c>
      <c r="W221" s="92" t="n">
        <v>0</v>
      </c>
    </row>
    <row r="222" customFormat="false" ht="15" hidden="false" customHeight="false" outlineLevel="0" collapsed="false">
      <c r="A222" s="76" t="s">
        <v>54</v>
      </c>
      <c r="B222" s="77" t="n">
        <v>46238</v>
      </c>
      <c r="C222" s="78" t="n">
        <v>8.4</v>
      </c>
      <c r="D222" s="78" t="s">
        <v>57</v>
      </c>
      <c r="E222" s="79" t="n">
        <f aca="false">G222*23.12+H222*23.12+I222*23.12+J222*23.12+K222*11.55+L222*11.55+M222*11.55+N222*16.51+O222*16.51+P222*16.51+Q222*11.55+S222*11.55+T222*15+U222*1.7+V222*1.7+W222*11.55</f>
        <v>0</v>
      </c>
      <c r="F222" s="80" t="n">
        <f aca="false">G222+H222+I222+J222+K222+L222+M222+N222+O222+P222+Q222+S222+T222+U222+V222+W222</f>
        <v>0</v>
      </c>
      <c r="G222" s="81" t="n">
        <v>0</v>
      </c>
      <c r="H222" s="82" t="n">
        <v>0</v>
      </c>
      <c r="I222" s="82" t="n">
        <v>0</v>
      </c>
      <c r="J222" s="82" t="n">
        <v>0</v>
      </c>
      <c r="K222" s="81" t="n">
        <v>0</v>
      </c>
      <c r="L222" s="82" t="n">
        <v>0</v>
      </c>
      <c r="M222" s="82" t="n">
        <v>0</v>
      </c>
      <c r="N222" s="81" t="n">
        <v>0</v>
      </c>
      <c r="O222" s="82" t="n">
        <v>0</v>
      </c>
      <c r="P222" s="81" t="n">
        <v>0</v>
      </c>
      <c r="Q222" s="82" t="n">
        <v>0</v>
      </c>
      <c r="R222" s="83" t="n">
        <v>0</v>
      </c>
      <c r="S222" s="82" t="n">
        <v>0</v>
      </c>
      <c r="T222" s="82" t="n">
        <v>0</v>
      </c>
      <c r="U222" s="82" t="n">
        <v>0</v>
      </c>
      <c r="V222" s="82" t="n">
        <v>0</v>
      </c>
      <c r="W222" s="82" t="n">
        <v>0</v>
      </c>
    </row>
    <row r="223" customFormat="false" ht="15" hidden="false" customHeight="false" outlineLevel="0" collapsed="false">
      <c r="A223" s="68" t="s">
        <v>55</v>
      </c>
      <c r="B223" s="69" t="n">
        <v>46239</v>
      </c>
      <c r="C223" s="70" t="n">
        <v>8.4</v>
      </c>
      <c r="D223" s="70" t="s">
        <v>57</v>
      </c>
      <c r="E223" s="71" t="n">
        <f aca="false">G223*23.12+H223*23.12+I223*23.12+J223*23.12+K223*11.55+L223*11.55+M223*11.55+N223*16.51+O223*16.51+P223*16.51+Q223*11.55+S223*11.55+T223*15+U223*1.7+V223*1.7+W223*11.55</f>
        <v>0</v>
      </c>
      <c r="F223" s="72" t="n">
        <f aca="false">G223+H223+I223+J223+K223+L223+M223+N223+O223+P223+Q223+S223+T223+U223+V223+W223</f>
        <v>0</v>
      </c>
      <c r="G223" s="73" t="n">
        <v>0</v>
      </c>
      <c r="H223" s="74" t="n">
        <v>0</v>
      </c>
      <c r="I223" s="74" t="n">
        <v>0</v>
      </c>
      <c r="J223" s="74" t="n">
        <v>0</v>
      </c>
      <c r="K223" s="73" t="n">
        <v>0</v>
      </c>
      <c r="L223" s="74" t="n">
        <v>0</v>
      </c>
      <c r="M223" s="74" t="n">
        <v>0</v>
      </c>
      <c r="N223" s="73" t="n">
        <v>0</v>
      </c>
      <c r="O223" s="74" t="n">
        <v>0</v>
      </c>
      <c r="P223" s="73" t="n">
        <v>0</v>
      </c>
      <c r="Q223" s="74" t="n">
        <v>0</v>
      </c>
      <c r="R223" s="75" t="n">
        <v>0</v>
      </c>
      <c r="S223" s="74" t="n">
        <v>0</v>
      </c>
      <c r="T223" s="74" t="n">
        <v>0</v>
      </c>
      <c r="U223" s="74" t="n">
        <v>0</v>
      </c>
      <c r="V223" s="74" t="n">
        <v>0</v>
      </c>
      <c r="W223" s="74" t="n">
        <v>0</v>
      </c>
    </row>
    <row r="224" customFormat="false" ht="15" hidden="false" customHeight="false" outlineLevel="0" collapsed="false">
      <c r="A224" s="76" t="s">
        <v>47</v>
      </c>
      <c r="B224" s="77" t="n">
        <v>46240</v>
      </c>
      <c r="C224" s="78" t="n">
        <v>8.4</v>
      </c>
      <c r="D224" s="78" t="s">
        <v>57</v>
      </c>
      <c r="E224" s="79" t="n">
        <f aca="false">G224*23.12+H224*23.12+I224*23.12+J224*23.12+K224*11.55+L224*11.55+M224*11.55+N224*16.51+O224*16.51+P224*16.51+Q224*11.55+S224*11.55+T224*15+U224*1.7+V224*1.7+W224*11.55</f>
        <v>0</v>
      </c>
      <c r="F224" s="80" t="n">
        <f aca="false">G224+H224+I224+J224+K224+L224+M224+N224+O224+P224+Q224+S224+T224+U224+V224+W224</f>
        <v>0</v>
      </c>
      <c r="G224" s="81" t="n">
        <v>0</v>
      </c>
      <c r="H224" s="82" t="n">
        <v>0</v>
      </c>
      <c r="I224" s="82" t="n">
        <v>0</v>
      </c>
      <c r="J224" s="82" t="n">
        <v>0</v>
      </c>
      <c r="K224" s="81" t="n">
        <v>0</v>
      </c>
      <c r="L224" s="82" t="n">
        <v>0</v>
      </c>
      <c r="M224" s="82" t="n">
        <v>0</v>
      </c>
      <c r="N224" s="81" t="n">
        <v>0</v>
      </c>
      <c r="O224" s="82" t="n">
        <v>0</v>
      </c>
      <c r="P224" s="81" t="n">
        <v>0</v>
      </c>
      <c r="Q224" s="82" t="n">
        <v>0</v>
      </c>
      <c r="R224" s="83" t="n">
        <v>0</v>
      </c>
      <c r="S224" s="82" t="n">
        <v>0</v>
      </c>
      <c r="T224" s="82" t="n">
        <v>0</v>
      </c>
      <c r="U224" s="82" t="n">
        <v>0</v>
      </c>
      <c r="V224" s="82" t="n">
        <v>0</v>
      </c>
      <c r="W224" s="82" t="n">
        <v>0</v>
      </c>
    </row>
    <row r="225" customFormat="false" ht="15" hidden="false" customHeight="false" outlineLevel="0" collapsed="false">
      <c r="A225" s="68" t="s">
        <v>49</v>
      </c>
      <c r="B225" s="69" t="n">
        <v>46241</v>
      </c>
      <c r="C225" s="70" t="n">
        <v>8.4</v>
      </c>
      <c r="D225" s="70" t="s">
        <v>57</v>
      </c>
      <c r="E225" s="71" t="n">
        <f aca="false">G225*23.12+H225*23.12+I225*23.12+J225*23.12+K225*11.55+L225*11.55+M225*11.55+N225*16.51+O225*16.51+P225*16.51+Q225*11.55+S225*11.55+T225*15+U225*1.7+V225*1.7+W225*11.55</f>
        <v>0</v>
      </c>
      <c r="F225" s="72" t="n">
        <f aca="false">G225+H225+I225+J225+K225+L225+M225+N225+O225+P225+Q225+S225+T225+U225+V225+W225</f>
        <v>0</v>
      </c>
      <c r="G225" s="73" t="n">
        <v>0</v>
      </c>
      <c r="H225" s="74" t="n">
        <v>0</v>
      </c>
      <c r="I225" s="74" t="n">
        <v>0</v>
      </c>
      <c r="J225" s="74" t="n">
        <v>0</v>
      </c>
      <c r="K225" s="73" t="n">
        <v>0</v>
      </c>
      <c r="L225" s="74" t="n">
        <v>0</v>
      </c>
      <c r="M225" s="74" t="n">
        <v>0</v>
      </c>
      <c r="N225" s="73" t="n">
        <v>0</v>
      </c>
      <c r="O225" s="74" t="n">
        <v>0</v>
      </c>
      <c r="P225" s="73" t="n">
        <v>0</v>
      </c>
      <c r="Q225" s="74" t="n">
        <v>0</v>
      </c>
      <c r="R225" s="75" t="n">
        <v>0</v>
      </c>
      <c r="S225" s="74" t="n">
        <v>0</v>
      </c>
      <c r="T225" s="74" t="n">
        <v>0</v>
      </c>
      <c r="U225" s="74" t="n">
        <v>0</v>
      </c>
      <c r="V225" s="74" t="n">
        <v>0</v>
      </c>
      <c r="W225" s="74" t="n">
        <v>0</v>
      </c>
    </row>
    <row r="226" customFormat="false" ht="15" hidden="false" customHeight="false" outlineLevel="0" collapsed="false">
      <c r="A226" s="85" t="s">
        <v>50</v>
      </c>
      <c r="B226" s="77" t="n">
        <v>46242</v>
      </c>
      <c r="C226" s="78" t="n">
        <v>8.4</v>
      </c>
      <c r="D226" s="78" t="s">
        <v>57</v>
      </c>
      <c r="E226" s="79" t="n">
        <f aca="false">G226*23.12+H226*23.12+I226*23.12+J226*23.12+K226*11.55+L226*11.55+M226*11.55+N226*16.51+O226*16.51+P226*16.51+Q226*11.55+S226*11.55+T226*15+U226*1.7+V226*1.7+W226*11.55</f>
        <v>0</v>
      </c>
      <c r="F226" s="80" t="n">
        <f aca="false">G226+H226+I226+J226+K226+L226+M226+N226+O226+P226+Q226+S226+T226+U226+V226+W226</f>
        <v>0</v>
      </c>
      <c r="G226" s="81" t="n">
        <v>0</v>
      </c>
      <c r="H226" s="82" t="n">
        <v>0</v>
      </c>
      <c r="I226" s="82" t="n">
        <v>0</v>
      </c>
      <c r="J226" s="82" t="n">
        <v>0</v>
      </c>
      <c r="K226" s="81" t="n">
        <v>0</v>
      </c>
      <c r="L226" s="82" t="n">
        <v>0</v>
      </c>
      <c r="M226" s="82" t="n">
        <v>0</v>
      </c>
      <c r="N226" s="81" t="n">
        <v>0</v>
      </c>
      <c r="O226" s="82" t="n">
        <v>0</v>
      </c>
      <c r="P226" s="81" t="n">
        <v>0</v>
      </c>
      <c r="Q226" s="82" t="n">
        <v>0</v>
      </c>
      <c r="R226" s="83" t="n">
        <v>0</v>
      </c>
      <c r="S226" s="82" t="n">
        <v>0</v>
      </c>
      <c r="T226" s="82" t="n">
        <v>0</v>
      </c>
      <c r="U226" s="82" t="n">
        <v>0</v>
      </c>
      <c r="V226" s="82" t="n">
        <v>0</v>
      </c>
      <c r="W226" s="82" t="n">
        <v>0</v>
      </c>
    </row>
    <row r="227" customFormat="false" ht="15" hidden="false" customHeight="false" outlineLevel="0" collapsed="false">
      <c r="A227" s="84" t="s">
        <v>51</v>
      </c>
      <c r="B227" s="69" t="n">
        <v>46243</v>
      </c>
      <c r="C227" s="70" t="n">
        <v>8.4</v>
      </c>
      <c r="D227" s="70" t="s">
        <v>57</v>
      </c>
      <c r="E227" s="71" t="n">
        <f aca="false">G227*23.12+H227*23.12+I227*23.12+J227*23.12+K227*11.55+L227*11.55+M227*11.55+N227*16.51+O227*16.51+P227*16.51+Q227*11.55+S227*11.55+T227*15+U227*1.7+V227*1.7+W227*11.55</f>
        <v>0</v>
      </c>
      <c r="F227" s="72" t="n">
        <f aca="false">G227+H227+I227+J227+K227+L227+M227+N227+O227+P227+Q227+S227+T227+U227+V227+W227</f>
        <v>0</v>
      </c>
      <c r="G227" s="73" t="n">
        <v>0</v>
      </c>
      <c r="H227" s="74" t="n">
        <v>0</v>
      </c>
      <c r="I227" s="74" t="n">
        <v>0</v>
      </c>
      <c r="J227" s="74" t="n">
        <v>0</v>
      </c>
      <c r="K227" s="73" t="n">
        <v>0</v>
      </c>
      <c r="L227" s="74" t="n">
        <v>0</v>
      </c>
      <c r="M227" s="74" t="n">
        <v>0</v>
      </c>
      <c r="N227" s="73" t="n">
        <v>0</v>
      </c>
      <c r="O227" s="74" t="n">
        <v>0</v>
      </c>
      <c r="P227" s="73" t="n">
        <v>0</v>
      </c>
      <c r="Q227" s="74" t="n">
        <v>0</v>
      </c>
      <c r="R227" s="75" t="n">
        <v>0</v>
      </c>
      <c r="S227" s="74" t="n">
        <v>0</v>
      </c>
      <c r="T227" s="74" t="n">
        <v>0</v>
      </c>
      <c r="U227" s="74" t="n">
        <v>0</v>
      </c>
      <c r="V227" s="74" t="n">
        <v>0</v>
      </c>
      <c r="W227" s="74" t="n">
        <v>0</v>
      </c>
    </row>
    <row r="228" customFormat="false" ht="15" hidden="false" customHeight="false" outlineLevel="0" collapsed="false">
      <c r="A228" s="100" t="s">
        <v>52</v>
      </c>
      <c r="B228" s="101" t="n">
        <v>46244</v>
      </c>
      <c r="C228" s="102" t="n">
        <v>9.1</v>
      </c>
      <c r="D228" s="102" t="s">
        <v>48</v>
      </c>
      <c r="E228" s="103" t="n">
        <f aca="false">G228*23.12+H228*23.12+I228*23.12+J228*23.12+K228*11.55+L228*11.55+M228*11.55+N228*16.51+O228*16.51+P228*16.51+Q228*11.55+S228*11.55+T228*15+U228*1.7+V228*1.7+W228*11.55</f>
        <v>0</v>
      </c>
      <c r="F228" s="104" t="n">
        <f aca="false">G228+H228+I228+J228+K228+L228+M228+N228+O228+P228+Q228+S228+T228+U228+V228+W228</f>
        <v>0</v>
      </c>
      <c r="G228" s="105" t="n">
        <v>0</v>
      </c>
      <c r="H228" s="106" t="n">
        <v>0</v>
      </c>
      <c r="I228" s="106" t="n">
        <v>0</v>
      </c>
      <c r="J228" s="106" t="n">
        <v>0</v>
      </c>
      <c r="K228" s="105" t="n">
        <v>0</v>
      </c>
      <c r="L228" s="106" t="n">
        <v>0</v>
      </c>
      <c r="M228" s="106" t="n">
        <v>0</v>
      </c>
      <c r="N228" s="105" t="n">
        <v>0</v>
      </c>
      <c r="O228" s="106" t="n">
        <v>0</v>
      </c>
      <c r="P228" s="105" t="n">
        <v>0</v>
      </c>
      <c r="Q228" s="106" t="n">
        <v>0</v>
      </c>
      <c r="R228" s="109" t="n">
        <v>0</v>
      </c>
      <c r="S228" s="106" t="n">
        <v>0</v>
      </c>
      <c r="T228" s="106" t="n">
        <v>0</v>
      </c>
      <c r="U228" s="106" t="n">
        <v>0</v>
      </c>
      <c r="V228" s="106" t="n">
        <v>0</v>
      </c>
      <c r="W228" s="106" t="n">
        <v>0</v>
      </c>
    </row>
    <row r="229" customFormat="false" ht="15" hidden="false" customHeight="false" outlineLevel="0" collapsed="false">
      <c r="A229" s="68" t="s">
        <v>54</v>
      </c>
      <c r="B229" s="69" t="n">
        <v>46245</v>
      </c>
      <c r="C229" s="70" t="n">
        <v>9.1</v>
      </c>
      <c r="D229" s="70" t="s">
        <v>48</v>
      </c>
      <c r="E229" s="71" t="n">
        <f aca="false">G229*23.12+H229*23.12+I229*23.12+J229*23.12+K229*11.55+L229*11.55+M229*11.55+N229*16.51+O229*16.51+P229*16.51+Q229*11.55+S229*11.55+T229*15+U229*1.7+V229*1.7+W229*11.55</f>
        <v>0</v>
      </c>
      <c r="F229" s="72" t="n">
        <f aca="false">G229+H229+I229+J229+K229+L229+M229+N229+O229+P229+Q229+S229+T229+U229+V229+W229</f>
        <v>0</v>
      </c>
      <c r="G229" s="73" t="n">
        <v>0</v>
      </c>
      <c r="H229" s="74" t="n">
        <v>0</v>
      </c>
      <c r="I229" s="74" t="n">
        <v>0</v>
      </c>
      <c r="J229" s="74" t="n">
        <v>0</v>
      </c>
      <c r="K229" s="73" t="n">
        <v>0</v>
      </c>
      <c r="L229" s="74" t="n">
        <v>0</v>
      </c>
      <c r="M229" s="74" t="n">
        <v>0</v>
      </c>
      <c r="N229" s="73" t="n">
        <v>0</v>
      </c>
      <c r="O229" s="74" t="n">
        <v>0</v>
      </c>
      <c r="P229" s="73" t="n">
        <v>0</v>
      </c>
      <c r="Q229" s="74" t="n">
        <v>0</v>
      </c>
      <c r="R229" s="75" t="n">
        <v>0</v>
      </c>
      <c r="S229" s="74" t="n">
        <v>0</v>
      </c>
      <c r="T229" s="74" t="n">
        <v>0</v>
      </c>
      <c r="U229" s="74" t="n">
        <v>0</v>
      </c>
      <c r="V229" s="74" t="n">
        <v>0</v>
      </c>
      <c r="W229" s="74" t="n">
        <v>0</v>
      </c>
    </row>
    <row r="230" customFormat="false" ht="15" hidden="false" customHeight="false" outlineLevel="0" collapsed="false">
      <c r="A230" s="76" t="s">
        <v>55</v>
      </c>
      <c r="B230" s="77" t="n">
        <v>46246</v>
      </c>
      <c r="C230" s="78" t="n">
        <v>9.1</v>
      </c>
      <c r="D230" s="78" t="s">
        <v>48</v>
      </c>
      <c r="E230" s="79" t="n">
        <f aca="false">G230*23.12+H230*23.12+I230*23.12+J230*23.12+K230*11.55+L230*11.55+M230*11.55+N230*16.51+O230*16.51+P230*16.51+Q230*11.55+S230*11.55+T230*15+U230*1.7+V230*1.7+W230*11.55</f>
        <v>0</v>
      </c>
      <c r="F230" s="80" t="n">
        <f aca="false">G230+H230+I230+J230+K230+L230+M230+N230+O230+P230+Q230+S230+T230+U230+V230+W230</f>
        <v>0</v>
      </c>
      <c r="G230" s="81" t="n">
        <v>0</v>
      </c>
      <c r="H230" s="82" t="n">
        <v>0</v>
      </c>
      <c r="I230" s="82" t="n">
        <v>0</v>
      </c>
      <c r="J230" s="82" t="n">
        <v>0</v>
      </c>
      <c r="K230" s="81" t="n">
        <v>0</v>
      </c>
      <c r="L230" s="82" t="n">
        <v>0</v>
      </c>
      <c r="M230" s="82" t="n">
        <v>0</v>
      </c>
      <c r="N230" s="81" t="n">
        <v>0</v>
      </c>
      <c r="O230" s="82" t="n">
        <v>0</v>
      </c>
      <c r="P230" s="81" t="n">
        <v>0</v>
      </c>
      <c r="Q230" s="82" t="n">
        <v>0</v>
      </c>
      <c r="R230" s="83" t="n">
        <v>0</v>
      </c>
      <c r="S230" s="82" t="n">
        <v>0</v>
      </c>
      <c r="T230" s="82" t="n">
        <v>0</v>
      </c>
      <c r="U230" s="82" t="n">
        <v>0</v>
      </c>
      <c r="V230" s="82" t="n">
        <v>0</v>
      </c>
      <c r="W230" s="82" t="n">
        <v>0</v>
      </c>
    </row>
    <row r="231" customFormat="false" ht="15" hidden="false" customHeight="false" outlineLevel="0" collapsed="false">
      <c r="A231" s="68" t="s">
        <v>47</v>
      </c>
      <c r="B231" s="69" t="n">
        <v>46247</v>
      </c>
      <c r="C231" s="70" t="n">
        <v>9.1</v>
      </c>
      <c r="D231" s="70" t="s">
        <v>48</v>
      </c>
      <c r="E231" s="71" t="n">
        <f aca="false">G231*23.12+H231*23.12+I231*23.12+J231*23.12+K231*11.55+L231*11.55+M231*11.55+N231*16.51+O231*16.51+P231*16.51+Q231*11.55+S231*11.55+T231*15+U231*1.7+V231*1.7+W231*11.55</f>
        <v>0</v>
      </c>
      <c r="F231" s="72" t="n">
        <f aca="false">G231+H231+I231+J231+K231+L231+M231+N231+O231+P231+Q231+S231+T231+U231+V231+W231</f>
        <v>0</v>
      </c>
      <c r="G231" s="73" t="n">
        <v>0</v>
      </c>
      <c r="H231" s="74" t="n">
        <v>0</v>
      </c>
      <c r="I231" s="74" t="n">
        <v>0</v>
      </c>
      <c r="J231" s="74" t="n">
        <v>0</v>
      </c>
      <c r="K231" s="73" t="n">
        <v>0</v>
      </c>
      <c r="L231" s="74" t="n">
        <v>0</v>
      </c>
      <c r="M231" s="74" t="n">
        <v>0</v>
      </c>
      <c r="N231" s="73" t="n">
        <v>0</v>
      </c>
      <c r="O231" s="74" t="n">
        <v>0</v>
      </c>
      <c r="P231" s="73" t="n">
        <v>0</v>
      </c>
      <c r="Q231" s="74" t="n">
        <v>0</v>
      </c>
      <c r="R231" s="75" t="n">
        <v>0</v>
      </c>
      <c r="S231" s="74" t="n">
        <v>0</v>
      </c>
      <c r="T231" s="74" t="n">
        <v>0</v>
      </c>
      <c r="U231" s="74" t="n">
        <v>0</v>
      </c>
      <c r="V231" s="74" t="n">
        <v>0</v>
      </c>
      <c r="W231" s="74" t="n">
        <v>0</v>
      </c>
    </row>
    <row r="232" customFormat="false" ht="15" hidden="false" customHeight="false" outlineLevel="0" collapsed="false">
      <c r="A232" s="76" t="s">
        <v>49</v>
      </c>
      <c r="B232" s="77" t="n">
        <v>46248</v>
      </c>
      <c r="C232" s="78" t="n">
        <v>9.1</v>
      </c>
      <c r="D232" s="78" t="s">
        <v>48</v>
      </c>
      <c r="E232" s="79" t="n">
        <f aca="false">G232*23.12+H232*23.12+I232*23.12+J232*23.12+K232*11.55+L232*11.55+M232*11.55+N232*16.51+O232*16.51+P232*16.51+Q232*11.55+S232*11.55+T232*15+U232*1.7+V232*1.7+W232*11.55</f>
        <v>0</v>
      </c>
      <c r="F232" s="80" t="n">
        <f aca="false">G232+H232+I232+J232+K232+L232+M232+N232+O232+P232+Q232+S232+T232+U232+V232+W232</f>
        <v>0</v>
      </c>
      <c r="G232" s="81" t="n">
        <v>0</v>
      </c>
      <c r="H232" s="82" t="n">
        <v>0</v>
      </c>
      <c r="I232" s="82" t="n">
        <v>0</v>
      </c>
      <c r="J232" s="82" t="n">
        <v>0</v>
      </c>
      <c r="K232" s="81" t="n">
        <v>0</v>
      </c>
      <c r="L232" s="82" t="n">
        <v>0</v>
      </c>
      <c r="M232" s="82" t="n">
        <v>0</v>
      </c>
      <c r="N232" s="81" t="n">
        <v>0</v>
      </c>
      <c r="O232" s="82" t="n">
        <v>0</v>
      </c>
      <c r="P232" s="81" t="n">
        <v>0</v>
      </c>
      <c r="Q232" s="82" t="n">
        <v>0</v>
      </c>
      <c r="R232" s="83" t="n">
        <v>0</v>
      </c>
      <c r="S232" s="82" t="n">
        <v>0</v>
      </c>
      <c r="T232" s="82" t="n">
        <v>0</v>
      </c>
      <c r="U232" s="82" t="n">
        <v>0</v>
      </c>
      <c r="V232" s="82" t="n">
        <v>0</v>
      </c>
      <c r="W232" s="82" t="n">
        <v>0</v>
      </c>
    </row>
    <row r="233" customFormat="false" ht="15" hidden="false" customHeight="false" outlineLevel="0" collapsed="false">
      <c r="A233" s="84" t="s">
        <v>50</v>
      </c>
      <c r="B233" s="69" t="n">
        <v>46249</v>
      </c>
      <c r="C233" s="70" t="n">
        <v>9.1</v>
      </c>
      <c r="D233" s="70" t="s">
        <v>48</v>
      </c>
      <c r="E233" s="71" t="n">
        <f aca="false">G233*23.12+H233*23.12+I233*23.12+J233*23.12+K233*11.55+L233*11.55+M233*11.55+N233*16.51+O233*16.51+P233*16.51+Q233*11.55+S233*11.55+T233*15+U233*1.7+V233*1.7+W233*11.55</f>
        <v>0</v>
      </c>
      <c r="F233" s="72" t="n">
        <f aca="false">G233+H233+I233+J233+K233+L233+M233+N233+O233+P233+Q233+S233+T233+U233+V233+W233</f>
        <v>0</v>
      </c>
      <c r="G233" s="73" t="n">
        <v>0</v>
      </c>
      <c r="H233" s="74" t="n">
        <v>0</v>
      </c>
      <c r="I233" s="74" t="n">
        <v>0</v>
      </c>
      <c r="J233" s="74" t="n">
        <v>0</v>
      </c>
      <c r="K233" s="73" t="n">
        <v>0</v>
      </c>
      <c r="L233" s="74" t="n">
        <v>0</v>
      </c>
      <c r="M233" s="74" t="n">
        <v>0</v>
      </c>
      <c r="N233" s="73" t="n">
        <v>0</v>
      </c>
      <c r="O233" s="74" t="n">
        <v>0</v>
      </c>
      <c r="P233" s="73" t="n">
        <v>0</v>
      </c>
      <c r="Q233" s="74" t="n">
        <v>0</v>
      </c>
      <c r="R233" s="75" t="n">
        <v>0</v>
      </c>
      <c r="S233" s="74" t="n">
        <v>0</v>
      </c>
      <c r="T233" s="74" t="n">
        <v>0</v>
      </c>
      <c r="U233" s="74" t="n">
        <v>0</v>
      </c>
      <c r="V233" s="74" t="n">
        <v>0</v>
      </c>
      <c r="W233" s="74" t="n">
        <v>0</v>
      </c>
    </row>
    <row r="234" customFormat="false" ht="15" hidden="false" customHeight="false" outlineLevel="0" collapsed="false">
      <c r="A234" s="85" t="s">
        <v>51</v>
      </c>
      <c r="B234" s="77" t="n">
        <v>46250</v>
      </c>
      <c r="C234" s="78" t="n">
        <v>9.1</v>
      </c>
      <c r="D234" s="78" t="s">
        <v>48</v>
      </c>
      <c r="E234" s="79" t="n">
        <f aca="false">G234*23.12+H234*23.12+I234*23.12+J234*23.12+K234*11.55+L234*11.55+M234*11.55+N234*16.51+O234*16.51+P234*16.51+Q234*11.55+S234*11.55+T234*15+U234*1.7+V234*1.7+W234*11.55</f>
        <v>0</v>
      </c>
      <c r="F234" s="80" t="n">
        <f aca="false">G234+H234+I234+J234+K234+L234+M234+N234+O234+P234+Q234+S234+T234+U234+V234+W234</f>
        <v>0</v>
      </c>
      <c r="G234" s="81" t="n">
        <v>0</v>
      </c>
      <c r="H234" s="82" t="n">
        <v>0</v>
      </c>
      <c r="I234" s="82" t="n">
        <v>0</v>
      </c>
      <c r="J234" s="82" t="n">
        <v>0</v>
      </c>
      <c r="K234" s="81" t="n">
        <v>0</v>
      </c>
      <c r="L234" s="82" t="n">
        <v>0</v>
      </c>
      <c r="M234" s="82" t="n">
        <v>0</v>
      </c>
      <c r="N234" s="81" t="n">
        <v>0</v>
      </c>
      <c r="O234" s="82" t="n">
        <v>0</v>
      </c>
      <c r="P234" s="81" t="n">
        <v>0</v>
      </c>
      <c r="Q234" s="82" t="n">
        <v>0</v>
      </c>
      <c r="R234" s="83" t="n">
        <v>0</v>
      </c>
      <c r="S234" s="82" t="n">
        <v>0</v>
      </c>
      <c r="T234" s="82" t="n">
        <v>0</v>
      </c>
      <c r="U234" s="82" t="n">
        <v>0</v>
      </c>
      <c r="V234" s="82" t="n">
        <v>0</v>
      </c>
      <c r="W234" s="82" t="n">
        <v>0</v>
      </c>
    </row>
    <row r="235" customFormat="false" ht="15" hidden="false" customHeight="false" outlineLevel="0" collapsed="false">
      <c r="A235" s="86" t="s">
        <v>52</v>
      </c>
      <c r="B235" s="87" t="n">
        <v>46251</v>
      </c>
      <c r="C235" s="88" t="n">
        <v>9.2</v>
      </c>
      <c r="D235" s="88" t="s">
        <v>53</v>
      </c>
      <c r="E235" s="89" t="n">
        <f aca="false">G235*23.12+H235*23.12+I235*23.12+J235*23.12+K235*11.55+L235*11.55+M235*11.55+N235*16.51+O235*16.51+P235*16.51+Q235*11.55+S235*11.55+T235*15+U235*1.7+V235*1.7+W235*11.55</f>
        <v>0</v>
      </c>
      <c r="F235" s="90" t="n">
        <f aca="false">G235+H235+I235+J235+K235+L235+M235+N235+O235+P235+Q235+S235+T235+U235+V235+W235</f>
        <v>0</v>
      </c>
      <c r="G235" s="91" t="n">
        <v>0</v>
      </c>
      <c r="H235" s="92" t="n">
        <v>0</v>
      </c>
      <c r="I235" s="92" t="n">
        <v>0</v>
      </c>
      <c r="J235" s="92" t="n">
        <v>0</v>
      </c>
      <c r="K235" s="91" t="n">
        <v>0</v>
      </c>
      <c r="L235" s="92" t="n">
        <v>0</v>
      </c>
      <c r="M235" s="92" t="n">
        <v>0</v>
      </c>
      <c r="N235" s="91" t="n">
        <v>0</v>
      </c>
      <c r="O235" s="92" t="n">
        <v>0</v>
      </c>
      <c r="P235" s="91" t="n">
        <v>0</v>
      </c>
      <c r="Q235" s="92" t="n">
        <v>0</v>
      </c>
      <c r="R235" s="95" t="n">
        <v>0</v>
      </c>
      <c r="S235" s="92" t="n">
        <v>0</v>
      </c>
      <c r="T235" s="92" t="n">
        <v>0</v>
      </c>
      <c r="U235" s="92" t="n">
        <v>0</v>
      </c>
      <c r="V235" s="92" t="n">
        <v>0</v>
      </c>
      <c r="W235" s="92" t="n">
        <v>0</v>
      </c>
    </row>
    <row r="236" customFormat="false" ht="15" hidden="false" customHeight="false" outlineLevel="0" collapsed="false">
      <c r="A236" s="76" t="s">
        <v>54</v>
      </c>
      <c r="B236" s="77" t="n">
        <v>46252</v>
      </c>
      <c r="C236" s="78" t="n">
        <v>9.2</v>
      </c>
      <c r="D236" s="78" t="s">
        <v>53</v>
      </c>
      <c r="E236" s="79" t="n">
        <f aca="false">G236*23.12+H236*23.12+I236*23.12+J236*23.12+K236*11.55+L236*11.55+M236*11.55+N236*16.51+O236*16.51+P236*16.51+Q236*11.55+S236*11.55+T236*15+U236*1.7+V236*1.7+W236*11.55</f>
        <v>0</v>
      </c>
      <c r="F236" s="80" t="n">
        <f aca="false">G236+H236+I236+J236+K236+L236+M236+N236+O236+P236+Q236+S236+T236+U236+V236+W236</f>
        <v>0</v>
      </c>
      <c r="G236" s="81" t="n">
        <v>0</v>
      </c>
      <c r="H236" s="82" t="n">
        <v>0</v>
      </c>
      <c r="I236" s="82" t="n">
        <v>0</v>
      </c>
      <c r="J236" s="82" t="n">
        <v>0</v>
      </c>
      <c r="K236" s="81" t="n">
        <v>0</v>
      </c>
      <c r="L236" s="82" t="n">
        <v>0</v>
      </c>
      <c r="M236" s="82" t="n">
        <v>0</v>
      </c>
      <c r="N236" s="81" t="n">
        <v>0</v>
      </c>
      <c r="O236" s="82" t="n">
        <v>0</v>
      </c>
      <c r="P236" s="81" t="n">
        <v>0</v>
      </c>
      <c r="Q236" s="82" t="n">
        <v>0</v>
      </c>
      <c r="R236" s="83" t="n">
        <v>0</v>
      </c>
      <c r="S236" s="82" t="n">
        <v>0</v>
      </c>
      <c r="T236" s="82" t="n">
        <v>0</v>
      </c>
      <c r="U236" s="82" t="n">
        <v>0</v>
      </c>
      <c r="V236" s="82" t="n">
        <v>0</v>
      </c>
      <c r="W236" s="82" t="n">
        <v>0</v>
      </c>
    </row>
    <row r="237" customFormat="false" ht="15" hidden="false" customHeight="false" outlineLevel="0" collapsed="false">
      <c r="A237" s="68" t="s">
        <v>55</v>
      </c>
      <c r="B237" s="69" t="n">
        <v>46253</v>
      </c>
      <c r="C237" s="70" t="n">
        <v>9.2</v>
      </c>
      <c r="D237" s="70" t="s">
        <v>53</v>
      </c>
      <c r="E237" s="71" t="n">
        <f aca="false">G237*23.12+H237*23.12+I237*23.12+J237*23.12+K237*11.55+L237*11.55+M237*11.55+N237*16.51+O237*16.51+P237*16.51+Q237*11.55+S237*11.55+T237*15+U237*1.7+V237*1.7+W237*11.55</f>
        <v>0</v>
      </c>
      <c r="F237" s="72" t="n">
        <f aca="false">G237+H237+I237+J237+K237+L237+M237+N237+O237+P237+Q237+S237+T237+U237+V237+W237</f>
        <v>0</v>
      </c>
      <c r="G237" s="73" t="n">
        <v>0</v>
      </c>
      <c r="H237" s="74" t="n">
        <v>0</v>
      </c>
      <c r="I237" s="74" t="n">
        <v>0</v>
      </c>
      <c r="J237" s="74" t="n">
        <v>0</v>
      </c>
      <c r="K237" s="73" t="n">
        <v>0</v>
      </c>
      <c r="L237" s="74" t="n">
        <v>0</v>
      </c>
      <c r="M237" s="74" t="n">
        <v>0</v>
      </c>
      <c r="N237" s="73" t="n">
        <v>0</v>
      </c>
      <c r="O237" s="74" t="n">
        <v>0</v>
      </c>
      <c r="P237" s="73" t="n">
        <v>0</v>
      </c>
      <c r="Q237" s="74" t="n">
        <v>0</v>
      </c>
      <c r="R237" s="75" t="n">
        <v>0</v>
      </c>
      <c r="S237" s="74" t="n">
        <v>0</v>
      </c>
      <c r="T237" s="74" t="n">
        <v>0</v>
      </c>
      <c r="U237" s="74" t="n">
        <v>0</v>
      </c>
      <c r="V237" s="74" t="n">
        <v>0</v>
      </c>
      <c r="W237" s="74" t="n">
        <v>0</v>
      </c>
    </row>
    <row r="238" customFormat="false" ht="15" hidden="false" customHeight="false" outlineLevel="0" collapsed="false">
      <c r="A238" s="76" t="s">
        <v>47</v>
      </c>
      <c r="B238" s="77" t="n">
        <v>46254</v>
      </c>
      <c r="C238" s="78" t="n">
        <v>9.2</v>
      </c>
      <c r="D238" s="78" t="s">
        <v>53</v>
      </c>
      <c r="E238" s="79" t="n">
        <f aca="false">G238*23.12+H238*23.12+I238*23.12+J238*23.12+K238*11.55+L238*11.55+M238*11.55+N238*16.51+O238*16.51+P238*16.51+Q238*11.55+S238*11.55+T238*15+U238*1.7+V238*1.7+W238*11.55</f>
        <v>0</v>
      </c>
      <c r="F238" s="80" t="n">
        <f aca="false">G238+H238+I238+J238+K238+L238+M238+N238+O238+P238+Q238+S238+T238+U238+V238+W238</f>
        <v>0</v>
      </c>
      <c r="G238" s="81" t="n">
        <v>0</v>
      </c>
      <c r="H238" s="82" t="n">
        <v>0</v>
      </c>
      <c r="I238" s="82" t="n">
        <v>0</v>
      </c>
      <c r="J238" s="82" t="n">
        <v>0</v>
      </c>
      <c r="K238" s="81" t="n">
        <v>0</v>
      </c>
      <c r="L238" s="82" t="n">
        <v>0</v>
      </c>
      <c r="M238" s="82" t="n">
        <v>0</v>
      </c>
      <c r="N238" s="81" t="n">
        <v>0</v>
      </c>
      <c r="O238" s="82" t="n">
        <v>0</v>
      </c>
      <c r="P238" s="81" t="n">
        <v>0</v>
      </c>
      <c r="Q238" s="82" t="n">
        <v>0</v>
      </c>
      <c r="R238" s="83" t="n">
        <v>0</v>
      </c>
      <c r="S238" s="82" t="n">
        <v>0</v>
      </c>
      <c r="T238" s="82" t="n">
        <v>0</v>
      </c>
      <c r="U238" s="82" t="n">
        <v>0</v>
      </c>
      <c r="V238" s="82" t="n">
        <v>0</v>
      </c>
      <c r="W238" s="82" t="n">
        <v>0</v>
      </c>
    </row>
    <row r="239" customFormat="false" ht="15" hidden="false" customHeight="false" outlineLevel="0" collapsed="false">
      <c r="A239" s="68" t="s">
        <v>49</v>
      </c>
      <c r="B239" s="69" t="n">
        <v>46255</v>
      </c>
      <c r="C239" s="70" t="n">
        <v>9.2</v>
      </c>
      <c r="D239" s="70" t="s">
        <v>53</v>
      </c>
      <c r="E239" s="71" t="n">
        <f aca="false">G239*23.12+H239*23.12+I239*23.12+J239*23.12+K239*11.55+L239*11.55+M239*11.55+N239*16.51+O239*16.51+P239*16.51+Q239*11.55+S239*11.55+T239*15+U239*1.7+V239*1.7+W239*11.55</f>
        <v>0</v>
      </c>
      <c r="F239" s="72" t="n">
        <f aca="false">G239+H239+I239+J239+K239+L239+M239+N239+O239+P239+Q239+S239+T239+U239+V239+W239</f>
        <v>0</v>
      </c>
      <c r="G239" s="73" t="n">
        <v>0</v>
      </c>
      <c r="H239" s="74" t="n">
        <v>0</v>
      </c>
      <c r="I239" s="74" t="n">
        <v>0</v>
      </c>
      <c r="J239" s="74" t="n">
        <v>0</v>
      </c>
      <c r="K239" s="73" t="n">
        <v>0</v>
      </c>
      <c r="L239" s="74" t="n">
        <v>0</v>
      </c>
      <c r="M239" s="74" t="n">
        <v>0</v>
      </c>
      <c r="N239" s="73" t="n">
        <v>0</v>
      </c>
      <c r="O239" s="74" t="n">
        <v>0</v>
      </c>
      <c r="P239" s="73" t="n">
        <v>0</v>
      </c>
      <c r="Q239" s="74" t="n">
        <v>0</v>
      </c>
      <c r="R239" s="75" t="n">
        <v>0</v>
      </c>
      <c r="S239" s="74" t="n">
        <v>0</v>
      </c>
      <c r="T239" s="74" t="n">
        <v>0</v>
      </c>
      <c r="U239" s="74" t="n">
        <v>0</v>
      </c>
      <c r="V239" s="74" t="n">
        <v>0</v>
      </c>
      <c r="W239" s="74" t="n">
        <v>0</v>
      </c>
    </row>
    <row r="240" customFormat="false" ht="15" hidden="false" customHeight="false" outlineLevel="0" collapsed="false">
      <c r="A240" s="85" t="s">
        <v>50</v>
      </c>
      <c r="B240" s="77" t="n">
        <v>46256</v>
      </c>
      <c r="C240" s="78" t="n">
        <v>9.2</v>
      </c>
      <c r="D240" s="78" t="s">
        <v>53</v>
      </c>
      <c r="E240" s="79" t="n">
        <f aca="false">G240*23.12+H240*23.12+I240*23.12+J240*23.12+K240*11.55+L240*11.55+M240*11.55+N240*16.51+O240*16.51+P240*16.51+Q240*11.55+S240*11.55+T240*15+U240*1.7+V240*1.7+W240*11.55</f>
        <v>0</v>
      </c>
      <c r="F240" s="80" t="n">
        <f aca="false">G240+H240+I240+J240+K240+L240+M240+N240+O240+P240+Q240+S240+T240+U240+V240+W240</f>
        <v>0</v>
      </c>
      <c r="G240" s="81" t="n">
        <v>0</v>
      </c>
      <c r="H240" s="82" t="n">
        <v>0</v>
      </c>
      <c r="I240" s="82" t="n">
        <v>0</v>
      </c>
      <c r="J240" s="82" t="n">
        <v>0</v>
      </c>
      <c r="K240" s="81" t="n">
        <v>0</v>
      </c>
      <c r="L240" s="82" t="n">
        <v>0</v>
      </c>
      <c r="M240" s="82" t="n">
        <v>0</v>
      </c>
      <c r="N240" s="81" t="n">
        <v>0</v>
      </c>
      <c r="O240" s="82" t="n">
        <v>0</v>
      </c>
      <c r="P240" s="81" t="n">
        <v>0</v>
      </c>
      <c r="Q240" s="82" t="n">
        <v>0</v>
      </c>
      <c r="R240" s="83" t="n">
        <v>0</v>
      </c>
      <c r="S240" s="82" t="n">
        <v>0</v>
      </c>
      <c r="T240" s="82" t="n">
        <v>0</v>
      </c>
      <c r="U240" s="82" t="n">
        <v>0</v>
      </c>
      <c r="V240" s="82" t="n">
        <v>0</v>
      </c>
      <c r="W240" s="82" t="n">
        <v>0</v>
      </c>
    </row>
    <row r="241" customFormat="false" ht="15" hidden="false" customHeight="false" outlineLevel="0" collapsed="false">
      <c r="A241" s="84" t="s">
        <v>51</v>
      </c>
      <c r="B241" s="69" t="n">
        <v>46257</v>
      </c>
      <c r="C241" s="70" t="n">
        <v>9.2</v>
      </c>
      <c r="D241" s="70" t="s">
        <v>53</v>
      </c>
      <c r="E241" s="71" t="n">
        <f aca="false">G241*23.12+H241*23.12+I241*23.12+J241*23.12+K241*11.55+L241*11.55+M241*11.55+N241*16.51+O241*16.51+P241*16.51+Q241*11.55+S241*11.55+T241*15+U241*1.7+V241*1.7+W241*11.55</f>
        <v>0</v>
      </c>
      <c r="F241" s="72" t="n">
        <f aca="false">G241+H241+I241+J241+K241+L241+M241+N241+O241+P241+Q241+S241+T241+U241+V241+W241</f>
        <v>0</v>
      </c>
      <c r="G241" s="73" t="n">
        <v>0</v>
      </c>
      <c r="H241" s="74" t="n">
        <v>0</v>
      </c>
      <c r="I241" s="74" t="n">
        <v>0</v>
      </c>
      <c r="J241" s="74" t="n">
        <v>0</v>
      </c>
      <c r="K241" s="73" t="n">
        <v>0</v>
      </c>
      <c r="L241" s="74" t="n">
        <v>0</v>
      </c>
      <c r="M241" s="74" t="n">
        <v>0</v>
      </c>
      <c r="N241" s="73" t="n">
        <v>0</v>
      </c>
      <c r="O241" s="74" t="n">
        <v>0</v>
      </c>
      <c r="P241" s="73" t="n">
        <v>0</v>
      </c>
      <c r="Q241" s="74" t="n">
        <v>0</v>
      </c>
      <c r="R241" s="75" t="n">
        <v>0</v>
      </c>
      <c r="S241" s="74" t="n">
        <v>0</v>
      </c>
      <c r="T241" s="74" t="n">
        <v>0</v>
      </c>
      <c r="U241" s="74" t="n">
        <v>0</v>
      </c>
      <c r="V241" s="74" t="n">
        <v>0</v>
      </c>
      <c r="W241" s="74" t="n">
        <v>0</v>
      </c>
    </row>
    <row r="242" customFormat="false" ht="15" hidden="false" customHeight="false" outlineLevel="0" collapsed="false">
      <c r="A242" s="100" t="s">
        <v>52</v>
      </c>
      <c r="B242" s="101" t="n">
        <v>46258</v>
      </c>
      <c r="C242" s="102" t="n">
        <v>9.3</v>
      </c>
      <c r="D242" s="102" t="s">
        <v>56</v>
      </c>
      <c r="E242" s="103" t="n">
        <f aca="false">G242*23.12+H242*23.12+I242*23.12+J242*23.12+K242*11.55+L242*11.55+M242*11.55+N242*16.51+O242*16.51+P242*16.51+Q242*11.55+S242*11.55+T242*15+U242*1.7+V242*1.7+W242*11.55</f>
        <v>0</v>
      </c>
      <c r="F242" s="104" t="n">
        <f aca="false">G242+H242+I242+J242+K242+L242+M242+N242+O242+P242+Q242+S242+T242+U242+V242+W242</f>
        <v>0</v>
      </c>
      <c r="G242" s="105" t="n">
        <v>0</v>
      </c>
      <c r="H242" s="106" t="n">
        <v>0</v>
      </c>
      <c r="I242" s="106" t="n">
        <v>0</v>
      </c>
      <c r="J242" s="106" t="n">
        <v>0</v>
      </c>
      <c r="K242" s="105" t="n">
        <v>0</v>
      </c>
      <c r="L242" s="106" t="n">
        <v>0</v>
      </c>
      <c r="M242" s="106" t="n">
        <v>0</v>
      </c>
      <c r="N242" s="105" t="n">
        <v>0</v>
      </c>
      <c r="O242" s="106" t="n">
        <v>0</v>
      </c>
      <c r="P242" s="105" t="n">
        <v>0</v>
      </c>
      <c r="Q242" s="106" t="n">
        <v>0</v>
      </c>
      <c r="R242" s="109" t="n">
        <v>0</v>
      </c>
      <c r="S242" s="106" t="n">
        <v>0</v>
      </c>
      <c r="T242" s="106" t="n">
        <v>0</v>
      </c>
      <c r="U242" s="106" t="n">
        <v>0</v>
      </c>
      <c r="V242" s="106" t="n">
        <v>0</v>
      </c>
      <c r="W242" s="106" t="n">
        <v>0</v>
      </c>
    </row>
    <row r="243" customFormat="false" ht="15" hidden="false" customHeight="false" outlineLevel="0" collapsed="false">
      <c r="A243" s="68" t="s">
        <v>54</v>
      </c>
      <c r="B243" s="69" t="n">
        <v>46259</v>
      </c>
      <c r="C243" s="70" t="n">
        <v>9.3</v>
      </c>
      <c r="D243" s="70" t="s">
        <v>56</v>
      </c>
      <c r="E243" s="71" t="n">
        <f aca="false">G243*23.12+H243*23.12+I243*23.12+J243*23.12+K243*11.55+L243*11.55+M243*11.55+N243*16.51+O243*16.51+P243*16.51+Q243*11.55+S243*11.55+T243*15+U243*1.7+V243*1.7+W243*11.55</f>
        <v>0</v>
      </c>
      <c r="F243" s="72" t="n">
        <f aca="false">G243+H243+I243+J243+K243+L243+M243+N243+O243+P243+Q243+S243+T243+U243+V243+W243</f>
        <v>0</v>
      </c>
      <c r="G243" s="73" t="n">
        <v>0</v>
      </c>
      <c r="H243" s="74" t="n">
        <v>0</v>
      </c>
      <c r="I243" s="74" t="n">
        <v>0</v>
      </c>
      <c r="J243" s="74" t="n">
        <v>0</v>
      </c>
      <c r="K243" s="73" t="n">
        <v>0</v>
      </c>
      <c r="L243" s="74" t="n">
        <v>0</v>
      </c>
      <c r="M243" s="74" t="n">
        <v>0</v>
      </c>
      <c r="N243" s="73" t="n">
        <v>0</v>
      </c>
      <c r="O243" s="74" t="n">
        <v>0</v>
      </c>
      <c r="P243" s="73" t="n">
        <v>0</v>
      </c>
      <c r="Q243" s="74" t="n">
        <v>0</v>
      </c>
      <c r="R243" s="75" t="n">
        <v>0</v>
      </c>
      <c r="S243" s="74" t="n">
        <v>0</v>
      </c>
      <c r="T243" s="74" t="n">
        <v>0</v>
      </c>
      <c r="U243" s="74" t="n">
        <v>0</v>
      </c>
      <c r="V243" s="74" t="n">
        <v>0</v>
      </c>
      <c r="W243" s="74" t="n">
        <v>0</v>
      </c>
    </row>
    <row r="244" customFormat="false" ht="15" hidden="false" customHeight="false" outlineLevel="0" collapsed="false">
      <c r="A244" s="76" t="s">
        <v>55</v>
      </c>
      <c r="B244" s="77" t="n">
        <v>46260</v>
      </c>
      <c r="C244" s="78" t="n">
        <v>9.3</v>
      </c>
      <c r="D244" s="78" t="s">
        <v>56</v>
      </c>
      <c r="E244" s="79" t="n">
        <f aca="false">G244*23.12+H244*23.12+I244*23.12+J244*23.12+K244*11.55+L244*11.55+M244*11.55+N244*16.51+O244*16.51+P244*16.51+Q244*11.55+S244*11.55+T244*15+U244*1.7+V244*1.7+W244*11.55</f>
        <v>0</v>
      </c>
      <c r="F244" s="80" t="n">
        <f aca="false">G244+H244+I244+J244+K244+L244+M244+N244+O244+P244+Q244+S244+T244+U244+V244+W244</f>
        <v>0</v>
      </c>
      <c r="G244" s="81" t="n">
        <v>0</v>
      </c>
      <c r="H244" s="82" t="n">
        <v>0</v>
      </c>
      <c r="I244" s="82" t="n">
        <v>0</v>
      </c>
      <c r="J244" s="82" t="n">
        <v>0</v>
      </c>
      <c r="K244" s="81" t="n">
        <v>0</v>
      </c>
      <c r="L244" s="82" t="n">
        <v>0</v>
      </c>
      <c r="M244" s="82" t="n">
        <v>0</v>
      </c>
      <c r="N244" s="81" t="n">
        <v>0</v>
      </c>
      <c r="O244" s="82" t="n">
        <v>0</v>
      </c>
      <c r="P244" s="81" t="n">
        <v>0</v>
      </c>
      <c r="Q244" s="82" t="n">
        <v>0</v>
      </c>
      <c r="R244" s="83" t="n">
        <v>0</v>
      </c>
      <c r="S244" s="82" t="n">
        <v>0</v>
      </c>
      <c r="T244" s="82" t="n">
        <v>0</v>
      </c>
      <c r="U244" s="82" t="n">
        <v>0</v>
      </c>
      <c r="V244" s="82" t="n">
        <v>0</v>
      </c>
      <c r="W244" s="82" t="n">
        <v>0</v>
      </c>
    </row>
    <row r="245" customFormat="false" ht="15" hidden="false" customHeight="false" outlineLevel="0" collapsed="false">
      <c r="A245" s="68" t="s">
        <v>47</v>
      </c>
      <c r="B245" s="69" t="n">
        <v>46261</v>
      </c>
      <c r="C245" s="70" t="n">
        <v>9.3</v>
      </c>
      <c r="D245" s="70" t="s">
        <v>56</v>
      </c>
      <c r="E245" s="71" t="n">
        <f aca="false">G245*23.12+H245*23.12+I245*23.12+J245*23.12+K245*11.55+L245*11.55+M245*11.55+N245*16.51+O245*16.51+P245*16.51+Q245*11.55+S245*11.55+T245*15+U245*1.7+V245*1.7+W245*11.55</f>
        <v>0</v>
      </c>
      <c r="F245" s="72" t="n">
        <f aca="false">G245+H245+I245+J245+K245+L245+M245+N245+O245+P245+Q245+S245+T245+U245+V245+W245</f>
        <v>0</v>
      </c>
      <c r="G245" s="73" t="n">
        <v>0</v>
      </c>
      <c r="H245" s="74" t="n">
        <v>0</v>
      </c>
      <c r="I245" s="74" t="n">
        <v>0</v>
      </c>
      <c r="J245" s="74" t="n">
        <v>0</v>
      </c>
      <c r="K245" s="73" t="n">
        <v>0</v>
      </c>
      <c r="L245" s="74" t="n">
        <v>0</v>
      </c>
      <c r="M245" s="74" t="n">
        <v>0</v>
      </c>
      <c r="N245" s="73" t="n">
        <v>0</v>
      </c>
      <c r="O245" s="74" t="n">
        <v>0</v>
      </c>
      <c r="P245" s="73" t="n">
        <v>0</v>
      </c>
      <c r="Q245" s="74" t="n">
        <v>0</v>
      </c>
      <c r="R245" s="75" t="n">
        <v>0</v>
      </c>
      <c r="S245" s="74" t="n">
        <v>0</v>
      </c>
      <c r="T245" s="74" t="n">
        <v>0</v>
      </c>
      <c r="U245" s="74" t="n">
        <v>0</v>
      </c>
      <c r="V245" s="74" t="n">
        <v>0</v>
      </c>
      <c r="W245" s="74" t="n">
        <v>0</v>
      </c>
    </row>
    <row r="246" customFormat="false" ht="15" hidden="false" customHeight="false" outlineLevel="0" collapsed="false">
      <c r="A246" s="76" t="s">
        <v>49</v>
      </c>
      <c r="B246" s="77" t="n">
        <v>46262</v>
      </c>
      <c r="C246" s="78" t="n">
        <v>9.3</v>
      </c>
      <c r="D246" s="78" t="s">
        <v>56</v>
      </c>
      <c r="E246" s="79" t="n">
        <f aca="false">G246*23.12+H246*23.12+I246*23.12+J246*23.12+K246*11.55+L246*11.55+M246*11.55+N246*16.51+O246*16.51+P246*16.51+Q246*11.55+S246*11.55+T246*15+U246*1.7+V246*1.7+W246*11.55</f>
        <v>0</v>
      </c>
      <c r="F246" s="80" t="n">
        <f aca="false">G246+H246+I246+J246+K246+L246+M246+N246+O246+P246+Q246+S246+T246+U246+V246+W246</f>
        <v>0</v>
      </c>
      <c r="G246" s="81" t="n">
        <v>0</v>
      </c>
      <c r="H246" s="82" t="n">
        <v>0</v>
      </c>
      <c r="I246" s="82" t="n">
        <v>0</v>
      </c>
      <c r="J246" s="82" t="n">
        <v>0</v>
      </c>
      <c r="K246" s="81" t="n">
        <v>0</v>
      </c>
      <c r="L246" s="82" t="n">
        <v>0</v>
      </c>
      <c r="M246" s="82" t="n">
        <v>0</v>
      </c>
      <c r="N246" s="81" t="n">
        <v>0</v>
      </c>
      <c r="O246" s="82" t="n">
        <v>0</v>
      </c>
      <c r="P246" s="81" t="n">
        <v>0</v>
      </c>
      <c r="Q246" s="82" t="n">
        <v>0</v>
      </c>
      <c r="R246" s="83" t="n">
        <v>0</v>
      </c>
      <c r="S246" s="82" t="n">
        <v>0</v>
      </c>
      <c r="T246" s="82" t="n">
        <v>0</v>
      </c>
      <c r="U246" s="82" t="n">
        <v>0</v>
      </c>
      <c r="V246" s="82" t="n">
        <v>0</v>
      </c>
      <c r="W246" s="82" t="n">
        <v>0</v>
      </c>
    </row>
    <row r="247" customFormat="false" ht="15" hidden="false" customHeight="false" outlineLevel="0" collapsed="false">
      <c r="A247" s="84" t="s">
        <v>50</v>
      </c>
      <c r="B247" s="69" t="n">
        <v>46263</v>
      </c>
      <c r="C247" s="70" t="n">
        <v>9.3</v>
      </c>
      <c r="D247" s="70" t="s">
        <v>56</v>
      </c>
      <c r="E247" s="71" t="n">
        <f aca="false">G247*23.12+H247*23.12+I247*23.12+J247*23.12+K247*11.55+L247*11.55+M247*11.55+N247*16.51+O247*16.51+P247*16.51+Q247*11.55+S247*11.55+T247*15+U247*1.7+V247*1.7+W247*11.55</f>
        <v>0</v>
      </c>
      <c r="F247" s="72" t="n">
        <f aca="false">G247+H247+I247+J247+K247+L247+M247+N247+O247+P247+Q247+S247+T247+U247+V247+W247</f>
        <v>0</v>
      </c>
      <c r="G247" s="73" t="n">
        <v>0</v>
      </c>
      <c r="H247" s="74" t="n">
        <v>0</v>
      </c>
      <c r="I247" s="74" t="n">
        <v>0</v>
      </c>
      <c r="J247" s="74" t="n">
        <v>0</v>
      </c>
      <c r="K247" s="73" t="n">
        <v>0</v>
      </c>
      <c r="L247" s="74" t="n">
        <v>0</v>
      </c>
      <c r="M247" s="74" t="n">
        <v>0</v>
      </c>
      <c r="N247" s="73" t="n">
        <v>0</v>
      </c>
      <c r="O247" s="74" t="n">
        <v>0</v>
      </c>
      <c r="P247" s="73" t="n">
        <v>0</v>
      </c>
      <c r="Q247" s="74" t="n">
        <v>0</v>
      </c>
      <c r="R247" s="75" t="n">
        <v>0</v>
      </c>
      <c r="S247" s="74" t="n">
        <v>0</v>
      </c>
      <c r="T247" s="74" t="n">
        <v>0</v>
      </c>
      <c r="U247" s="74" t="n">
        <v>0</v>
      </c>
      <c r="V247" s="74" t="n">
        <v>0</v>
      </c>
      <c r="W247" s="74" t="n">
        <v>0</v>
      </c>
    </row>
    <row r="248" customFormat="false" ht="15" hidden="false" customHeight="false" outlineLevel="0" collapsed="false">
      <c r="A248" s="85" t="s">
        <v>51</v>
      </c>
      <c r="B248" s="77" t="n">
        <v>46264</v>
      </c>
      <c r="C248" s="78" t="n">
        <v>9.3</v>
      </c>
      <c r="D248" s="78" t="s">
        <v>56</v>
      </c>
      <c r="E248" s="79" t="n">
        <f aca="false">G248*23.12+H248*23.12+I248*23.12+J248*23.12+K248*11.55+L248*11.55+M248*11.55+N248*16.51+O248*16.51+P248*16.51+Q248*11.55+S248*11.55+T248*15+U248*1.7+V248*1.7+W248*11.55</f>
        <v>0</v>
      </c>
      <c r="F248" s="80" t="n">
        <f aca="false">G248+H248+I248+J248+K248+L248+M248+N248+O248+P248+Q248+S248+T248+U248+V248+W248</f>
        <v>0</v>
      </c>
      <c r="G248" s="81" t="n">
        <v>0</v>
      </c>
      <c r="H248" s="82" t="n">
        <v>0</v>
      </c>
      <c r="I248" s="82" t="n">
        <v>0</v>
      </c>
      <c r="J248" s="82" t="n">
        <v>0</v>
      </c>
      <c r="K248" s="81" t="n">
        <v>0</v>
      </c>
      <c r="L248" s="82" t="n">
        <v>0</v>
      </c>
      <c r="M248" s="82" t="n">
        <v>0</v>
      </c>
      <c r="N248" s="81" t="n">
        <v>0</v>
      </c>
      <c r="O248" s="82" t="n">
        <v>0</v>
      </c>
      <c r="P248" s="81" t="n">
        <v>0</v>
      </c>
      <c r="Q248" s="82" t="n">
        <v>0</v>
      </c>
      <c r="R248" s="83" t="n">
        <v>0</v>
      </c>
      <c r="S248" s="82" t="n">
        <v>0</v>
      </c>
      <c r="T248" s="82" t="n">
        <v>0</v>
      </c>
      <c r="U248" s="82" t="n">
        <v>0</v>
      </c>
      <c r="V248" s="82" t="n">
        <v>0</v>
      </c>
      <c r="W248" s="82" t="n">
        <v>0</v>
      </c>
    </row>
    <row r="249" customFormat="false" ht="15" hidden="false" customHeight="false" outlineLevel="0" collapsed="false">
      <c r="A249" s="86" t="s">
        <v>52</v>
      </c>
      <c r="B249" s="87" t="n">
        <v>46265</v>
      </c>
      <c r="C249" s="88" t="n">
        <v>9.4</v>
      </c>
      <c r="D249" s="88" t="s">
        <v>57</v>
      </c>
      <c r="E249" s="89" t="n">
        <f aca="false">G249*23.12+H249*23.12+I249*23.12+J249*23.12+K249*11.55+L249*11.55+M249*11.55+N249*16.51+O249*16.51+P249*16.51+Q249*11.55+S249*11.55+T249*15+U249*1.7+V249*1.7+W249*11.55</f>
        <v>0</v>
      </c>
      <c r="F249" s="90" t="n">
        <f aca="false">G249+H249+I249+J249+K249+L249+M249+N249+O249+P249+Q249+S249+T249+U249+V249+W249</f>
        <v>0</v>
      </c>
      <c r="G249" s="91" t="n">
        <v>0</v>
      </c>
      <c r="H249" s="92" t="n">
        <v>0</v>
      </c>
      <c r="I249" s="92" t="n">
        <v>0</v>
      </c>
      <c r="J249" s="92" t="n">
        <v>0</v>
      </c>
      <c r="K249" s="91" t="n">
        <v>0</v>
      </c>
      <c r="L249" s="92" t="n">
        <v>0</v>
      </c>
      <c r="M249" s="92" t="n">
        <v>0</v>
      </c>
      <c r="N249" s="91" t="n">
        <v>0</v>
      </c>
      <c r="O249" s="92" t="n">
        <v>0</v>
      </c>
      <c r="P249" s="91" t="n">
        <v>0</v>
      </c>
      <c r="Q249" s="92" t="n">
        <v>0</v>
      </c>
      <c r="R249" s="95" t="n">
        <v>0</v>
      </c>
      <c r="S249" s="92" t="n">
        <v>0</v>
      </c>
      <c r="T249" s="92" t="n">
        <v>0</v>
      </c>
      <c r="U249" s="92" t="n">
        <v>0</v>
      </c>
      <c r="V249" s="92" t="n">
        <v>0</v>
      </c>
      <c r="W249" s="92" t="n">
        <v>0</v>
      </c>
    </row>
    <row r="250" customFormat="false" ht="15" hidden="false" customHeight="false" outlineLevel="0" collapsed="false">
      <c r="A250" s="76" t="s">
        <v>54</v>
      </c>
      <c r="B250" s="77" t="n">
        <v>46266</v>
      </c>
      <c r="C250" s="78" t="n">
        <v>9.4</v>
      </c>
      <c r="D250" s="78" t="s">
        <v>57</v>
      </c>
      <c r="E250" s="79" t="n">
        <f aca="false">G250*23.12+H250*23.12+I250*23.12+J250*23.12+K250*11.55+L250*11.55+M250*11.55+N250*16.51+O250*16.51+P250*16.51+Q250*11.55+S250*11.55+T250*15+U250*1.7+V250*1.7+W250*11.55</f>
        <v>0</v>
      </c>
      <c r="F250" s="80" t="n">
        <f aca="false">G250+H250+I250+J250+K250+L250+M250+N250+O250+P250+Q250+S250+T250+U250+V250+W250</f>
        <v>0</v>
      </c>
      <c r="G250" s="81" t="n">
        <v>0</v>
      </c>
      <c r="H250" s="82" t="n">
        <v>0</v>
      </c>
      <c r="I250" s="82" t="n">
        <v>0</v>
      </c>
      <c r="J250" s="82" t="n">
        <v>0</v>
      </c>
      <c r="K250" s="81" t="n">
        <v>0</v>
      </c>
      <c r="L250" s="82" t="n">
        <v>0</v>
      </c>
      <c r="M250" s="82" t="n">
        <v>0</v>
      </c>
      <c r="N250" s="81" t="n">
        <v>0</v>
      </c>
      <c r="O250" s="82" t="n">
        <v>0</v>
      </c>
      <c r="P250" s="81" t="n">
        <v>0</v>
      </c>
      <c r="Q250" s="82" t="n">
        <v>0</v>
      </c>
      <c r="R250" s="83" t="n">
        <v>0</v>
      </c>
      <c r="S250" s="82" t="n">
        <v>0</v>
      </c>
      <c r="T250" s="82" t="n">
        <v>0</v>
      </c>
      <c r="U250" s="82" t="n">
        <v>0</v>
      </c>
      <c r="V250" s="82" t="n">
        <v>0</v>
      </c>
      <c r="W250" s="82" t="n">
        <v>0</v>
      </c>
    </row>
    <row r="251" customFormat="false" ht="15" hidden="false" customHeight="false" outlineLevel="0" collapsed="false">
      <c r="A251" s="68" t="s">
        <v>55</v>
      </c>
      <c r="B251" s="69" t="n">
        <v>46267</v>
      </c>
      <c r="C251" s="70" t="n">
        <v>9.4</v>
      </c>
      <c r="D251" s="70" t="s">
        <v>57</v>
      </c>
      <c r="E251" s="71" t="n">
        <f aca="false">G251*23.12+H251*23.12+I251*23.12+J251*23.12+K251*11.55+L251*11.55+M251*11.55+N251*16.51+O251*16.51+P251*16.51+Q251*11.55+S251*11.55+T251*15+U251*1.7+V251*1.7+W251*11.55</f>
        <v>0</v>
      </c>
      <c r="F251" s="72" t="n">
        <f aca="false">G251+H251+I251+J251+K251+L251+M251+N251+O251+P251+Q251+S251+T251+U251+V251+W251</f>
        <v>0</v>
      </c>
      <c r="G251" s="73" t="n">
        <v>0</v>
      </c>
      <c r="H251" s="74" t="n">
        <v>0</v>
      </c>
      <c r="I251" s="74" t="n">
        <v>0</v>
      </c>
      <c r="J251" s="74" t="n">
        <v>0</v>
      </c>
      <c r="K251" s="73" t="n">
        <v>0</v>
      </c>
      <c r="L251" s="74" t="n">
        <v>0</v>
      </c>
      <c r="M251" s="74" t="n">
        <v>0</v>
      </c>
      <c r="N251" s="73" t="n">
        <v>0</v>
      </c>
      <c r="O251" s="74" t="n">
        <v>0</v>
      </c>
      <c r="P251" s="73" t="n">
        <v>0</v>
      </c>
      <c r="Q251" s="74" t="n">
        <v>0</v>
      </c>
      <c r="R251" s="75" t="n">
        <v>0</v>
      </c>
      <c r="S251" s="74" t="n">
        <v>0</v>
      </c>
      <c r="T251" s="74" t="n">
        <v>0</v>
      </c>
      <c r="U251" s="74" t="n">
        <v>0</v>
      </c>
      <c r="V251" s="74" t="n">
        <v>0</v>
      </c>
      <c r="W251" s="74" t="n">
        <v>0</v>
      </c>
    </row>
    <row r="252" customFormat="false" ht="15" hidden="false" customHeight="false" outlineLevel="0" collapsed="false">
      <c r="A252" s="76" t="s">
        <v>47</v>
      </c>
      <c r="B252" s="77" t="n">
        <v>46268</v>
      </c>
      <c r="C252" s="78" t="n">
        <v>9.4</v>
      </c>
      <c r="D252" s="78" t="s">
        <v>57</v>
      </c>
      <c r="E252" s="79" t="n">
        <f aca="false">G252*23.12+H252*23.12+I252*23.12+J252*23.12+K252*11.55+L252*11.55+M252*11.55+N252*16.51+O252*16.51+P252*16.51+Q252*11.55+S252*11.55+T252*15+U252*1.7+V252*1.7+W252*11.55</f>
        <v>0</v>
      </c>
      <c r="F252" s="80" t="n">
        <f aca="false">G252+H252+I252+J252+K252+L252+M252+N252+O252+P252+Q252+S252+T252+U252+V252+W252</f>
        <v>0</v>
      </c>
      <c r="G252" s="81" t="n">
        <v>0</v>
      </c>
      <c r="H252" s="82" t="n">
        <v>0</v>
      </c>
      <c r="I252" s="82" t="n">
        <v>0</v>
      </c>
      <c r="J252" s="82" t="n">
        <v>0</v>
      </c>
      <c r="K252" s="81" t="n">
        <v>0</v>
      </c>
      <c r="L252" s="82" t="n">
        <v>0</v>
      </c>
      <c r="M252" s="82" t="n">
        <v>0</v>
      </c>
      <c r="N252" s="81" t="n">
        <v>0</v>
      </c>
      <c r="O252" s="82" t="n">
        <v>0</v>
      </c>
      <c r="P252" s="81" t="n">
        <v>0</v>
      </c>
      <c r="Q252" s="82" t="n">
        <v>0</v>
      </c>
      <c r="R252" s="83" t="n">
        <v>0</v>
      </c>
      <c r="S252" s="82" t="n">
        <v>0</v>
      </c>
      <c r="T252" s="82" t="n">
        <v>0</v>
      </c>
      <c r="U252" s="82" t="n">
        <v>0</v>
      </c>
      <c r="V252" s="82" t="n">
        <v>0</v>
      </c>
      <c r="W252" s="82" t="n">
        <v>0</v>
      </c>
    </row>
    <row r="253" customFormat="false" ht="15" hidden="false" customHeight="false" outlineLevel="0" collapsed="false">
      <c r="A253" s="68" t="s">
        <v>49</v>
      </c>
      <c r="B253" s="69" t="n">
        <v>46269</v>
      </c>
      <c r="C253" s="70" t="n">
        <v>9.4</v>
      </c>
      <c r="D253" s="70" t="s">
        <v>57</v>
      </c>
      <c r="E253" s="71" t="n">
        <f aca="false">G253*23.12+H253*23.12+I253*23.12+J253*23.12+K253*11.55+L253*11.55+M253*11.55+N253*16.51+O253*16.51+P253*16.51+Q253*11.55+S253*11.55+T253*15+U253*1.7+V253*1.7+W253*11.55</f>
        <v>0</v>
      </c>
      <c r="F253" s="72" t="n">
        <f aca="false">G253+H253+I253+J253+K253+L253+M253+N253+O253+P253+Q253+S253+T253+U253+V253+W253</f>
        <v>0</v>
      </c>
      <c r="G253" s="73" t="n">
        <v>0</v>
      </c>
      <c r="H253" s="74" t="n">
        <v>0</v>
      </c>
      <c r="I253" s="74" t="n">
        <v>0</v>
      </c>
      <c r="J253" s="74" t="n">
        <v>0</v>
      </c>
      <c r="K253" s="73" t="n">
        <v>0</v>
      </c>
      <c r="L253" s="74" t="n">
        <v>0</v>
      </c>
      <c r="M253" s="74" t="n">
        <v>0</v>
      </c>
      <c r="N253" s="73" t="n">
        <v>0</v>
      </c>
      <c r="O253" s="74" t="n">
        <v>0</v>
      </c>
      <c r="P253" s="73" t="n">
        <v>0</v>
      </c>
      <c r="Q253" s="74" t="n">
        <v>0</v>
      </c>
      <c r="R253" s="75" t="n">
        <v>0</v>
      </c>
      <c r="S253" s="74" t="n">
        <v>0</v>
      </c>
      <c r="T253" s="74" t="n">
        <v>0</v>
      </c>
      <c r="U253" s="74" t="n">
        <v>0</v>
      </c>
      <c r="V253" s="74" t="n">
        <v>0</v>
      </c>
      <c r="W253" s="74" t="n">
        <v>0</v>
      </c>
    </row>
    <row r="254" customFormat="false" ht="15" hidden="false" customHeight="false" outlineLevel="0" collapsed="false">
      <c r="A254" s="85" t="s">
        <v>50</v>
      </c>
      <c r="B254" s="77" t="n">
        <v>46270</v>
      </c>
      <c r="C254" s="78" t="n">
        <v>9.4</v>
      </c>
      <c r="D254" s="78" t="s">
        <v>57</v>
      </c>
      <c r="E254" s="79" t="n">
        <f aca="false">G254*23.12+H254*23.12+I254*23.12+J254*23.12+K254*11.55+L254*11.55+M254*11.55+N254*16.51+O254*16.51+P254*16.51+Q254*11.55+S254*11.55+T254*15+U254*1.7+V254*1.7+W254*11.55</f>
        <v>0</v>
      </c>
      <c r="F254" s="80" t="n">
        <f aca="false">G254+H254+I254+J254+K254+L254+M254+N254+O254+P254+Q254+S254+T254+U254+V254+W254</f>
        <v>0</v>
      </c>
      <c r="G254" s="81" t="n">
        <v>0</v>
      </c>
      <c r="H254" s="82" t="n">
        <v>0</v>
      </c>
      <c r="I254" s="82" t="n">
        <v>0</v>
      </c>
      <c r="J254" s="82" t="n">
        <v>0</v>
      </c>
      <c r="K254" s="81" t="n">
        <v>0</v>
      </c>
      <c r="L254" s="82" t="n">
        <v>0</v>
      </c>
      <c r="M254" s="82" t="n">
        <v>0</v>
      </c>
      <c r="N254" s="81" t="n">
        <v>0</v>
      </c>
      <c r="O254" s="82" t="n">
        <v>0</v>
      </c>
      <c r="P254" s="81" t="n">
        <v>0</v>
      </c>
      <c r="Q254" s="82" t="n">
        <v>0</v>
      </c>
      <c r="R254" s="83" t="n">
        <v>0</v>
      </c>
      <c r="S254" s="82" t="n">
        <v>0</v>
      </c>
      <c r="T254" s="82" t="n">
        <v>0</v>
      </c>
      <c r="U254" s="82" t="n">
        <v>0</v>
      </c>
      <c r="V254" s="82" t="n">
        <v>0</v>
      </c>
      <c r="W254" s="82" t="n">
        <v>0</v>
      </c>
    </row>
    <row r="255" customFormat="false" ht="15" hidden="false" customHeight="false" outlineLevel="0" collapsed="false">
      <c r="A255" s="84" t="s">
        <v>51</v>
      </c>
      <c r="B255" s="69" t="n">
        <v>46271</v>
      </c>
      <c r="C255" s="70" t="n">
        <v>9.4</v>
      </c>
      <c r="D255" s="70" t="s">
        <v>57</v>
      </c>
      <c r="E255" s="71" t="n">
        <f aca="false">G255*23.12+H255*23.12+I255*23.12+J255*23.12+K255*11.55+L255*11.55+M255*11.55+N255*16.51+O255*16.51+P255*16.51+Q255*11.55+S255*11.55+T255*15+U255*1.7+V255*1.7+W255*11.55</f>
        <v>0</v>
      </c>
      <c r="F255" s="72" t="n">
        <f aca="false">G255+H255+I255+J255+K255+L255+M255+N255+O255+P255+Q255+S255+T255+U255+V255+W255</f>
        <v>0</v>
      </c>
      <c r="G255" s="73" t="n">
        <v>0</v>
      </c>
      <c r="H255" s="74" t="n">
        <v>0</v>
      </c>
      <c r="I255" s="74" t="n">
        <v>0</v>
      </c>
      <c r="J255" s="74" t="n">
        <v>0</v>
      </c>
      <c r="K255" s="73" t="n">
        <v>0</v>
      </c>
      <c r="L255" s="74" t="n">
        <v>0</v>
      </c>
      <c r="M255" s="74" t="n">
        <v>0</v>
      </c>
      <c r="N255" s="73" t="n">
        <v>0</v>
      </c>
      <c r="O255" s="74" t="n">
        <v>0</v>
      </c>
      <c r="P255" s="73" t="n">
        <v>0</v>
      </c>
      <c r="Q255" s="74" t="n">
        <v>0</v>
      </c>
      <c r="R255" s="75" t="n">
        <v>0</v>
      </c>
      <c r="S255" s="74" t="n">
        <v>0</v>
      </c>
      <c r="T255" s="74" t="n">
        <v>0</v>
      </c>
      <c r="U255" s="74" t="n">
        <v>0</v>
      </c>
      <c r="V255" s="74" t="n">
        <v>0</v>
      </c>
      <c r="W255" s="74" t="n">
        <v>0</v>
      </c>
    </row>
    <row r="256" customFormat="false" ht="15" hidden="false" customHeight="false" outlineLevel="0" collapsed="false">
      <c r="A256" s="100" t="s">
        <v>52</v>
      </c>
      <c r="B256" s="101" t="n">
        <v>46272</v>
      </c>
      <c r="C256" s="102" t="n">
        <v>10.1</v>
      </c>
      <c r="D256" s="102" t="s">
        <v>48</v>
      </c>
      <c r="E256" s="103" t="n">
        <f aca="false">G256*23.12+H256*23.12+I256*23.12+J256*23.12+K256*11.55+L256*11.55+M256*11.55+N256*16.51+O256*16.51+P256*16.51+Q256*11.55+S256*11.55+T256*15+U256*1.7+V256*1.7+W256*11.55</f>
        <v>0</v>
      </c>
      <c r="F256" s="104" t="n">
        <f aca="false">G256+H256+I256+J256+K256+L256+M256+N256+O256+P256+Q256+S256+T256+U256+V256+W256</f>
        <v>0</v>
      </c>
      <c r="G256" s="105" t="n">
        <v>0</v>
      </c>
      <c r="H256" s="106" t="n">
        <v>0</v>
      </c>
      <c r="I256" s="106" t="n">
        <v>0</v>
      </c>
      <c r="J256" s="106" t="n">
        <v>0</v>
      </c>
      <c r="K256" s="105" t="n">
        <v>0</v>
      </c>
      <c r="L256" s="106" t="n">
        <v>0</v>
      </c>
      <c r="M256" s="106" t="n">
        <v>0</v>
      </c>
      <c r="N256" s="105" t="n">
        <v>0</v>
      </c>
      <c r="O256" s="106" t="n">
        <v>0</v>
      </c>
      <c r="P256" s="105" t="n">
        <v>0</v>
      </c>
      <c r="Q256" s="106" t="n">
        <v>0</v>
      </c>
      <c r="R256" s="109" t="n">
        <v>0</v>
      </c>
      <c r="S256" s="106" t="n">
        <v>0</v>
      </c>
      <c r="T256" s="106" t="n">
        <v>0</v>
      </c>
      <c r="U256" s="106" t="n">
        <v>0</v>
      </c>
      <c r="V256" s="106" t="n">
        <v>0</v>
      </c>
      <c r="W256" s="106" t="n">
        <v>0</v>
      </c>
    </row>
    <row r="257" customFormat="false" ht="15" hidden="false" customHeight="false" outlineLevel="0" collapsed="false">
      <c r="A257" s="68" t="s">
        <v>54</v>
      </c>
      <c r="B257" s="69" t="n">
        <v>46273</v>
      </c>
      <c r="C257" s="70" t="n">
        <v>10.1</v>
      </c>
      <c r="D257" s="70" t="s">
        <v>48</v>
      </c>
      <c r="E257" s="71" t="n">
        <f aca="false">G257*23.12+H257*23.12+I257*23.12+J257*23.12+K257*11.55+L257*11.55+M257*11.55+N257*16.51+O257*16.51+P257*16.51+Q257*11.55+S257*11.55+T257*15+U257*1.7+V257*1.7+W257*11.55</f>
        <v>0</v>
      </c>
      <c r="F257" s="72" t="n">
        <f aca="false">G257+H257+I257+J257+K257+L257+M257+N257+O257+P257+Q257+S257+T257+U257+V257+W257</f>
        <v>0</v>
      </c>
      <c r="G257" s="73" t="n">
        <v>0</v>
      </c>
      <c r="H257" s="74" t="n">
        <v>0</v>
      </c>
      <c r="I257" s="74" t="n">
        <v>0</v>
      </c>
      <c r="J257" s="74" t="n">
        <v>0</v>
      </c>
      <c r="K257" s="73" t="n">
        <v>0</v>
      </c>
      <c r="L257" s="74" t="n">
        <v>0</v>
      </c>
      <c r="M257" s="74" t="n">
        <v>0</v>
      </c>
      <c r="N257" s="73" t="n">
        <v>0</v>
      </c>
      <c r="O257" s="74" t="n">
        <v>0</v>
      </c>
      <c r="P257" s="73" t="n">
        <v>0</v>
      </c>
      <c r="Q257" s="74" t="n">
        <v>0</v>
      </c>
      <c r="R257" s="75" t="n">
        <v>0</v>
      </c>
      <c r="S257" s="74" t="n">
        <v>0</v>
      </c>
      <c r="T257" s="74" t="n">
        <v>0</v>
      </c>
      <c r="U257" s="74" t="n">
        <v>0</v>
      </c>
      <c r="V257" s="74" t="n">
        <v>0</v>
      </c>
      <c r="W257" s="74" t="n">
        <v>0</v>
      </c>
    </row>
    <row r="258" customFormat="false" ht="15" hidden="false" customHeight="false" outlineLevel="0" collapsed="false">
      <c r="A258" s="76" t="s">
        <v>55</v>
      </c>
      <c r="B258" s="77" t="n">
        <v>46274</v>
      </c>
      <c r="C258" s="78" t="n">
        <v>10.1</v>
      </c>
      <c r="D258" s="78" t="s">
        <v>48</v>
      </c>
      <c r="E258" s="79" t="n">
        <f aca="false">G258*23.12+H258*23.12+I258*23.12+J258*23.12+K258*11.55+L258*11.55+M258*11.55+N258*16.51+O258*16.51+P258*16.51+Q258*11.55+S258*11.55+T258*15+U258*1.7+V258*1.7+W258*11.55</f>
        <v>0</v>
      </c>
      <c r="F258" s="80" t="n">
        <f aca="false">G258+H258+I258+J258+K258+L258+M258+N258+O258+P258+Q258+S258+T258+U258+V258+W258</f>
        <v>0</v>
      </c>
      <c r="G258" s="81" t="n">
        <v>0</v>
      </c>
      <c r="H258" s="82" t="n">
        <v>0</v>
      </c>
      <c r="I258" s="82" t="n">
        <v>0</v>
      </c>
      <c r="J258" s="82" t="n">
        <v>0</v>
      </c>
      <c r="K258" s="81" t="n">
        <v>0</v>
      </c>
      <c r="L258" s="82" t="n">
        <v>0</v>
      </c>
      <c r="M258" s="82" t="n">
        <v>0</v>
      </c>
      <c r="N258" s="81" t="n">
        <v>0</v>
      </c>
      <c r="O258" s="82" t="n">
        <v>0</v>
      </c>
      <c r="P258" s="81" t="n">
        <v>0</v>
      </c>
      <c r="Q258" s="82" t="n">
        <v>0</v>
      </c>
      <c r="R258" s="83" t="n">
        <v>0</v>
      </c>
      <c r="S258" s="82" t="n">
        <v>0</v>
      </c>
      <c r="T258" s="82" t="n">
        <v>0</v>
      </c>
      <c r="U258" s="82" t="n">
        <v>0</v>
      </c>
      <c r="V258" s="82" t="n">
        <v>0</v>
      </c>
      <c r="W258" s="82" t="n">
        <v>0</v>
      </c>
    </row>
    <row r="259" customFormat="false" ht="15" hidden="false" customHeight="false" outlineLevel="0" collapsed="false">
      <c r="A259" s="110" t="s">
        <v>37</v>
      </c>
      <c r="B259" s="111"/>
      <c r="C259" s="111"/>
      <c r="D259" s="111"/>
      <c r="E259" s="49" t="n">
        <f aca="false">SUM(E7:E258)</f>
        <v>1069460.21</v>
      </c>
      <c r="F259" s="112" t="n">
        <f aca="false">SUM(F7:F258)</f>
        <v>81968</v>
      </c>
      <c r="G259" s="113" t="n">
        <f aca="false">SUM(G7:G258)</f>
        <v>6225</v>
      </c>
      <c r="H259" s="113" t="n">
        <f aca="false">SUM(H7:H258)</f>
        <v>6415</v>
      </c>
      <c r="I259" s="113" t="n">
        <f aca="false">SUM(I7:I258)</f>
        <v>21</v>
      </c>
      <c r="J259" s="113" t="n">
        <f aca="false">SUM(J7:J258)</f>
        <v>975</v>
      </c>
      <c r="K259" s="113" t="n">
        <f aca="false">SUM(K7:K258)</f>
        <v>28951</v>
      </c>
      <c r="L259" s="113" t="n">
        <f aca="false">SUM(L7:L258)</f>
        <v>28889</v>
      </c>
      <c r="M259" s="113" t="n">
        <f aca="false">SUM(M7:M258)</f>
        <v>856</v>
      </c>
      <c r="N259" s="113" t="n">
        <f aca="false">SUM(N7:N258)</f>
        <v>1575</v>
      </c>
      <c r="O259" s="113" t="n">
        <f aca="false">SUM(O7:O258)</f>
        <v>1210</v>
      </c>
      <c r="P259" s="113" t="n">
        <f aca="false">SUM(P7:P258)</f>
        <v>524</v>
      </c>
      <c r="Q259" s="113" t="n">
        <f aca="false">SUM(Q7:Q258)</f>
        <v>164</v>
      </c>
      <c r="R259" s="114" t="n">
        <f aca="false">SUM(R7:R258)</f>
        <v>11202.26</v>
      </c>
      <c r="S259" s="113" t="n">
        <f aca="false">SUM(S7:S258)</f>
        <v>560</v>
      </c>
      <c r="T259" s="113" t="n">
        <f aca="false">SUM(T7:T258)</f>
        <v>50</v>
      </c>
      <c r="U259" s="113" t="n">
        <f aca="false">SUM(U7:U258)</f>
        <v>1641</v>
      </c>
      <c r="V259" s="113" t="n">
        <f aca="false">SUM(V7:V258)</f>
        <v>3600</v>
      </c>
      <c r="W259" s="113" t="n">
        <f aca="false">SUM(W7:W258)</f>
        <v>312</v>
      </c>
    </row>
  </sheetData>
  <mergeCells count="11">
    <mergeCell ref="A4:A6"/>
    <mergeCell ref="B4:B6"/>
    <mergeCell ref="C4:C6"/>
    <mergeCell ref="D4:D6"/>
    <mergeCell ref="E4:E6"/>
    <mergeCell ref="F4:F6"/>
    <mergeCell ref="G4:J4"/>
    <mergeCell ref="K4:M4"/>
    <mergeCell ref="N4:O4"/>
    <mergeCell ref="P4:Q4"/>
    <mergeCell ref="R4:W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2026-09-11T00:32:54Z</dcterms:created>
  <dc:creator>openpyxl</dc:creator>
  <dc:description/>
  <dc:language>en-US</dc:language>
  <cp:lastModifiedBy/>
  <dcterms:modified xsi:type="dcterms:W3CDTF">2026-09-11T00:32:55Z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